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Videos\FEBRUARI 2026\"/>
    </mc:Choice>
  </mc:AlternateContent>
  <xr:revisionPtr revIDLastSave="0" documentId="13_ncr:1_{250D698B-D1B1-41C5-BC17-3C047D2E82FF}" xr6:coauthVersionLast="47" xr6:coauthVersionMax="47" xr10:uidLastSave="{00000000-0000-0000-0000-000000000000}"/>
  <bookViews>
    <workbookView xWindow="4890" yWindow="360" windowWidth="14400" windowHeight="7270" firstSheet="3" activeTab="3" xr2:uid="{00000000-000D-0000-FFFF-FFFF00000000}"/>
  </bookViews>
  <sheets>
    <sheet name="MEI" sheetId="1" state="hidden" r:id="rId1"/>
    <sheet name="JUNI" sheetId="2" state="hidden" r:id="rId2"/>
    <sheet name="JULI" sheetId="3" state="hidden" r:id="rId3"/>
    <sheet name="RC SAMATA" sheetId="6" r:id="rId4"/>
    <sheet name="APRIL" sheetId="4" state="hidden" r:id="rId5"/>
    <sheet name="Sheet1" sheetId="5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6" l="1"/>
  <c r="H53" i="6"/>
  <c r="H52" i="6"/>
  <c r="H50" i="6"/>
  <c r="F54" i="6"/>
  <c r="F53" i="6"/>
  <c r="D54" i="6"/>
  <c r="D53" i="6"/>
  <c r="B54" i="6"/>
  <c r="B53" i="6"/>
  <c r="B33" i="6" l="1"/>
  <c r="H40" i="6" l="1"/>
  <c r="H35" i="6"/>
  <c r="H31" i="6"/>
  <c r="H27" i="6"/>
  <c r="H23" i="6"/>
  <c r="H22" i="6"/>
  <c r="H21" i="6"/>
  <c r="H20" i="6"/>
  <c r="H19" i="6"/>
  <c r="H18" i="6"/>
  <c r="H17" i="6"/>
  <c r="H14" i="6"/>
  <c r="H12" i="6"/>
  <c r="H11" i="6"/>
  <c r="H9" i="6"/>
  <c r="H4" i="6"/>
  <c r="F52" i="6"/>
  <c r="F12" i="6"/>
  <c r="F11" i="6"/>
  <c r="F10" i="6"/>
  <c r="F9" i="6"/>
  <c r="F4" i="6"/>
  <c r="B52" i="6"/>
  <c r="D52" i="6"/>
  <c r="B50" i="6"/>
  <c r="B36" i="6"/>
  <c r="B16" i="6"/>
  <c r="B27" i="6"/>
  <c r="B39" i="6"/>
  <c r="B40" i="6"/>
  <c r="D10" i="6"/>
  <c r="D30" i="6"/>
  <c r="D27" i="6"/>
  <c r="D36" i="6"/>
  <c r="D34" i="6"/>
  <c r="D14" i="6"/>
  <c r="D13" i="6"/>
  <c r="D12" i="6"/>
  <c r="D11" i="6"/>
  <c r="D9" i="6"/>
  <c r="D6" i="6"/>
  <c r="D5" i="6"/>
  <c r="D4" i="6"/>
  <c r="B25" i="6"/>
  <c r="B22" i="6"/>
  <c r="B21" i="6"/>
  <c r="B20" i="6"/>
  <c r="B19" i="6"/>
  <c r="B18" i="6"/>
  <c r="B17" i="6"/>
  <c r="B14" i="6"/>
  <c r="B12" i="6"/>
  <c r="B11" i="6"/>
  <c r="B10" i="6"/>
  <c r="B9" i="6"/>
  <c r="B6" i="6"/>
  <c r="B5" i="6"/>
  <c r="B4" i="6"/>
  <c r="G18" i="5" l="1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22" i="4"/>
  <c r="F22" i="4"/>
  <c r="D22" i="4"/>
  <c r="G21" i="4"/>
  <c r="F21" i="4"/>
  <c r="G20" i="4"/>
  <c r="F20" i="4"/>
  <c r="D20" i="4"/>
  <c r="G19" i="4"/>
  <c r="F19" i="4"/>
  <c r="E19" i="4"/>
  <c r="G18" i="4"/>
  <c r="F18" i="4"/>
  <c r="D18" i="4"/>
  <c r="B18" i="4"/>
  <c r="G17" i="4"/>
  <c r="F17" i="4"/>
  <c r="E17" i="4"/>
  <c r="G16" i="4"/>
  <c r="F16" i="4"/>
  <c r="E16" i="4"/>
  <c r="D16" i="4"/>
  <c r="C16" i="4"/>
  <c r="B16" i="4"/>
  <c r="G15" i="4"/>
  <c r="F15" i="4"/>
  <c r="D15" i="4"/>
  <c r="G14" i="4"/>
  <c r="F14" i="4"/>
  <c r="G13" i="4"/>
  <c r="F13" i="4"/>
  <c r="D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F4" i="4"/>
  <c r="E4" i="4"/>
  <c r="D4" i="4"/>
  <c r="C4" i="4"/>
  <c r="J93" i="6"/>
  <c r="J91" i="6"/>
  <c r="K90" i="6"/>
  <c r="J90" i="6"/>
  <c r="J89" i="6"/>
  <c r="J88" i="6"/>
  <c r="J86" i="6"/>
  <c r="J85" i="6"/>
  <c r="J82" i="6"/>
  <c r="J81" i="6"/>
  <c r="J80" i="6"/>
  <c r="J79" i="6"/>
  <c r="J76" i="6"/>
  <c r="J75" i="6"/>
  <c r="J74" i="6"/>
  <c r="J73" i="6"/>
  <c r="J72" i="6"/>
  <c r="J71" i="6"/>
  <c r="J70" i="6"/>
  <c r="J69" i="6"/>
  <c r="N66" i="6"/>
  <c r="J66" i="6"/>
  <c r="N65" i="6"/>
  <c r="J65" i="6"/>
  <c r="N64" i="6"/>
  <c r="J64" i="6"/>
  <c r="N63" i="6"/>
  <c r="J63" i="6"/>
  <c r="N62" i="6"/>
  <c r="J62" i="6"/>
  <c r="N61" i="6"/>
  <c r="J61" i="6"/>
  <c r="N60" i="6"/>
  <c r="J60" i="6"/>
  <c r="N59" i="6"/>
  <c r="J59" i="6"/>
  <c r="N58" i="6"/>
  <c r="J58" i="6"/>
  <c r="J57" i="6"/>
  <c r="J56" i="6"/>
  <c r="J55" i="6"/>
  <c r="J54" i="6"/>
  <c r="J53" i="6"/>
  <c r="J52" i="6"/>
  <c r="J51" i="6"/>
  <c r="J50" i="6"/>
  <c r="J40" i="6"/>
  <c r="I40" i="6"/>
  <c r="G40" i="6"/>
  <c r="E40" i="6"/>
  <c r="C40" i="6"/>
  <c r="J39" i="6"/>
  <c r="I39" i="6"/>
  <c r="E39" i="6"/>
  <c r="C39" i="6"/>
  <c r="E38" i="6"/>
  <c r="C38" i="6"/>
  <c r="E37" i="6"/>
  <c r="C37" i="6"/>
  <c r="J36" i="6"/>
  <c r="I36" i="6"/>
  <c r="G36" i="6"/>
  <c r="E36" i="6"/>
  <c r="C36" i="6"/>
  <c r="J35" i="6"/>
  <c r="I35" i="6"/>
  <c r="G35" i="6"/>
  <c r="E35" i="6"/>
  <c r="C35" i="6"/>
  <c r="J34" i="6"/>
  <c r="I34" i="6"/>
  <c r="G34" i="6"/>
  <c r="E34" i="6"/>
  <c r="C34" i="6"/>
  <c r="J33" i="6"/>
  <c r="I33" i="6"/>
  <c r="G33" i="6"/>
  <c r="E33" i="6"/>
  <c r="C33" i="6"/>
  <c r="J32" i="6"/>
  <c r="I32" i="6"/>
  <c r="G32" i="6"/>
  <c r="E32" i="6"/>
  <c r="C32" i="6"/>
  <c r="J31" i="6"/>
  <c r="I31" i="6"/>
  <c r="G31" i="6"/>
  <c r="E31" i="6"/>
  <c r="C31" i="6"/>
  <c r="J30" i="6"/>
  <c r="I30" i="6"/>
  <c r="G30" i="6"/>
  <c r="E30" i="6"/>
  <c r="C30" i="6"/>
  <c r="J29" i="6"/>
  <c r="I29" i="6"/>
  <c r="G29" i="6"/>
  <c r="E29" i="6"/>
  <c r="C29" i="6"/>
  <c r="J28" i="6"/>
  <c r="I28" i="6"/>
  <c r="G28" i="6"/>
  <c r="E28" i="6"/>
  <c r="C28" i="6"/>
  <c r="J27" i="6"/>
  <c r="I27" i="6"/>
  <c r="G27" i="6"/>
  <c r="E27" i="6"/>
  <c r="C27" i="6"/>
  <c r="J26" i="6"/>
  <c r="I26" i="6"/>
  <c r="G26" i="6"/>
  <c r="E26" i="6"/>
  <c r="C26" i="6"/>
  <c r="L25" i="6"/>
  <c r="J25" i="6"/>
  <c r="I25" i="6"/>
  <c r="G25" i="6"/>
  <c r="E25" i="6"/>
  <c r="C25" i="6"/>
  <c r="J24" i="6"/>
  <c r="I24" i="6"/>
  <c r="G24" i="6"/>
  <c r="E24" i="6"/>
  <c r="C24" i="6"/>
  <c r="J23" i="6"/>
  <c r="I23" i="6"/>
  <c r="G23" i="6"/>
  <c r="E23" i="6"/>
  <c r="C23" i="6"/>
  <c r="J22" i="6"/>
  <c r="I22" i="6"/>
  <c r="G22" i="6"/>
  <c r="E22" i="6"/>
  <c r="C22" i="6"/>
  <c r="J21" i="6"/>
  <c r="B46" i="6" s="1"/>
  <c r="I21" i="6"/>
  <c r="G21" i="6"/>
  <c r="E21" i="6"/>
  <c r="C21" i="6"/>
  <c r="J20" i="6"/>
  <c r="B45" i="6" s="1"/>
  <c r="I20" i="6"/>
  <c r="G20" i="6"/>
  <c r="E20" i="6"/>
  <c r="C20" i="6"/>
  <c r="J19" i="6"/>
  <c r="B44" i="6" s="1"/>
  <c r="I19" i="6"/>
  <c r="G19" i="6"/>
  <c r="E19" i="6"/>
  <c r="C19" i="6"/>
  <c r="J18" i="6"/>
  <c r="B43" i="6" s="1"/>
  <c r="I18" i="6"/>
  <c r="G18" i="6"/>
  <c r="E18" i="6"/>
  <c r="C18" i="6"/>
  <c r="L17" i="6"/>
  <c r="J17" i="6"/>
  <c r="B42" i="6" s="1"/>
  <c r="I17" i="6"/>
  <c r="G17" i="6"/>
  <c r="E17" i="6"/>
  <c r="C17" i="6"/>
  <c r="J16" i="6"/>
  <c r="I16" i="6"/>
  <c r="G16" i="6"/>
  <c r="E16" i="6"/>
  <c r="C16" i="6"/>
  <c r="J15" i="6"/>
  <c r="I15" i="6"/>
  <c r="G15" i="6"/>
  <c r="E15" i="6"/>
  <c r="C15" i="6"/>
  <c r="J14" i="6"/>
  <c r="I14" i="6"/>
  <c r="G14" i="6"/>
  <c r="E14" i="6"/>
  <c r="C14" i="6"/>
  <c r="J13" i="6"/>
  <c r="I13" i="6"/>
  <c r="G13" i="6"/>
  <c r="E13" i="6"/>
  <c r="C13" i="6"/>
  <c r="J12" i="6"/>
  <c r="I12" i="6"/>
  <c r="G12" i="6"/>
  <c r="E12" i="6"/>
  <c r="C12" i="6"/>
  <c r="J11" i="6"/>
  <c r="I11" i="6"/>
  <c r="G11" i="6"/>
  <c r="E11" i="6"/>
  <c r="C11" i="6"/>
  <c r="M10" i="6"/>
  <c r="G10" i="6"/>
  <c r="E10" i="6"/>
  <c r="C10" i="6"/>
  <c r="J9" i="6"/>
  <c r="I9" i="6"/>
  <c r="G9" i="6"/>
  <c r="E9" i="6"/>
  <c r="C9" i="6"/>
  <c r="K8" i="6"/>
  <c r="D7" i="6"/>
  <c r="D8" i="6" s="1"/>
  <c r="B7" i="6"/>
  <c r="B8" i="6" s="1"/>
  <c r="E6" i="6"/>
  <c r="C6" i="6"/>
  <c r="L5" i="6"/>
  <c r="L6" i="6" s="1"/>
  <c r="E5" i="6"/>
  <c r="C5" i="6"/>
  <c r="J4" i="6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G5" i="3"/>
  <c r="F5" i="3"/>
  <c r="G4" i="3"/>
  <c r="F4" i="3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G5" i="2"/>
  <c r="F5" i="2"/>
  <c r="G4" i="2"/>
  <c r="F4" i="2"/>
  <c r="G18" i="1"/>
  <c r="F18" i="1"/>
  <c r="G17" i="1"/>
  <c r="F17" i="1"/>
  <c r="G16" i="1"/>
  <c r="F16" i="1"/>
  <c r="G15" i="1"/>
  <c r="F15" i="1"/>
  <c r="C15" i="1"/>
  <c r="B15" i="1"/>
  <c r="G14" i="1"/>
  <c r="F14" i="1"/>
  <c r="G13" i="1"/>
  <c r="F13" i="1"/>
  <c r="G12" i="1"/>
  <c r="F12" i="1"/>
  <c r="G11" i="1"/>
  <c r="F11" i="1"/>
  <c r="G10" i="1"/>
  <c r="F10" i="1"/>
  <c r="C10" i="1"/>
  <c r="B10" i="1"/>
  <c r="G9" i="1"/>
  <c r="F9" i="1"/>
  <c r="C9" i="1"/>
  <c r="B9" i="1"/>
  <c r="G8" i="1"/>
  <c r="F8" i="1"/>
  <c r="C8" i="1"/>
  <c r="B8" i="1"/>
  <c r="G7" i="1"/>
  <c r="F7" i="1"/>
  <c r="G6" i="1"/>
  <c r="F6" i="1"/>
  <c r="G5" i="1"/>
  <c r="F5" i="1"/>
  <c r="D5" i="1"/>
  <c r="B5" i="1"/>
  <c r="G4" i="1"/>
  <c r="F4" i="1"/>
  <c r="D4" i="1"/>
  <c r="B4" i="1"/>
  <c r="K57" i="6" l="1"/>
  <c r="C7" i="6"/>
  <c r="L21" i="6"/>
  <c r="L24" i="6" s="1"/>
  <c r="E7" i="6"/>
  <c r="B47" i="6"/>
  <c r="E47" i="6"/>
  <c r="D47" i="6"/>
  <c r="K11" i="6"/>
  <c r="K12" i="6"/>
  <c r="K14" i="6"/>
  <c r="K15" i="6"/>
  <c r="K16" i="6"/>
  <c r="K17" i="6"/>
  <c r="K22" i="6"/>
  <c r="K23" i="6"/>
  <c r="K24" i="6"/>
  <c r="K26" i="6"/>
  <c r="K31" i="6"/>
  <c r="K32" i="6"/>
  <c r="K33" i="6"/>
  <c r="K36" i="6"/>
  <c r="K9" i="6"/>
  <c r="K13" i="6"/>
  <c r="K18" i="6"/>
  <c r="K19" i="6"/>
  <c r="K20" i="6"/>
  <c r="K21" i="6"/>
  <c r="K25" i="6"/>
  <c r="K27" i="6"/>
  <c r="K28" i="6"/>
  <c r="K29" i="6"/>
  <c r="K30" i="6"/>
  <c r="K34" i="6"/>
  <c r="K35" i="6"/>
  <c r="K40" i="6"/>
  <c r="D42" i="6"/>
  <c r="D43" i="6"/>
  <c r="D44" i="6"/>
  <c r="D45" i="6"/>
  <c r="D46" i="6"/>
  <c r="H10" i="6" l="1"/>
  <c r="I10" i="6" l="1"/>
  <c r="J10" i="6"/>
  <c r="K10" i="6" s="1"/>
  <c r="F6" i="6" l="1"/>
  <c r="G38" i="6" l="1"/>
  <c r="G6" i="6"/>
  <c r="F5" i="6" l="1"/>
  <c r="F7" i="6" l="1"/>
  <c r="G37" i="6"/>
  <c r="G5" i="6"/>
  <c r="G39" i="6" l="1"/>
  <c r="F8" i="6"/>
  <c r="G7" i="6"/>
  <c r="H6" i="6" l="1"/>
  <c r="I6" i="6" l="1"/>
  <c r="I38" i="6"/>
  <c r="J6" i="6"/>
  <c r="K6" i="6" l="1"/>
  <c r="K38" i="6"/>
  <c r="H5" i="6" l="1"/>
  <c r="H7" i="6" l="1"/>
  <c r="I5" i="6"/>
  <c r="I37" i="6"/>
  <c r="J5" i="6"/>
  <c r="K37" i="6" l="1"/>
  <c r="K5" i="6"/>
  <c r="K39" i="6"/>
  <c r="H8" i="6"/>
  <c r="I7" i="6"/>
  <c r="J7" i="6"/>
  <c r="J8" i="6" l="1"/>
  <c r="K7" i="6"/>
</calcChain>
</file>

<file path=xl/sharedStrings.xml><?xml version="1.0" encoding="utf-8"?>
<sst xmlns="http://schemas.openxmlformats.org/spreadsheetml/2006/main" count="211" uniqueCount="95">
  <si>
    <t>GODEAN</t>
  </si>
  <si>
    <t>PERIODE 1</t>
  </si>
  <si>
    <t>PERIODE 2</t>
  </si>
  <si>
    <t>PERIODE 3</t>
  </si>
  <si>
    <t>PERIODE 4</t>
  </si>
  <si>
    <t>TOTAL</t>
  </si>
  <si>
    <t>%</t>
  </si>
  <si>
    <t>SALES</t>
  </si>
  <si>
    <t>PEMAKAIAN</t>
  </si>
  <si>
    <t>FOODCOST</t>
  </si>
  <si>
    <t>CONTRIBUSI</t>
  </si>
  <si>
    <t>GAS</t>
  </si>
  <si>
    <t>PEMBERSIH</t>
  </si>
  <si>
    <t>FC/ATK</t>
  </si>
  <si>
    <t>TRANSPORT</t>
  </si>
  <si>
    <t>PAJAK</t>
  </si>
  <si>
    <t>AIR</t>
  </si>
  <si>
    <t>LISTRIK</t>
  </si>
  <si>
    <t>TRANSFER</t>
  </si>
  <si>
    <t>GAJI</t>
  </si>
  <si>
    <t>INSENTIF</t>
  </si>
  <si>
    <t>TLFN/WIFI</t>
  </si>
  <si>
    <t>GAJI/THR</t>
  </si>
  <si>
    <t>SPV : 2</t>
  </si>
  <si>
    <t>COOK : 7</t>
  </si>
  <si>
    <t>KASIR : 5</t>
  </si>
  <si>
    <t>PER 1-7</t>
  </si>
  <si>
    <t>PER 8-14</t>
  </si>
  <si>
    <t>PER 15-21</t>
  </si>
  <si>
    <t>PER 22-30/31</t>
  </si>
  <si>
    <t>PEMAKAIAN FOOD</t>
  </si>
  <si>
    <t>PEMAKAIAN PAPER</t>
  </si>
  <si>
    <t>TOTAL PEMAKAIAN</t>
  </si>
  <si>
    <t>FOODCOST / CON FC</t>
  </si>
  <si>
    <t>TELEPON/WIFI</t>
  </si>
  <si>
    <t>TOKEN LISTRIK</t>
  </si>
  <si>
    <t>SERVICE MTR</t>
  </si>
  <si>
    <t>TF OWNER</t>
  </si>
  <si>
    <t>TF GOJEK</t>
  </si>
  <si>
    <t>TF GRAB</t>
  </si>
  <si>
    <t>TF SHOPEE FOOD</t>
  </si>
  <si>
    <t>TF OVO</t>
  </si>
  <si>
    <t>ADM OVO</t>
  </si>
  <si>
    <t>PAJAK RESTO</t>
  </si>
  <si>
    <t>PAJAK PARKIR</t>
  </si>
  <si>
    <t>INSENTIF juli</t>
  </si>
  <si>
    <t>KIRIM DOKUMEN</t>
  </si>
  <si>
    <t>UANG KEBERSIHAN</t>
  </si>
  <si>
    <t>ASSET DAPUR</t>
  </si>
  <si>
    <t>SANTUNAN BULANAN</t>
  </si>
  <si>
    <t>BPJSTK</t>
  </si>
  <si>
    <t>ASET RESTO</t>
  </si>
  <si>
    <t>BUDGET MEET AREA/MEETING/GC</t>
  </si>
  <si>
    <t>PEL PIUTANG</t>
  </si>
  <si>
    <t>ALAT PERANGKAP LALAT</t>
  </si>
  <si>
    <t>PEL. BARGUD</t>
  </si>
  <si>
    <t>LAIN LAIN</t>
  </si>
  <si>
    <t xml:space="preserve">TF OWNER  </t>
  </si>
  <si>
    <t>PARAF SUPERVISOR</t>
  </si>
  <si>
    <t>TOTAL TRANSFER</t>
  </si>
  <si>
    <t>MARKETING PROMO</t>
  </si>
  <si>
    <t>PER 22-31</t>
  </si>
  <si>
    <t>SPICY</t>
  </si>
  <si>
    <t>UTUH</t>
  </si>
  <si>
    <t>TM MILKSHAKE</t>
  </si>
  <si>
    <t>PEMBELIAN SOSRO</t>
  </si>
  <si>
    <t>TEH BOTOL SOSRO (TBS)</t>
  </si>
  <si>
    <t>TEH SOSRO POUCH (TBO)</t>
  </si>
  <si>
    <t>FRUIT TEA BOTOL</t>
  </si>
  <si>
    <t>FRUIT TEA POUCH (FTG)</t>
  </si>
  <si>
    <t>TEH POCI</t>
  </si>
  <si>
    <t>AIR MINERAL BOTOL (AMB)</t>
  </si>
  <si>
    <t>TBS 1 LITER</t>
  </si>
  <si>
    <t>STEE</t>
  </si>
  <si>
    <t>PEMBELIAN SAOS</t>
  </si>
  <si>
    <t>CABE JERIGEN</t>
  </si>
  <si>
    <t>TOMAT JERIGEN</t>
  </si>
  <si>
    <t>CABE SASET</t>
  </si>
  <si>
    <t>TOMAT SASET</t>
  </si>
  <si>
    <t>PEMBELIAN FRAISWELL</t>
  </si>
  <si>
    <t>12 L</t>
  </si>
  <si>
    <t>18 L</t>
  </si>
  <si>
    <t>PER 22-30</t>
  </si>
  <si>
    <t>PMK FOOD</t>
  </si>
  <si>
    <t>PMK PAPPER</t>
  </si>
  <si>
    <t>GRAB</t>
  </si>
  <si>
    <t>BPJS</t>
  </si>
  <si>
    <t xml:space="preserve">KOS </t>
  </si>
  <si>
    <t>NB : PAJAK REKLAME</t>
  </si>
  <si>
    <t>LAPORAN BULAN FEBRUARI RC SAMATA 2026</t>
  </si>
  <si>
    <t xml:space="preserve">KEAMANAN </t>
  </si>
  <si>
    <t>bpjs tk</t>
  </si>
  <si>
    <t>PAKET BUCKET</t>
  </si>
  <si>
    <t>FAMILY BUCKET</t>
  </si>
  <si>
    <t>CATTERING/TAKJIL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</si>
</sst>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&quot;Rp&quot;* #,##0_);_(&quot;Rp&quot;* \(#,##0\);_(&quot;Rp&quot;* &quot;-&quot;_);_(@_)"/>
    <numFmt numFmtId="165" formatCode="_(&quot;Rp&quot;* #,##0.00_);_(&quot;Rp&quot;* \(#,##0.00\);_(&quot;Rp&quot;* &quot;-&quot;_);_(@_)"/>
    <numFmt numFmtId="166" formatCode="dd\-mmm"/>
    <numFmt numFmtId="167" formatCode="0.0%"/>
    <numFmt numFmtId="168" formatCode="_-[$Rp-421]* #,##0_-;\-[$Rp-421]* #,##0_-;_-[$Rp-421]* &quot;-&quot;_-;_-@_-"/>
    <numFmt numFmtId="169" formatCode="&quot;$&quot;#,##0.00"/>
  </numFmts>
  <fonts count="15">
    <font>
      <sz val="11"/>
      <color theme="1"/>
      <name val="Calibri"/>
      <charset val="1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sz val="12"/>
      <name val="Calibri"/>
      <charset val="134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</font>
    <font>
      <b/>
      <i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3" applyFont="1" applyFill="1" applyBorder="1" applyAlignment="1">
      <alignment horizontal="center"/>
    </xf>
    <xf numFmtId="164" fontId="2" fillId="4" borderId="1" xfId="3" applyFont="1" applyFill="1" applyBorder="1" applyAlignment="1">
      <alignment horizontal="center"/>
    </xf>
    <xf numFmtId="164" fontId="2" fillId="5" borderId="1" xfId="3" applyFont="1" applyFill="1" applyBorder="1" applyAlignment="1">
      <alignment horizontal="center"/>
    </xf>
    <xf numFmtId="164" fontId="2" fillId="6" borderId="1" xfId="3" applyFont="1" applyFill="1" applyBorder="1" applyAlignment="1">
      <alignment horizontal="center"/>
    </xf>
    <xf numFmtId="164" fontId="2" fillId="7" borderId="1" xfId="3" applyFont="1" applyFill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2" fillId="2" borderId="1" xfId="0" applyNumberFormat="1" applyFont="1" applyFill="1" applyBorder="1" applyAlignment="1">
      <alignment horizontal="left"/>
    </xf>
    <xf numFmtId="165" fontId="2" fillId="3" borderId="1" xfId="3" applyNumberFormat="1" applyFont="1" applyFill="1" applyBorder="1" applyAlignment="1">
      <alignment horizontal="center"/>
    </xf>
    <xf numFmtId="165" fontId="2" fillId="4" borderId="1" xfId="3" applyNumberFormat="1" applyFont="1" applyFill="1" applyBorder="1" applyAlignment="1">
      <alignment horizontal="center"/>
    </xf>
    <xf numFmtId="165" fontId="2" fillId="5" borderId="1" xfId="3" applyNumberFormat="1" applyFont="1" applyFill="1" applyBorder="1" applyAlignment="1">
      <alignment horizontal="center"/>
    </xf>
    <xf numFmtId="165" fontId="2" fillId="6" borderId="1" xfId="3" applyNumberFormat="1" applyFont="1" applyFill="1" applyBorder="1" applyAlignment="1">
      <alignment horizontal="center"/>
    </xf>
    <xf numFmtId="165" fontId="2" fillId="7" borderId="1" xfId="3" applyNumberFormat="1" applyFont="1" applyFill="1" applyBorder="1" applyAlignment="1">
      <alignment horizontal="center"/>
    </xf>
    <xf numFmtId="10" fontId="2" fillId="3" borderId="1" xfId="1" applyNumberFormat="1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10" fontId="2" fillId="5" borderId="1" xfId="1" applyNumberFormat="1" applyFont="1" applyFill="1" applyBorder="1" applyAlignment="1">
      <alignment horizontal="center"/>
    </xf>
    <xf numFmtId="10" fontId="2" fillId="6" borderId="1" xfId="1" applyNumberFormat="1" applyFont="1" applyFill="1" applyBorder="1" applyAlignment="1">
      <alignment horizontal="center"/>
    </xf>
    <xf numFmtId="10" fontId="2" fillId="7" borderId="1" xfId="1" applyNumberFormat="1" applyFont="1" applyFill="1" applyBorder="1" applyAlignment="1">
      <alignment horizontal="center"/>
    </xf>
    <xf numFmtId="10" fontId="2" fillId="8" borderId="1" xfId="1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41" fontId="4" fillId="0" borderId="0" xfId="0" applyNumberFormat="1" applyFont="1" applyAlignment="1">
      <alignment vertical="center"/>
    </xf>
    <xf numFmtId="10" fontId="2" fillId="9" borderId="1" xfId="3" applyNumberFormat="1" applyFont="1" applyFill="1" applyBorder="1" applyAlignment="1">
      <alignment horizontal="center" vertical="center"/>
    </xf>
    <xf numFmtId="41" fontId="5" fillId="0" borderId="0" xfId="0" applyNumberFormat="1" applyFont="1"/>
    <xf numFmtId="167" fontId="2" fillId="9" borderId="1" xfId="3" applyNumberFormat="1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vertical="center"/>
    </xf>
    <xf numFmtId="164" fontId="2" fillId="9" borderId="1" xfId="3" applyFont="1" applyFill="1" applyBorder="1" applyAlignment="1">
      <alignment horizontal="center" vertical="center"/>
    </xf>
    <xf numFmtId="41" fontId="6" fillId="0" borderId="1" xfId="0" applyNumberFormat="1" applyFont="1" applyBorder="1" applyAlignment="1" applyProtection="1">
      <alignment vertical="center"/>
    </xf>
    <xf numFmtId="10" fontId="2" fillId="9" borderId="1" xfId="3" applyNumberFormat="1" applyFont="1" applyFill="1" applyBorder="1" applyAlignment="1">
      <alignment horizontal="left" vertical="center"/>
    </xf>
    <xf numFmtId="0" fontId="2" fillId="9" borderId="1" xfId="0" applyNumberFormat="1" applyFont="1" applyFill="1" applyBorder="1" applyAlignment="1">
      <alignment horizontal="left" vertical="center"/>
    </xf>
    <xf numFmtId="165" fontId="2" fillId="9" borderId="1" xfId="3" applyNumberFormat="1" applyFont="1" applyFill="1" applyBorder="1" applyAlignment="1">
      <alignment horizontal="center" vertical="center"/>
    </xf>
    <xf numFmtId="167" fontId="2" fillId="9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 applyProtection="1">
      <alignment vertical="center"/>
      <protection locked="0"/>
    </xf>
    <xf numFmtId="41" fontId="2" fillId="9" borderId="1" xfId="0" applyNumberFormat="1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164" fontId="2" fillId="9" borderId="3" xfId="3" applyFont="1" applyFill="1" applyBorder="1" applyAlignment="1">
      <alignment horizontal="center" vertical="center"/>
    </xf>
    <xf numFmtId="41" fontId="8" fillId="10" borderId="3" xfId="2" applyFont="1" applyFill="1" applyBorder="1" applyAlignment="1" applyProtection="1">
      <alignment horizontal="left" vertical="center"/>
    </xf>
    <xf numFmtId="41" fontId="8" fillId="10" borderId="3" xfId="2" applyFont="1" applyFill="1" applyBorder="1" applyAlignment="1" applyProtection="1">
      <alignment vertical="center"/>
    </xf>
    <xf numFmtId="0" fontId="0" fillId="9" borderId="0" xfId="0" applyFill="1" applyAlignment="1">
      <alignment horizontal="left" vertical="center"/>
    </xf>
    <xf numFmtId="164" fontId="2" fillId="9" borderId="0" xfId="3" applyFont="1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2" fillId="9" borderId="0" xfId="0" applyFont="1" applyFill="1" applyBorder="1" applyAlignment="1">
      <alignment horizontal="left" vertical="center"/>
    </xf>
    <xf numFmtId="10" fontId="0" fillId="9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164" fontId="2" fillId="9" borderId="1" xfId="3" applyNumberFormat="1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11" fillId="10" borderId="3" xfId="2" applyFont="1" applyFill="1" applyBorder="1" applyAlignment="1" applyProtection="1">
      <alignment vertical="center"/>
    </xf>
    <xf numFmtId="10" fontId="0" fillId="0" borderId="0" xfId="0" applyNumberFormat="1" applyAlignment="1">
      <alignment vertical="center"/>
    </xf>
    <xf numFmtId="169" fontId="0" fillId="9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41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9" fontId="0" fillId="0" borderId="0" xfId="0" applyNumberFormat="1"/>
    <xf numFmtId="10" fontId="2" fillId="0" borderId="1" xfId="0" applyNumberFormat="1" applyFont="1" applyBorder="1" applyAlignment="1">
      <alignment horizontal="center"/>
    </xf>
    <xf numFmtId="164" fontId="2" fillId="3" borderId="1" xfId="3" applyNumberFormat="1" applyFont="1" applyFill="1" applyBorder="1" applyAlignment="1">
      <alignment horizontal="center"/>
    </xf>
    <xf numFmtId="164" fontId="2" fillId="4" borderId="1" xfId="3" applyNumberFormat="1" applyFont="1" applyFill="1" applyBorder="1" applyAlignment="1">
      <alignment horizontal="center"/>
    </xf>
    <xf numFmtId="164" fontId="2" fillId="5" borderId="1" xfId="3" applyNumberFormat="1" applyFont="1" applyFill="1" applyBorder="1" applyAlignment="1">
      <alignment horizontal="center"/>
    </xf>
    <xf numFmtId="164" fontId="2" fillId="6" borderId="1" xfId="3" applyNumberFormat="1" applyFont="1" applyFill="1" applyBorder="1" applyAlignment="1">
      <alignment horizontal="center"/>
    </xf>
    <xf numFmtId="164" fontId="2" fillId="7" borderId="1" xfId="3" applyNumberFormat="1" applyFont="1" applyFill="1" applyBorder="1" applyAlignment="1">
      <alignment horizontal="center"/>
    </xf>
    <xf numFmtId="0" fontId="0" fillId="0" borderId="0" xfId="0" applyNumberFormat="1"/>
    <xf numFmtId="10" fontId="2" fillId="8" borderId="1" xfId="0" applyNumberFormat="1" applyFont="1" applyFill="1" applyBorder="1" applyAlignment="1">
      <alignment horizontal="center"/>
    </xf>
    <xf numFmtId="41" fontId="0" fillId="0" borderId="0" xfId="2" applyFont="1"/>
    <xf numFmtId="0" fontId="12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64" fontId="2" fillId="3" borderId="1" xfId="3" applyFont="1" applyFill="1" applyBorder="1" applyAlignment="1">
      <alignment horizontal="center" vertical="top"/>
    </xf>
    <xf numFmtId="164" fontId="2" fillId="11" borderId="1" xfId="3" applyFont="1" applyFill="1" applyBorder="1" applyAlignment="1">
      <alignment horizontal="center"/>
    </xf>
    <xf numFmtId="164" fontId="13" fillId="9" borderId="1" xfId="3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64" fontId="2" fillId="3" borderId="1" xfId="3" applyNumberFormat="1" applyFont="1" applyFill="1" applyBorder="1" applyAlignment="1">
      <alignment horizontal="center" vertical="top"/>
    </xf>
    <xf numFmtId="164" fontId="2" fillId="11" borderId="1" xfId="3" applyNumberFormat="1" applyFont="1" applyFill="1" applyBorder="1" applyAlignment="1">
      <alignment horizontal="center"/>
    </xf>
    <xf numFmtId="164" fontId="13" fillId="9" borderId="1" xfId="3" applyNumberFormat="1" applyFont="1" applyFill="1" applyBorder="1" applyAlignment="1">
      <alignment horizontal="center"/>
    </xf>
    <xf numFmtId="41" fontId="2" fillId="3" borderId="1" xfId="1" applyNumberFormat="1" applyFont="1" applyFill="1" applyBorder="1" applyAlignment="1">
      <alignment horizontal="center" vertical="top"/>
    </xf>
    <xf numFmtId="10" fontId="2" fillId="4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10" fontId="2" fillId="11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10" fontId="2" fillId="3" borderId="1" xfId="1" applyNumberFormat="1" applyFont="1" applyFill="1" applyBorder="1" applyAlignment="1">
      <alignment horizontal="center" vertical="top"/>
    </xf>
    <xf numFmtId="164" fontId="2" fillId="11" borderId="1" xfId="3" applyFont="1" applyFill="1" applyBorder="1" applyAlignment="1">
      <alignment horizontal="center" wrapText="1"/>
    </xf>
    <xf numFmtId="167" fontId="2" fillId="8" borderId="1" xfId="0" applyNumberFormat="1" applyFont="1" applyFill="1" applyBorder="1" applyAlignment="1">
      <alignment horizontal="center"/>
    </xf>
    <xf numFmtId="41" fontId="0" fillId="0" borderId="4" xfId="0" applyNumberFormat="1" applyBorder="1" applyAlignment="1">
      <alignment horizontal="right" vertical="center"/>
    </xf>
    <xf numFmtId="41" fontId="0" fillId="0" borderId="5" xfId="0" applyNumberFormat="1" applyBorder="1" applyAlignment="1">
      <alignment horizontal="right" vertical="center"/>
    </xf>
    <xf numFmtId="41" fontId="9" fillId="0" borderId="6" xfId="2" applyFont="1" applyBorder="1" applyAlignment="1" applyProtection="1">
      <alignment horizontal="center" vertical="center"/>
    </xf>
    <xf numFmtId="41" fontId="9" fillId="0" borderId="2" xfId="2" applyFont="1" applyBorder="1" applyAlignment="1" applyProtection="1">
      <alignment horizontal="center" vertical="center"/>
    </xf>
    <xf numFmtId="41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Border="1" applyAlignment="1">
      <alignment vertical="center"/>
    </xf>
    <xf numFmtId="41" fontId="0" fillId="0" borderId="4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5" xfId="0" applyNumberFormat="1" applyBorder="1" applyAlignment="1">
      <alignment vertical="center"/>
    </xf>
    <xf numFmtId="0" fontId="3" fillId="0" borderId="0" xfId="0" applyFont="1" applyAlignment="1">
      <alignment horizontal="center" vertical="center"/>
    </xf>
    <xf numFmtId="168" fontId="10" fillId="5" borderId="4" xfId="0" applyNumberFormat="1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728954</xdr:colOff>
      <xdr:row>1</xdr:row>
      <xdr:rowOff>21006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28345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ORAN%20RC%20CANGKREP\MEI\01-07%20MEI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ORAN%20RC%20CANGKREP\MEI\15-21%20MEI%20%202020%20F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ORAN%20RC%20CANGKREP\MEI\8-14%20MEI%20%202020%20F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1-7%20FEB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8-14%20FEB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15-21%20%20FEB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22-28%20%20FEB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cuments/LAPORAN/LAPORAN%20RC%20SAMATA%202026/FEBRUARI%202026/RC%20SAMATA%20LAPORAN%20BULANAN%20SEPTEMBER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Videos/JANUARI%202026/NEW%20LAP%2015-21%20JAN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C%20DEMANGSARI%2008%20SEP%202021\SEPTEMBER\8-14%20APRIL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C%20DEMANGSARI%2008%20SEP%202021\SEPTEMBER\15-21%20APRIL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C%20DEMANGSARI%2008%20SEP%202021\SEPTEMBER\22-30%20APRIL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C%20DEMANGSARI%2008%20SEP%202021\SEPTEMBER\1-7%20APRIL%202020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LPKK "/>
      <sheetName val="RANDOM"/>
      <sheetName val="VENDOR REPORT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/>
      <sheetData sheetId="1"/>
      <sheetData sheetId="2"/>
      <sheetData sheetId="3"/>
      <sheetData sheetId="4"/>
      <sheetData sheetId="5">
        <row r="394">
          <cell r="AJ394">
            <v>142000</v>
          </cell>
        </row>
        <row r="395">
          <cell r="AJ395">
            <v>60695</v>
          </cell>
        </row>
        <row r="396">
          <cell r="AJ396">
            <v>72500</v>
          </cell>
        </row>
        <row r="403">
          <cell r="AJ403">
            <v>5000000</v>
          </cell>
        </row>
      </sheetData>
      <sheetData sheetId="6"/>
      <sheetData sheetId="7"/>
      <sheetData sheetId="8">
        <row r="43">
          <cell r="B43">
            <v>11493825.5625</v>
          </cell>
        </row>
        <row r="44">
          <cell r="B44">
            <v>18416500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LPKK "/>
      <sheetName val="VENDOR REPORT"/>
      <sheetName val="RANDOM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43">
          <cell r="B43">
            <v>18780953.5510941</v>
          </cell>
        </row>
        <row r="44">
          <cell r="B44">
            <v>28112250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LPKK "/>
      <sheetName val="RANDOM"/>
      <sheetName val="VENDOR REPORT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94">
          <cell r="AJ394">
            <v>600000</v>
          </cell>
        </row>
        <row r="395">
          <cell r="AJ395">
            <v>108400</v>
          </cell>
        </row>
        <row r="396">
          <cell r="AJ396">
            <v>58400</v>
          </cell>
        </row>
        <row r="403">
          <cell r="AJ403">
            <v>15000000</v>
          </cell>
        </row>
      </sheetData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PENJUALAN PER PERIODE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PROMO REGION"/>
      <sheetName val=" PLU GO FOOD"/>
      <sheetName val="PLU GRAB"/>
      <sheetName val=" PLU SHOPEE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/>
      <sheetData sheetId="3"/>
      <sheetData sheetId="4"/>
      <sheetData sheetId="5">
        <row r="196">
          <cell r="AM196">
            <v>1640000</v>
          </cell>
        </row>
        <row r="202">
          <cell r="AM202">
            <v>167700</v>
          </cell>
        </row>
        <row r="203">
          <cell r="AM203">
            <v>114000</v>
          </cell>
        </row>
        <row r="204">
          <cell r="AM204">
            <v>543000</v>
          </cell>
        </row>
        <row r="208">
          <cell r="AM208">
            <v>8170682</v>
          </cell>
        </row>
        <row r="209">
          <cell r="AM209">
            <v>1560064</v>
          </cell>
        </row>
        <row r="210">
          <cell r="AM210">
            <v>4139353</v>
          </cell>
        </row>
        <row r="211">
          <cell r="AM211">
            <v>1129794</v>
          </cell>
        </row>
        <row r="212">
          <cell r="AM212">
            <v>8677083</v>
          </cell>
        </row>
        <row r="213">
          <cell r="AM213">
            <v>61168</v>
          </cell>
        </row>
        <row r="221">
          <cell r="AM221">
            <v>10523972</v>
          </cell>
        </row>
        <row r="224">
          <cell r="AM224">
            <v>25591011</v>
          </cell>
        </row>
        <row r="226">
          <cell r="AI226">
            <v>2307952</v>
          </cell>
          <cell r="AM226">
            <v>2307952</v>
          </cell>
        </row>
        <row r="231">
          <cell r="AM231">
            <v>406000</v>
          </cell>
        </row>
        <row r="233">
          <cell r="AM233">
            <v>110500</v>
          </cell>
        </row>
        <row r="234">
          <cell r="AM234">
            <v>31100</v>
          </cell>
        </row>
        <row r="236">
          <cell r="AM236">
            <v>200000</v>
          </cell>
        </row>
      </sheetData>
      <sheetData sheetId="6">
        <row r="37">
          <cell r="B37">
            <v>13988260.004283957</v>
          </cell>
          <cell r="D37">
            <v>850766.6799999997</v>
          </cell>
        </row>
        <row r="51">
          <cell r="B51">
            <v>24645027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88">
          <cell r="N88">
            <v>2</v>
          </cell>
        </row>
        <row r="102">
          <cell r="N102">
            <v>6</v>
          </cell>
        </row>
        <row r="103">
          <cell r="N103">
            <v>3</v>
          </cell>
        </row>
        <row r="105">
          <cell r="N105">
            <v>1</v>
          </cell>
        </row>
        <row r="134">
          <cell r="N134">
            <v>2</v>
          </cell>
        </row>
        <row r="135">
          <cell r="N135">
            <v>0</v>
          </cell>
        </row>
        <row r="136">
          <cell r="N136">
            <v>0</v>
          </cell>
        </row>
        <row r="137">
          <cell r="N137">
            <v>0</v>
          </cell>
        </row>
        <row r="138">
          <cell r="N138">
            <v>0</v>
          </cell>
        </row>
        <row r="202">
          <cell r="N202">
            <v>6</v>
          </cell>
        </row>
      </sheetData>
      <sheetData sheetId="15">
        <row r="102">
          <cell r="N102">
            <v>8</v>
          </cell>
        </row>
        <row r="103">
          <cell r="N103">
            <v>1</v>
          </cell>
        </row>
        <row r="104">
          <cell r="N104">
            <v>2</v>
          </cell>
        </row>
      </sheetData>
      <sheetData sheetId="16">
        <row r="102">
          <cell r="N102">
            <v>1</v>
          </cell>
        </row>
        <row r="103">
          <cell r="N103">
            <v>1</v>
          </cell>
        </row>
      </sheetData>
      <sheetData sheetId="17">
        <row r="102">
          <cell r="N102">
            <v>1</v>
          </cell>
        </row>
        <row r="103">
          <cell r="N103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/>
      <sheetData sheetId="3"/>
      <sheetData sheetId="4"/>
      <sheetData sheetId="5">
        <row r="196">
          <cell r="AM196">
            <v>410000</v>
          </cell>
        </row>
        <row r="202">
          <cell r="AM202">
            <v>76290</v>
          </cell>
        </row>
        <row r="203">
          <cell r="AM203">
            <v>20000</v>
          </cell>
        </row>
        <row r="204">
          <cell r="AM204">
            <v>65000</v>
          </cell>
        </row>
        <row r="219">
          <cell r="AM219">
            <v>171905</v>
          </cell>
        </row>
        <row r="221">
          <cell r="AM221">
            <v>32558985</v>
          </cell>
        </row>
        <row r="231">
          <cell r="AM231">
            <v>428000</v>
          </cell>
        </row>
        <row r="232">
          <cell r="AM232">
            <v>175144</v>
          </cell>
        </row>
        <row r="234">
          <cell r="AM234">
            <v>31100</v>
          </cell>
        </row>
        <row r="235">
          <cell r="AM235">
            <v>371300</v>
          </cell>
        </row>
        <row r="236">
          <cell r="AM236">
            <v>130000</v>
          </cell>
        </row>
        <row r="237">
          <cell r="AM237">
            <v>60611</v>
          </cell>
        </row>
      </sheetData>
      <sheetData sheetId="6">
        <row r="37">
          <cell r="B37">
            <v>15150530.897380054</v>
          </cell>
          <cell r="D37">
            <v>1195022.1799999997</v>
          </cell>
        </row>
        <row r="51">
          <cell r="B51">
            <v>28110001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2">
          <cell r="N102">
            <v>9</v>
          </cell>
        </row>
        <row r="103">
          <cell r="N103">
            <v>3</v>
          </cell>
        </row>
        <row r="104">
          <cell r="N104">
            <v>2</v>
          </cell>
        </row>
        <row r="105">
          <cell r="N105">
            <v>1</v>
          </cell>
        </row>
        <row r="134">
          <cell r="N134">
            <v>2</v>
          </cell>
        </row>
        <row r="201">
          <cell r="N201">
            <v>1</v>
          </cell>
        </row>
        <row r="202">
          <cell r="N202">
            <v>2</v>
          </cell>
        </row>
        <row r="203">
          <cell r="N203">
            <v>1</v>
          </cell>
        </row>
        <row r="204">
          <cell r="N204">
            <v>0</v>
          </cell>
        </row>
      </sheetData>
      <sheetData sheetId="15">
        <row r="102">
          <cell r="N102">
            <v>8</v>
          </cell>
        </row>
        <row r="103">
          <cell r="N103">
            <v>1</v>
          </cell>
        </row>
        <row r="104">
          <cell r="N104">
            <v>1</v>
          </cell>
        </row>
        <row r="106">
          <cell r="N106">
            <v>3</v>
          </cell>
        </row>
        <row r="107">
          <cell r="N107">
            <v>1</v>
          </cell>
        </row>
        <row r="135">
          <cell r="N135">
            <v>1</v>
          </cell>
        </row>
        <row r="159">
          <cell r="N159">
            <v>2</v>
          </cell>
        </row>
      </sheetData>
      <sheetData sheetId="16">
        <row r="102">
          <cell r="N102">
            <v>3</v>
          </cell>
        </row>
        <row r="104">
          <cell r="N104">
            <v>1</v>
          </cell>
        </row>
        <row r="167">
          <cell r="N167">
            <v>1</v>
          </cell>
        </row>
        <row r="168">
          <cell r="N168">
            <v>1</v>
          </cell>
        </row>
      </sheetData>
      <sheetData sheetId="17">
        <row r="102">
          <cell r="N102">
            <v>2</v>
          </cell>
        </row>
        <row r="103">
          <cell r="N103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/>
      <sheetData sheetId="3"/>
      <sheetData sheetId="4"/>
      <sheetData sheetId="5">
        <row r="196">
          <cell r="AM196">
            <v>1025000</v>
          </cell>
        </row>
        <row r="202">
          <cell r="AM202">
            <v>111666</v>
          </cell>
        </row>
        <row r="203">
          <cell r="AM203">
            <v>188000</v>
          </cell>
        </row>
        <row r="204">
          <cell r="AM204">
            <v>45000</v>
          </cell>
        </row>
      </sheetData>
      <sheetData sheetId="6">
        <row r="35">
          <cell r="B35">
            <v>25307159.841986373</v>
          </cell>
        </row>
        <row r="37">
          <cell r="B37">
            <v>12741143.785646103</v>
          </cell>
          <cell r="D37">
            <v>984141.39999999851</v>
          </cell>
        </row>
        <row r="51">
          <cell r="B51">
            <v>22733893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2">
          <cell r="N102">
            <v>7</v>
          </cell>
        </row>
        <row r="103">
          <cell r="N103">
            <v>2</v>
          </cell>
        </row>
      </sheetData>
      <sheetData sheetId="15">
        <row r="102">
          <cell r="N102">
            <v>7</v>
          </cell>
        </row>
        <row r="103">
          <cell r="N103">
            <v>1</v>
          </cell>
        </row>
        <row r="104">
          <cell r="N104">
            <v>3</v>
          </cell>
        </row>
        <row r="106">
          <cell r="N106">
            <v>2</v>
          </cell>
        </row>
      </sheetData>
      <sheetData sheetId="16">
        <row r="102">
          <cell r="N102">
            <v>3</v>
          </cell>
        </row>
        <row r="103">
          <cell r="N103">
            <v>2</v>
          </cell>
        </row>
      </sheetData>
      <sheetData sheetId="17">
        <row r="102">
          <cell r="N102">
            <v>2</v>
          </cell>
        </row>
        <row r="104">
          <cell r="N104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COST ANALYSIS"/>
      <sheetName val="SALES CONTROL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96">
          <cell r="AM196">
            <v>205000</v>
          </cell>
        </row>
        <row r="202">
          <cell r="AM202">
            <v>-53697</v>
          </cell>
        </row>
        <row r="203">
          <cell r="AM203">
            <v>151000</v>
          </cell>
        </row>
        <row r="204">
          <cell r="AM204">
            <v>140000</v>
          </cell>
        </row>
        <row r="208">
          <cell r="AM208">
            <v>5544593</v>
          </cell>
        </row>
        <row r="209">
          <cell r="AM209">
            <v>1196132</v>
          </cell>
        </row>
        <row r="210">
          <cell r="AM210">
            <v>3430065</v>
          </cell>
        </row>
        <row r="211">
          <cell r="AM211">
            <v>635523</v>
          </cell>
        </row>
        <row r="212">
          <cell r="AM212">
            <v>7038386</v>
          </cell>
        </row>
        <row r="213">
          <cell r="AM213">
            <v>49618</v>
          </cell>
        </row>
        <row r="220">
          <cell r="AM220">
            <v>80700</v>
          </cell>
        </row>
        <row r="231">
          <cell r="AM231">
            <v>406000</v>
          </cell>
        </row>
        <row r="233">
          <cell r="AM233">
            <v>280200</v>
          </cell>
        </row>
        <row r="234">
          <cell r="AM234">
            <v>31100</v>
          </cell>
        </row>
        <row r="235">
          <cell r="AM235">
            <v>1755386</v>
          </cell>
        </row>
        <row r="237">
          <cell r="AM237">
            <v>90000</v>
          </cell>
        </row>
      </sheetData>
      <sheetData sheetId="6">
        <row r="37">
          <cell r="B37">
            <v>11324351.947040841</v>
          </cell>
          <cell r="D37">
            <v>107189.30000000447</v>
          </cell>
        </row>
        <row r="51">
          <cell r="B51">
            <v>20786725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3">
          <cell r="N93">
            <v>30</v>
          </cell>
        </row>
        <row r="94">
          <cell r="N94">
            <v>63</v>
          </cell>
        </row>
        <row r="95">
          <cell r="N95">
            <v>29</v>
          </cell>
        </row>
        <row r="102">
          <cell r="N102">
            <v>8</v>
          </cell>
        </row>
        <row r="103">
          <cell r="N103">
            <v>4</v>
          </cell>
        </row>
        <row r="104">
          <cell r="N104">
            <v>2</v>
          </cell>
        </row>
        <row r="134">
          <cell r="N134">
            <v>2</v>
          </cell>
        </row>
        <row r="202">
          <cell r="N202">
            <v>1</v>
          </cell>
        </row>
      </sheetData>
      <sheetData sheetId="15">
        <row r="102">
          <cell r="N102">
            <v>13</v>
          </cell>
        </row>
        <row r="103">
          <cell r="N103">
            <v>2</v>
          </cell>
        </row>
        <row r="104">
          <cell r="N104">
            <v>1</v>
          </cell>
        </row>
        <row r="158">
          <cell r="N158">
            <v>1</v>
          </cell>
        </row>
      </sheetData>
      <sheetData sheetId="16">
        <row r="103">
          <cell r="N103">
            <v>1</v>
          </cell>
        </row>
        <row r="167">
          <cell r="N167">
            <v>1</v>
          </cell>
        </row>
      </sheetData>
      <sheetData sheetId="17">
        <row r="102">
          <cell r="N102">
            <v>1</v>
          </cell>
        </row>
        <row r="103">
          <cell r="N103">
            <v>1</v>
          </cell>
        </row>
        <row r="107">
          <cell r="N107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 LENGKAP"/>
      <sheetName val="FEBRUARI"/>
      <sheetName val="LAPORAN KAS PERIODE "/>
      <sheetName val="LAPORAN KAS PERIODE"/>
      <sheetName val="SALES CONTROL"/>
      <sheetName val="SOSRO"/>
      <sheetName val="SAOS"/>
      <sheetName val="ACTIVITY"/>
      <sheetName val="DATA SPV"/>
      <sheetName val="Sheet1"/>
    </sheetNames>
    <sheetDataSet>
      <sheetData sheetId="0"/>
      <sheetData sheetId="1"/>
      <sheetData sheetId="2"/>
      <sheetData sheetId="3"/>
      <sheetData sheetId="4">
        <row r="43">
          <cell r="E43">
            <v>129362151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PROMO REGION"/>
      <sheetName val=" PLU GO FOOD"/>
      <sheetName val="PLU GRAB"/>
      <sheetName val=" PLU SHOPEE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4">
          <cell r="N134">
            <v>2</v>
          </cell>
        </row>
        <row r="201">
          <cell r="N201">
            <v>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RANDOM"/>
      <sheetName val="VENDOR REPORT"/>
      <sheetName val="LPKK 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/>
      <sheetData sheetId="1"/>
      <sheetData sheetId="2"/>
      <sheetData sheetId="3"/>
      <sheetData sheetId="4">
        <row r="394">
          <cell r="AJ394">
            <v>308000</v>
          </cell>
        </row>
        <row r="395">
          <cell r="AJ395">
            <v>334755</v>
          </cell>
        </row>
        <row r="396">
          <cell r="AJ396">
            <v>114300</v>
          </cell>
        </row>
        <row r="403">
          <cell r="AJ403">
            <v>5000000</v>
          </cell>
        </row>
        <row r="406">
          <cell r="AJ406">
            <v>80000</v>
          </cell>
        </row>
      </sheetData>
      <sheetData sheetId="5"/>
      <sheetData sheetId="6"/>
      <sheetData sheetId="7"/>
      <sheetData sheetId="8">
        <row r="32">
          <cell r="B32">
            <v>10516031.7135417</v>
          </cell>
          <cell r="D32">
            <v>1709616</v>
          </cell>
        </row>
        <row r="43">
          <cell r="B43">
            <v>12225647.7135417</v>
          </cell>
        </row>
        <row r="44">
          <cell r="B44">
            <v>18352500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RANDOM"/>
      <sheetName val="VENDOR REPORT"/>
      <sheetName val="LPKK 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/>
      <sheetData sheetId="1"/>
      <sheetData sheetId="2"/>
      <sheetData sheetId="3"/>
      <sheetData sheetId="4">
        <row r="391">
          <cell r="AF391">
            <v>670104</v>
          </cell>
        </row>
        <row r="394">
          <cell r="AJ394">
            <v>592000</v>
          </cell>
        </row>
        <row r="395">
          <cell r="AJ395">
            <v>71045</v>
          </cell>
        </row>
        <row r="396">
          <cell r="AJ396">
            <v>79300</v>
          </cell>
        </row>
        <row r="397">
          <cell r="AF397">
            <v>1435230</v>
          </cell>
        </row>
        <row r="403">
          <cell r="AF403">
            <v>4500000</v>
          </cell>
        </row>
        <row r="406">
          <cell r="AJ406">
            <v>0</v>
          </cell>
        </row>
        <row r="407">
          <cell r="AF407">
            <v>700000</v>
          </cell>
        </row>
        <row r="409">
          <cell r="P409">
            <v>468211</v>
          </cell>
        </row>
        <row r="410">
          <cell r="AF410">
            <v>700000</v>
          </cell>
        </row>
      </sheetData>
      <sheetData sheetId="5"/>
      <sheetData sheetId="6"/>
      <sheetData sheetId="7"/>
      <sheetData sheetId="8">
        <row r="32">
          <cell r="B32">
            <v>11670135.7777778</v>
          </cell>
          <cell r="D32">
            <v>1567128</v>
          </cell>
        </row>
        <row r="43">
          <cell r="B43">
            <v>13237263.7777778</v>
          </cell>
        </row>
        <row r="44">
          <cell r="B44">
            <v>19154100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LPKK "/>
      <sheetName val="RANDOM"/>
      <sheetName val="VENDOR REPORT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/>
      <sheetData sheetId="1"/>
      <sheetData sheetId="2"/>
      <sheetData sheetId="3"/>
      <sheetData sheetId="4"/>
      <sheetData sheetId="5">
        <row r="390">
          <cell r="AF390">
            <v>10200000</v>
          </cell>
        </row>
        <row r="394">
          <cell r="AJ394">
            <v>450000</v>
          </cell>
        </row>
        <row r="395">
          <cell r="AJ395">
            <v>-86430</v>
          </cell>
        </row>
        <row r="396">
          <cell r="AF396">
            <v>133900</v>
          </cell>
        </row>
        <row r="403">
          <cell r="J403">
            <v>5500000</v>
          </cell>
          <cell r="R403">
            <v>5000000</v>
          </cell>
          <cell r="V403">
            <v>2299269</v>
          </cell>
        </row>
        <row r="406">
          <cell r="AF406">
            <v>0</v>
          </cell>
        </row>
      </sheetData>
      <sheetData sheetId="6"/>
      <sheetData sheetId="7"/>
      <sheetData sheetId="8">
        <row r="32">
          <cell r="B32">
            <v>13257001.49178</v>
          </cell>
          <cell r="D32">
            <v>2261403</v>
          </cell>
        </row>
        <row r="43">
          <cell r="B43">
            <v>15518404.49178</v>
          </cell>
        </row>
        <row r="44">
          <cell r="B44">
            <v>22207800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 PERIODE"/>
      <sheetName val="CASH FLOW"/>
      <sheetName val="LAPORAN PENJUALAN "/>
      <sheetName val="RANDOM"/>
      <sheetName val="VENDOR REPORT"/>
      <sheetName val="LPKK "/>
      <sheetName val="WEEKLY"/>
      <sheetName val="PEMBELIAN KREDIT"/>
      <sheetName val="IKHTISAR FC"/>
      <sheetName val="GAJI"/>
      <sheetName val="INSENTIF"/>
      <sheetName val="FCITEM"/>
      <sheetName val="Sheet1"/>
    </sheetNames>
    <sheetDataSet>
      <sheetData sheetId="0"/>
      <sheetData sheetId="1"/>
      <sheetData sheetId="2"/>
      <sheetData sheetId="3"/>
      <sheetData sheetId="4">
        <row r="391">
          <cell r="AF391">
            <v>367740</v>
          </cell>
        </row>
        <row r="394">
          <cell r="AJ394">
            <v>332000</v>
          </cell>
        </row>
        <row r="395">
          <cell r="AJ395">
            <v>185450</v>
          </cell>
        </row>
        <row r="396">
          <cell r="AJ396">
            <v>67500</v>
          </cell>
        </row>
        <row r="403">
          <cell r="AF403">
            <v>15000000</v>
          </cell>
        </row>
        <row r="406">
          <cell r="AJ406">
            <v>200000</v>
          </cell>
        </row>
        <row r="407">
          <cell r="AF407">
            <v>0</v>
          </cell>
        </row>
      </sheetData>
      <sheetData sheetId="5"/>
      <sheetData sheetId="6"/>
      <sheetData sheetId="7"/>
      <sheetData sheetId="8">
        <row r="32">
          <cell r="B32">
            <v>12554647.401620399</v>
          </cell>
          <cell r="D32">
            <v>2114630.25</v>
          </cell>
        </row>
        <row r="43">
          <cell r="B43">
            <v>14669277.651620399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D8" sqref="D8"/>
    </sheetView>
  </sheetViews>
  <sheetFormatPr defaultColWidth="9" defaultRowHeight="14.5"/>
  <cols>
    <col min="1" max="1" width="16" style="1" customWidth="1"/>
    <col min="2" max="5" width="16.1796875" customWidth="1"/>
    <col min="6" max="6" width="16.26953125" customWidth="1"/>
    <col min="7" max="7" width="10.453125" customWidth="1"/>
  </cols>
  <sheetData>
    <row r="1" spans="1:7" ht="21">
      <c r="C1" s="2"/>
      <c r="D1" s="2"/>
      <c r="F1" s="83"/>
    </row>
    <row r="2" spans="1:7">
      <c r="F2" s="83" t="s">
        <v>0</v>
      </c>
    </row>
    <row r="3" spans="1:7" ht="15.5">
      <c r="A3" s="84"/>
      <c r="B3" s="85" t="s">
        <v>1</v>
      </c>
      <c r="C3" s="5" t="s">
        <v>2</v>
      </c>
      <c r="D3" s="6" t="s">
        <v>3</v>
      </c>
      <c r="E3" s="86" t="s">
        <v>4</v>
      </c>
      <c r="F3" s="87" t="s">
        <v>5</v>
      </c>
      <c r="G3" s="9" t="s">
        <v>6</v>
      </c>
    </row>
    <row r="4" spans="1:7" s="28" customFormat="1" ht="15.5">
      <c r="A4" s="84" t="s">
        <v>7</v>
      </c>
      <c r="B4" s="88">
        <f>'[1]IKHTISAR FC'!$B$44</f>
        <v>18416500</v>
      </c>
      <c r="C4" s="11">
        <v>21737700</v>
      </c>
      <c r="D4" s="12">
        <f>'[2]IKHTISAR FC'!$B$44</f>
        <v>28112250</v>
      </c>
      <c r="E4" s="89"/>
      <c r="F4" s="90">
        <f t="shared" ref="F4:F18" si="0">B4+C4+D4+E4</f>
        <v>68266450</v>
      </c>
      <c r="G4" s="91">
        <f>F4/220000000</f>
        <v>0.31030204545454498</v>
      </c>
    </row>
    <row r="5" spans="1:7" ht="15.5">
      <c r="A5" s="92" t="s">
        <v>8</v>
      </c>
      <c r="B5" s="93">
        <f>'[1]IKHTISAR FC'!$B$43</f>
        <v>11493825.5625</v>
      </c>
      <c r="C5" s="76">
        <v>13038147</v>
      </c>
      <c r="D5" s="77">
        <f>'[2]IKHTISAR FC'!$B$43</f>
        <v>18780953.5510941</v>
      </c>
      <c r="E5" s="94"/>
      <c r="F5" s="95">
        <f t="shared" si="0"/>
        <v>43312926.1135941</v>
      </c>
      <c r="G5" s="91">
        <f>F5/F4</f>
        <v>0.63446870481172102</v>
      </c>
    </row>
    <row r="6" spans="1:7" s="80" customFormat="1" ht="15.5">
      <c r="A6" s="84" t="s">
        <v>9</v>
      </c>
      <c r="B6" s="96"/>
      <c r="C6" s="97">
        <v>0.6</v>
      </c>
      <c r="D6" s="98">
        <v>0.66800000000000004</v>
      </c>
      <c r="E6" s="99"/>
      <c r="F6" s="100">
        <f t="shared" si="0"/>
        <v>1.268</v>
      </c>
      <c r="G6" s="91">
        <f>F6/4</f>
        <v>0.317</v>
      </c>
    </row>
    <row r="7" spans="1:7" ht="15.5">
      <c r="A7" s="84" t="s">
        <v>10</v>
      </c>
      <c r="B7" s="101"/>
      <c r="C7" s="97"/>
      <c r="D7" s="98"/>
      <c r="E7" s="99"/>
      <c r="F7" s="100">
        <f t="shared" si="0"/>
        <v>0</v>
      </c>
      <c r="G7" s="91">
        <f>F7/4</f>
        <v>0</v>
      </c>
    </row>
    <row r="8" spans="1:7" ht="15.5">
      <c r="A8" s="84" t="s">
        <v>11</v>
      </c>
      <c r="B8" s="88">
        <f>'[1]VENDOR REPORT'!$AJ$394</f>
        <v>142000</v>
      </c>
      <c r="C8" s="11">
        <f>'[3]VENDOR REPORT'!$AJ$394</f>
        <v>600000</v>
      </c>
      <c r="D8" s="12"/>
      <c r="E8" s="89"/>
      <c r="F8" s="90">
        <f t="shared" si="0"/>
        <v>742000</v>
      </c>
      <c r="G8" s="91">
        <f>F8/F4</f>
        <v>1.08691751218937E-2</v>
      </c>
    </row>
    <row r="9" spans="1:7" ht="15.5">
      <c r="A9" s="84" t="s">
        <v>12</v>
      </c>
      <c r="B9" s="88">
        <f>'[1]VENDOR REPORT'!$AJ$395</f>
        <v>60695</v>
      </c>
      <c r="C9" s="11">
        <f>'[3]VENDOR REPORT'!$AJ$395</f>
        <v>108400</v>
      </c>
      <c r="D9" s="12"/>
      <c r="E9" s="89"/>
      <c r="F9" s="90">
        <f t="shared" si="0"/>
        <v>169095</v>
      </c>
      <c r="G9" s="91">
        <f>F9/F4</f>
        <v>2.4769854005884302E-3</v>
      </c>
    </row>
    <row r="10" spans="1:7" ht="15.5">
      <c r="A10" s="84" t="s">
        <v>13</v>
      </c>
      <c r="B10" s="88">
        <f>'[1]VENDOR REPORT'!$AJ$396</f>
        <v>72500</v>
      </c>
      <c r="C10" s="11">
        <f>'[3]VENDOR REPORT'!$AJ$396</f>
        <v>58400</v>
      </c>
      <c r="D10" s="12"/>
      <c r="E10" s="89"/>
      <c r="F10" s="90">
        <f t="shared" si="0"/>
        <v>130900</v>
      </c>
      <c r="G10" s="91">
        <f>F10/F4</f>
        <v>1.9174865545227601E-3</v>
      </c>
    </row>
    <row r="11" spans="1:7" ht="15.5">
      <c r="A11" s="84" t="s">
        <v>14</v>
      </c>
      <c r="B11" s="88"/>
      <c r="C11" s="11"/>
      <c r="D11" s="12"/>
      <c r="E11" s="89"/>
      <c r="F11" s="90">
        <f t="shared" si="0"/>
        <v>0</v>
      </c>
      <c r="G11" s="91">
        <f>F11/F4</f>
        <v>0</v>
      </c>
    </row>
    <row r="12" spans="1:7" ht="15.5">
      <c r="A12" s="84" t="s">
        <v>15</v>
      </c>
      <c r="B12" s="88"/>
      <c r="C12" s="11"/>
      <c r="D12" s="12"/>
      <c r="E12" s="89"/>
      <c r="F12" s="90">
        <f t="shared" si="0"/>
        <v>0</v>
      </c>
      <c r="G12" s="91">
        <f>F12/F4</f>
        <v>0</v>
      </c>
    </row>
    <row r="13" spans="1:7" ht="15.5">
      <c r="A13" s="84" t="s">
        <v>16</v>
      </c>
      <c r="B13" s="88"/>
      <c r="C13" s="11"/>
      <c r="D13" s="12"/>
      <c r="E13" s="89"/>
      <c r="F13" s="90">
        <f t="shared" si="0"/>
        <v>0</v>
      </c>
      <c r="G13" s="91">
        <f>F13/F4</f>
        <v>0</v>
      </c>
    </row>
    <row r="14" spans="1:7" ht="15.5">
      <c r="A14" s="84" t="s">
        <v>17</v>
      </c>
      <c r="B14" s="88"/>
      <c r="C14" s="11"/>
      <c r="D14" s="12"/>
      <c r="E14" s="89"/>
      <c r="F14" s="90">
        <f t="shared" si="0"/>
        <v>0</v>
      </c>
      <c r="G14" s="91">
        <f>F14/F4</f>
        <v>0</v>
      </c>
    </row>
    <row r="15" spans="1:7" ht="15.5">
      <c r="A15" s="84" t="s">
        <v>18</v>
      </c>
      <c r="B15" s="88">
        <f>'[1]VENDOR REPORT'!$AJ$403</f>
        <v>5000000</v>
      </c>
      <c r="C15" s="11">
        <f>'[3]VENDOR REPORT'!$AJ$403</f>
        <v>15000000</v>
      </c>
      <c r="D15" s="12"/>
      <c r="E15" s="89"/>
      <c r="F15" s="90">
        <f t="shared" si="0"/>
        <v>20000000</v>
      </c>
      <c r="G15" s="91">
        <f>F15/F4</f>
        <v>0.29296967983541</v>
      </c>
    </row>
    <row r="16" spans="1:7" ht="15.5">
      <c r="A16" s="84" t="s">
        <v>19</v>
      </c>
      <c r="B16" s="88"/>
      <c r="C16" s="11"/>
      <c r="D16" s="12"/>
      <c r="E16" s="89"/>
      <c r="F16" s="90">
        <f t="shared" si="0"/>
        <v>0</v>
      </c>
      <c r="G16" s="91">
        <f>F16/F4</f>
        <v>0</v>
      </c>
    </row>
    <row r="17" spans="1:7" ht="15.5">
      <c r="A17" s="84" t="s">
        <v>20</v>
      </c>
      <c r="B17" s="88"/>
      <c r="C17" s="11"/>
      <c r="D17" s="12"/>
      <c r="E17" s="89"/>
      <c r="F17" s="90">
        <f t="shared" si="0"/>
        <v>0</v>
      </c>
      <c r="G17" s="91">
        <f>F17/F4</f>
        <v>0</v>
      </c>
    </row>
    <row r="18" spans="1:7" ht="15.5">
      <c r="A18" s="84" t="s">
        <v>21</v>
      </c>
      <c r="B18" s="88"/>
      <c r="C18" s="11">
        <v>0</v>
      </c>
      <c r="D18" s="12"/>
      <c r="E18" s="102"/>
      <c r="F18" s="90">
        <f t="shared" si="0"/>
        <v>0</v>
      </c>
      <c r="G18" s="103">
        <f>F18/F4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C1" sqref="C1"/>
    </sheetView>
  </sheetViews>
  <sheetFormatPr defaultColWidth="9" defaultRowHeight="14.5"/>
  <cols>
    <col min="1" max="1" width="11.7265625" customWidth="1"/>
    <col min="2" max="2" width="16.1796875" style="1" customWidth="1"/>
    <col min="3" max="5" width="16.1796875" customWidth="1"/>
    <col min="6" max="6" width="19.1796875" customWidth="1"/>
    <col min="7" max="8" width="8.7265625" customWidth="1"/>
  </cols>
  <sheetData>
    <row r="1" spans="1:9" ht="21">
      <c r="A1" s="1"/>
      <c r="B1"/>
      <c r="C1" s="2"/>
      <c r="D1" s="2"/>
    </row>
    <row r="2" spans="1:9">
      <c r="A2" s="1"/>
      <c r="B2"/>
    </row>
    <row r="3" spans="1:9">
      <c r="A3" s="3"/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</row>
    <row r="4" spans="1:9">
      <c r="A4" s="3" t="s">
        <v>7</v>
      </c>
      <c r="B4" s="10"/>
      <c r="C4" s="11"/>
      <c r="D4" s="12"/>
      <c r="E4" s="13"/>
      <c r="F4" s="14">
        <f t="shared" ref="F4:F18" si="0">B4+C4+D4+E4</f>
        <v>0</v>
      </c>
      <c r="G4" s="74">
        <f>F4/220000000</f>
        <v>0</v>
      </c>
    </row>
    <row r="5" spans="1:9">
      <c r="A5" s="16" t="s">
        <v>8</v>
      </c>
      <c r="B5" s="17"/>
      <c r="C5" s="18"/>
      <c r="D5" s="19"/>
      <c r="E5" s="20"/>
      <c r="F5" s="21">
        <f t="shared" si="0"/>
        <v>0</v>
      </c>
      <c r="G5" s="74" t="e">
        <f>F5/F4</f>
        <v>#DIV/0!</v>
      </c>
      <c r="H5" s="28"/>
    </row>
    <row r="6" spans="1:9">
      <c r="A6" s="3" t="s">
        <v>9</v>
      </c>
      <c r="B6" s="22"/>
      <c r="C6" s="23"/>
      <c r="D6" s="24"/>
      <c r="E6" s="25"/>
      <c r="F6" s="26">
        <v>0.75900000000000001</v>
      </c>
      <c r="G6" s="15">
        <f>F6/4</f>
        <v>0.18975</v>
      </c>
    </row>
    <row r="7" spans="1:9" s="80" customFormat="1">
      <c r="A7" s="3" t="s">
        <v>10</v>
      </c>
      <c r="B7" s="22"/>
      <c r="C7" s="23"/>
      <c r="D7" s="24"/>
      <c r="E7" s="25"/>
      <c r="F7" s="26">
        <f t="shared" si="0"/>
        <v>0</v>
      </c>
      <c r="G7" s="15">
        <f>F7/4</f>
        <v>0</v>
      </c>
    </row>
    <row r="8" spans="1:9">
      <c r="A8" s="3" t="s">
        <v>11</v>
      </c>
      <c r="B8" s="10"/>
      <c r="C8" s="11"/>
      <c r="D8" s="12"/>
      <c r="E8" s="13"/>
      <c r="F8" s="14">
        <f t="shared" si="0"/>
        <v>0</v>
      </c>
      <c r="G8" s="74" t="e">
        <f>F8/F4</f>
        <v>#DIV/0!</v>
      </c>
    </row>
    <row r="9" spans="1:9">
      <c r="A9" s="3" t="s">
        <v>12</v>
      </c>
      <c r="B9" s="10"/>
      <c r="C9" s="11"/>
      <c r="D9" s="12"/>
      <c r="E9" s="13"/>
      <c r="F9" s="14">
        <f t="shared" si="0"/>
        <v>0</v>
      </c>
      <c r="G9" s="74" t="e">
        <f>F9/F4</f>
        <v>#DIV/0!</v>
      </c>
    </row>
    <row r="10" spans="1:9">
      <c r="A10" s="3" t="s">
        <v>13</v>
      </c>
      <c r="B10" s="10"/>
      <c r="C10" s="11"/>
      <c r="D10" s="12"/>
      <c r="E10" s="13"/>
      <c r="F10" s="14">
        <f t="shared" si="0"/>
        <v>0</v>
      </c>
      <c r="G10" s="74" t="e">
        <f>F10/F4</f>
        <v>#DIV/0!</v>
      </c>
    </row>
    <row r="11" spans="1:9">
      <c r="A11" s="3" t="s">
        <v>14</v>
      </c>
      <c r="B11" s="10"/>
      <c r="C11" s="11"/>
      <c r="D11" s="12"/>
      <c r="E11" s="13"/>
      <c r="F11" s="14">
        <f t="shared" si="0"/>
        <v>0</v>
      </c>
      <c r="G11" s="74" t="e">
        <f>F11/F4</f>
        <v>#DIV/0!</v>
      </c>
    </row>
    <row r="12" spans="1:9">
      <c r="A12" s="3" t="s">
        <v>15</v>
      </c>
      <c r="B12" s="10"/>
      <c r="C12" s="11"/>
      <c r="D12" s="12"/>
      <c r="E12" s="13"/>
      <c r="F12" s="14">
        <f t="shared" si="0"/>
        <v>0</v>
      </c>
      <c r="G12" s="74" t="e">
        <f>F12/F4</f>
        <v>#DIV/0!</v>
      </c>
    </row>
    <row r="13" spans="1:9">
      <c r="A13" s="3" t="s">
        <v>16</v>
      </c>
      <c r="B13" s="10"/>
      <c r="C13" s="11"/>
      <c r="D13" s="12"/>
      <c r="E13" s="13"/>
      <c r="F13" s="14">
        <f t="shared" si="0"/>
        <v>0</v>
      </c>
      <c r="G13" s="74" t="e">
        <f>F13/F4</f>
        <v>#DIV/0!</v>
      </c>
      <c r="I13" s="82"/>
    </row>
    <row r="14" spans="1:9">
      <c r="A14" s="3" t="s">
        <v>17</v>
      </c>
      <c r="B14" s="10"/>
      <c r="C14" s="11"/>
      <c r="D14" s="12"/>
      <c r="E14" s="13"/>
      <c r="F14" s="14">
        <f t="shared" si="0"/>
        <v>0</v>
      </c>
      <c r="G14" s="74" t="e">
        <f>F14/F4</f>
        <v>#DIV/0!</v>
      </c>
    </row>
    <row r="15" spans="1:9">
      <c r="A15" s="3" t="s">
        <v>18</v>
      </c>
      <c r="B15" s="10"/>
      <c r="C15" s="11"/>
      <c r="D15" s="12"/>
      <c r="E15" s="13"/>
      <c r="F15" s="14">
        <f t="shared" si="0"/>
        <v>0</v>
      </c>
      <c r="G15" s="74" t="e">
        <f>F15/F4</f>
        <v>#DIV/0!</v>
      </c>
    </row>
    <row r="16" spans="1:9">
      <c r="A16" s="3" t="s">
        <v>22</v>
      </c>
      <c r="B16" s="10"/>
      <c r="C16" s="11"/>
      <c r="D16" s="12"/>
      <c r="E16" s="13"/>
      <c r="F16" s="14">
        <f t="shared" si="0"/>
        <v>0</v>
      </c>
      <c r="G16" s="74" t="e">
        <f>F16/F4</f>
        <v>#DIV/0!</v>
      </c>
    </row>
    <row r="17" spans="1:7">
      <c r="A17" s="3" t="s">
        <v>20</v>
      </c>
      <c r="B17" s="10"/>
      <c r="C17" s="11"/>
      <c r="D17" s="12"/>
      <c r="E17" s="13"/>
      <c r="F17" s="14">
        <f t="shared" si="0"/>
        <v>0</v>
      </c>
      <c r="G17" s="74" t="e">
        <f>F17/F4</f>
        <v>#DIV/0!</v>
      </c>
    </row>
    <row r="18" spans="1:7">
      <c r="A18" s="3" t="s">
        <v>21</v>
      </c>
      <c r="B18" s="10"/>
      <c r="C18" s="11"/>
      <c r="D18" s="12"/>
      <c r="E18" s="13"/>
      <c r="F18" s="14">
        <f t="shared" si="0"/>
        <v>0</v>
      </c>
      <c r="G18" s="81" t="e">
        <f>F18/F4</f>
        <v>#DIV/0!</v>
      </c>
    </row>
    <row r="19" spans="1:7">
      <c r="A19" s="1"/>
      <c r="B19"/>
    </row>
  </sheetData>
  <pageMargins left="0.7" right="0.7" top="0.75" bottom="0.75" header="0.3" footer="0.3"/>
  <pageSetup paperSize="5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C1" sqref="C1"/>
    </sheetView>
  </sheetViews>
  <sheetFormatPr defaultColWidth="9" defaultRowHeight="14.5"/>
  <cols>
    <col min="1" max="1" width="11.7265625" customWidth="1"/>
    <col min="2" max="6" width="16.1796875" customWidth="1"/>
    <col min="7" max="7" width="8.7265625" style="73" customWidth="1"/>
    <col min="10" max="10" width="13.7265625" customWidth="1"/>
  </cols>
  <sheetData>
    <row r="1" spans="1:9" ht="21">
      <c r="A1" s="1"/>
      <c r="C1" s="2"/>
      <c r="D1" s="2"/>
      <c r="G1"/>
    </row>
    <row r="2" spans="1:9">
      <c r="A2" s="1"/>
      <c r="G2"/>
    </row>
    <row r="3" spans="1:9">
      <c r="A3" s="3"/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</row>
    <row r="4" spans="1:9">
      <c r="A4" s="3" t="s">
        <v>7</v>
      </c>
      <c r="B4" s="10"/>
      <c r="C4" s="11"/>
      <c r="D4" s="12"/>
      <c r="E4" s="13"/>
      <c r="F4" s="14">
        <f t="shared" ref="F4:F18" si="0">B4+C4+D4+E4</f>
        <v>0</v>
      </c>
      <c r="G4" s="74">
        <f>F4/220000000</f>
        <v>0</v>
      </c>
      <c r="H4" s="28"/>
      <c r="I4" t="s">
        <v>23</v>
      </c>
    </row>
    <row r="5" spans="1:9">
      <c r="A5" s="16" t="s">
        <v>8</v>
      </c>
      <c r="B5" s="75"/>
      <c r="C5" s="76"/>
      <c r="D5" s="77"/>
      <c r="E5" s="78"/>
      <c r="F5" s="79">
        <f t="shared" si="0"/>
        <v>0</v>
      </c>
      <c r="G5" s="74" t="e">
        <f>F5/F4</f>
        <v>#DIV/0!</v>
      </c>
      <c r="I5" t="s">
        <v>24</v>
      </c>
    </row>
    <row r="6" spans="1:9">
      <c r="A6" s="3" t="s">
        <v>9</v>
      </c>
      <c r="B6" s="22"/>
      <c r="C6" s="23"/>
      <c r="D6" s="24"/>
      <c r="E6" s="25"/>
      <c r="F6" s="26">
        <v>0.71299999999999997</v>
      </c>
      <c r="G6" s="15">
        <f>F6/4</f>
        <v>0.17824999999999999</v>
      </c>
      <c r="H6" s="80"/>
      <c r="I6" t="s">
        <v>25</v>
      </c>
    </row>
    <row r="7" spans="1:9">
      <c r="A7" s="3" t="s">
        <v>10</v>
      </c>
      <c r="B7" s="22"/>
      <c r="C7" s="23"/>
      <c r="D7" s="24"/>
      <c r="E7" s="25"/>
      <c r="F7" s="26">
        <f t="shared" si="0"/>
        <v>0</v>
      </c>
      <c r="G7" s="15">
        <f>F7/4</f>
        <v>0</v>
      </c>
    </row>
    <row r="8" spans="1:9">
      <c r="A8" s="3" t="s">
        <v>11</v>
      </c>
      <c r="B8" s="10"/>
      <c r="C8" s="11"/>
      <c r="D8" s="12"/>
      <c r="E8" s="13"/>
      <c r="F8" s="14">
        <f t="shared" si="0"/>
        <v>0</v>
      </c>
      <c r="G8" s="74" t="e">
        <f>F8/F4</f>
        <v>#DIV/0!</v>
      </c>
    </row>
    <row r="9" spans="1:9">
      <c r="A9" s="3" t="s">
        <v>12</v>
      </c>
      <c r="B9" s="10"/>
      <c r="C9" s="11"/>
      <c r="D9" s="12"/>
      <c r="E9" s="13"/>
      <c r="F9" s="14">
        <f t="shared" si="0"/>
        <v>0</v>
      </c>
      <c r="G9" s="74" t="e">
        <f>F9/F4</f>
        <v>#DIV/0!</v>
      </c>
    </row>
    <row r="10" spans="1:9">
      <c r="A10" s="3" t="s">
        <v>13</v>
      </c>
      <c r="B10" s="10"/>
      <c r="C10" s="11"/>
      <c r="D10" s="12"/>
      <c r="E10" s="13"/>
      <c r="F10" s="14">
        <f t="shared" si="0"/>
        <v>0</v>
      </c>
      <c r="G10" s="74" t="e">
        <f>F10/F4</f>
        <v>#DIV/0!</v>
      </c>
    </row>
    <row r="11" spans="1:9">
      <c r="A11" s="3" t="s">
        <v>14</v>
      </c>
      <c r="B11" s="10"/>
      <c r="C11" s="11"/>
      <c r="D11" s="12"/>
      <c r="E11" s="13"/>
      <c r="F11" s="14">
        <f t="shared" si="0"/>
        <v>0</v>
      </c>
      <c r="G11" s="74" t="e">
        <f>F11/F4</f>
        <v>#DIV/0!</v>
      </c>
    </row>
    <row r="12" spans="1:9">
      <c r="A12" s="3" t="s">
        <v>15</v>
      </c>
      <c r="B12" s="10"/>
      <c r="C12" s="11"/>
      <c r="D12" s="12"/>
      <c r="E12" s="13"/>
      <c r="F12" s="14">
        <f t="shared" si="0"/>
        <v>0</v>
      </c>
      <c r="G12" s="74" t="e">
        <f>F12/F4</f>
        <v>#DIV/0!</v>
      </c>
    </row>
    <row r="13" spans="1:9">
      <c r="A13" s="3" t="s">
        <v>16</v>
      </c>
      <c r="B13" s="10"/>
      <c r="C13" s="11"/>
      <c r="D13" s="12"/>
      <c r="E13" s="13"/>
      <c r="F13" s="14">
        <f t="shared" si="0"/>
        <v>0</v>
      </c>
      <c r="G13" s="74" t="e">
        <f>F13/F4</f>
        <v>#DIV/0!</v>
      </c>
    </row>
    <row r="14" spans="1:9">
      <c r="A14" s="3" t="s">
        <v>17</v>
      </c>
      <c r="B14" s="10"/>
      <c r="C14" s="11"/>
      <c r="D14" s="12"/>
      <c r="E14" s="13"/>
      <c r="F14" s="14">
        <f t="shared" si="0"/>
        <v>0</v>
      </c>
      <c r="G14" s="74" t="e">
        <f>F14/F4</f>
        <v>#DIV/0!</v>
      </c>
    </row>
    <row r="15" spans="1:9">
      <c r="A15" s="3" t="s">
        <v>18</v>
      </c>
      <c r="B15" s="10"/>
      <c r="C15" s="11"/>
      <c r="D15" s="12"/>
      <c r="E15" s="13"/>
      <c r="F15" s="14">
        <f t="shared" si="0"/>
        <v>0</v>
      </c>
      <c r="G15" s="74" t="e">
        <f>F15/F4</f>
        <v>#DIV/0!</v>
      </c>
    </row>
    <row r="16" spans="1:9">
      <c r="A16" s="3" t="s">
        <v>19</v>
      </c>
      <c r="B16" s="10"/>
      <c r="C16" s="11"/>
      <c r="D16" s="12"/>
      <c r="E16" s="13"/>
      <c r="F16" s="14">
        <f t="shared" si="0"/>
        <v>0</v>
      </c>
      <c r="G16" s="74" t="e">
        <f>F16/F4</f>
        <v>#DIV/0!</v>
      </c>
    </row>
    <row r="17" spans="1:7">
      <c r="A17" s="3" t="s">
        <v>20</v>
      </c>
      <c r="B17" s="10"/>
      <c r="C17" s="11"/>
      <c r="D17" s="12"/>
      <c r="E17" s="13"/>
      <c r="F17" s="14">
        <f t="shared" si="0"/>
        <v>0</v>
      </c>
      <c r="G17" s="74" t="e">
        <f>F17/F4</f>
        <v>#DIV/0!</v>
      </c>
    </row>
    <row r="18" spans="1:7">
      <c r="A18" s="3" t="s">
        <v>21</v>
      </c>
      <c r="B18" s="10"/>
      <c r="C18" s="11"/>
      <c r="D18" s="12"/>
      <c r="E18" s="13"/>
      <c r="F18" s="14">
        <f t="shared" si="0"/>
        <v>0</v>
      </c>
      <c r="G18" s="81" t="e">
        <f>F18/F4</f>
        <v>#DIV/0!</v>
      </c>
    </row>
    <row r="20" spans="1:7">
      <c r="A20" s="1"/>
      <c r="G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93"/>
  <sheetViews>
    <sheetView tabSelected="1" workbookViewId="0">
      <pane xSplit="1" ySplit="3" topLeftCell="F29" activePane="bottomRight" state="frozenSplit"/>
      <selection pane="topRight"/>
      <selection pane="bottomLeft"/>
      <selection pane="bottomRight" activeCell="H18" sqref="H18:H22"/>
    </sheetView>
  </sheetViews>
  <sheetFormatPr defaultColWidth="9.1796875" defaultRowHeight="14.5"/>
  <cols>
    <col min="1" max="1" width="31.26953125" style="29" customWidth="1"/>
    <col min="2" max="2" width="16.1796875" style="29" customWidth="1"/>
    <col min="3" max="3" width="8.453125" style="29" customWidth="1"/>
    <col min="4" max="4" width="16.1796875" style="29" customWidth="1"/>
    <col min="5" max="5" width="12.81640625" style="29" customWidth="1"/>
    <col min="6" max="6" width="16.1796875" style="29" customWidth="1"/>
    <col min="7" max="7" width="7.453125" style="29" customWidth="1"/>
    <col min="8" max="8" width="16.1796875" style="29" customWidth="1"/>
    <col min="9" max="9" width="6.81640625" style="29" customWidth="1"/>
    <col min="10" max="10" width="18.453125" style="29" customWidth="1"/>
    <col min="11" max="11" width="8.1796875" style="29" customWidth="1"/>
    <col min="12" max="12" width="15.453125" style="29"/>
    <col min="13" max="16384" width="9.1796875" style="29"/>
  </cols>
  <sheetData>
    <row r="1" spans="1:32" ht="51.75" customHeight="1">
      <c r="A1" s="30"/>
      <c r="B1" s="120" t="s">
        <v>89</v>
      </c>
      <c r="C1" s="120"/>
      <c r="D1" s="120"/>
      <c r="E1" s="120"/>
      <c r="F1" s="120"/>
      <c r="G1" s="120"/>
      <c r="H1" s="120"/>
      <c r="I1" s="31"/>
      <c r="J1" s="31"/>
      <c r="K1" s="31"/>
    </row>
    <row r="2" spans="1:32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32">
      <c r="A3" s="32"/>
      <c r="B3" s="33" t="s">
        <v>26</v>
      </c>
      <c r="C3" s="34"/>
      <c r="D3" s="35" t="s">
        <v>27</v>
      </c>
      <c r="E3" s="34"/>
      <c r="F3" s="35" t="s">
        <v>28</v>
      </c>
      <c r="G3" s="34"/>
      <c r="H3" s="35" t="s">
        <v>29</v>
      </c>
      <c r="I3" s="34"/>
      <c r="J3" s="35" t="s">
        <v>5</v>
      </c>
      <c r="K3" s="35" t="s">
        <v>6</v>
      </c>
    </row>
    <row r="4" spans="1:32">
      <c r="A4" s="36" t="s">
        <v>7</v>
      </c>
      <c r="B4" s="37">
        <f>'[4]IKHTISAR FOOD COST'!$B$51</f>
        <v>24645027</v>
      </c>
      <c r="C4" s="38"/>
      <c r="D4" s="39">
        <f>'[5]IKHTISAR FOOD COST'!$B$51</f>
        <v>28110001</v>
      </c>
      <c r="E4" s="40"/>
      <c r="F4" s="41">
        <f>'[6]IKHTISAR FOOD COST'!$B$51</f>
        <v>22733893</v>
      </c>
      <c r="G4" s="38"/>
      <c r="H4" s="42">
        <f>'[7]IKHTISAR FOOD COST'!$B$51</f>
        <v>20786725</v>
      </c>
      <c r="I4" s="38"/>
      <c r="J4" s="63">
        <f>B4+D4+F4+H4</f>
        <v>96275646</v>
      </c>
      <c r="K4" s="64">
        <v>1</v>
      </c>
    </row>
    <row r="5" spans="1:32">
      <c r="A5" s="36" t="s">
        <v>30</v>
      </c>
      <c r="B5" s="43">
        <f>'[4]IKHTISAR FOOD COST'!$B$37</f>
        <v>13988260.004283957</v>
      </c>
      <c r="C5" s="44">
        <f>B5/B4</f>
        <v>0.56758955891117335</v>
      </c>
      <c r="D5" s="42">
        <f>'[5]IKHTISAR FOOD COST'!$B$37</f>
        <v>15150530.897380054</v>
      </c>
      <c r="E5" s="40">
        <f>D5/D4</f>
        <v>0.53897297610839834</v>
      </c>
      <c r="F5" s="42">
        <f>'[6]IKHTISAR FOOD COST'!$B$37</f>
        <v>12741143.785646103</v>
      </c>
      <c r="G5" s="38">
        <f>F5/F4</f>
        <v>0.56044707281969275</v>
      </c>
      <c r="H5" s="42">
        <f>'[7]IKHTISAR FOOD COST'!$B$37</f>
        <v>11324351.947040841</v>
      </c>
      <c r="I5" s="38">
        <f>H5/H4</f>
        <v>0.54478769248358461</v>
      </c>
      <c r="J5" s="42">
        <f t="shared" ref="J5:J7" si="0">B5+D5+F5+H5</f>
        <v>53204286.634350955</v>
      </c>
      <c r="K5" s="64">
        <f>J5/J4</f>
        <v>0.55262456129716286</v>
      </c>
      <c r="L5" s="65">
        <f>SUM(B4:H4)</f>
        <v>96275646</v>
      </c>
    </row>
    <row r="6" spans="1:32">
      <c r="A6" s="36" t="s">
        <v>31</v>
      </c>
      <c r="B6" s="42">
        <f>'[4]IKHTISAR FOOD COST'!$D$37</f>
        <v>850766.6799999997</v>
      </c>
      <c r="C6" s="38">
        <f>B6/B4</f>
        <v>3.452082564161929E-2</v>
      </c>
      <c r="D6" s="42">
        <f>'[5]IKHTISAR FOOD COST'!$D$37</f>
        <v>1195022.1799999997</v>
      </c>
      <c r="E6" s="40">
        <f>D6/D4</f>
        <v>4.2512349252495571E-2</v>
      </c>
      <c r="F6" s="42">
        <f>'[6]IKHTISAR FOOD COST'!$D$37</f>
        <v>984141.39999999851</v>
      </c>
      <c r="G6" s="38">
        <f>F6/F4</f>
        <v>4.3289611682433733E-2</v>
      </c>
      <c r="H6" s="42">
        <f>'[7]IKHTISAR FOOD COST'!$D$37</f>
        <v>107189.30000000447</v>
      </c>
      <c r="I6" s="38">
        <f>H6/H4</f>
        <v>5.1566227965205904E-3</v>
      </c>
      <c r="J6" s="42">
        <f t="shared" si="0"/>
        <v>3137119.5600000024</v>
      </c>
      <c r="K6" s="64">
        <f>J6/J4</f>
        <v>3.258476769919573E-2</v>
      </c>
      <c r="L6" s="65">
        <f>L5-'[8]SALES CONTROL'!$E$43</f>
        <v>-33086505</v>
      </c>
    </row>
    <row r="7" spans="1:32">
      <c r="A7" s="45" t="s">
        <v>32</v>
      </c>
      <c r="B7" s="46">
        <f>SUM(B5:B6)</f>
        <v>14839026.684283957</v>
      </c>
      <c r="C7" s="40">
        <f>B7/B4</f>
        <v>0.60211038455279264</v>
      </c>
      <c r="D7" s="46">
        <f>SUM(D5:D6)</f>
        <v>16345553.077380054</v>
      </c>
      <c r="E7" s="40">
        <f>D7/D4</f>
        <v>0.58148532536089392</v>
      </c>
      <c r="F7" s="46">
        <f>SUM(F5:F6)</f>
        <v>13725285.185646102</v>
      </c>
      <c r="G7" s="38">
        <f>F7/F4</f>
        <v>0.60373668450212647</v>
      </c>
      <c r="H7" s="46">
        <f>SUM(H5:H6)</f>
        <v>11431541.247040845</v>
      </c>
      <c r="I7" s="38">
        <f>H7/H4</f>
        <v>0.54994431528010523</v>
      </c>
      <c r="J7" s="46">
        <f t="shared" si="0"/>
        <v>56341406.194350958</v>
      </c>
      <c r="K7" s="64">
        <f>J7/J4</f>
        <v>0.58520932899635858</v>
      </c>
      <c r="L7" s="31"/>
    </row>
    <row r="8" spans="1:32">
      <c r="A8" s="36" t="s">
        <v>33</v>
      </c>
      <c r="B8" s="47">
        <f>B7/B4</f>
        <v>0.60211038455279264</v>
      </c>
      <c r="C8" s="48"/>
      <c r="D8" s="47">
        <f>D7/D4</f>
        <v>0.58148532536089392</v>
      </c>
      <c r="E8" s="48"/>
      <c r="F8" s="47">
        <f>F7/F4</f>
        <v>0.60373668450212647</v>
      </c>
      <c r="G8" s="48"/>
      <c r="H8" s="47">
        <f>H7/H4</f>
        <v>0.54994431528010523</v>
      </c>
      <c r="I8" s="48">
        <v>0.60370000000000001</v>
      </c>
      <c r="J8" s="47">
        <f>J7/J4</f>
        <v>0.58520932899635858</v>
      </c>
      <c r="K8" s="48">
        <f>AVERAGE(C8,E8,G8,I8)</f>
        <v>0.60370000000000001</v>
      </c>
    </row>
    <row r="9" spans="1:32">
      <c r="A9" s="36" t="s">
        <v>11</v>
      </c>
      <c r="B9" s="42">
        <f>[4]VENDOR!$AM$196</f>
        <v>1640000</v>
      </c>
      <c r="C9" s="40">
        <f>B9/B4</f>
        <v>6.6544865217636001E-2</v>
      </c>
      <c r="D9" s="42">
        <f>[5]VENDOR!$AM$196</f>
        <v>410000</v>
      </c>
      <c r="E9" s="40">
        <f>D9/D4</f>
        <v>1.4585556222498889E-2</v>
      </c>
      <c r="F9" s="42">
        <f>[6]VENDOR!$AM$196</f>
        <v>1025000</v>
      </c>
      <c r="G9" s="40">
        <f>F9/F4</f>
        <v>4.5086866556467035E-2</v>
      </c>
      <c r="H9" s="42">
        <f>[7]VENDOR!$AM$196</f>
        <v>205000</v>
      </c>
      <c r="I9" s="40">
        <f>H9/H4</f>
        <v>9.8620634082569516E-3</v>
      </c>
      <c r="J9" s="42">
        <f>B9+D9+F9+H9</f>
        <v>3280000</v>
      </c>
      <c r="K9" s="64">
        <f>J9/J4</f>
        <v>3.4068844367972355E-2</v>
      </c>
    </row>
    <row r="10" spans="1:32" ht="15.5">
      <c r="A10" s="36" t="s">
        <v>12</v>
      </c>
      <c r="B10" s="42">
        <f>[4]VENDOR!$AM$202</f>
        <v>167700</v>
      </c>
      <c r="C10" s="40">
        <f>B10/B4</f>
        <v>6.8046182298765589E-3</v>
      </c>
      <c r="D10" s="42">
        <f>[5]VENDOR!$AM$202+[5]VENDOR!$AM$237</f>
        <v>136901</v>
      </c>
      <c r="E10" s="40">
        <f>D10/D4</f>
        <v>4.8701883717471228E-3</v>
      </c>
      <c r="F10" s="42">
        <f>[6]VENDOR!$AM$202</f>
        <v>111666</v>
      </c>
      <c r="G10" s="40">
        <f>F10/F4</f>
        <v>4.9118732106287295E-3</v>
      </c>
      <c r="H10" s="42">
        <f>[7]VENDOR!$AM$202</f>
        <v>-53697</v>
      </c>
      <c r="I10" s="40">
        <f>H10/H4</f>
        <v>-2.5832352138203591E-3</v>
      </c>
      <c r="J10" s="42">
        <f t="shared" ref="J10:J36" si="1">B10+D10+F10+H10</f>
        <v>362570</v>
      </c>
      <c r="K10" s="64">
        <f>J10/J4</f>
        <v>3.7659575922243099E-3</v>
      </c>
      <c r="M10" s="121" t="e">
        <f>SUM(#REF!)</f>
        <v>#REF!</v>
      </c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</row>
    <row r="11" spans="1:32">
      <c r="A11" s="36" t="s">
        <v>13</v>
      </c>
      <c r="B11" s="42">
        <f>[4]VENDOR!$AM$203</f>
        <v>114000</v>
      </c>
      <c r="C11" s="40">
        <f>B11/B4</f>
        <v>4.6256796553722579E-3</v>
      </c>
      <c r="D11" s="42">
        <f>[5]VENDOR!$AM$203</f>
        <v>20000</v>
      </c>
      <c r="E11" s="40">
        <f>D11/D4</f>
        <v>7.1149054743897019E-4</v>
      </c>
      <c r="F11" s="42">
        <f>[6]VENDOR!$AM$203</f>
        <v>188000</v>
      </c>
      <c r="G11" s="40">
        <f>F11/F4</f>
        <v>8.2695911342593187E-3</v>
      </c>
      <c r="H11" s="42">
        <f>[7]VENDOR!$AM$203</f>
        <v>151000</v>
      </c>
      <c r="I11" s="40">
        <f>H11/H4</f>
        <v>7.2642515836429259E-3</v>
      </c>
      <c r="J11" s="42">
        <f t="shared" si="1"/>
        <v>473000</v>
      </c>
      <c r="K11" s="64">
        <f>J11/J4</f>
        <v>4.9129766420886959E-3</v>
      </c>
    </row>
    <row r="12" spans="1:32">
      <c r="A12" s="36" t="s">
        <v>14</v>
      </c>
      <c r="B12" s="42">
        <f>[4]VENDOR!$AM$204</f>
        <v>543000</v>
      </c>
      <c r="C12" s="40">
        <f>B12/B4</f>
        <v>2.2032842569009968E-2</v>
      </c>
      <c r="D12" s="42">
        <f>[5]VENDOR!$AM$204</f>
        <v>65000</v>
      </c>
      <c r="E12" s="40">
        <f>D12/D4</f>
        <v>2.3123442791766532E-3</v>
      </c>
      <c r="F12" s="42">
        <f>[6]VENDOR!$AM$204</f>
        <v>45000</v>
      </c>
      <c r="G12" s="40">
        <f>F12/F4</f>
        <v>1.9794234097961138E-3</v>
      </c>
      <c r="H12" s="42">
        <f>[7]VENDOR!$AM$204</f>
        <v>140000</v>
      </c>
      <c r="I12" s="40">
        <f>H12/H4</f>
        <v>6.735067693443772E-3</v>
      </c>
      <c r="J12" s="42">
        <f t="shared" si="1"/>
        <v>793000</v>
      </c>
      <c r="K12" s="64">
        <f>J12/J4</f>
        <v>8.2367663365250227E-3</v>
      </c>
    </row>
    <row r="13" spans="1:32" ht="15.75" customHeight="1">
      <c r="A13" s="36" t="s">
        <v>34</v>
      </c>
      <c r="B13" s="42"/>
      <c r="C13" s="40">
        <f>B13/B4</f>
        <v>0</v>
      </c>
      <c r="D13" s="42">
        <f>[5]VENDOR!$AM$232+[5]VENDOR!$AM$235</f>
        <v>546444</v>
      </c>
      <c r="E13" s="40">
        <f>D13/D4</f>
        <v>1.943948703523703E-2</v>
      </c>
      <c r="F13" s="42"/>
      <c r="G13" s="40">
        <f>F13/F4</f>
        <v>0</v>
      </c>
      <c r="H13" s="42"/>
      <c r="I13" s="40">
        <f>H13/H4</f>
        <v>0</v>
      </c>
      <c r="J13" s="42">
        <f t="shared" si="1"/>
        <v>546444</v>
      </c>
      <c r="K13" s="64">
        <f>J13/J4</f>
        <v>5.6758279243330134E-3</v>
      </c>
    </row>
    <row r="14" spans="1:32">
      <c r="A14" s="36" t="s">
        <v>35</v>
      </c>
      <c r="B14" s="42">
        <f>[4]VENDOR!$AM$231</f>
        <v>406000</v>
      </c>
      <c r="C14" s="40">
        <f>B14/B4</f>
        <v>1.647391175509769E-2</v>
      </c>
      <c r="D14" s="42">
        <f>[5]VENDOR!$AM$231</f>
        <v>428000</v>
      </c>
      <c r="E14" s="40">
        <f>D14/D4</f>
        <v>1.5225897715193962E-2</v>
      </c>
      <c r="F14" s="42">
        <v>406000</v>
      </c>
      <c r="G14" s="40">
        <f>F14/F4</f>
        <v>1.7858797875049383E-2</v>
      </c>
      <c r="H14" s="42">
        <f>[7]VENDOR!$AM$231</f>
        <v>406000</v>
      </c>
      <c r="I14" s="40">
        <f>H14/H4</f>
        <v>1.9531696310986939E-2</v>
      </c>
      <c r="J14" s="42">
        <f t="shared" si="1"/>
        <v>1646000</v>
      </c>
      <c r="K14" s="64">
        <f>J14/J4</f>
        <v>1.7096743240756856E-2</v>
      </c>
    </row>
    <row r="15" spans="1:32" ht="17.25" customHeight="1">
      <c r="A15" s="49" t="s">
        <v>36</v>
      </c>
      <c r="B15" s="42"/>
      <c r="C15" s="40">
        <f>B15/B4</f>
        <v>0</v>
      </c>
      <c r="D15" s="42"/>
      <c r="E15" s="40">
        <f>D15/D4</f>
        <v>0</v>
      </c>
      <c r="F15" s="42"/>
      <c r="G15" s="40">
        <f>F15/F4</f>
        <v>0</v>
      </c>
      <c r="H15" s="42"/>
      <c r="I15" s="40">
        <f>H15/H4</f>
        <v>0</v>
      </c>
      <c r="J15" s="42">
        <f t="shared" si="1"/>
        <v>0</v>
      </c>
      <c r="K15" s="64">
        <f>J15/J4</f>
        <v>0</v>
      </c>
    </row>
    <row r="16" spans="1:32" ht="15.75" customHeight="1">
      <c r="A16" s="49" t="s">
        <v>91</v>
      </c>
      <c r="B16" s="42">
        <f>[4]VENDOR!$AM$226</f>
        <v>2307952</v>
      </c>
      <c r="C16" s="40">
        <f>B16/B4</f>
        <v>9.3647777298032586E-2</v>
      </c>
      <c r="D16" s="42"/>
      <c r="E16" s="40">
        <f>D16/D4</f>
        <v>0</v>
      </c>
      <c r="F16" s="42"/>
      <c r="G16" s="40">
        <f>F16/F4</f>
        <v>0</v>
      </c>
      <c r="H16" s="42"/>
      <c r="I16" s="40">
        <f>H16/H4</f>
        <v>0</v>
      </c>
      <c r="J16" s="42">
        <f t="shared" si="1"/>
        <v>2307952</v>
      </c>
      <c r="K16" s="64">
        <f>J16/J4</f>
        <v>2.3972334602667844E-2</v>
      </c>
    </row>
    <row r="17" spans="1:12">
      <c r="A17" s="36" t="s">
        <v>37</v>
      </c>
      <c r="B17" s="42">
        <f>[4]VENDOR!$AM$208</f>
        <v>8170682</v>
      </c>
      <c r="C17" s="40">
        <f>B17/B4</f>
        <v>0.33153471489400277</v>
      </c>
      <c r="D17" s="42">
        <v>12304977</v>
      </c>
      <c r="E17" s="40">
        <f>D17/D4</f>
        <v>0.43774374109769687</v>
      </c>
      <c r="F17" s="42">
        <v>10192558</v>
      </c>
      <c r="G17" s="40">
        <f>F17/F4</f>
        <v>0.44834195357565904</v>
      </c>
      <c r="H17" s="42">
        <f>[7]VENDOR!$AM$208</f>
        <v>5544593</v>
      </c>
      <c r="I17" s="40">
        <f>H17/H4</f>
        <v>0.26673720848281773</v>
      </c>
      <c r="J17" s="42">
        <f t="shared" si="1"/>
        <v>36212810</v>
      </c>
      <c r="K17" s="64">
        <f>J17/J4</f>
        <v>0.37613676463931489</v>
      </c>
      <c r="L17" s="60">
        <f>B23+D23</f>
        <v>0</v>
      </c>
    </row>
    <row r="18" spans="1:12">
      <c r="A18" s="36" t="s">
        <v>38</v>
      </c>
      <c r="B18" s="42">
        <f>[4]VENDOR!$AM$209</f>
        <v>1560064</v>
      </c>
      <c r="C18" s="40">
        <f>B18/B4</f>
        <v>6.3301371104198825E-2</v>
      </c>
      <c r="D18" s="42">
        <v>1560940</v>
      </c>
      <c r="E18" s="40">
        <f>D18/D4</f>
        <v>5.5529702755969308E-2</v>
      </c>
      <c r="F18" s="42">
        <v>1334422</v>
      </c>
      <c r="G18" s="40">
        <f>F18/F4</f>
        <v>5.8697469896598881E-2</v>
      </c>
      <c r="H18" s="42">
        <f>[7]VENDOR!$AM$209</f>
        <v>1196132</v>
      </c>
      <c r="I18" s="40">
        <f>H18/H4</f>
        <v>5.7543071359244906E-2</v>
      </c>
      <c r="J18" s="42">
        <f t="shared" si="1"/>
        <v>5651558</v>
      </c>
      <c r="K18" s="64">
        <f>J18/J4</f>
        <v>5.8701844493466188E-2</v>
      </c>
    </row>
    <row r="19" spans="1:12">
      <c r="A19" s="36" t="s">
        <v>39</v>
      </c>
      <c r="B19" s="42">
        <f>[4]VENDOR!$AM$210</f>
        <v>4139353</v>
      </c>
      <c r="C19" s="40">
        <f>B19/B4</f>
        <v>0.16795895577635195</v>
      </c>
      <c r="D19" s="42">
        <v>5224290</v>
      </c>
      <c r="E19" s="40">
        <f>D19/D4</f>
        <v>0.18585164760399689</v>
      </c>
      <c r="F19" s="42">
        <v>3606869</v>
      </c>
      <c r="G19" s="40">
        <f>F19/F4</f>
        <v>0.15865602077039775</v>
      </c>
      <c r="H19" s="42">
        <f>[7]VENDOR!$AM$210</f>
        <v>3430065</v>
      </c>
      <c r="I19" s="40">
        <f>H19/H4</f>
        <v>0.16501228548508723</v>
      </c>
      <c r="J19" s="42">
        <f t="shared" si="1"/>
        <v>16400577</v>
      </c>
      <c r="K19" s="64">
        <f>J19/J4</f>
        <v>0.17035021504815454</v>
      </c>
    </row>
    <row r="20" spans="1:12">
      <c r="A20" s="36" t="s">
        <v>40</v>
      </c>
      <c r="B20" s="42">
        <f>[4]VENDOR!$AM$211</f>
        <v>1129794</v>
      </c>
      <c r="C20" s="40">
        <f>B20/B4</f>
        <v>4.5842676496154783E-2</v>
      </c>
      <c r="D20" s="42">
        <v>1179581</v>
      </c>
      <c r="E20" s="40">
        <f>D20/D4</f>
        <v>4.1963036571930394E-2</v>
      </c>
      <c r="F20" s="42">
        <v>776402</v>
      </c>
      <c r="G20" s="40">
        <f>F20/F4</f>
        <v>3.4151739871389385E-2</v>
      </c>
      <c r="H20" s="42">
        <f>[7]VENDOR!$AM$211</f>
        <v>635523</v>
      </c>
      <c r="I20" s="40">
        <f>H20/H4</f>
        <v>3.0573503041003331E-2</v>
      </c>
      <c r="J20" s="42">
        <f t="shared" si="1"/>
        <v>3721300</v>
      </c>
      <c r="K20" s="64">
        <f>J20/J4</f>
        <v>3.8652558093455948E-2</v>
      </c>
    </row>
    <row r="21" spans="1:12" ht="15" customHeight="1">
      <c r="A21" s="36" t="s">
        <v>41</v>
      </c>
      <c r="B21" s="42">
        <f>[4]VENDOR!$AM$212</f>
        <v>8677083</v>
      </c>
      <c r="C21" s="40">
        <f>B21/B4</f>
        <v>0.3520825114129516</v>
      </c>
      <c r="D21" s="42">
        <v>9220006</v>
      </c>
      <c r="E21" s="40">
        <f>D21/D4</f>
        <v>0.3279973558165295</v>
      </c>
      <c r="F21" s="42">
        <v>7841425</v>
      </c>
      <c r="G21" s="40">
        <f>F21/F4</f>
        <v>0.34492222691467755</v>
      </c>
      <c r="H21" s="42">
        <f>[7]VENDOR!$AM$212</f>
        <v>7038386</v>
      </c>
      <c r="I21" s="40">
        <f>H21/H4</f>
        <v>0.33860004401847815</v>
      </c>
      <c r="J21" s="42">
        <f t="shared" si="1"/>
        <v>32776900</v>
      </c>
      <c r="K21" s="64">
        <f>J21/J4</f>
        <v>0.34044850761115641</v>
      </c>
      <c r="L21" s="60">
        <f>SUM(J17:J21)</f>
        <v>94763145</v>
      </c>
    </row>
    <row r="22" spans="1:12" ht="15.75" customHeight="1">
      <c r="A22" s="36" t="s">
        <v>42</v>
      </c>
      <c r="B22" s="42">
        <f>[4]VENDOR!$AM$213</f>
        <v>61168</v>
      </c>
      <c r="C22" s="40">
        <f>B22/B4</f>
        <v>2.4819611680685113E-3</v>
      </c>
      <c r="D22" s="42">
        <v>64996</v>
      </c>
      <c r="E22" s="40">
        <f>D22/D4</f>
        <v>2.3122019810671653E-3</v>
      </c>
      <c r="F22" s="42">
        <v>55279</v>
      </c>
      <c r="G22" s="40">
        <f>F22/F4</f>
        <v>2.4315677037804306E-3</v>
      </c>
      <c r="H22" s="42">
        <f>[7]VENDOR!$AM$213</f>
        <v>49618</v>
      </c>
      <c r="I22" s="40">
        <f>H22/H4</f>
        <v>2.3870042058092363E-3</v>
      </c>
      <c r="J22" s="42">
        <f>SUM(B22+D22+F22+H22)</f>
        <v>231061</v>
      </c>
      <c r="K22" s="64">
        <f>J22/J4</f>
        <v>2.3999942830817255E-3</v>
      </c>
    </row>
    <row r="23" spans="1:12">
      <c r="A23" s="36" t="s">
        <v>43</v>
      </c>
      <c r="B23" s="42"/>
      <c r="C23" s="40">
        <f>B23/B4</f>
        <v>0</v>
      </c>
      <c r="D23" s="42"/>
      <c r="E23" s="40">
        <f>D23/D4</f>
        <v>0</v>
      </c>
      <c r="F23" s="42"/>
      <c r="G23" s="40">
        <f>F23/F4</f>
        <v>0</v>
      </c>
      <c r="H23" s="42">
        <f>[7]VENDOR!$AM$235</f>
        <v>1755386</v>
      </c>
      <c r="I23" s="40">
        <f>H23/H4</f>
        <v>8.4447453843739209E-2</v>
      </c>
      <c r="J23" s="42">
        <f t="shared" si="1"/>
        <v>1755386</v>
      </c>
      <c r="K23" s="64">
        <f>J23/J4</f>
        <v>1.8232918426743145E-2</v>
      </c>
      <c r="L23" s="60"/>
    </row>
    <row r="24" spans="1:12">
      <c r="A24" s="36" t="s">
        <v>44</v>
      </c>
      <c r="B24" s="42"/>
      <c r="C24" s="40">
        <f>B24/B4</f>
        <v>0</v>
      </c>
      <c r="D24" s="42"/>
      <c r="E24" s="40">
        <f>D24/D4</f>
        <v>0</v>
      </c>
      <c r="F24" s="42"/>
      <c r="G24" s="40">
        <f>F24/F4</f>
        <v>0</v>
      </c>
      <c r="H24" s="42"/>
      <c r="I24" s="40">
        <f>H24/H4</f>
        <v>0</v>
      </c>
      <c r="J24" s="42">
        <f t="shared" si="1"/>
        <v>0</v>
      </c>
      <c r="K24" s="64">
        <f>J24/J4</f>
        <v>0</v>
      </c>
      <c r="L24" s="60">
        <f>L21-L23</f>
        <v>94763145</v>
      </c>
    </row>
    <row r="25" spans="1:12">
      <c r="A25" s="36" t="s">
        <v>19</v>
      </c>
      <c r="B25" s="42">
        <f>[4]VENDOR!$AM$224</f>
        <v>25591011</v>
      </c>
      <c r="C25" s="40">
        <f>B25/B4</f>
        <v>1.0383843766939269</v>
      </c>
      <c r="D25" s="42"/>
      <c r="E25" s="40">
        <f>D25/D4</f>
        <v>0</v>
      </c>
      <c r="F25" s="42"/>
      <c r="G25" s="40">
        <f>F25/F4</f>
        <v>0</v>
      </c>
      <c r="H25" s="42"/>
      <c r="I25" s="40">
        <f>H25/H4</f>
        <v>0</v>
      </c>
      <c r="J25" s="42">
        <f t="shared" si="1"/>
        <v>25591011</v>
      </c>
      <c r="K25" s="64">
        <f>J25/J4</f>
        <v>0.26580980822502087</v>
      </c>
      <c r="L25" s="60">
        <f>H25+F25</f>
        <v>0</v>
      </c>
    </row>
    <row r="26" spans="1:12">
      <c r="A26" s="36" t="s">
        <v>45</v>
      </c>
      <c r="B26" s="42"/>
      <c r="C26" s="40">
        <f>B26/B4</f>
        <v>0</v>
      </c>
      <c r="D26" s="42"/>
      <c r="E26" s="40">
        <f>D26/D4</f>
        <v>0</v>
      </c>
      <c r="F26" s="42"/>
      <c r="G26" s="40">
        <f>F26/F4</f>
        <v>0</v>
      </c>
      <c r="H26" s="42"/>
      <c r="I26" s="40">
        <f>H26/H4</f>
        <v>0</v>
      </c>
      <c r="J26" s="42">
        <f t="shared" si="1"/>
        <v>0</v>
      </c>
      <c r="K26" s="64">
        <f>J26/J4</f>
        <v>0</v>
      </c>
    </row>
    <row r="27" spans="1:12">
      <c r="A27" s="36" t="s">
        <v>46</v>
      </c>
      <c r="B27" s="42">
        <f>[4]VENDOR!$AM$234</f>
        <v>31100</v>
      </c>
      <c r="C27" s="40">
        <f>B27/B4</f>
        <v>1.2619178708954144E-3</v>
      </c>
      <c r="D27" s="42">
        <f>[5]VENDOR!$AM$234</f>
        <v>31100</v>
      </c>
      <c r="E27" s="40">
        <f>D27/D4</f>
        <v>1.1063678012675987E-3</v>
      </c>
      <c r="F27" s="42">
        <v>31100</v>
      </c>
      <c r="G27" s="40">
        <f>F27/F4</f>
        <v>1.3680015121035364E-3</v>
      </c>
      <c r="H27" s="42">
        <f>[7]VENDOR!$AM$234</f>
        <v>31100</v>
      </c>
      <c r="I27" s="40">
        <f>H27/H4</f>
        <v>1.4961471804721524E-3</v>
      </c>
      <c r="J27" s="42">
        <f t="shared" si="1"/>
        <v>124400</v>
      </c>
      <c r="K27" s="64">
        <f>J27/J4</f>
        <v>1.2921232437121222E-3</v>
      </c>
    </row>
    <row r="28" spans="1:12">
      <c r="A28" s="36"/>
      <c r="B28" s="42"/>
      <c r="C28" s="40">
        <f>B28/B4</f>
        <v>0</v>
      </c>
      <c r="D28" s="42"/>
      <c r="E28" s="40">
        <f>D28/D4</f>
        <v>0</v>
      </c>
      <c r="F28" s="42"/>
      <c r="G28" s="40">
        <f>F28/F4</f>
        <v>0</v>
      </c>
      <c r="H28" s="42"/>
      <c r="I28" s="40">
        <f>H28/H4</f>
        <v>0</v>
      </c>
      <c r="J28" s="42">
        <f t="shared" si="1"/>
        <v>0</v>
      </c>
      <c r="K28" s="64">
        <f>J28/J4</f>
        <v>0</v>
      </c>
    </row>
    <row r="29" spans="1:12">
      <c r="A29" s="36"/>
      <c r="B29" s="42"/>
      <c r="C29" s="40">
        <f>B29/B4</f>
        <v>0</v>
      </c>
      <c r="D29" s="42"/>
      <c r="E29" s="40">
        <f>D29/D4</f>
        <v>0</v>
      </c>
      <c r="F29" s="42"/>
      <c r="G29" s="40">
        <f>F29/F4</f>
        <v>0</v>
      </c>
      <c r="H29" s="42"/>
      <c r="I29" s="40">
        <f>H29/H4</f>
        <v>0</v>
      </c>
      <c r="J29" s="42">
        <f t="shared" si="1"/>
        <v>0</v>
      </c>
      <c r="K29" s="64">
        <f>J29/J4</f>
        <v>0</v>
      </c>
    </row>
    <row r="30" spans="1:12">
      <c r="A30" s="36" t="s">
        <v>47</v>
      </c>
      <c r="B30" s="42"/>
      <c r="C30" s="40">
        <f>B30/B4</f>
        <v>0</v>
      </c>
      <c r="D30" s="42">
        <f>[5]VENDOR!$AM$236</f>
        <v>130000</v>
      </c>
      <c r="E30" s="40">
        <f>D30/D4</f>
        <v>4.6246885583533064E-3</v>
      </c>
      <c r="F30" s="42"/>
      <c r="G30" s="40">
        <f>F30/F4</f>
        <v>0</v>
      </c>
      <c r="H30" s="42"/>
      <c r="I30" s="40">
        <f>H30/H4</f>
        <v>0</v>
      </c>
      <c r="J30" s="42">
        <f t="shared" si="1"/>
        <v>130000</v>
      </c>
      <c r="K30" s="64">
        <f>J30/J4</f>
        <v>1.3502895633647578E-3</v>
      </c>
    </row>
    <row r="31" spans="1:12">
      <c r="A31" s="36" t="s">
        <v>48</v>
      </c>
      <c r="B31" s="42"/>
      <c r="C31" s="40">
        <f>B31/B4</f>
        <v>0</v>
      </c>
      <c r="D31" s="42"/>
      <c r="E31" s="40">
        <f>D31/D4</f>
        <v>0</v>
      </c>
      <c r="F31" s="42"/>
      <c r="G31" s="40">
        <f>F31/F4</f>
        <v>0</v>
      </c>
      <c r="H31" s="42">
        <f>[7]VENDOR!$AM$220</f>
        <v>80700</v>
      </c>
      <c r="I31" s="40">
        <f>H31/H4</f>
        <v>3.8822854490065174E-3</v>
      </c>
      <c r="J31" s="42">
        <f t="shared" si="1"/>
        <v>80700</v>
      </c>
      <c r="K31" s="64">
        <f>J31/J4</f>
        <v>8.382182135656612E-4</v>
      </c>
    </row>
    <row r="32" spans="1:12">
      <c r="A32" s="36" t="s">
        <v>49</v>
      </c>
      <c r="B32" s="42"/>
      <c r="C32" s="40">
        <f>B32/B4</f>
        <v>0</v>
      </c>
      <c r="D32" s="42"/>
      <c r="E32" s="40">
        <f>D32/D4</f>
        <v>0</v>
      </c>
      <c r="F32" s="42"/>
      <c r="G32" s="40">
        <f>F32/F4</f>
        <v>0</v>
      </c>
      <c r="H32" s="42"/>
      <c r="I32" s="40">
        <f>H32/H4</f>
        <v>0</v>
      </c>
      <c r="J32" s="42">
        <f t="shared" si="1"/>
        <v>0</v>
      </c>
      <c r="K32" s="64">
        <f>J32/J4</f>
        <v>0</v>
      </c>
    </row>
    <row r="33" spans="1:18">
      <c r="A33" s="36" t="s">
        <v>50</v>
      </c>
      <c r="B33" s="42">
        <f>[4]VENDOR!$AI$226</f>
        <v>2307952</v>
      </c>
      <c r="C33" s="40">
        <f>B33/B4</f>
        <v>9.3647777298032586E-2</v>
      </c>
      <c r="D33" s="42"/>
      <c r="E33" s="40">
        <f>D33/D4</f>
        <v>0</v>
      </c>
      <c r="F33" s="42"/>
      <c r="G33" s="40">
        <f>F33/F4</f>
        <v>0</v>
      </c>
      <c r="H33" s="42"/>
      <c r="I33" s="40">
        <f>H33/H4</f>
        <v>0</v>
      </c>
      <c r="J33" s="42">
        <f t="shared" si="1"/>
        <v>2307952</v>
      </c>
      <c r="K33" s="64">
        <f>J33/J4</f>
        <v>2.3972334602667844E-2</v>
      </c>
    </row>
    <row r="34" spans="1:18">
      <c r="A34" s="50" t="s">
        <v>51</v>
      </c>
      <c r="B34" s="42"/>
      <c r="C34" s="40">
        <f>B34/B4</f>
        <v>0</v>
      </c>
      <c r="D34" s="42">
        <f>[5]VENDOR!$AM$219</f>
        <v>171905</v>
      </c>
      <c r="E34" s="40">
        <f>D34/D4</f>
        <v>6.1154391278748083E-3</v>
      </c>
      <c r="F34" s="42"/>
      <c r="G34" s="40">
        <f>F34/F4</f>
        <v>0</v>
      </c>
      <c r="H34" s="42"/>
      <c r="I34" s="40">
        <f>H34/H4</f>
        <v>0</v>
      </c>
      <c r="J34" s="42">
        <f t="shared" si="1"/>
        <v>171905</v>
      </c>
      <c r="K34" s="64">
        <f>J34/J4</f>
        <v>1.7855502106939901E-3</v>
      </c>
    </row>
    <row r="35" spans="1:18">
      <c r="A35" s="50" t="s">
        <v>52</v>
      </c>
      <c r="B35" s="42"/>
      <c r="C35" s="40">
        <f>B35/B4</f>
        <v>0</v>
      </c>
      <c r="D35" s="42"/>
      <c r="E35" s="40">
        <f>D35/D4</f>
        <v>0</v>
      </c>
      <c r="F35" s="42">
        <v>80000</v>
      </c>
      <c r="G35" s="40">
        <f>F35/F4</f>
        <v>3.5189749507486467E-3</v>
      </c>
      <c r="H35" s="42">
        <f>[7]VENDOR!$AM$237</f>
        <v>90000</v>
      </c>
      <c r="I35" s="40">
        <f>H35/H4</f>
        <v>4.3296863743567107E-3</v>
      </c>
      <c r="J35" s="42">
        <f t="shared" si="1"/>
        <v>170000</v>
      </c>
      <c r="K35" s="64">
        <f>J35/J4</f>
        <v>1.7657632751692989E-3</v>
      </c>
    </row>
    <row r="36" spans="1:18">
      <c r="A36" s="36" t="s">
        <v>53</v>
      </c>
      <c r="B36" s="42">
        <f>[4]VENDOR!$AM$221</f>
        <v>10523972</v>
      </c>
      <c r="C36" s="40">
        <f>B36/B4</f>
        <v>0.42702213310620435</v>
      </c>
      <c r="D36" s="42">
        <f>[5]VENDOR!$AM$221</f>
        <v>32558985</v>
      </c>
      <c r="E36" s="40">
        <f>D36/D4</f>
        <v>1.1582705030853611</v>
      </c>
      <c r="F36" s="42"/>
      <c r="G36" s="40">
        <f>F36/F4</f>
        <v>0</v>
      </c>
      <c r="H36" s="42"/>
      <c r="I36" s="40">
        <f>H36/H4</f>
        <v>0</v>
      </c>
      <c r="J36" s="42">
        <f t="shared" si="1"/>
        <v>43082957</v>
      </c>
      <c r="K36" s="64">
        <f>J36/J4</f>
        <v>0.44749590150763568</v>
      </c>
    </row>
    <row r="37" spans="1:18">
      <c r="A37" s="51" t="s">
        <v>54</v>
      </c>
      <c r="B37" s="52"/>
      <c r="C37" s="40">
        <f>B37/B5</f>
        <v>0</v>
      </c>
      <c r="D37" s="42"/>
      <c r="E37" s="40">
        <f>D37/D5</f>
        <v>0</v>
      </c>
      <c r="F37" s="52"/>
      <c r="G37" s="40">
        <f>F37/F5</f>
        <v>0</v>
      </c>
      <c r="H37" s="52"/>
      <c r="I37" s="40">
        <f>H37/H5</f>
        <v>0</v>
      </c>
      <c r="J37" s="42"/>
      <c r="K37" s="64">
        <f>J37/J5</f>
        <v>0</v>
      </c>
    </row>
    <row r="38" spans="1:18">
      <c r="A38" s="51" t="s">
        <v>55</v>
      </c>
      <c r="B38" s="52"/>
      <c r="C38" s="40">
        <f>B38/B6</f>
        <v>0</v>
      </c>
      <c r="D38" s="42"/>
      <c r="E38" s="40">
        <f>D38/D6</f>
        <v>0</v>
      </c>
      <c r="F38" s="52"/>
      <c r="G38" s="40">
        <f>F38/F6</f>
        <v>0</v>
      </c>
      <c r="H38" s="52"/>
      <c r="I38" s="40">
        <f>H38/H6</f>
        <v>0</v>
      </c>
      <c r="J38" s="42"/>
      <c r="K38" s="64">
        <f>J38/J6</f>
        <v>0</v>
      </c>
    </row>
    <row r="39" spans="1:18" s="66" customFormat="1" ht="15.5">
      <c r="A39" s="53" t="s">
        <v>90</v>
      </c>
      <c r="B39" s="54">
        <f>[4]VENDOR!$AM$236</f>
        <v>200000</v>
      </c>
      <c r="C39" s="40">
        <f>B39/B5</f>
        <v>1.4297703927346878E-2</v>
      </c>
      <c r="D39" s="42"/>
      <c r="E39" s="40">
        <f>D39/D4</f>
        <v>0</v>
      </c>
      <c r="F39" s="54"/>
      <c r="G39" s="40">
        <f>F39/F7</f>
        <v>0</v>
      </c>
      <c r="H39" s="54"/>
      <c r="I39" s="40">
        <f>H39/H4</f>
        <v>0</v>
      </c>
      <c r="J39" s="42">
        <f>B39+D39+F39+H39</f>
        <v>200000</v>
      </c>
      <c r="K39" s="64">
        <f>J39/J5</f>
        <v>3.7590956039784862E-3</v>
      </c>
    </row>
    <row r="40" spans="1:18">
      <c r="A40" s="36" t="s">
        <v>56</v>
      </c>
      <c r="B40" s="42">
        <f>[4]VENDOR!$AM$233</f>
        <v>110500</v>
      </c>
      <c r="C40" s="38">
        <f>B40/B4</f>
        <v>4.4836631747248645E-3</v>
      </c>
      <c r="D40" s="42">
        <v>44000</v>
      </c>
      <c r="E40" s="40">
        <f>D40/D4</f>
        <v>1.5652792043657346E-3</v>
      </c>
      <c r="F40" s="42">
        <v>56300</v>
      </c>
      <c r="G40" s="40">
        <f>F40/F4</f>
        <v>2.4764786215893601E-3</v>
      </c>
      <c r="H40" s="42">
        <f>[7]VENDOR!$AM$233</f>
        <v>280200</v>
      </c>
      <c r="I40" s="40">
        <f>H40/H4</f>
        <v>1.3479756912163894E-2</v>
      </c>
      <c r="J40" s="42">
        <f>B40+D40+F40+H40</f>
        <v>491000</v>
      </c>
      <c r="K40" s="64">
        <f>J40/J4</f>
        <v>5.0999398124007391E-3</v>
      </c>
    </row>
    <row r="41" spans="1:18">
      <c r="A41" s="55"/>
      <c r="B41" s="56"/>
      <c r="C41" s="56"/>
      <c r="D41" s="57"/>
      <c r="E41" s="57"/>
      <c r="F41" s="57"/>
      <c r="G41" s="57"/>
      <c r="H41" s="57"/>
      <c r="I41" s="57"/>
      <c r="J41" s="56"/>
      <c r="R41" s="65"/>
    </row>
    <row r="42" spans="1:18">
      <c r="A42" s="58" t="s">
        <v>57</v>
      </c>
      <c r="B42" s="42">
        <f>J17</f>
        <v>36212810</v>
      </c>
      <c r="C42" s="56"/>
      <c r="D42" s="59">
        <f>B42/J4</f>
        <v>0.37613676463931489</v>
      </c>
      <c r="E42" s="59"/>
      <c r="F42" s="57"/>
      <c r="G42" s="57"/>
      <c r="H42" s="57"/>
      <c r="I42" s="57"/>
      <c r="J42" s="56" t="s">
        <v>58</v>
      </c>
      <c r="K42" s="67"/>
    </row>
    <row r="43" spans="1:18">
      <c r="A43" s="58" t="s">
        <v>38</v>
      </c>
      <c r="B43" s="42">
        <f>J18</f>
        <v>5651558</v>
      </c>
      <c r="C43" s="56"/>
      <c r="D43" s="59">
        <f>B43/J4</f>
        <v>5.8701844493466188E-2</v>
      </c>
      <c r="E43" s="59"/>
      <c r="F43" s="57"/>
      <c r="G43" s="57"/>
      <c r="H43" s="57"/>
      <c r="I43" s="57"/>
      <c r="J43" s="68"/>
    </row>
    <row r="44" spans="1:18">
      <c r="A44" s="58" t="s">
        <v>39</v>
      </c>
      <c r="B44" s="42">
        <f>J19</f>
        <v>16400577</v>
      </c>
      <c r="C44" s="56"/>
      <c r="D44" s="59">
        <f>B44/J4</f>
        <v>0.17035021504815454</v>
      </c>
      <c r="E44" s="59"/>
      <c r="F44" s="57"/>
      <c r="G44" s="57"/>
      <c r="H44" s="57"/>
      <c r="I44" s="57"/>
      <c r="J44" s="57"/>
    </row>
    <row r="45" spans="1:18">
      <c r="A45" s="58" t="s">
        <v>40</v>
      </c>
      <c r="B45" s="42">
        <f>J20</f>
        <v>3721300</v>
      </c>
      <c r="C45" s="56"/>
      <c r="D45" s="59">
        <f>B45/J4</f>
        <v>3.8652558093455948E-2</v>
      </c>
      <c r="E45" s="59"/>
      <c r="F45" s="57"/>
      <c r="G45" s="57"/>
      <c r="H45" s="57"/>
      <c r="I45" s="57"/>
      <c r="J45" s="57"/>
    </row>
    <row r="46" spans="1:18">
      <c r="A46" s="58" t="s">
        <v>41</v>
      </c>
      <c r="B46" s="42">
        <f>J21</f>
        <v>32776900</v>
      </c>
      <c r="C46" s="56"/>
      <c r="D46" s="59">
        <f>B46/J4</f>
        <v>0.34044850761115641</v>
      </c>
      <c r="E46" s="59"/>
      <c r="F46" s="57"/>
      <c r="G46" s="57"/>
      <c r="H46" s="57"/>
      <c r="I46" s="57"/>
      <c r="J46" s="57"/>
    </row>
    <row r="47" spans="1:18">
      <c r="A47" s="58" t="s">
        <v>59</v>
      </c>
      <c r="B47" s="42">
        <f>SUM(B42:B46)</f>
        <v>94763145</v>
      </c>
      <c r="D47" s="59">
        <f>B47/J4</f>
        <v>0.984289889885548</v>
      </c>
      <c r="E47" s="60">
        <f>SUM(B43:B46)</f>
        <v>58550335</v>
      </c>
      <c r="J47" s="69"/>
    </row>
    <row r="49" spans="1:14">
      <c r="A49" s="58" t="s">
        <v>60</v>
      </c>
      <c r="B49" s="61" t="s">
        <v>26</v>
      </c>
      <c r="D49" s="29" t="s">
        <v>27</v>
      </c>
      <c r="F49" s="29" t="s">
        <v>28</v>
      </c>
      <c r="H49" s="29" t="s">
        <v>61</v>
      </c>
      <c r="J49" s="29" t="s">
        <v>5</v>
      </c>
    </row>
    <row r="50" spans="1:14">
      <c r="A50" s="58" t="s">
        <v>94</v>
      </c>
      <c r="B50" s="104">
        <f>'[4]LAP. PENJUALAN '!$N$88</f>
        <v>2</v>
      </c>
      <c r="C50" s="111"/>
      <c r="D50" s="104"/>
      <c r="E50" s="111"/>
      <c r="F50" s="108">
        <v>4</v>
      </c>
      <c r="G50" s="109"/>
      <c r="H50" s="104">
        <f>'[7]LAP. PENJUALAN '!$N$93+'[7]LAP. PENJUALAN '!$N$94+'[7]LAP. PENJUALAN '!$N$95</f>
        <v>122</v>
      </c>
      <c r="I50" s="111"/>
      <c r="J50" s="70">
        <f>SUM(B50:I50)</f>
        <v>128</v>
      </c>
    </row>
    <row r="51" spans="1:14">
      <c r="A51" s="62" t="s">
        <v>62</v>
      </c>
      <c r="B51" s="104"/>
      <c r="C51" s="111"/>
      <c r="D51" s="104"/>
      <c r="E51" s="111"/>
      <c r="F51" s="108"/>
      <c r="G51" s="109"/>
      <c r="H51" s="110"/>
      <c r="I51" s="111"/>
      <c r="J51" s="70">
        <f t="shared" ref="J51:J66" si="2">SUM(B51:I51)</f>
        <v>0</v>
      </c>
    </row>
    <row r="52" spans="1:14">
      <c r="A52" s="62" t="s">
        <v>63</v>
      </c>
      <c r="B52" s="104">
        <f>'[4]LAP. PENJUALAN '!$N$102+'[4]LAP. PENJUALAN '!$N$103+'[4]LAP. PENJUALAN '!$N$105+'[4]LAP. PENJUALAN '!$N$134+'[4]LAP. PENJUALAN GRAB FOOD'!$N$102+'[4]LAP. PENJUALAN GRAB FOOD'!$N$103+'[4]LAP. PENJUALAN GRAB FOOD'!$N$104+'[4]LAP. PENJUALAN GO FOOD'!$N$102+'[4]LAP. PENJUALAN GO FOOD'!$N$103+'[4]LAP. PENJUALAN SHOPEE FOOD'!$N$102+'[4]LAP. PENJUALAN SHOPEE FOOD'!$N$103-1</f>
        <v>26</v>
      </c>
      <c r="C52" s="111"/>
      <c r="D52" s="104">
        <f>'[5]LAP. PENJUALAN '!$N$102+'[5]LAP. PENJUALAN '!$N$103+'[5]LAP. PENJUALAN '!$N$104+'[5]LAP. PENJUALAN '!$N$105+'[5]LAP. PENJUALAN GRAB FOOD'!$N$102+'[5]LAP. PENJUALAN GRAB FOOD'!$N$103+'[5]LAP. PENJUALAN GRAB FOOD'!$N$104+'[5]LAP. PENJUALAN GRAB FOOD'!$N$106+'[5]LAP. PENJUALAN GRAB FOOD'!$N$107+'[5]LAP. PENJUALAN GO FOOD'!$N$102+'[5]LAP. PENJUALAN GO FOOD'!$N$104+'[5]LAP. PENJUALAN SHOPEE FOOD'!$N$102+'[5]LAP. PENJUALAN SHOPEE FOOD'!$N$103</f>
        <v>36</v>
      </c>
      <c r="E52" s="111"/>
      <c r="F52" s="108">
        <f>'[6]LAP. PENJUALAN '!$N$102+'[6]LAP. PENJUALAN '!$N$103+'[6]LAP. PENJUALAN GRAB FOOD'!$N$102+'[6]LAP. PENJUALAN GRAB FOOD'!$N$103+'[6]LAP. PENJUALAN GRAB FOOD'!$N$104+'[6]LAP. PENJUALAN GRAB FOOD'!$N$106+'[6]LAP. PENJUALAN GO FOOD'!$N$102+'[6]LAP. PENJUALAN GO FOOD'!$N$103+'[6]LAP. PENJUALAN SHOPEE FOOD'!$N$102+'[6]LAP. PENJUALAN SHOPEE FOOD'!$N$104</f>
        <v>30</v>
      </c>
      <c r="G52" s="109"/>
      <c r="H52" s="104">
        <f>'[7]LAP. PENJUALAN '!$N$102+'[7]LAP. PENJUALAN '!$N$103+'[7]LAP. PENJUALAN '!$N$104+'[7]LAP. PENJUALAN GRAB FOOD'!$N$102+'[7]LAP. PENJUALAN GRAB FOOD'!$N$103+'[7]LAP. PENJUALAN GRAB FOOD'!$N$104+'[7]LAP. PENJUALAN GO FOOD'!$N$103+'[7]LAP. PENJUALAN SHOPEE FOOD'!$N$102+'[7]LAP. PENJUALAN SHOPEE FOOD'!$N$103+'[7]LAP. PENJUALAN SHOPEE FOOD'!$N$107</f>
        <v>34</v>
      </c>
      <c r="I52" s="111"/>
      <c r="J52" s="70">
        <f t="shared" si="2"/>
        <v>126</v>
      </c>
    </row>
    <row r="53" spans="1:14">
      <c r="A53" s="58" t="s">
        <v>92</v>
      </c>
      <c r="B53" s="113">
        <f>'[4]LAP. PENJUALAN '!$N$134+'[4]LAP. PENJUALAN '!$N$135+'[4]LAP. PENJUALAN '!$N$136+'[4]LAP. PENJUALAN '!$N$137+'[4]LAP. PENJUALAN '!$N$138</f>
        <v>2</v>
      </c>
      <c r="C53" s="114"/>
      <c r="D53" s="104">
        <f>'[5]LAP. PENJUALAN '!$N$134+'[5]LAP. PENJUALAN GRAB FOOD'!$N$135</f>
        <v>3</v>
      </c>
      <c r="E53" s="111"/>
      <c r="F53" s="108">
        <f>'[9]LAP. PENJUALAN '!$N$134</f>
        <v>2</v>
      </c>
      <c r="G53" s="109"/>
      <c r="H53" s="113">
        <f>'[7]LAP. PENJUALAN '!$N$134</f>
        <v>2</v>
      </c>
      <c r="I53" s="116"/>
      <c r="J53" s="70">
        <f t="shared" si="2"/>
        <v>9</v>
      </c>
    </row>
    <row r="54" spans="1:14" ht="13.5" customHeight="1">
      <c r="A54" s="62" t="s">
        <v>93</v>
      </c>
      <c r="B54" s="113">
        <f>'[4]LAP. PENJUALAN '!$N$202</f>
        <v>6</v>
      </c>
      <c r="C54" s="114"/>
      <c r="D54" s="106">
        <f>'[5]LAP. PENJUALAN '!$N$201+'[5]LAP. PENJUALAN '!$N$202+'[5]LAP. PENJUALAN '!$N$203+'[5]LAP. PENJUALAN '!$N$204+'[5]LAP. PENJUALAN GRAB FOOD'!$N$159+'[5]LAP. PENJUALAN GO FOOD'!$N$167+'[5]LAP. PENJUALAN GO FOOD'!$N$168</f>
        <v>8</v>
      </c>
      <c r="E54" s="107"/>
      <c r="F54" s="108">
        <f>'[9]LAP. PENJUALAN '!$N$201</f>
        <v>2</v>
      </c>
      <c r="G54" s="109"/>
      <c r="H54" s="113">
        <f>'[7]LAP. PENJUALAN '!$N$202+'[7]LAP. PENJUALAN GRAB FOOD'!$N$158+'[7]LAP. PENJUALAN GO FOOD'!$N$167</f>
        <v>3</v>
      </c>
      <c r="I54" s="116"/>
      <c r="J54" s="71">
        <f t="shared" si="2"/>
        <v>19</v>
      </c>
      <c r="L54" s="65"/>
    </row>
    <row r="55" spans="1:14" ht="15" customHeight="1">
      <c r="A55" s="62"/>
      <c r="B55" s="104"/>
      <c r="C55" s="105"/>
      <c r="D55" s="106"/>
      <c r="E55" s="107"/>
      <c r="F55" s="108"/>
      <c r="G55" s="109"/>
      <c r="H55" s="110"/>
      <c r="I55" s="111"/>
      <c r="J55" s="70">
        <f t="shared" si="2"/>
        <v>0</v>
      </c>
      <c r="L55" s="65"/>
    </row>
    <row r="56" spans="1:14" ht="15" customHeight="1">
      <c r="A56" s="62"/>
      <c r="B56" s="104"/>
      <c r="C56" s="105"/>
      <c r="D56" s="106"/>
      <c r="E56" s="107"/>
      <c r="F56" s="108"/>
      <c r="G56" s="109"/>
      <c r="H56" s="110"/>
      <c r="I56" s="111"/>
      <c r="J56" s="70">
        <f t="shared" si="2"/>
        <v>0</v>
      </c>
      <c r="L56" s="65"/>
    </row>
    <row r="57" spans="1:14" ht="15" customHeight="1">
      <c r="A57" s="62"/>
      <c r="B57" s="104"/>
      <c r="C57" s="105"/>
      <c r="D57" s="106"/>
      <c r="E57" s="107"/>
      <c r="F57" s="108"/>
      <c r="G57" s="109"/>
      <c r="H57" s="110"/>
      <c r="I57" s="111"/>
      <c r="J57" s="70">
        <f t="shared" si="2"/>
        <v>0</v>
      </c>
      <c r="K57" s="65">
        <f>SUM(J54:J57)</f>
        <v>19</v>
      </c>
      <c r="L57" s="65"/>
    </row>
    <row r="58" spans="1:14" hidden="1">
      <c r="A58" s="58"/>
      <c r="B58" s="113"/>
      <c r="C58" s="114"/>
      <c r="D58" s="113"/>
      <c r="E58" s="114"/>
      <c r="F58" s="108"/>
      <c r="G58" s="119"/>
      <c r="H58" s="115"/>
      <c r="I58" s="116"/>
      <c r="J58" s="70">
        <f t="shared" si="2"/>
        <v>0</v>
      </c>
      <c r="N58" s="29">
        <f t="shared" ref="N58:N66" si="3">L58+M58</f>
        <v>0</v>
      </c>
    </row>
    <row r="59" spans="1:14" hidden="1">
      <c r="A59" s="58"/>
      <c r="B59" s="113"/>
      <c r="C59" s="114"/>
      <c r="D59" s="113"/>
      <c r="E59" s="114"/>
      <c r="F59" s="108"/>
      <c r="G59" s="119"/>
      <c r="H59" s="115"/>
      <c r="I59" s="116"/>
      <c r="J59" s="70">
        <f t="shared" si="2"/>
        <v>0</v>
      </c>
      <c r="N59" s="29">
        <f t="shared" si="3"/>
        <v>0</v>
      </c>
    </row>
    <row r="60" spans="1:14" hidden="1">
      <c r="A60" s="58"/>
      <c r="B60" s="113"/>
      <c r="C60" s="114"/>
      <c r="D60" s="113"/>
      <c r="E60" s="114"/>
      <c r="F60" s="108"/>
      <c r="G60" s="119"/>
      <c r="H60" s="115"/>
      <c r="I60" s="116"/>
      <c r="J60" s="70">
        <f t="shared" si="2"/>
        <v>0</v>
      </c>
      <c r="N60" s="29">
        <f t="shared" si="3"/>
        <v>0</v>
      </c>
    </row>
    <row r="61" spans="1:14" hidden="1">
      <c r="A61" s="58"/>
      <c r="B61" s="113"/>
      <c r="C61" s="114"/>
      <c r="D61" s="113"/>
      <c r="E61" s="114"/>
      <c r="F61" s="108"/>
      <c r="G61" s="119"/>
      <c r="H61" s="115"/>
      <c r="I61" s="116"/>
      <c r="J61" s="70">
        <f t="shared" si="2"/>
        <v>0</v>
      </c>
      <c r="N61" s="29">
        <f t="shared" si="3"/>
        <v>0</v>
      </c>
    </row>
    <row r="62" spans="1:14" hidden="1">
      <c r="A62" s="58"/>
      <c r="B62" s="113"/>
      <c r="C62" s="114"/>
      <c r="D62" s="113"/>
      <c r="E62" s="114"/>
      <c r="F62" s="108"/>
      <c r="G62" s="119"/>
      <c r="H62" s="115"/>
      <c r="I62" s="116"/>
      <c r="J62" s="70">
        <f t="shared" si="2"/>
        <v>0</v>
      </c>
      <c r="N62" s="29">
        <f t="shared" si="3"/>
        <v>0</v>
      </c>
    </row>
    <row r="63" spans="1:14" hidden="1">
      <c r="A63" s="58"/>
      <c r="B63" s="104"/>
      <c r="C63" s="105"/>
      <c r="D63" s="104"/>
      <c r="E63" s="111"/>
      <c r="F63" s="108"/>
      <c r="G63" s="109"/>
      <c r="H63" s="110"/>
      <c r="I63" s="111"/>
      <c r="J63" s="70">
        <f t="shared" si="2"/>
        <v>0</v>
      </c>
      <c r="N63" s="29">
        <f t="shared" si="3"/>
        <v>0</v>
      </c>
    </row>
    <row r="64" spans="1:14" hidden="1">
      <c r="A64" s="58"/>
      <c r="B64" s="104"/>
      <c r="C64" s="105"/>
      <c r="D64" s="104"/>
      <c r="E64" s="111"/>
      <c r="F64" s="108"/>
      <c r="G64" s="109"/>
      <c r="H64" s="110"/>
      <c r="I64" s="111"/>
      <c r="J64" s="70">
        <f t="shared" si="2"/>
        <v>0</v>
      </c>
      <c r="N64" s="29">
        <f t="shared" si="3"/>
        <v>0</v>
      </c>
    </row>
    <row r="65" spans="1:14" hidden="1">
      <c r="A65" s="58"/>
      <c r="B65" s="104"/>
      <c r="C65" s="105"/>
      <c r="D65" s="104"/>
      <c r="E65" s="105"/>
      <c r="F65" s="108"/>
      <c r="G65" s="119"/>
      <c r="H65" s="110"/>
      <c r="I65" s="111"/>
      <c r="J65" s="70">
        <f t="shared" si="2"/>
        <v>0</v>
      </c>
      <c r="N65" s="29">
        <f t="shared" si="3"/>
        <v>0</v>
      </c>
    </row>
    <row r="66" spans="1:14" hidden="1">
      <c r="A66" s="58" t="s">
        <v>64</v>
      </c>
      <c r="B66" s="104"/>
      <c r="C66" s="111"/>
      <c r="D66" s="104"/>
      <c r="E66" s="111"/>
      <c r="F66" s="108"/>
      <c r="G66" s="109"/>
      <c r="H66" s="110"/>
      <c r="I66" s="111"/>
      <c r="J66" s="70">
        <f t="shared" si="2"/>
        <v>0</v>
      </c>
      <c r="N66" s="29">
        <f t="shared" si="3"/>
        <v>0</v>
      </c>
    </row>
    <row r="68" spans="1:14">
      <c r="A68" s="31" t="s">
        <v>65</v>
      </c>
      <c r="B68" s="61" t="s">
        <v>26</v>
      </c>
      <c r="D68" s="29" t="s">
        <v>27</v>
      </c>
      <c r="F68" s="29" t="s">
        <v>28</v>
      </c>
      <c r="H68" s="29" t="s">
        <v>61</v>
      </c>
      <c r="J68" s="29" t="s">
        <v>5</v>
      </c>
    </row>
    <row r="69" spans="1:14">
      <c r="A69" s="29" t="s">
        <v>66</v>
      </c>
      <c r="B69" s="108"/>
      <c r="C69" s="109"/>
      <c r="D69" s="108"/>
      <c r="E69" s="109"/>
      <c r="F69" s="108"/>
      <c r="G69" s="109"/>
      <c r="H69" s="112"/>
      <c r="I69" s="109"/>
      <c r="J69" s="72">
        <f>SUM(B69:I69)</f>
        <v>0</v>
      </c>
    </row>
    <row r="70" spans="1:14">
      <c r="A70" s="29" t="s">
        <v>67</v>
      </c>
      <c r="B70" s="112"/>
      <c r="C70" s="109"/>
      <c r="D70" s="112"/>
      <c r="E70" s="109"/>
      <c r="F70" s="112"/>
      <c r="G70" s="109"/>
      <c r="H70" s="112"/>
      <c r="I70" s="109"/>
      <c r="J70" s="72">
        <f t="shared" ref="J70:J76" si="4">SUM(B70:I70)</f>
        <v>0</v>
      </c>
    </row>
    <row r="71" spans="1:14">
      <c r="A71" s="29" t="s">
        <v>68</v>
      </c>
      <c r="B71" s="108"/>
      <c r="C71" s="109"/>
      <c r="D71" s="108"/>
      <c r="E71" s="109"/>
      <c r="F71" s="108"/>
      <c r="G71" s="109"/>
      <c r="H71" s="112"/>
      <c r="I71" s="109"/>
      <c r="J71" s="72">
        <f t="shared" si="4"/>
        <v>0</v>
      </c>
    </row>
    <row r="72" spans="1:14">
      <c r="A72" s="29" t="s">
        <v>69</v>
      </c>
      <c r="B72" s="112"/>
      <c r="C72" s="109"/>
      <c r="D72" s="112"/>
      <c r="E72" s="109"/>
      <c r="F72" s="112"/>
      <c r="G72" s="109"/>
      <c r="H72" s="112"/>
      <c r="I72" s="109"/>
      <c r="J72" s="72">
        <f t="shared" si="4"/>
        <v>0</v>
      </c>
    </row>
    <row r="73" spans="1:14">
      <c r="A73" s="29" t="s">
        <v>70</v>
      </c>
      <c r="B73" s="108"/>
      <c r="C73" s="109"/>
      <c r="D73" s="108"/>
      <c r="E73" s="109"/>
      <c r="F73" s="108"/>
      <c r="G73" s="109"/>
      <c r="H73" s="112"/>
      <c r="I73" s="109"/>
      <c r="J73" s="72">
        <f t="shared" si="4"/>
        <v>0</v>
      </c>
    </row>
    <row r="74" spans="1:14">
      <c r="A74" s="29" t="s">
        <v>71</v>
      </c>
      <c r="B74" s="108"/>
      <c r="C74" s="109"/>
      <c r="D74" s="108"/>
      <c r="E74" s="109"/>
      <c r="F74" s="108">
        <v>5</v>
      </c>
      <c r="G74" s="109"/>
      <c r="H74" s="112"/>
      <c r="I74" s="109"/>
      <c r="J74" s="72">
        <f t="shared" si="4"/>
        <v>5</v>
      </c>
    </row>
    <row r="75" spans="1:14">
      <c r="A75" s="29" t="s">
        <v>72</v>
      </c>
      <c r="B75" s="117"/>
      <c r="C75" s="118"/>
      <c r="D75" s="117"/>
      <c r="E75" s="118"/>
      <c r="F75" s="117"/>
      <c r="G75" s="118"/>
      <c r="H75" s="118"/>
      <c r="I75" s="118"/>
      <c r="J75" s="72">
        <f t="shared" si="4"/>
        <v>0</v>
      </c>
    </row>
    <row r="76" spans="1:14">
      <c r="A76" s="29" t="s">
        <v>73</v>
      </c>
      <c r="B76" s="117"/>
      <c r="C76" s="118"/>
      <c r="D76" s="117">
        <v>10</v>
      </c>
      <c r="E76" s="118"/>
      <c r="F76" s="117">
        <v>20</v>
      </c>
      <c r="G76" s="118"/>
      <c r="H76" s="118"/>
      <c r="I76" s="118"/>
      <c r="J76" s="72">
        <f t="shared" si="4"/>
        <v>30</v>
      </c>
    </row>
    <row r="78" spans="1:14">
      <c r="A78" s="31" t="s">
        <v>74</v>
      </c>
      <c r="B78" s="61" t="s">
        <v>26</v>
      </c>
      <c r="D78" s="29" t="s">
        <v>27</v>
      </c>
      <c r="F78" s="29" t="s">
        <v>28</v>
      </c>
      <c r="H78" s="29" t="s">
        <v>61</v>
      </c>
      <c r="J78" s="29" t="s">
        <v>5</v>
      </c>
    </row>
    <row r="79" spans="1:14">
      <c r="A79" s="29" t="s">
        <v>75</v>
      </c>
      <c r="B79" s="108"/>
      <c r="C79" s="109"/>
      <c r="D79" s="108"/>
      <c r="E79" s="109"/>
      <c r="F79" s="108"/>
      <c r="G79" s="109"/>
      <c r="H79" s="112">
        <v>3</v>
      </c>
      <c r="I79" s="109"/>
      <c r="J79" s="72">
        <f>SUM(B79:I79)</f>
        <v>3</v>
      </c>
    </row>
    <row r="80" spans="1:14">
      <c r="A80" s="29" t="s">
        <v>76</v>
      </c>
      <c r="B80" s="108"/>
      <c r="C80" s="109"/>
      <c r="D80" s="108"/>
      <c r="E80" s="109"/>
      <c r="F80" s="108"/>
      <c r="G80" s="109"/>
      <c r="H80" s="112">
        <v>3</v>
      </c>
      <c r="I80" s="109"/>
      <c r="J80" s="72">
        <f t="shared" ref="J80:J82" si="5">SUM(B80:I80)</f>
        <v>3</v>
      </c>
    </row>
    <row r="81" spans="1:11">
      <c r="A81" s="29" t="s">
        <v>77</v>
      </c>
      <c r="B81" s="108"/>
      <c r="C81" s="109"/>
      <c r="D81" s="108">
        <v>5</v>
      </c>
      <c r="E81" s="109"/>
      <c r="F81" s="108"/>
      <c r="G81" s="109"/>
      <c r="H81" s="112">
        <v>5</v>
      </c>
      <c r="I81" s="109"/>
      <c r="J81" s="72">
        <f t="shared" si="5"/>
        <v>10</v>
      </c>
    </row>
    <row r="82" spans="1:11">
      <c r="A82" s="29" t="s">
        <v>78</v>
      </c>
      <c r="B82" s="108"/>
      <c r="C82" s="109"/>
      <c r="D82" s="108">
        <v>5</v>
      </c>
      <c r="E82" s="109"/>
      <c r="F82" s="108"/>
      <c r="G82" s="109"/>
      <c r="H82" s="112">
        <v>5</v>
      </c>
      <c r="I82" s="109"/>
      <c r="J82" s="72">
        <f t="shared" si="5"/>
        <v>10</v>
      </c>
    </row>
    <row r="84" spans="1:11">
      <c r="A84" s="31" t="s">
        <v>79</v>
      </c>
      <c r="B84" s="61" t="s">
        <v>26</v>
      </c>
      <c r="D84" s="29" t="s">
        <v>27</v>
      </c>
      <c r="F84" s="29" t="s">
        <v>28</v>
      </c>
      <c r="H84" s="29" t="s">
        <v>61</v>
      </c>
      <c r="J84" s="29" t="s">
        <v>5</v>
      </c>
    </row>
    <row r="85" spans="1:11">
      <c r="A85" s="29" t="s">
        <v>80</v>
      </c>
      <c r="B85" s="108"/>
      <c r="C85" s="109"/>
      <c r="D85" s="108"/>
      <c r="E85" s="109"/>
      <c r="F85" s="108"/>
      <c r="G85" s="109"/>
      <c r="H85" s="112"/>
      <c r="I85" s="109"/>
      <c r="J85" s="72">
        <f>SUM(B85:I85)</f>
        <v>0</v>
      </c>
    </row>
    <row r="86" spans="1:11">
      <c r="A86" s="29" t="s">
        <v>81</v>
      </c>
      <c r="B86" s="112">
        <v>4</v>
      </c>
      <c r="C86" s="109"/>
      <c r="D86" s="112">
        <v>4</v>
      </c>
      <c r="E86" s="109"/>
      <c r="F86" s="112"/>
      <c r="G86" s="109"/>
      <c r="H86" s="112">
        <v>4</v>
      </c>
      <c r="I86" s="109"/>
      <c r="J86" s="72">
        <f t="shared" ref="J86" si="6">SUM(B86:I86)</f>
        <v>12</v>
      </c>
    </row>
    <row r="87" spans="1:11">
      <c r="B87" s="61" t="s">
        <v>26</v>
      </c>
      <c r="D87" s="29" t="s">
        <v>27</v>
      </c>
      <c r="F87" s="29" t="s">
        <v>28</v>
      </c>
      <c r="H87" s="29" t="s">
        <v>82</v>
      </c>
    </row>
    <row r="88" spans="1:11" ht="15.5">
      <c r="B88" s="113"/>
      <c r="C88" s="114"/>
      <c r="D88" s="106"/>
      <c r="E88" s="107"/>
      <c r="F88" s="112"/>
      <c r="G88" s="109"/>
      <c r="H88" s="115"/>
      <c r="I88" s="116"/>
      <c r="J88" s="71">
        <f>SUM(B88:I88)</f>
        <v>0</v>
      </c>
    </row>
    <row r="89" spans="1:11" ht="15.5">
      <c r="B89" s="104"/>
      <c r="C89" s="105"/>
      <c r="D89" s="106"/>
      <c r="E89" s="107"/>
      <c r="F89" s="108"/>
      <c r="G89" s="109"/>
      <c r="H89" s="110"/>
      <c r="I89" s="111"/>
      <c r="J89" s="71">
        <f>SUM(B89:I89)</f>
        <v>0</v>
      </c>
    </row>
    <row r="90" spans="1:11" ht="15.5">
      <c r="B90" s="104"/>
      <c r="C90" s="105"/>
      <c r="D90" s="106"/>
      <c r="E90" s="107"/>
      <c r="F90" s="108"/>
      <c r="G90" s="109"/>
      <c r="H90" s="110"/>
      <c r="I90" s="111"/>
      <c r="J90" s="71">
        <f>SUM(B90:I90)</f>
        <v>0</v>
      </c>
      <c r="K90" s="65">
        <f>SUM(J88:J91)</f>
        <v>0</v>
      </c>
    </row>
    <row r="91" spans="1:11" ht="15.5">
      <c r="B91" s="104"/>
      <c r="C91" s="105"/>
      <c r="D91" s="106"/>
      <c r="E91" s="107"/>
      <c r="F91" s="108"/>
      <c r="G91" s="109"/>
      <c r="H91" s="110"/>
      <c r="I91" s="111"/>
      <c r="J91" s="71">
        <f>SUM(B91:I91)</f>
        <v>0</v>
      </c>
    </row>
    <row r="93" spans="1:11" ht="15.5">
      <c r="B93" s="104"/>
      <c r="C93" s="105"/>
      <c r="D93" s="106"/>
      <c r="E93" s="107"/>
      <c r="F93" s="108"/>
      <c r="G93" s="109"/>
      <c r="H93" s="110"/>
      <c r="I93" s="111"/>
      <c r="J93" s="71">
        <f>SUM(B93:I93)</f>
        <v>0</v>
      </c>
    </row>
  </sheetData>
  <mergeCells count="146">
    <mergeCell ref="B1:H1"/>
    <mergeCell ref="M10:AF10"/>
    <mergeCell ref="B50:C50"/>
    <mergeCell ref="D50:E50"/>
    <mergeCell ref="F50:G50"/>
    <mergeCell ref="H50:I50"/>
    <mergeCell ref="B51:C51"/>
    <mergeCell ref="D51:E51"/>
    <mergeCell ref="F51:G51"/>
    <mergeCell ref="H51:I51"/>
    <mergeCell ref="B52:C52"/>
    <mergeCell ref="D52:E52"/>
    <mergeCell ref="F52:G52"/>
    <mergeCell ref="H52:I52"/>
    <mergeCell ref="B53:C53"/>
    <mergeCell ref="D53:E53"/>
    <mergeCell ref="F53:G53"/>
    <mergeCell ref="H53:I53"/>
    <mergeCell ref="B54:C54"/>
    <mergeCell ref="D54:E54"/>
    <mergeCell ref="F54:G54"/>
    <mergeCell ref="H54:I54"/>
    <mergeCell ref="B55:C55"/>
    <mergeCell ref="D55:E55"/>
    <mergeCell ref="F55:G55"/>
    <mergeCell ref="H55:I55"/>
    <mergeCell ref="B56:C56"/>
    <mergeCell ref="D56:E56"/>
    <mergeCell ref="F56:G56"/>
    <mergeCell ref="H56:I56"/>
    <mergeCell ref="B57:C57"/>
    <mergeCell ref="D57:E57"/>
    <mergeCell ref="F57:G57"/>
    <mergeCell ref="H57:I57"/>
    <mergeCell ref="B58:C58"/>
    <mergeCell ref="D58:E58"/>
    <mergeCell ref="F58:G58"/>
    <mergeCell ref="H58:I58"/>
    <mergeCell ref="B59:C59"/>
    <mergeCell ref="D59:E59"/>
    <mergeCell ref="F59:G59"/>
    <mergeCell ref="H59:I59"/>
    <mergeCell ref="B60:C60"/>
    <mergeCell ref="D60:E60"/>
    <mergeCell ref="F60:G60"/>
    <mergeCell ref="H60:I60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64:C64"/>
    <mergeCell ref="D64:E64"/>
    <mergeCell ref="F64:G64"/>
    <mergeCell ref="H64:I64"/>
    <mergeCell ref="B65:C65"/>
    <mergeCell ref="D65:E65"/>
    <mergeCell ref="F65:G65"/>
    <mergeCell ref="H65:I65"/>
    <mergeCell ref="B66:C66"/>
    <mergeCell ref="D66:E66"/>
    <mergeCell ref="F66:G66"/>
    <mergeCell ref="H66:I66"/>
    <mergeCell ref="B69:C69"/>
    <mergeCell ref="D69:E69"/>
    <mergeCell ref="F69:G69"/>
    <mergeCell ref="H69:I69"/>
    <mergeCell ref="B70:C70"/>
    <mergeCell ref="D70:E70"/>
    <mergeCell ref="F70:G70"/>
    <mergeCell ref="H70:I70"/>
    <mergeCell ref="B71:C71"/>
    <mergeCell ref="D71:E71"/>
    <mergeCell ref="F71:G71"/>
    <mergeCell ref="H71:I71"/>
    <mergeCell ref="B72:C72"/>
    <mergeCell ref="D72:E72"/>
    <mergeCell ref="F72:G72"/>
    <mergeCell ref="H72:I72"/>
    <mergeCell ref="B73:C73"/>
    <mergeCell ref="D73:E73"/>
    <mergeCell ref="F73:G73"/>
    <mergeCell ref="H73:I73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  <mergeCell ref="H81:I81"/>
    <mergeCell ref="B82:C82"/>
    <mergeCell ref="D82:E82"/>
    <mergeCell ref="F82:G82"/>
    <mergeCell ref="H82:I82"/>
    <mergeCell ref="B85:C85"/>
    <mergeCell ref="D85:E85"/>
    <mergeCell ref="F85:G85"/>
    <mergeCell ref="H85:I85"/>
    <mergeCell ref="B86:C86"/>
    <mergeCell ref="D86:E86"/>
    <mergeCell ref="F86:G86"/>
    <mergeCell ref="H86:I86"/>
    <mergeCell ref="B88:C88"/>
    <mergeCell ref="D88:E88"/>
    <mergeCell ref="F88:G88"/>
    <mergeCell ref="H88:I88"/>
    <mergeCell ref="B93:C93"/>
    <mergeCell ref="D93:E93"/>
    <mergeCell ref="F93:G93"/>
    <mergeCell ref="H93:I93"/>
    <mergeCell ref="B89:C89"/>
    <mergeCell ref="D89:E89"/>
    <mergeCell ref="F89:G89"/>
    <mergeCell ref="H89:I89"/>
    <mergeCell ref="B90:C90"/>
    <mergeCell ref="D90:E90"/>
    <mergeCell ref="F90:G90"/>
    <mergeCell ref="H90:I90"/>
    <mergeCell ref="B91:C91"/>
    <mergeCell ref="D91:E91"/>
    <mergeCell ref="F91:G91"/>
    <mergeCell ref="H91:I91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topLeftCell="A3" workbookViewId="0">
      <selection activeCell="F17" sqref="F17"/>
    </sheetView>
  </sheetViews>
  <sheetFormatPr defaultColWidth="9" defaultRowHeight="14.5"/>
  <cols>
    <col min="1" max="1" width="12.1796875" customWidth="1"/>
    <col min="2" max="5" width="16.1796875" customWidth="1"/>
    <col min="6" max="6" width="18.453125" customWidth="1"/>
    <col min="7" max="7" width="12.26953125" customWidth="1"/>
  </cols>
  <sheetData>
    <row r="1" spans="1:8" ht="21">
      <c r="A1" s="1"/>
      <c r="C1" s="2"/>
      <c r="D1" s="2"/>
    </row>
    <row r="2" spans="1:8">
      <c r="A2" s="1"/>
    </row>
    <row r="3" spans="1:8">
      <c r="A3" s="3"/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</row>
    <row r="4" spans="1:8">
      <c r="A4" s="3" t="s">
        <v>7</v>
      </c>
      <c r="B4" s="10">
        <v>20407050</v>
      </c>
      <c r="C4" s="11">
        <f>'[10]IKHTISAR FC'!$B$44</f>
        <v>18352500</v>
      </c>
      <c r="D4" s="12">
        <f>'[11]IKHTISAR FC'!$B$44</f>
        <v>19154100</v>
      </c>
      <c r="E4" s="13">
        <f>'[12]IKHTISAR FC'!$B$44</f>
        <v>22207800</v>
      </c>
      <c r="F4" s="14">
        <f t="shared" ref="F4:F22" si="0">B4+C4+D4+E4</f>
        <v>80121450</v>
      </c>
      <c r="G4" s="15">
        <v>1</v>
      </c>
    </row>
    <row r="5" spans="1:8">
      <c r="A5" s="3" t="s">
        <v>83</v>
      </c>
      <c r="B5" s="10">
        <f>'[13]IKHTISAR FC'!$B$32</f>
        <v>12554647.401620399</v>
      </c>
      <c r="C5" s="11">
        <f>'[10]IKHTISAR FC'!$B$32</f>
        <v>10516031.7135417</v>
      </c>
      <c r="D5" s="12">
        <f>'[11]IKHTISAR FC'!$B$32</f>
        <v>11670135.7777778</v>
      </c>
      <c r="E5" s="13">
        <f>'[12]IKHTISAR FC'!$B$32</f>
        <v>13257001.49178</v>
      </c>
      <c r="F5" s="14">
        <f t="shared" si="0"/>
        <v>47997816.384719901</v>
      </c>
      <c r="G5" s="15">
        <f>F5/F4</f>
        <v>0.59906325190969301</v>
      </c>
    </row>
    <row r="6" spans="1:8">
      <c r="A6" s="3" t="s">
        <v>84</v>
      </c>
      <c r="B6" s="10">
        <f>'[13]IKHTISAR FC'!$D$32</f>
        <v>2114630.25</v>
      </c>
      <c r="C6" s="11">
        <f>'[10]IKHTISAR FC'!$D$32</f>
        <v>1709616</v>
      </c>
      <c r="D6" s="12">
        <f>'[11]IKHTISAR FC'!$D$32</f>
        <v>1567128</v>
      </c>
      <c r="E6" s="13">
        <f>'[12]IKHTISAR FC'!$D$32</f>
        <v>2261403</v>
      </c>
      <c r="F6" s="14">
        <f t="shared" si="0"/>
        <v>7652777.25</v>
      </c>
      <c r="G6" s="15">
        <f>F6/F4</f>
        <v>9.5514712352310197E-2</v>
      </c>
    </row>
    <row r="7" spans="1:8">
      <c r="A7" s="16" t="s">
        <v>8</v>
      </c>
      <c r="B7" s="17">
        <f>'[13]IKHTISAR FC'!$B$43</f>
        <v>14669277.651620399</v>
      </c>
      <c r="C7" s="18">
        <f>'[10]IKHTISAR FC'!$B$43</f>
        <v>12225647.7135417</v>
      </c>
      <c r="D7" s="19">
        <f>'[11]IKHTISAR FC'!$B$43</f>
        <v>13237263.7777778</v>
      </c>
      <c r="E7" s="20">
        <f>'[12]IKHTISAR FC'!$B$43</f>
        <v>15518404.49178</v>
      </c>
      <c r="F7" s="21">
        <f t="shared" si="0"/>
        <v>55650593.634719901</v>
      </c>
      <c r="G7" s="15">
        <f>F7/F4</f>
        <v>0.69457796426200302</v>
      </c>
      <c r="H7" s="28"/>
    </row>
    <row r="8" spans="1:8">
      <c r="A8" s="3" t="s">
        <v>9</v>
      </c>
      <c r="B8" s="22">
        <f>B7/B4</f>
        <v>0.71883381731413398</v>
      </c>
      <c r="C8" s="23">
        <f>C7/C4</f>
        <v>0.66615707470599095</v>
      </c>
      <c r="D8" s="24">
        <f>D7/D4</f>
        <v>0.69109296588081903</v>
      </c>
      <c r="E8" s="25">
        <f>E7/E4</f>
        <v>0.69878171146083801</v>
      </c>
      <c r="F8" s="26">
        <f>G7</f>
        <v>0.69457796426200302</v>
      </c>
      <c r="G8" s="15"/>
    </row>
    <row r="9" spans="1:8">
      <c r="A9" s="3" t="s">
        <v>11</v>
      </c>
      <c r="B9" s="10">
        <f>'[13]VENDOR REPORT'!$AJ$394</f>
        <v>332000</v>
      </c>
      <c r="C9" s="11">
        <f>'[10]VENDOR REPORT'!$AJ$394</f>
        <v>308000</v>
      </c>
      <c r="D9" s="12">
        <f>'[11]VENDOR REPORT'!$AJ$394</f>
        <v>592000</v>
      </c>
      <c r="E9" s="13">
        <f>'[12]VENDOR REPORT'!$AJ$394</f>
        <v>450000</v>
      </c>
      <c r="F9" s="14">
        <f t="shared" si="0"/>
        <v>1682000</v>
      </c>
      <c r="G9" s="15">
        <f>F9/F4</f>
        <v>2.0993129804815099E-2</v>
      </c>
    </row>
    <row r="10" spans="1:8">
      <c r="A10" s="3" t="s">
        <v>12</v>
      </c>
      <c r="B10" s="10">
        <f>'[13]VENDOR REPORT'!$AJ$395</f>
        <v>185450</v>
      </c>
      <c r="C10" s="11">
        <f>'[10]VENDOR REPORT'!$AJ$395</f>
        <v>334755</v>
      </c>
      <c r="D10" s="12">
        <f>'[11]VENDOR REPORT'!$AJ$395</f>
        <v>71045</v>
      </c>
      <c r="E10" s="13">
        <f>'[12]VENDOR REPORT'!$AJ$395</f>
        <v>-86430</v>
      </c>
      <c r="F10" s="14">
        <f t="shared" si="0"/>
        <v>504820</v>
      </c>
      <c r="G10" s="15">
        <f>F10/F4</f>
        <v>6.3006847729291E-3</v>
      </c>
    </row>
    <row r="11" spans="1:8">
      <c r="A11" s="3" t="s">
        <v>13</v>
      </c>
      <c r="B11" s="10">
        <f>'[13]VENDOR REPORT'!$AJ$396</f>
        <v>67500</v>
      </c>
      <c r="C11" s="11">
        <f>'[10]VENDOR REPORT'!$AJ$396</f>
        <v>114300</v>
      </c>
      <c r="D11" s="12">
        <f>'[11]VENDOR REPORT'!$AJ$396</f>
        <v>79300</v>
      </c>
      <c r="E11" s="13">
        <f>'[12]VENDOR REPORT'!$AF$396</f>
        <v>133900</v>
      </c>
      <c r="F11" s="14">
        <f t="shared" si="0"/>
        <v>395000</v>
      </c>
      <c r="G11" s="15">
        <f>F11/F4</f>
        <v>4.9300156200368303E-3</v>
      </c>
    </row>
    <row r="12" spans="1:8">
      <c r="A12" s="3" t="s">
        <v>14</v>
      </c>
      <c r="B12" s="10">
        <f>'[13]VENDOR REPORT'!$AJ$406</f>
        <v>200000</v>
      </c>
      <c r="C12" s="11">
        <f>'[10]VENDOR REPORT'!$AJ$406</f>
        <v>80000</v>
      </c>
      <c r="D12" s="12">
        <f>'[11]VENDOR REPORT'!$AJ$406</f>
        <v>0</v>
      </c>
      <c r="E12" s="13">
        <f>'[12]VENDOR REPORT'!$AF$406</f>
        <v>0</v>
      </c>
      <c r="F12" s="14">
        <f t="shared" si="0"/>
        <v>280000</v>
      </c>
      <c r="G12" s="15">
        <f>F12/F4</f>
        <v>3.49469461673497E-3</v>
      </c>
    </row>
    <row r="13" spans="1:8">
      <c r="A13" s="3" t="s">
        <v>15</v>
      </c>
      <c r="B13" s="10">
        <f>'[13]VENDOR REPORT'!$AF$407</f>
        <v>0</v>
      </c>
      <c r="C13" s="11"/>
      <c r="D13" s="12">
        <f>'[11]VENDOR REPORT'!$AF$407</f>
        <v>700000</v>
      </c>
      <c r="E13" s="13"/>
      <c r="F13" s="14">
        <f t="shared" si="0"/>
        <v>700000</v>
      </c>
      <c r="G13" s="15">
        <f>F13/F4</f>
        <v>8.7367365418374206E-3</v>
      </c>
    </row>
    <row r="14" spans="1:8">
      <c r="A14" s="3" t="s">
        <v>16</v>
      </c>
      <c r="B14" s="10"/>
      <c r="C14" s="11"/>
      <c r="D14" s="12"/>
      <c r="E14" s="13"/>
      <c r="F14" s="14">
        <f t="shared" si="0"/>
        <v>0</v>
      </c>
      <c r="G14" s="15">
        <f>F14/F4</f>
        <v>0</v>
      </c>
    </row>
    <row r="15" spans="1:8">
      <c r="A15" s="3" t="s">
        <v>17</v>
      </c>
      <c r="B15" s="10"/>
      <c r="C15" s="11"/>
      <c r="D15" s="12">
        <f>'[11]VENDOR REPORT'!$AF$397</f>
        <v>1435230</v>
      </c>
      <c r="E15" s="13"/>
      <c r="F15" s="14">
        <f t="shared" si="0"/>
        <v>1435230</v>
      </c>
      <c r="G15" s="15">
        <f>F15/F4</f>
        <v>1.79131805527733E-2</v>
      </c>
    </row>
    <row r="16" spans="1:8">
      <c r="A16" s="3" t="s">
        <v>18</v>
      </c>
      <c r="B16" s="10">
        <f>'[13]VENDOR REPORT'!$AF$403</f>
        <v>15000000</v>
      </c>
      <c r="C16" s="11">
        <f>'[10]VENDOR REPORT'!$AJ$403</f>
        <v>5000000</v>
      </c>
      <c r="D16" s="12">
        <f>'[11]VENDOR REPORT'!$AF$403</f>
        <v>4500000</v>
      </c>
      <c r="E16" s="13">
        <f>'[12]VENDOR REPORT'!$J$403+'[12]VENDOR REPORT'!$R$403</f>
        <v>10500000</v>
      </c>
      <c r="F16" s="14">
        <f t="shared" si="0"/>
        <v>35000000</v>
      </c>
      <c r="G16" s="15">
        <f>F16/F4</f>
        <v>0.43683682709187099</v>
      </c>
    </row>
    <row r="17" spans="1:7">
      <c r="A17" s="3" t="s">
        <v>85</v>
      </c>
      <c r="B17" s="10"/>
      <c r="C17" s="11"/>
      <c r="D17" s="12"/>
      <c r="E17" s="13">
        <f>'[12]VENDOR REPORT'!$V$403</f>
        <v>2299269</v>
      </c>
      <c r="F17" s="14">
        <f t="shared" si="0"/>
        <v>2299269</v>
      </c>
      <c r="G17" s="15">
        <f>F17/F4</f>
        <v>2.8697296416877099E-2</v>
      </c>
    </row>
    <row r="18" spans="1:7">
      <c r="A18" s="3" t="s">
        <v>86</v>
      </c>
      <c r="B18" s="10">
        <f>'[13]VENDOR REPORT'!$AF$391</f>
        <v>367740</v>
      </c>
      <c r="C18" s="11"/>
      <c r="D18" s="12">
        <f>'[11]VENDOR REPORT'!$AF$391</f>
        <v>670104</v>
      </c>
      <c r="E18" s="13"/>
      <c r="F18" s="14">
        <f t="shared" si="0"/>
        <v>1037844</v>
      </c>
      <c r="G18" s="15">
        <f>F18/F4</f>
        <v>1.2953385142180999E-2</v>
      </c>
    </row>
    <row r="19" spans="1:7">
      <c r="A19" s="3" t="s">
        <v>19</v>
      </c>
      <c r="B19" s="10"/>
      <c r="C19" s="11"/>
      <c r="D19" s="12"/>
      <c r="E19" s="13">
        <f>'[12]VENDOR REPORT'!$AF$390</f>
        <v>10200000</v>
      </c>
      <c r="F19" s="14">
        <f t="shared" si="0"/>
        <v>10200000</v>
      </c>
      <c r="G19" s="15">
        <f>F19/F4</f>
        <v>0.12730673246677399</v>
      </c>
    </row>
    <row r="20" spans="1:7">
      <c r="A20" s="3" t="s">
        <v>87</v>
      </c>
      <c r="B20" s="10"/>
      <c r="C20" s="11"/>
      <c r="D20" s="12">
        <f>'[11]VENDOR REPORT'!$AF$410</f>
        <v>700000</v>
      </c>
      <c r="E20" s="13"/>
      <c r="F20" s="14">
        <f t="shared" si="0"/>
        <v>700000</v>
      </c>
      <c r="G20" s="15">
        <f>F20/F4</f>
        <v>8.7367365418374206E-3</v>
      </c>
    </row>
    <row r="21" spans="1:7">
      <c r="A21" s="3" t="s">
        <v>20</v>
      </c>
      <c r="B21" s="10"/>
      <c r="C21" s="11"/>
      <c r="D21" s="12"/>
      <c r="E21" s="13"/>
      <c r="F21" s="14">
        <f t="shared" si="0"/>
        <v>0</v>
      </c>
      <c r="G21" s="15">
        <f>F21/F4</f>
        <v>0</v>
      </c>
    </row>
    <row r="22" spans="1:7">
      <c r="A22" s="3" t="s">
        <v>21</v>
      </c>
      <c r="B22" s="10"/>
      <c r="C22" s="11"/>
      <c r="D22" s="12">
        <f>'[11]VENDOR REPORT'!$P$409</f>
        <v>468211</v>
      </c>
      <c r="E22" s="13"/>
      <c r="F22" s="14">
        <f t="shared" si="0"/>
        <v>468211</v>
      </c>
      <c r="G22" s="15">
        <f>F22/F4</f>
        <v>5.8437659328432002E-3</v>
      </c>
    </row>
    <row r="23" spans="1:7">
      <c r="A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C1" sqref="C1"/>
    </sheetView>
  </sheetViews>
  <sheetFormatPr defaultColWidth="9" defaultRowHeight="14.5"/>
  <cols>
    <col min="1" max="1" width="15.54296875" customWidth="1"/>
    <col min="2" max="2" width="12.7265625" customWidth="1"/>
    <col min="3" max="3" width="12.453125" customWidth="1"/>
    <col min="4" max="4" width="13" customWidth="1"/>
    <col min="5" max="5" width="15.7265625" customWidth="1"/>
    <col min="6" max="6" width="12" customWidth="1"/>
  </cols>
  <sheetData>
    <row r="1" spans="1:7" ht="21">
      <c r="A1" s="1"/>
      <c r="C1" s="2"/>
      <c r="D1" s="2"/>
    </row>
    <row r="2" spans="1:7">
      <c r="A2" s="1"/>
    </row>
    <row r="3" spans="1:7">
      <c r="A3" s="3"/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</row>
    <row r="4" spans="1:7">
      <c r="A4" s="3" t="s">
        <v>7</v>
      </c>
      <c r="B4" s="10"/>
      <c r="C4" s="11"/>
      <c r="D4" s="12"/>
      <c r="E4" s="13"/>
      <c r="F4" s="14">
        <f t="shared" ref="F4:F18" si="0">B4+C4+D4+E4</f>
        <v>0</v>
      </c>
      <c r="G4" s="15">
        <f>F4/220000000</f>
        <v>0</v>
      </c>
    </row>
    <row r="5" spans="1:7">
      <c r="A5" s="16" t="s">
        <v>8</v>
      </c>
      <c r="B5" s="17"/>
      <c r="C5" s="18"/>
      <c r="D5" s="19"/>
      <c r="E5" s="20"/>
      <c r="F5" s="21">
        <f t="shared" si="0"/>
        <v>0</v>
      </c>
      <c r="G5" s="15" t="e">
        <f>F5/F4</f>
        <v>#DIV/0!</v>
      </c>
    </row>
    <row r="6" spans="1:7">
      <c r="A6" s="3" t="s">
        <v>9</v>
      </c>
      <c r="B6" s="22"/>
      <c r="C6" s="23"/>
      <c r="D6" s="24"/>
      <c r="E6" s="25"/>
      <c r="F6" s="26">
        <f t="shared" si="0"/>
        <v>0</v>
      </c>
      <c r="G6" s="15">
        <f>F6/4</f>
        <v>0</v>
      </c>
    </row>
    <row r="7" spans="1:7">
      <c r="A7" s="3" t="s">
        <v>10</v>
      </c>
      <c r="B7" s="22"/>
      <c r="C7" s="23"/>
      <c r="D7" s="24"/>
      <c r="E7" s="25"/>
      <c r="F7" s="26">
        <f t="shared" si="0"/>
        <v>0</v>
      </c>
      <c r="G7" s="15">
        <f>F7/4</f>
        <v>0</v>
      </c>
    </row>
    <row r="8" spans="1:7">
      <c r="A8" s="3" t="s">
        <v>11</v>
      </c>
      <c r="B8" s="10"/>
      <c r="C8" s="11"/>
      <c r="D8" s="12"/>
      <c r="E8" s="13"/>
      <c r="F8" s="14">
        <f t="shared" si="0"/>
        <v>0</v>
      </c>
      <c r="G8" s="15" t="e">
        <f>F8/F4</f>
        <v>#DIV/0!</v>
      </c>
    </row>
    <row r="9" spans="1:7">
      <c r="A9" s="3" t="s">
        <v>12</v>
      </c>
      <c r="B9" s="10"/>
      <c r="C9" s="11"/>
      <c r="D9" s="12"/>
      <c r="E9" s="13"/>
      <c r="F9" s="14">
        <f t="shared" si="0"/>
        <v>0</v>
      </c>
      <c r="G9" s="15" t="e">
        <f>F9/F4</f>
        <v>#DIV/0!</v>
      </c>
    </row>
    <row r="10" spans="1:7">
      <c r="A10" s="3" t="s">
        <v>13</v>
      </c>
      <c r="B10" s="10"/>
      <c r="C10" s="11"/>
      <c r="D10" s="12"/>
      <c r="E10" s="13"/>
      <c r="F10" s="14">
        <f t="shared" si="0"/>
        <v>0</v>
      </c>
      <c r="G10" s="15" t="e">
        <f>F10/F4</f>
        <v>#DIV/0!</v>
      </c>
    </row>
    <row r="11" spans="1:7">
      <c r="A11" s="3" t="s">
        <v>14</v>
      </c>
      <c r="B11" s="10"/>
      <c r="C11" s="11"/>
      <c r="D11" s="12"/>
      <c r="E11" s="13"/>
      <c r="F11" s="14">
        <f t="shared" si="0"/>
        <v>0</v>
      </c>
      <c r="G11" s="15" t="e">
        <f>F11/F4</f>
        <v>#DIV/0!</v>
      </c>
    </row>
    <row r="12" spans="1:7">
      <c r="A12" s="3" t="s">
        <v>15</v>
      </c>
      <c r="B12" s="10"/>
      <c r="C12" s="11"/>
      <c r="D12" s="12"/>
      <c r="E12" s="13"/>
      <c r="F12" s="14">
        <f t="shared" si="0"/>
        <v>0</v>
      </c>
      <c r="G12" s="15" t="e">
        <f>F12/F4</f>
        <v>#DIV/0!</v>
      </c>
    </row>
    <row r="13" spans="1:7">
      <c r="A13" s="3" t="s">
        <v>16</v>
      </c>
      <c r="B13" s="10"/>
      <c r="C13" s="11"/>
      <c r="D13" s="12"/>
      <c r="E13" s="13"/>
      <c r="F13" s="14">
        <f t="shared" si="0"/>
        <v>0</v>
      </c>
      <c r="G13" s="15" t="e">
        <f>F13/F4</f>
        <v>#DIV/0!</v>
      </c>
    </row>
    <row r="14" spans="1:7">
      <c r="A14" s="3" t="s">
        <v>17</v>
      </c>
      <c r="B14" s="10"/>
      <c r="C14" s="11"/>
      <c r="D14" s="12"/>
      <c r="E14" s="13"/>
      <c r="F14" s="14">
        <f t="shared" si="0"/>
        <v>0</v>
      </c>
      <c r="G14" s="15" t="e">
        <f>F14/F4</f>
        <v>#DIV/0!</v>
      </c>
    </row>
    <row r="15" spans="1:7">
      <c r="A15" s="3" t="s">
        <v>18</v>
      </c>
      <c r="B15" s="10"/>
      <c r="C15" s="11"/>
      <c r="D15" s="12"/>
      <c r="E15" s="13"/>
      <c r="F15" s="14">
        <f t="shared" si="0"/>
        <v>0</v>
      </c>
      <c r="G15" s="15" t="e">
        <f>F15/F4</f>
        <v>#DIV/0!</v>
      </c>
    </row>
    <row r="16" spans="1:7">
      <c r="A16" s="3" t="s">
        <v>19</v>
      </c>
      <c r="B16" s="10"/>
      <c r="C16" s="11"/>
      <c r="D16" s="12"/>
      <c r="E16" s="13"/>
      <c r="F16" s="14">
        <f t="shared" si="0"/>
        <v>0</v>
      </c>
      <c r="G16" s="15" t="e">
        <f>F16/F4</f>
        <v>#DIV/0!</v>
      </c>
    </row>
    <row r="17" spans="1:7">
      <c r="A17" s="3" t="s">
        <v>20</v>
      </c>
      <c r="B17" s="10"/>
      <c r="C17" s="11"/>
      <c r="D17" s="12"/>
      <c r="E17" s="13"/>
      <c r="F17" s="14">
        <f t="shared" si="0"/>
        <v>0</v>
      </c>
      <c r="G17" s="15" t="e">
        <f>F17/F4</f>
        <v>#DIV/0!</v>
      </c>
    </row>
    <row r="18" spans="1:7">
      <c r="A18" s="3" t="s">
        <v>21</v>
      </c>
      <c r="B18" s="10"/>
      <c r="C18" s="11"/>
      <c r="D18" s="12"/>
      <c r="E18" s="13"/>
      <c r="F18" s="14">
        <f t="shared" si="0"/>
        <v>0</v>
      </c>
      <c r="G18" s="27" t="e">
        <f>F18/F4</f>
        <v>#DIV/0!</v>
      </c>
    </row>
    <row r="19" spans="1:7">
      <c r="A19" s="1"/>
    </row>
    <row r="20" spans="1:7">
      <c r="B2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MEI</vt:lpstr>
      <vt:lpstr>JUNI</vt:lpstr>
      <vt:lpstr>JULI</vt:lpstr>
      <vt:lpstr>RC SAMATA</vt:lpstr>
      <vt:lpstr>APRIL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dcterms:created xsi:type="dcterms:W3CDTF">2016-02-03T04:46:00Z</dcterms:created>
  <dcterms:modified xsi:type="dcterms:W3CDTF">2026-03-04T12:58:12Z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9B5A1DC4D1DA4DB9BFE3C82813714CD2_12</vt:lpwstr>
  </property>
  <property fmtid="{D5CDD505-2E9C-101B-9397-08002B2CF9AE}" pid="3" name="KSOProductBuildVer">
    <vt:lpwstr>1033-12.2.0.23196</vt:lpwstr>
  </property>
</Properties>
</file>