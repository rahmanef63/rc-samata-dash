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LAPORAN\LAPORAN RC SAMATA 2026\MARET 2026\"/>
    </mc:Choice>
  </mc:AlternateContent>
  <xr:revisionPtr revIDLastSave="0" documentId="13_ncr:1_{E3CCC561-FC67-42DC-9283-4FED01F4E648}" xr6:coauthVersionLast="47" xr6:coauthVersionMax="47" xr10:uidLastSave="{00000000-0000-0000-0000-000000000000}"/>
  <bookViews>
    <workbookView xWindow="-110" yWindow="-110" windowWidth="19420" windowHeight="10300" tabRatio="873" xr2:uid="{00000000-000D-0000-FFFF-FFFF00000000}"/>
  </bookViews>
  <sheets>
    <sheet name="ABSENSI" sheetId="4" r:id="rId1"/>
    <sheet name="PIKET" sheetId="5" r:id="rId2"/>
  </sheets>
  <definedNames>
    <definedName name="_xlnm.Print_Area" localSheetId="0">ABSENSI!$A$1:$AG$34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7" i="4" l="1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8" i="4"/>
  <c r="AS23" i="4" l="1"/>
</calcChain>
</file>

<file path=xl/sharedStrings.xml><?xml version="1.0" encoding="utf-8"?>
<sst xmlns="http://schemas.openxmlformats.org/spreadsheetml/2006/main" count="411" uniqueCount="101">
  <si>
    <t>DAFTAR  HADIR  KARYAWAN</t>
  </si>
  <si>
    <t>Cabang : SAMATA GOWA SULSEL</t>
  </si>
  <si>
    <t>SN</t>
  </si>
  <si>
    <t>SL</t>
  </si>
  <si>
    <t>RB</t>
  </si>
  <si>
    <t>KM</t>
  </si>
  <si>
    <t>JM</t>
  </si>
  <si>
    <t>SB</t>
  </si>
  <si>
    <t>MG</t>
  </si>
  <si>
    <t>No.</t>
  </si>
  <si>
    <t>Nama</t>
  </si>
  <si>
    <t>SUPERVISOR</t>
  </si>
  <si>
    <t>M</t>
  </si>
  <si>
    <t>A</t>
  </si>
  <si>
    <t>X</t>
  </si>
  <si>
    <t>COOK</t>
  </si>
  <si>
    <t>MA</t>
  </si>
  <si>
    <t>KASIR</t>
  </si>
  <si>
    <t>TRIANA ASTUTI</t>
  </si>
  <si>
    <t>SITTI ANNISA PUTRI</t>
  </si>
  <si>
    <t>SULFIANI</t>
  </si>
  <si>
    <t>HANDAYANI</t>
  </si>
  <si>
    <t>TOTAL</t>
  </si>
  <si>
    <t>Paraf  In-Charge --&gt;</t>
  </si>
  <si>
    <t>#  Setiap Hari diisi oleh Manager In-Charge / yang diberi Kewenangan mengisi</t>
  </si>
  <si>
    <t>#  Akhir  Bulan dikirim Ke Office dijadikan satu dg Lap.  MTD.</t>
  </si>
  <si>
    <t>Ket. Isian :</t>
  </si>
  <si>
    <t>Msk Kerja Pagi</t>
  </si>
  <si>
    <t>Msk Kerja Malam</t>
  </si>
  <si>
    <t>Msk Kerja Split</t>
  </si>
  <si>
    <t xml:space="preserve">Libur </t>
  </si>
  <si>
    <t>EX</t>
  </si>
  <si>
    <t>Extra  Libur</t>
  </si>
  <si>
    <t>I</t>
  </si>
  <si>
    <t>Ijin Tdk Msk Kerja</t>
  </si>
  <si>
    <t>S</t>
  </si>
  <si>
    <t>Ijin  Sakit</t>
  </si>
  <si>
    <t>C</t>
  </si>
  <si>
    <t>Cuti</t>
  </si>
  <si>
    <t>O</t>
  </si>
  <si>
    <t>Tdk Msk Kerja Tanpa Keterangan</t>
  </si>
  <si>
    <t>Catatan :</t>
  </si>
  <si>
    <t xml:space="preserve">TUKERAN JADWAL MAKSIMAL 2X HARUS IZIN SPV TANPA SEPENGETAHUAN UANG KEHADIRAN HANGUS </t>
  </si>
  <si>
    <t>!!</t>
  </si>
  <si>
    <t>DIBUAT OLEH,</t>
  </si>
  <si>
    <t>TETAP JALANKAN DQSC !!</t>
  </si>
  <si>
    <t>REQ</t>
  </si>
  <si>
    <t>OFFF              MOHON UNTUK DIJALANKAN !! TERIMAKASIH</t>
  </si>
  <si>
    <t xml:space="preserve">                   JANGAN LUPA ABSEN BERANGKAT DAN PULANG!</t>
  </si>
  <si>
    <t xml:space="preserve">     JADWAL SEWAKTU WAKTU BISA BERUBAH SESUAI KONDISI OPERASIONAL ~</t>
  </si>
  <si>
    <t>JADWAL PIKET RC SAMATA GOWA</t>
  </si>
  <si>
    <t>GUDANG &amp; SHOWCASE &amp;KONTER</t>
  </si>
  <si>
    <t>MINGGU 3 NISA</t>
  </si>
  <si>
    <t>FREEZER KASIR</t>
  </si>
  <si>
    <t>MINGGU 3 SULFI</t>
  </si>
  <si>
    <t>FREEZER AYAM &amp; DAERAH MIKAS</t>
  </si>
  <si>
    <t>GESTREP</t>
  </si>
  <si>
    <t>CHILLER</t>
  </si>
  <si>
    <t>DISHWASHER TIAP AKHIR SHIFT!!!</t>
  </si>
  <si>
    <t>BAWAH BOWL SINK/SEBELAH GESTREP</t>
  </si>
  <si>
    <t>COOK / WASHER TIAP AKHIR SHIFT !!!</t>
  </si>
  <si>
    <t>BAWAH FRYER !!!</t>
  </si>
  <si>
    <t xml:space="preserve">NB. MOHON DIJALANKAN SESUAI JADWAL </t>
  </si>
  <si>
    <t>HASIL PIKET WAJIB KIRIM BUKTI FOTO DI GRUP !!!</t>
  </si>
  <si>
    <t xml:space="preserve">DAN TANGGUNG JAWABNYA </t>
  </si>
  <si>
    <t>TERIMAKASIH</t>
  </si>
  <si>
    <t>SALDI</t>
  </si>
  <si>
    <t>ILHAM</t>
  </si>
  <si>
    <t>IKKI</t>
  </si>
  <si>
    <t>TRANSPORT</t>
  </si>
  <si>
    <t>MINGGU 1 IKKI</t>
  </si>
  <si>
    <t>SEMANGAT TEAM SAMATA SEMOGA BULAN INI TEMBUS TARGET</t>
  </si>
  <si>
    <t>AL DANNY IRVAN N</t>
  </si>
  <si>
    <t>DATA GAJI KARYAWAN RC SAMATA MARET 2025</t>
  </si>
  <si>
    <t>BULAN MARET 2026</t>
  </si>
  <si>
    <t>AL DANNY</t>
  </si>
  <si>
    <t>BAGAS</t>
  </si>
  <si>
    <t>AL DANNY IRVAN NUGROHO</t>
  </si>
  <si>
    <t>بِسْمِ اللَّهِ الرَّحْمَٰنِ الرَّحِيمِ </t>
  </si>
  <si>
    <t>EOD</t>
  </si>
  <si>
    <t>HK</t>
  </si>
  <si>
    <t>IDUL FITRI :)</t>
  </si>
  <si>
    <t>GAJI POKOK</t>
  </si>
  <si>
    <t>GAJI PERHARI</t>
  </si>
  <si>
    <t>GAJI LEMBUR PERHARI</t>
  </si>
  <si>
    <t>PENAMPILAN</t>
  </si>
  <si>
    <t>KOS</t>
  </si>
  <si>
    <t>BPJS</t>
  </si>
  <si>
    <t>ESTIMASI</t>
  </si>
  <si>
    <t>MIMGGU 1 TIARA</t>
  </si>
  <si>
    <t>MINGGU 2 YANI</t>
  </si>
  <si>
    <t>MINGGU 4  SULFI</t>
  </si>
  <si>
    <t>MINGGU 1 YANI</t>
  </si>
  <si>
    <t>MINGGU 2 TIARA</t>
  </si>
  <si>
    <t>MINGGU 4 NISA</t>
  </si>
  <si>
    <t>MINGGU 1 BAGAS</t>
  </si>
  <si>
    <t>MINGGU 2 IKKI</t>
  </si>
  <si>
    <t>MINGGU 3 ILHAM</t>
  </si>
  <si>
    <t>MINGGU 4 BAGAS</t>
  </si>
  <si>
    <t>MINGGU 4 IKKI</t>
  </si>
  <si>
    <t>MINGGU 2 BAGAS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</si>
</sst>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&quot;Rp&quot;* #,##0_-;\-&quot;Rp&quot;* #,##0_-;_-&quot;Rp&quot;* &quot;-&quot;??_-;_-@_-"/>
    <numFmt numFmtId="165" formatCode="_-&quot;Rp&quot;* #,##0_-;\-&quot;Rp&quot;* #,##0_-;_-&quot;Rp&quot;* &quot;-&quot;_-;_-@_-"/>
  </numFmts>
  <fonts count="36"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20"/>
      <name val="Americana XBd BT"/>
      <charset val="134"/>
    </font>
    <font>
      <b/>
      <sz val="11"/>
      <name val="Americana XBd BT"/>
      <charset val="134"/>
    </font>
    <font>
      <b/>
      <i/>
      <sz val="10"/>
      <name val="Arial"/>
      <charset val="134"/>
    </font>
    <font>
      <b/>
      <i/>
      <sz val="20"/>
      <name val="Americana XBd BT"/>
      <charset val="134"/>
    </font>
    <font>
      <b/>
      <i/>
      <sz val="25"/>
      <name val="AvantGarde Bk BT"/>
      <charset val="134"/>
    </font>
    <font>
      <b/>
      <i/>
      <sz val="18"/>
      <name val="AvantGarde Bk BT"/>
      <charset val="134"/>
    </font>
    <font>
      <b/>
      <i/>
      <sz val="12"/>
      <name val="Benguiat Bk BT"/>
      <charset val="134"/>
    </font>
    <font>
      <b/>
      <i/>
      <sz val="10"/>
      <name val="Aharoni"/>
      <charset val="177"/>
    </font>
    <font>
      <b/>
      <i/>
      <sz val="12"/>
      <name val="Arial"/>
      <charset val="134"/>
    </font>
    <font>
      <b/>
      <i/>
      <sz val="12"/>
      <color theme="1"/>
      <name val="Arial"/>
      <charset val="134"/>
    </font>
    <font>
      <b/>
      <i/>
      <sz val="12"/>
      <name val="Dauphin"/>
      <charset val="134"/>
    </font>
    <font>
      <b/>
      <i/>
      <sz val="12"/>
      <name val="Comic Sans MS"/>
      <charset val="134"/>
    </font>
    <font>
      <b/>
      <i/>
      <sz val="12"/>
      <name val="Batang"/>
      <charset val="134"/>
    </font>
    <font>
      <b/>
      <i/>
      <sz val="10"/>
      <name val="Batang"/>
      <charset val="134"/>
    </font>
    <font>
      <b/>
      <i/>
      <sz val="10"/>
      <name val="Comic Sans MS"/>
      <charset val="134"/>
    </font>
    <font>
      <b/>
      <i/>
      <sz val="18"/>
      <name val="Arial"/>
      <charset val="134"/>
    </font>
    <font>
      <b/>
      <i/>
      <sz val="20"/>
      <name val="Arial"/>
      <charset val="134"/>
    </font>
    <font>
      <b/>
      <i/>
      <sz val="16"/>
      <name val="Benguiat Bk BT"/>
      <charset val="134"/>
    </font>
    <font>
      <b/>
      <i/>
      <sz val="16"/>
      <name val="Arial"/>
      <charset val="134"/>
    </font>
    <font>
      <b/>
      <i/>
      <sz val="14"/>
      <name val="Arial"/>
      <charset val="134"/>
    </font>
    <font>
      <b/>
      <i/>
      <sz val="11"/>
      <name val="Arial"/>
      <charset val="134"/>
    </font>
    <font>
      <b/>
      <i/>
      <sz val="14"/>
      <name val="Aharoni"/>
      <charset val="177"/>
    </font>
    <font>
      <b/>
      <i/>
      <strike/>
      <sz val="10"/>
      <name val="Arial"/>
      <charset val="134"/>
    </font>
    <font>
      <sz val="10"/>
      <name val="Arial"/>
      <charset val="134"/>
    </font>
    <font>
      <b/>
      <i/>
      <sz val="10"/>
      <name val="Arial"/>
      <family val="2"/>
    </font>
    <font>
      <b/>
      <i/>
      <sz val="12"/>
      <name val="Arial"/>
      <family val="2"/>
    </font>
    <font>
      <b/>
      <i/>
      <sz val="26"/>
      <name val="Arial"/>
      <family val="2"/>
    </font>
    <font>
      <sz val="26"/>
      <color rgb="FF001D35"/>
      <name val="Arial"/>
      <family val="2"/>
    </font>
    <font>
      <b/>
      <i/>
      <sz val="18"/>
      <name val="Arial"/>
      <family val="2"/>
    </font>
    <font>
      <sz val="18"/>
      <color rgb="FF001D35"/>
      <name val="Arial"/>
      <family val="2"/>
    </font>
    <font>
      <b/>
      <i/>
      <sz val="14"/>
      <name val="Aharoni"/>
    </font>
    <font>
      <b/>
      <i/>
      <sz val="12"/>
      <color theme="1"/>
      <name val="Arial"/>
      <family val="2"/>
    </font>
    <font>
      <b/>
      <i/>
      <sz val="12"/>
      <name val="Aharoni"/>
    </font>
    <font>
      <b/>
      <i/>
      <sz val="10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1" fontId="25" fillId="0" borderId="0">
      <protection locked="0"/>
    </xf>
    <xf numFmtId="41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</cellStyleXfs>
  <cellXfs count="18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9" borderId="0" xfId="0" applyFont="1" applyFill="1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9" borderId="6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9" borderId="11" xfId="0" applyFont="1" applyFill="1" applyBorder="1"/>
    <xf numFmtId="0" fontId="10" fillId="9" borderId="11" xfId="0" applyFont="1" applyFill="1" applyBorder="1" applyAlignment="1">
      <alignment horizontal="center"/>
    </xf>
    <xf numFmtId="0" fontId="10" fillId="9" borderId="12" xfId="0" applyFont="1" applyFill="1" applyBorder="1"/>
    <xf numFmtId="0" fontId="12" fillId="9" borderId="13" xfId="0" applyFont="1" applyFill="1" applyBorder="1" applyAlignment="1">
      <alignment horizontal="center" vertical="center"/>
    </xf>
    <xf numFmtId="0" fontId="10" fillId="9" borderId="7" xfId="0" applyFont="1" applyFill="1" applyBorder="1"/>
    <xf numFmtId="0" fontId="12" fillId="9" borderId="14" xfId="0" applyFont="1" applyFill="1" applyBorder="1" applyAlignment="1">
      <alignment horizontal="center" vertical="center"/>
    </xf>
    <xf numFmtId="0" fontId="13" fillId="9" borderId="0" xfId="0" applyFont="1" applyFill="1"/>
    <xf numFmtId="0" fontId="10" fillId="9" borderId="9" xfId="0" applyFont="1" applyFill="1" applyBorder="1"/>
    <xf numFmtId="0" fontId="10" fillId="9" borderId="0" xfId="0" applyFont="1" applyFill="1"/>
    <xf numFmtId="0" fontId="12" fillId="9" borderId="0" xfId="0" applyFont="1" applyFill="1"/>
    <xf numFmtId="0" fontId="14" fillId="9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0" xfId="0" applyFont="1"/>
    <xf numFmtId="0" fontId="4" fillId="0" borderId="15" xfId="0" applyFont="1" applyBorder="1"/>
    <xf numFmtId="0" fontId="4" fillId="2" borderId="15" xfId="0" applyFont="1" applyFill="1" applyBorder="1"/>
    <xf numFmtId="0" fontId="4" fillId="9" borderId="15" xfId="0" applyFont="1" applyFill="1" applyBorder="1"/>
    <xf numFmtId="0" fontId="17" fillId="9" borderId="0" xfId="0" applyFont="1" applyFill="1"/>
    <xf numFmtId="0" fontId="18" fillId="0" borderId="0" xfId="0" applyFon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0" fillId="9" borderId="2" xfId="0" applyFont="1" applyFill="1" applyBorder="1"/>
    <xf numFmtId="0" fontId="10" fillId="9" borderId="3" xfId="0" applyFont="1" applyFill="1" applyBorder="1"/>
    <xf numFmtId="0" fontId="10" fillId="9" borderId="16" xfId="0" applyFont="1" applyFill="1" applyBorder="1"/>
    <xf numFmtId="0" fontId="10" fillId="9" borderId="17" xfId="0" applyFont="1" applyFill="1" applyBorder="1"/>
    <xf numFmtId="0" fontId="10" fillId="9" borderId="18" xfId="0" applyFont="1" applyFill="1" applyBorder="1"/>
    <xf numFmtId="0" fontId="10" fillId="9" borderId="6" xfId="0" applyFont="1" applyFill="1" applyBorder="1"/>
    <xf numFmtId="0" fontId="10" fillId="9" borderId="19" xfId="0" applyFont="1" applyFill="1" applyBorder="1"/>
    <xf numFmtId="0" fontId="10" fillId="9" borderId="13" xfId="0" applyFont="1" applyFill="1" applyBorder="1"/>
    <xf numFmtId="0" fontId="21" fillId="2" borderId="9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22" fillId="9" borderId="11" xfId="0" applyFont="1" applyFill="1" applyBorder="1" applyAlignment="1">
      <alignment horizontal="center"/>
    </xf>
    <xf numFmtId="0" fontId="18" fillId="9" borderId="11" xfId="0" applyFont="1" applyFill="1" applyBorder="1" applyAlignment="1">
      <alignment horizontal="center"/>
    </xf>
    <xf numFmtId="0" fontId="18" fillId="9" borderId="12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17" fillId="0" borderId="0" xfId="0" applyFont="1"/>
    <xf numFmtId="0" fontId="4" fillId="9" borderId="1" xfId="0" applyFont="1" applyFill="1" applyBorder="1"/>
    <xf numFmtId="0" fontId="4" fillId="9" borderId="0" xfId="0" applyFont="1" applyFill="1" applyAlignment="1">
      <alignment horizontal="center"/>
    </xf>
    <xf numFmtId="0" fontId="23" fillId="9" borderId="0" xfId="0" applyFont="1" applyFill="1"/>
    <xf numFmtId="165" fontId="21" fillId="0" borderId="0" xfId="0" applyNumberFormat="1" applyFont="1"/>
    <xf numFmtId="164" fontId="10" fillId="0" borderId="0" xfId="0" applyNumberFormat="1" applyFont="1"/>
    <xf numFmtId="165" fontId="4" fillId="0" borderId="0" xfId="0" applyNumberFormat="1" applyFont="1"/>
    <xf numFmtId="165" fontId="10" fillId="0" borderId="0" xfId="0" applyNumberFormat="1" applyFont="1"/>
    <xf numFmtId="0" fontId="4" fillId="0" borderId="0" xfId="0" applyFont="1" applyAlignment="1">
      <alignment horizontal="center"/>
    </xf>
    <xf numFmtId="0" fontId="23" fillId="0" borderId="0" xfId="0" applyFont="1"/>
    <xf numFmtId="164" fontId="23" fillId="0" borderId="0" xfId="0" applyNumberFormat="1" applyFont="1"/>
    <xf numFmtId="164" fontId="4" fillId="0" borderId="0" xfId="0" applyNumberFormat="1" applyFont="1"/>
    <xf numFmtId="0" fontId="4" fillId="10" borderId="0" xfId="0" applyFont="1" applyFill="1"/>
    <xf numFmtId="0" fontId="4" fillId="11" borderId="15" xfId="0" applyFont="1" applyFill="1" applyBorder="1"/>
    <xf numFmtId="0" fontId="10" fillId="10" borderId="7" xfId="0" applyFont="1" applyFill="1" applyBorder="1" applyAlignment="1">
      <alignment horizontal="center"/>
    </xf>
    <xf numFmtId="165" fontId="26" fillId="0" borderId="0" xfId="0" applyNumberFormat="1" applyFont="1"/>
    <xf numFmtId="0" fontId="14" fillId="12" borderId="1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/>
    </xf>
    <xf numFmtId="0" fontId="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0" xfId="0" applyFont="1" applyBorder="1"/>
    <xf numFmtId="0" fontId="31" fillId="0" borderId="0" xfId="0" applyFont="1"/>
    <xf numFmtId="0" fontId="27" fillId="9" borderId="11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26" fillId="9" borderId="0" xfId="0" applyFont="1" applyFill="1"/>
    <xf numFmtId="0" fontId="27" fillId="10" borderId="7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7" fillId="2" borderId="11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11" fillId="10" borderId="18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10" fillId="9" borderId="21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23" fillId="9" borderId="9" xfId="0" applyFont="1" applyFill="1" applyBorder="1"/>
    <xf numFmtId="0" fontId="4" fillId="9" borderId="9" xfId="0" applyFont="1" applyFill="1" applyBorder="1"/>
    <xf numFmtId="0" fontId="24" fillId="9" borderId="9" xfId="0" applyFont="1" applyFill="1" applyBorder="1"/>
    <xf numFmtId="0" fontId="4" fillId="0" borderId="9" xfId="0" applyFont="1" applyBorder="1"/>
    <xf numFmtId="0" fontId="4" fillId="0" borderId="22" xfId="0" applyFont="1" applyBorder="1"/>
    <xf numFmtId="0" fontId="26" fillId="9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9" xfId="0" applyFont="1" applyFill="1" applyBorder="1"/>
    <xf numFmtId="0" fontId="10" fillId="14" borderId="7" xfId="0" applyFont="1" applyFill="1" applyBorder="1" applyAlignment="1">
      <alignment horizontal="center"/>
    </xf>
    <xf numFmtId="0" fontId="10" fillId="14" borderId="9" xfId="0" applyFont="1" applyFill="1" applyBorder="1" applyAlignment="1">
      <alignment horizontal="center"/>
    </xf>
    <xf numFmtId="0" fontId="27" fillId="14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0" fillId="14" borderId="11" xfId="0" applyFont="1" applyFill="1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10" fillId="14" borderId="11" xfId="0" applyFont="1" applyFill="1" applyBorder="1"/>
    <xf numFmtId="0" fontId="10" fillId="14" borderId="2" xfId="0" applyFont="1" applyFill="1" applyBorder="1"/>
    <xf numFmtId="0" fontId="10" fillId="14" borderId="12" xfId="0" applyFont="1" applyFill="1" applyBorder="1"/>
    <xf numFmtId="0" fontId="10" fillId="14" borderId="16" xfId="0" applyFont="1" applyFill="1" applyBorder="1"/>
    <xf numFmtId="0" fontId="10" fillId="14" borderId="7" xfId="0" applyFont="1" applyFill="1" applyBorder="1"/>
    <xf numFmtId="0" fontId="10" fillId="14" borderId="18" xfId="0" applyFont="1" applyFill="1" applyBorder="1"/>
    <xf numFmtId="0" fontId="10" fillId="15" borderId="7" xfId="0" applyFont="1" applyFill="1" applyBorder="1" applyAlignment="1">
      <alignment horizontal="center"/>
    </xf>
    <xf numFmtId="0" fontId="27" fillId="15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0" fillId="15" borderId="11" xfId="0" applyFont="1" applyFill="1" applyBorder="1" applyAlignment="1">
      <alignment horizontal="center"/>
    </xf>
    <xf numFmtId="0" fontId="27" fillId="15" borderId="11" xfId="0" applyFont="1" applyFill="1" applyBorder="1" applyAlignment="1">
      <alignment horizontal="center"/>
    </xf>
    <xf numFmtId="0" fontId="10" fillId="15" borderId="11" xfId="0" applyFont="1" applyFill="1" applyBorder="1"/>
    <xf numFmtId="0" fontId="10" fillId="15" borderId="12" xfId="0" applyFont="1" applyFill="1" applyBorder="1"/>
    <xf numFmtId="0" fontId="10" fillId="15" borderId="7" xfId="0" applyFont="1" applyFill="1" applyBorder="1"/>
    <xf numFmtId="0" fontId="27" fillId="13" borderId="9" xfId="0" applyFont="1" applyFill="1" applyBorder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/>
    </xf>
    <xf numFmtId="0" fontId="27" fillId="13" borderId="11" xfId="0" applyFont="1" applyFill="1" applyBorder="1" applyAlignment="1">
      <alignment horizontal="center"/>
    </xf>
    <xf numFmtId="0" fontId="10" fillId="13" borderId="11" xfId="0" applyFont="1" applyFill="1" applyBorder="1"/>
    <xf numFmtId="0" fontId="10" fillId="13" borderId="12" xfId="0" applyFont="1" applyFill="1" applyBorder="1"/>
    <xf numFmtId="0" fontId="10" fillId="13" borderId="7" xfId="0" applyFont="1" applyFill="1" applyBorder="1"/>
    <xf numFmtId="0" fontId="32" fillId="9" borderId="9" xfId="0" applyFont="1" applyFill="1" applyBorder="1"/>
    <xf numFmtId="0" fontId="27" fillId="16" borderId="1" xfId="0" applyFont="1" applyFill="1" applyBorder="1" applyAlignment="1">
      <alignment horizontal="center"/>
    </xf>
    <xf numFmtId="0" fontId="33" fillId="9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6" borderId="21" xfId="0" applyFont="1" applyFill="1" applyBorder="1" applyAlignment="1">
      <alignment horizontal="center"/>
    </xf>
    <xf numFmtId="0" fontId="27" fillId="9" borderId="21" xfId="0" applyFont="1" applyFill="1" applyBorder="1" applyAlignment="1">
      <alignment horizontal="center"/>
    </xf>
    <xf numFmtId="0" fontId="27" fillId="16" borderId="11" xfId="0" applyFont="1" applyFill="1" applyBorder="1" applyAlignment="1">
      <alignment horizontal="center"/>
    </xf>
    <xf numFmtId="0" fontId="33" fillId="16" borderId="1" xfId="0" applyFont="1" applyFill="1" applyBorder="1" applyAlignment="1">
      <alignment horizontal="center"/>
    </xf>
    <xf numFmtId="0" fontId="10" fillId="16" borderId="11" xfId="0" applyFont="1" applyFill="1" applyBorder="1" applyAlignment="1">
      <alignment horizontal="center"/>
    </xf>
    <xf numFmtId="0" fontId="10" fillId="16" borderId="3" xfId="0" applyFont="1" applyFill="1" applyBorder="1" applyAlignment="1">
      <alignment horizontal="center"/>
    </xf>
    <xf numFmtId="165" fontId="26" fillId="0" borderId="1" xfId="0" applyNumberFormat="1" applyFont="1" applyBorder="1"/>
    <xf numFmtId="165" fontId="21" fillId="0" borderId="1" xfId="0" applyNumberFormat="1" applyFont="1" applyBorder="1"/>
    <xf numFmtId="165" fontId="21" fillId="9" borderId="1" xfId="0" applyNumberFormat="1" applyFont="1" applyFill="1" applyBorder="1"/>
    <xf numFmtId="165" fontId="4" fillId="0" borderId="22" xfId="0" applyNumberFormat="1" applyFont="1" applyBorder="1" applyAlignment="1">
      <alignment horizontal="center"/>
    </xf>
    <xf numFmtId="165" fontId="26" fillId="2" borderId="22" xfId="0" applyNumberFormat="1" applyFont="1" applyFill="1" applyBorder="1"/>
    <xf numFmtId="165" fontId="26" fillId="0" borderId="22" xfId="0" applyNumberFormat="1" applyFont="1" applyBorder="1" applyAlignment="1">
      <alignment horizontal="center"/>
    </xf>
    <xf numFmtId="164" fontId="26" fillId="0" borderId="1" xfId="0" applyNumberFormat="1" applyFont="1" applyBorder="1"/>
    <xf numFmtId="164" fontId="26" fillId="9" borderId="1" xfId="0" applyNumberFormat="1" applyFont="1" applyFill="1" applyBorder="1"/>
    <xf numFmtId="0" fontId="32" fillId="0" borderId="22" xfId="0" applyFont="1" applyBorder="1"/>
    <xf numFmtId="164" fontId="32" fillId="0" borderId="1" xfId="0" applyNumberFormat="1" applyFont="1" applyBorder="1"/>
    <xf numFmtId="0" fontId="34" fillId="0" borderId="22" xfId="0" applyFont="1" applyBorder="1"/>
    <xf numFmtId="164" fontId="34" fillId="0" borderId="1" xfId="0" applyNumberFormat="1" applyFont="1" applyBorder="1"/>
    <xf numFmtId="164" fontId="27" fillId="9" borderId="1" xfId="0" applyNumberFormat="1" applyFont="1" applyFill="1" applyBorder="1"/>
    <xf numFmtId="164" fontId="27" fillId="0" borderId="1" xfId="0" applyNumberFormat="1" applyFont="1" applyBorder="1"/>
    <xf numFmtId="164" fontId="35" fillId="2" borderId="11" xfId="0" applyNumberFormat="1" applyFont="1" applyFill="1" applyBorder="1"/>
    <xf numFmtId="165" fontId="35" fillId="2" borderId="3" xfId="0" applyNumberFormat="1" applyFont="1" applyFill="1" applyBorder="1"/>
    <xf numFmtId="0" fontId="35" fillId="2" borderId="9" xfId="0" applyFont="1" applyFill="1" applyBorder="1" applyAlignment="1">
      <alignment horizontal="center" vertical="center"/>
    </xf>
    <xf numFmtId="165" fontId="35" fillId="2" borderId="28" xfId="0" applyNumberFormat="1" applyFont="1" applyFill="1" applyBorder="1"/>
    <xf numFmtId="164" fontId="35" fillId="2" borderId="22" xfId="0" applyNumberFormat="1" applyFont="1" applyFill="1" applyBorder="1"/>
    <xf numFmtId="165" fontId="35" fillId="2" borderId="5" xfId="0" applyNumberFormat="1" applyFont="1" applyFill="1" applyBorder="1"/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17" borderId="23" xfId="0" applyFont="1" applyFill="1" applyBorder="1" applyAlignment="1">
      <alignment horizontal="center"/>
    </xf>
    <xf numFmtId="0" fontId="10" fillId="17" borderId="24" xfId="0" applyFont="1" applyFill="1" applyBorder="1" applyAlignment="1">
      <alignment horizontal="center"/>
    </xf>
    <xf numFmtId="0" fontId="10" fillId="17" borderId="2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9">
    <cellStyle name="Comma [0] 2" xfId="1" xr:uid="{00000000-0005-0000-0000-000031000000}"/>
    <cellStyle name="Comma [0] 3" xfId="2" xr:uid="{00000000-0005-0000-0000-000032000000}"/>
    <cellStyle name="Normal" xfId="0" builtinId="0"/>
    <cellStyle name="Normal 2" xfId="3" xr:uid="{00000000-0005-0000-0000-000033000000}"/>
    <cellStyle name="Normal 2 2" xfId="4" xr:uid="{00000000-0005-0000-0000-000034000000}"/>
    <cellStyle name="Normal 2 3" xfId="5" xr:uid="{00000000-0005-0000-0000-000035000000}"/>
    <cellStyle name="Normal 3" xfId="6" xr:uid="{00000000-0005-0000-0000-000036000000}"/>
    <cellStyle name="Normal 3 2" xfId="7" xr:uid="{00000000-0005-0000-0000-000037000000}"/>
    <cellStyle name="Normal 4" xfId="8" xr:uid="{00000000-0005-0000-0000-000038000000}"/>
  </cellStyles>
  <dxfs count="0"/>
  <tableStyles count="0" defaultTableStyle="TableStyleMedium9" defaultPivotStyle="PivotStyleLight16"/>
  <colors>
    <mruColors>
      <color rgb="FF00FF00"/>
      <color rgb="FFFFFF00"/>
      <color rgb="FFFFFF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655955</xdr:colOff>
      <xdr:row>2</xdr:row>
      <xdr:rowOff>5715</xdr:rowOff>
    </xdr:to>
    <xdr:pic>
      <xdr:nvPicPr>
        <xdr:cNvPr id="15709" name="Picture 1" descr="30006_132464030113073_100000484295299_294380_3546581_s.jpg">
          <a:extLst>
            <a:ext uri="{FF2B5EF4-FFF2-40B4-BE49-F238E27FC236}">
              <a16:creationId xmlns:a16="http://schemas.microsoft.com/office/drawing/2014/main" id="{00000000-0008-0000-0000-00005D3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5275" y="9525"/>
          <a:ext cx="646430" cy="748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211667</xdr:colOff>
      <xdr:row>30</xdr:row>
      <xdr:rowOff>222250</xdr:rowOff>
    </xdr:from>
    <xdr:to>
      <xdr:col>27</xdr:col>
      <xdr:colOff>359834</xdr:colOff>
      <xdr:row>33</xdr:row>
      <xdr:rowOff>27516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8B8907-3C44-4864-90D6-A3358A8B892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4334" y="8900583"/>
          <a:ext cx="603250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0</xdr:row>
      <xdr:rowOff>179705</xdr:rowOff>
    </xdr:from>
    <xdr:to>
      <xdr:col>2</xdr:col>
      <xdr:colOff>779780</xdr:colOff>
      <xdr:row>3</xdr:row>
      <xdr:rowOff>71120</xdr:rowOff>
    </xdr:to>
    <xdr:pic>
      <xdr:nvPicPr>
        <xdr:cNvPr id="4" name="Picture 1" descr="30006_132464030113073_100000484295299_294380_3546581_s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9175" y="179705"/>
          <a:ext cx="646430" cy="748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354134</xdr:colOff>
      <xdr:row>17</xdr:row>
      <xdr:rowOff>134327</xdr:rowOff>
    </xdr:from>
    <xdr:to>
      <xdr:col>4</xdr:col>
      <xdr:colOff>1575287</xdr:colOff>
      <xdr:row>19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0BBE43-93E0-41BF-B089-33D994E57D4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9519" y="7754327"/>
          <a:ext cx="1221153" cy="563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91"/>
  <sheetViews>
    <sheetView tabSelected="1" topLeftCell="A3" zoomScale="43" zoomScaleNormal="80" workbookViewId="0">
      <selection activeCell="AI19" sqref="AI19"/>
    </sheetView>
  </sheetViews>
  <sheetFormatPr defaultColWidth="9.1796875" defaultRowHeight="13"/>
  <cols>
    <col min="1" max="1" width="4.26953125" style="16" customWidth="1"/>
    <col min="2" max="2" width="30.1796875" style="16" customWidth="1"/>
    <col min="3" max="3" width="6.54296875" style="16" customWidth="1"/>
    <col min="4" max="4" width="5.81640625" style="16" customWidth="1"/>
    <col min="5" max="8" width="5.7265625" style="16" customWidth="1"/>
    <col min="9" max="9" width="5.453125" style="16" customWidth="1"/>
    <col min="10" max="12" width="5.7265625" style="16" customWidth="1"/>
    <col min="13" max="13" width="5.26953125" style="16" customWidth="1"/>
    <col min="14" max="17" width="5.7265625" style="16" customWidth="1"/>
    <col min="18" max="18" width="5.54296875" style="16" customWidth="1"/>
    <col min="19" max="24" width="5.7265625" style="16" customWidth="1"/>
    <col min="25" max="25" width="5.453125" style="16" customWidth="1"/>
    <col min="26" max="26" width="5.7265625" style="16" customWidth="1"/>
    <col min="27" max="28" width="6.54296875" style="16" customWidth="1"/>
    <col min="29" max="36" width="5.7265625" style="16" customWidth="1"/>
    <col min="37" max="37" width="21.453125" style="16" customWidth="1"/>
    <col min="38" max="38" width="16.453125" style="16" customWidth="1"/>
    <col min="39" max="39" width="21.453125" style="16" customWidth="1"/>
    <col min="40" max="40" width="14.1796875" style="16" customWidth="1"/>
    <col min="41" max="41" width="16.81640625" style="16" customWidth="1"/>
    <col min="42" max="42" width="22" style="16" customWidth="1"/>
    <col min="43" max="43" width="17.81640625" style="16" customWidth="1"/>
    <col min="44" max="44" width="19.36328125" style="16" customWidth="1"/>
    <col min="45" max="45" width="22.81640625" style="16" customWidth="1"/>
    <col min="46" max="156" width="5.7265625" style="16" customWidth="1"/>
    <col min="157" max="16384" width="9.1796875" style="16"/>
  </cols>
  <sheetData>
    <row r="1" spans="1:156" ht="25.5">
      <c r="A1" s="177"/>
      <c r="B1" s="177"/>
      <c r="C1" s="177"/>
      <c r="D1" s="177"/>
      <c r="E1" s="177"/>
      <c r="F1" s="177"/>
      <c r="G1" s="177"/>
      <c r="H1" s="177"/>
      <c r="I1" s="177"/>
    </row>
    <row r="2" spans="1:156" ht="33" customHeight="1">
      <c r="A2" s="178" t="s">
        <v>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</row>
    <row r="3" spans="1:156" ht="21" customHeight="1">
      <c r="A3" s="17" t="s">
        <v>1</v>
      </c>
      <c r="B3" s="18"/>
      <c r="I3" s="50" t="s">
        <v>74</v>
      </c>
      <c r="J3" s="51"/>
      <c r="K3" s="51"/>
      <c r="L3" s="51"/>
      <c r="M3" s="51"/>
      <c r="U3" s="91"/>
      <c r="V3" s="91"/>
      <c r="W3" s="92"/>
      <c r="X3" s="90"/>
      <c r="Y3" s="90"/>
      <c r="Z3" s="90"/>
      <c r="AA3" s="90"/>
      <c r="AB3" s="90"/>
      <c r="AC3" s="90"/>
      <c r="AD3" s="90"/>
      <c r="AE3" s="93"/>
      <c r="AF3" s="93"/>
      <c r="AG3" s="94" t="s">
        <v>78</v>
      </c>
      <c r="AK3" s="16" t="s">
        <v>73</v>
      </c>
    </row>
    <row r="4" spans="1:156" ht="20.25" customHeight="1" thickBot="1">
      <c r="C4" s="15" t="s">
        <v>8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5" t="s">
        <v>2</v>
      </c>
      <c r="L4" s="15" t="s">
        <v>3</v>
      </c>
      <c r="M4" s="15" t="s">
        <v>4</v>
      </c>
      <c r="N4" s="15" t="s">
        <v>5</v>
      </c>
      <c r="O4" s="15" t="s">
        <v>6</v>
      </c>
      <c r="P4" s="15" t="s">
        <v>7</v>
      </c>
      <c r="Q4" s="15" t="s">
        <v>8</v>
      </c>
      <c r="R4" s="15" t="s">
        <v>2</v>
      </c>
      <c r="S4" s="15" t="s">
        <v>3</v>
      </c>
      <c r="T4" s="15" t="s">
        <v>4</v>
      </c>
      <c r="U4" s="15" t="s">
        <v>5</v>
      </c>
      <c r="V4" s="15" t="s">
        <v>6</v>
      </c>
      <c r="W4" s="15" t="s">
        <v>7</v>
      </c>
      <c r="X4" s="15" t="s">
        <v>8</v>
      </c>
      <c r="Y4" s="15" t="s">
        <v>2</v>
      </c>
      <c r="Z4" s="15" t="s">
        <v>3</v>
      </c>
      <c r="AA4" s="15" t="s">
        <v>4</v>
      </c>
      <c r="AB4" s="15" t="s">
        <v>5</v>
      </c>
      <c r="AC4" s="15" t="s">
        <v>6</v>
      </c>
      <c r="AD4" s="15" t="s">
        <v>7</v>
      </c>
      <c r="AE4" s="97" t="s">
        <v>8</v>
      </c>
      <c r="AF4" s="97" t="s">
        <v>2</v>
      </c>
      <c r="AG4" s="97" t="s">
        <v>3</v>
      </c>
    </row>
    <row r="5" spans="1:156" ht="20.25" customHeight="1" thickBot="1">
      <c r="A5" s="19" t="s">
        <v>9</v>
      </c>
      <c r="B5" s="20" t="s">
        <v>10</v>
      </c>
      <c r="C5" s="21">
        <v>1</v>
      </c>
      <c r="D5" s="21">
        <v>2</v>
      </c>
      <c r="E5" s="21">
        <v>3</v>
      </c>
      <c r="F5" s="21">
        <v>4</v>
      </c>
      <c r="G5" s="21">
        <v>5</v>
      </c>
      <c r="H5" s="20">
        <v>6</v>
      </c>
      <c r="I5" s="98">
        <v>7</v>
      </c>
      <c r="J5" s="114">
        <v>8</v>
      </c>
      <c r="K5" s="20">
        <v>9</v>
      </c>
      <c r="L5" s="20">
        <v>10</v>
      </c>
      <c r="M5" s="20">
        <v>11</v>
      </c>
      <c r="N5" s="20">
        <v>12</v>
      </c>
      <c r="O5" s="20">
        <v>13</v>
      </c>
      <c r="P5" s="86">
        <v>14</v>
      </c>
      <c r="Q5" s="114">
        <v>15</v>
      </c>
      <c r="R5" s="20">
        <v>16</v>
      </c>
      <c r="S5" s="20">
        <v>17</v>
      </c>
      <c r="T5" s="20">
        <v>18</v>
      </c>
      <c r="U5" s="96">
        <v>19</v>
      </c>
      <c r="V5" s="126">
        <v>20</v>
      </c>
      <c r="W5" s="126">
        <v>21</v>
      </c>
      <c r="X5" s="126">
        <v>22</v>
      </c>
      <c r="Y5" s="20">
        <v>23</v>
      </c>
      <c r="Z5" s="20">
        <v>24</v>
      </c>
      <c r="AA5" s="20">
        <v>25</v>
      </c>
      <c r="AB5" s="20">
        <v>26</v>
      </c>
      <c r="AC5" s="20">
        <v>27</v>
      </c>
      <c r="AD5" s="114">
        <v>28</v>
      </c>
      <c r="AE5" s="114">
        <v>29</v>
      </c>
      <c r="AF5" s="20">
        <v>30</v>
      </c>
      <c r="AG5" s="102">
        <v>31</v>
      </c>
      <c r="AH5" s="111" t="s">
        <v>80</v>
      </c>
      <c r="AI5" s="74"/>
      <c r="AJ5" s="74"/>
      <c r="AK5" s="173" t="s">
        <v>82</v>
      </c>
      <c r="AL5" s="173" t="s">
        <v>83</v>
      </c>
      <c r="AM5" s="173" t="s">
        <v>84</v>
      </c>
      <c r="AN5" s="173" t="s">
        <v>85</v>
      </c>
      <c r="AO5" s="173" t="s">
        <v>86</v>
      </c>
      <c r="AP5" s="173" t="s">
        <v>69</v>
      </c>
      <c r="AQ5" s="173" t="s">
        <v>79</v>
      </c>
      <c r="AR5" s="173" t="s">
        <v>87</v>
      </c>
      <c r="AS5" s="175" t="s">
        <v>88</v>
      </c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</row>
    <row r="6" spans="1:156" ht="22" customHeight="1" thickBot="1">
      <c r="A6" s="22"/>
      <c r="B6" s="23" t="s">
        <v>11</v>
      </c>
      <c r="C6" s="23"/>
      <c r="D6" s="23"/>
      <c r="E6" s="23"/>
      <c r="F6" s="23"/>
      <c r="G6" s="23"/>
      <c r="H6" s="23"/>
      <c r="I6" s="115"/>
      <c r="J6" s="115"/>
      <c r="K6" s="23"/>
      <c r="L6" s="23"/>
      <c r="M6" s="23"/>
      <c r="N6" s="23"/>
      <c r="O6" s="23"/>
      <c r="P6" s="115"/>
      <c r="Q6" s="115"/>
      <c r="R6" s="23"/>
      <c r="S6" s="64"/>
      <c r="T6" s="64"/>
      <c r="U6" s="134" t="s">
        <v>79</v>
      </c>
      <c r="V6" s="180" t="s">
        <v>81</v>
      </c>
      <c r="W6" s="181"/>
      <c r="X6" s="182"/>
      <c r="Y6" s="66"/>
      <c r="Z6" s="23"/>
      <c r="AA6" s="23"/>
      <c r="AB6" s="23"/>
      <c r="AC6" s="23"/>
      <c r="AD6" s="115"/>
      <c r="AE6" s="115"/>
      <c r="AF6" s="23"/>
      <c r="AG6" s="103"/>
      <c r="AH6" s="112"/>
      <c r="AI6" s="74"/>
      <c r="AJ6" s="74"/>
      <c r="AK6" s="174"/>
      <c r="AL6" s="174"/>
      <c r="AM6" s="174"/>
      <c r="AN6" s="174"/>
      <c r="AO6" s="174"/>
      <c r="AP6" s="174"/>
      <c r="AQ6" s="174"/>
      <c r="AR6" s="174"/>
      <c r="AS6" s="176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80"/>
      <c r="EG6" s="80"/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</row>
    <row r="7" spans="1:156" ht="23.15" customHeight="1">
      <c r="A7" s="24">
        <v>1</v>
      </c>
      <c r="B7" s="25" t="s">
        <v>75</v>
      </c>
      <c r="C7" s="89" t="s">
        <v>12</v>
      </c>
      <c r="D7" s="144" t="s">
        <v>12</v>
      </c>
      <c r="E7" s="150" t="s">
        <v>14</v>
      </c>
      <c r="F7" s="89" t="s">
        <v>13</v>
      </c>
      <c r="G7" s="89" t="s">
        <v>12</v>
      </c>
      <c r="H7" s="89" t="s">
        <v>13</v>
      </c>
      <c r="I7" s="116" t="s">
        <v>12</v>
      </c>
      <c r="J7" s="143" t="s">
        <v>14</v>
      </c>
      <c r="K7" s="89" t="s">
        <v>13</v>
      </c>
      <c r="L7" s="89" t="s">
        <v>12</v>
      </c>
      <c r="M7" s="89" t="s">
        <v>12</v>
      </c>
      <c r="N7" s="143" t="s">
        <v>14</v>
      </c>
      <c r="O7" s="89" t="s">
        <v>13</v>
      </c>
      <c r="P7" s="116" t="s">
        <v>13</v>
      </c>
      <c r="Q7" s="116" t="s">
        <v>12</v>
      </c>
      <c r="R7" s="89" t="s">
        <v>12</v>
      </c>
      <c r="S7" s="89" t="s">
        <v>13</v>
      </c>
      <c r="T7" s="89" t="s">
        <v>13</v>
      </c>
      <c r="U7" s="135" t="s">
        <v>12</v>
      </c>
      <c r="V7" s="127" t="s">
        <v>14</v>
      </c>
      <c r="W7" s="127" t="s">
        <v>14</v>
      </c>
      <c r="X7" s="127" t="s">
        <v>14</v>
      </c>
      <c r="Y7" s="89" t="s">
        <v>13</v>
      </c>
      <c r="Z7" s="89" t="s">
        <v>13</v>
      </c>
      <c r="AA7" s="89" t="s">
        <v>16</v>
      </c>
      <c r="AB7" s="89" t="s">
        <v>12</v>
      </c>
      <c r="AC7" s="143" t="s">
        <v>14</v>
      </c>
      <c r="AD7" s="116" t="s">
        <v>13</v>
      </c>
      <c r="AE7" s="117" t="s">
        <v>12</v>
      </c>
      <c r="AF7" s="26" t="s">
        <v>13</v>
      </c>
      <c r="AG7" s="104" t="s">
        <v>12</v>
      </c>
      <c r="AH7" s="142">
        <v>24</v>
      </c>
      <c r="AI7" s="75"/>
      <c r="AJ7" s="75"/>
      <c r="AK7" s="156">
        <v>87000</v>
      </c>
      <c r="AL7" s="158">
        <v>167000</v>
      </c>
      <c r="AM7" s="156"/>
      <c r="AN7" s="158">
        <v>25000</v>
      </c>
      <c r="AO7" s="158">
        <v>450000</v>
      </c>
      <c r="AP7" s="158"/>
      <c r="AQ7" s="163">
        <v>1</v>
      </c>
      <c r="AR7" s="161">
        <v>78421</v>
      </c>
      <c r="AS7" s="157">
        <f>(AL7*AH7)+AM7+AN7+AO7+AP7+(AQ7*AK7)-AR7</f>
        <v>4491579</v>
      </c>
      <c r="AT7" s="81"/>
    </row>
    <row r="8" spans="1:156" ht="23.15" customHeight="1">
      <c r="A8" s="24">
        <f>+A7+1</f>
        <v>2</v>
      </c>
      <c r="B8" s="25" t="s">
        <v>66</v>
      </c>
      <c r="C8" s="89" t="s">
        <v>13</v>
      </c>
      <c r="D8" s="26" t="s">
        <v>13</v>
      </c>
      <c r="E8" s="26" t="s">
        <v>12</v>
      </c>
      <c r="F8" s="146" t="s">
        <v>14</v>
      </c>
      <c r="G8" s="26" t="s">
        <v>13</v>
      </c>
      <c r="H8" s="26" t="s">
        <v>12</v>
      </c>
      <c r="I8" s="117" t="s">
        <v>13</v>
      </c>
      <c r="J8" s="117" t="s">
        <v>12</v>
      </c>
      <c r="K8" s="26" t="s">
        <v>12</v>
      </c>
      <c r="L8" s="99" t="s">
        <v>14</v>
      </c>
      <c r="M8" s="99" t="s">
        <v>14</v>
      </c>
      <c r="N8" s="26" t="s">
        <v>13</v>
      </c>
      <c r="O8" s="26" t="s">
        <v>12</v>
      </c>
      <c r="P8" s="117" t="s">
        <v>12</v>
      </c>
      <c r="Q8" s="117" t="s">
        <v>13</v>
      </c>
      <c r="R8" s="26" t="s">
        <v>13</v>
      </c>
      <c r="S8" s="26" t="s">
        <v>12</v>
      </c>
      <c r="T8" s="26" t="s">
        <v>12</v>
      </c>
      <c r="U8" s="136" t="s">
        <v>13</v>
      </c>
      <c r="V8" s="127" t="s">
        <v>14</v>
      </c>
      <c r="W8" s="127" t="s">
        <v>14</v>
      </c>
      <c r="X8" s="127" t="s">
        <v>14</v>
      </c>
      <c r="Y8" s="26" t="s">
        <v>12</v>
      </c>
      <c r="Z8" s="26" t="s">
        <v>12</v>
      </c>
      <c r="AA8" s="146" t="s">
        <v>14</v>
      </c>
      <c r="AB8" s="26" t="s">
        <v>13</v>
      </c>
      <c r="AC8" s="26" t="s">
        <v>16</v>
      </c>
      <c r="AD8" s="117" t="s">
        <v>12</v>
      </c>
      <c r="AE8" s="117" t="s">
        <v>13</v>
      </c>
      <c r="AF8" s="26" t="s">
        <v>12</v>
      </c>
      <c r="AG8" s="104" t="s">
        <v>13</v>
      </c>
      <c r="AH8" s="106">
        <v>24</v>
      </c>
      <c r="AI8" s="75"/>
      <c r="AJ8" s="75"/>
      <c r="AK8" s="153">
        <v>84000</v>
      </c>
      <c r="AL8" s="159">
        <v>133000</v>
      </c>
      <c r="AM8" s="159"/>
      <c r="AN8" s="159">
        <v>25000</v>
      </c>
      <c r="AO8" s="159">
        <v>450000</v>
      </c>
      <c r="AP8" s="159">
        <v>55000</v>
      </c>
      <c r="AQ8" s="164">
        <v>1</v>
      </c>
      <c r="AR8" s="162">
        <v>78421</v>
      </c>
      <c r="AS8" s="157">
        <f t="shared" ref="AS8:AS20" si="0">(AL8*AH8)+AM8+AN8+AO8+AP8+(AQ8*AK8)-AR8</f>
        <v>3727579</v>
      </c>
      <c r="AT8" s="81"/>
    </row>
    <row r="9" spans="1:156" s="15" customFormat="1" ht="20.149999999999999" customHeight="1">
      <c r="A9" s="24"/>
      <c r="B9" s="27"/>
      <c r="C9" s="26"/>
      <c r="D9" s="26"/>
      <c r="E9" s="26"/>
      <c r="F9" s="26"/>
      <c r="G9" s="26"/>
      <c r="H9" s="26"/>
      <c r="I9" s="117"/>
      <c r="J9" s="117"/>
      <c r="K9" s="26"/>
      <c r="L9" s="26"/>
      <c r="M9" s="26"/>
      <c r="N9" s="26"/>
      <c r="O9" s="26"/>
      <c r="P9" s="117"/>
      <c r="Q9" s="117"/>
      <c r="R9" s="26"/>
      <c r="S9" s="26"/>
      <c r="T9" s="26"/>
      <c r="U9" s="136"/>
      <c r="V9" s="128"/>
      <c r="W9" s="128"/>
      <c r="X9" s="128"/>
      <c r="Y9" s="26"/>
      <c r="Z9" s="26"/>
      <c r="AA9" s="26"/>
      <c r="AB9" s="26"/>
      <c r="AC9" s="26"/>
      <c r="AD9" s="117"/>
      <c r="AE9" s="117"/>
      <c r="AF9" s="67"/>
      <c r="AG9" s="104"/>
      <c r="AH9" s="106"/>
      <c r="AI9" s="75"/>
      <c r="AJ9" s="75"/>
      <c r="AK9" s="155"/>
      <c r="AL9" s="160"/>
      <c r="AM9" s="160"/>
      <c r="AN9" s="160"/>
      <c r="AO9" s="160"/>
      <c r="AP9" s="160"/>
      <c r="AQ9" s="165"/>
      <c r="AR9" s="162"/>
      <c r="AS9" s="157">
        <f t="shared" si="0"/>
        <v>0</v>
      </c>
      <c r="AT9" s="75"/>
    </row>
    <row r="10" spans="1:156" ht="22" customHeight="1">
      <c r="A10" s="28"/>
      <c r="B10" s="29" t="s">
        <v>15</v>
      </c>
      <c r="C10" s="30"/>
      <c r="D10" s="30"/>
      <c r="E10" s="30"/>
      <c r="F10" s="30"/>
      <c r="G10" s="30"/>
      <c r="H10" s="30"/>
      <c r="I10" s="117"/>
      <c r="J10" s="117"/>
      <c r="K10" s="30"/>
      <c r="L10" s="30"/>
      <c r="M10" s="30"/>
      <c r="N10" s="30"/>
      <c r="O10" s="30"/>
      <c r="P10" s="117"/>
      <c r="Q10" s="117"/>
      <c r="R10" s="30"/>
      <c r="S10" s="30"/>
      <c r="T10" s="30"/>
      <c r="U10" s="136"/>
      <c r="V10" s="128"/>
      <c r="W10" s="128"/>
      <c r="X10" s="128"/>
      <c r="Y10" s="30"/>
      <c r="Z10" s="30"/>
      <c r="AA10" s="30"/>
      <c r="AB10" s="30"/>
      <c r="AC10" s="30"/>
      <c r="AD10" s="117"/>
      <c r="AE10" s="117"/>
      <c r="AF10" s="30"/>
      <c r="AG10" s="105"/>
      <c r="AH10" s="113"/>
      <c r="AI10" s="15"/>
      <c r="AJ10" s="15"/>
      <c r="AK10" s="154"/>
      <c r="AL10" s="159"/>
      <c r="AM10" s="159"/>
      <c r="AN10" s="159"/>
      <c r="AO10" s="159"/>
      <c r="AP10" s="159"/>
      <c r="AQ10" s="166"/>
      <c r="AR10" s="162"/>
      <c r="AS10" s="157">
        <f t="shared" si="0"/>
        <v>0</v>
      </c>
    </row>
    <row r="11" spans="1:156" ht="20.149999999999999" customHeight="1">
      <c r="A11" s="24">
        <v>3</v>
      </c>
      <c r="B11" s="25" t="s">
        <v>76</v>
      </c>
      <c r="C11" s="143" t="s">
        <v>14</v>
      </c>
      <c r="D11" s="89" t="s">
        <v>13</v>
      </c>
      <c r="E11" s="89" t="s">
        <v>12</v>
      </c>
      <c r="F11" s="143" t="s">
        <v>14</v>
      </c>
      <c r="G11" s="89" t="s">
        <v>13</v>
      </c>
      <c r="H11" s="89" t="s">
        <v>12</v>
      </c>
      <c r="I11" s="116" t="s">
        <v>12</v>
      </c>
      <c r="J11" s="143" t="s">
        <v>14</v>
      </c>
      <c r="K11" s="143" t="s">
        <v>14</v>
      </c>
      <c r="L11" s="89" t="s">
        <v>13</v>
      </c>
      <c r="M11" s="89" t="s">
        <v>12</v>
      </c>
      <c r="N11" s="89" t="s">
        <v>12</v>
      </c>
      <c r="O11" s="143" t="s">
        <v>14</v>
      </c>
      <c r="P11" s="116" t="s">
        <v>13</v>
      </c>
      <c r="Q11" s="116" t="s">
        <v>16</v>
      </c>
      <c r="R11" s="89" t="s">
        <v>12</v>
      </c>
      <c r="S11" s="89" t="s">
        <v>13</v>
      </c>
      <c r="T11" s="89" t="s">
        <v>12</v>
      </c>
      <c r="U11" s="135" t="s">
        <v>13</v>
      </c>
      <c r="V11" s="127" t="s">
        <v>14</v>
      </c>
      <c r="W11" s="127" t="s">
        <v>14</v>
      </c>
      <c r="X11" s="127" t="s">
        <v>14</v>
      </c>
      <c r="Y11" s="89" t="s">
        <v>12</v>
      </c>
      <c r="Z11" s="26" t="s">
        <v>13</v>
      </c>
      <c r="AA11" s="26" t="s">
        <v>12</v>
      </c>
      <c r="AB11" s="146" t="s">
        <v>14</v>
      </c>
      <c r="AC11" s="26" t="s">
        <v>13</v>
      </c>
      <c r="AD11" s="117" t="s">
        <v>12</v>
      </c>
      <c r="AE11" s="117" t="s">
        <v>12</v>
      </c>
      <c r="AF11" s="143" t="s">
        <v>14</v>
      </c>
      <c r="AG11" s="148" t="s">
        <v>13</v>
      </c>
      <c r="AH11" s="107">
        <v>21</v>
      </c>
      <c r="AI11" s="15"/>
      <c r="AJ11" s="15"/>
      <c r="AK11" s="153">
        <v>73000</v>
      </c>
      <c r="AL11" s="159">
        <v>98000</v>
      </c>
      <c r="AM11" s="159"/>
      <c r="AN11" s="159">
        <v>25000</v>
      </c>
      <c r="AO11" s="159"/>
      <c r="AP11" s="159"/>
      <c r="AQ11" s="166">
        <v>1</v>
      </c>
      <c r="AR11" s="162">
        <v>78421</v>
      </c>
      <c r="AS11" s="157">
        <f t="shared" si="0"/>
        <v>2077579</v>
      </c>
    </row>
    <row r="12" spans="1:156" ht="23.15" customHeight="1">
      <c r="A12" s="24">
        <v>4</v>
      </c>
      <c r="B12" s="25" t="s">
        <v>67</v>
      </c>
      <c r="C12" s="89" t="s">
        <v>12</v>
      </c>
      <c r="D12" s="99" t="s">
        <v>14</v>
      </c>
      <c r="E12" s="89" t="s">
        <v>13</v>
      </c>
      <c r="F12" s="89" t="s">
        <v>12</v>
      </c>
      <c r="G12" s="143" t="s">
        <v>14</v>
      </c>
      <c r="H12" s="89" t="s">
        <v>13</v>
      </c>
      <c r="I12" s="116" t="s">
        <v>13</v>
      </c>
      <c r="J12" s="116" t="s">
        <v>12</v>
      </c>
      <c r="K12" s="89" t="s">
        <v>13</v>
      </c>
      <c r="L12" s="89" t="s">
        <v>12</v>
      </c>
      <c r="M12" s="143" t="s">
        <v>14</v>
      </c>
      <c r="N12" s="143" t="s">
        <v>14</v>
      </c>
      <c r="O12" s="89" t="s">
        <v>13</v>
      </c>
      <c r="P12" s="116" t="s">
        <v>12</v>
      </c>
      <c r="Q12" s="116" t="s">
        <v>13</v>
      </c>
      <c r="R12" s="89" t="s">
        <v>13</v>
      </c>
      <c r="S12" s="89" t="s">
        <v>16</v>
      </c>
      <c r="T12" s="89" t="s">
        <v>13</v>
      </c>
      <c r="U12" s="135" t="s">
        <v>12</v>
      </c>
      <c r="V12" s="127" t="s">
        <v>14</v>
      </c>
      <c r="W12" s="127" t="s">
        <v>14</v>
      </c>
      <c r="X12" s="127" t="s">
        <v>14</v>
      </c>
      <c r="Y12" s="89" t="s">
        <v>13</v>
      </c>
      <c r="Z12" s="26" t="s">
        <v>12</v>
      </c>
      <c r="AA12" s="145" t="s">
        <v>14</v>
      </c>
      <c r="AB12" s="26" t="s">
        <v>13</v>
      </c>
      <c r="AC12" s="26" t="s">
        <v>12</v>
      </c>
      <c r="AD12" s="146" t="s">
        <v>14</v>
      </c>
      <c r="AE12" s="117" t="s">
        <v>13</v>
      </c>
      <c r="AF12" s="26" t="s">
        <v>12</v>
      </c>
      <c r="AG12" s="147" t="s">
        <v>14</v>
      </c>
      <c r="AH12" s="107">
        <v>21</v>
      </c>
      <c r="AI12" s="15"/>
      <c r="AJ12" s="15"/>
      <c r="AK12" s="153">
        <v>73000</v>
      </c>
      <c r="AL12" s="159">
        <v>98000</v>
      </c>
      <c r="AM12" s="159"/>
      <c r="AN12" s="159">
        <v>25000</v>
      </c>
      <c r="AO12" s="159"/>
      <c r="AP12" s="159"/>
      <c r="AQ12" s="166">
        <v>1</v>
      </c>
      <c r="AR12" s="162">
        <v>78421</v>
      </c>
      <c r="AS12" s="157">
        <f t="shared" si="0"/>
        <v>2077579</v>
      </c>
    </row>
    <row r="13" spans="1:156" ht="23.15" customHeight="1">
      <c r="A13" s="24">
        <v>5</v>
      </c>
      <c r="B13" s="25" t="s">
        <v>68</v>
      </c>
      <c r="C13" s="89" t="s">
        <v>13</v>
      </c>
      <c r="D13" s="89" t="s">
        <v>12</v>
      </c>
      <c r="E13" s="143" t="s">
        <v>14</v>
      </c>
      <c r="F13" s="89" t="s">
        <v>13</v>
      </c>
      <c r="G13" s="89" t="s">
        <v>12</v>
      </c>
      <c r="H13" s="143" t="s">
        <v>14</v>
      </c>
      <c r="I13" s="116" t="s">
        <v>13</v>
      </c>
      <c r="J13" s="116" t="s">
        <v>13</v>
      </c>
      <c r="K13" s="89" t="s">
        <v>12</v>
      </c>
      <c r="L13" s="143" t="s">
        <v>14</v>
      </c>
      <c r="M13" s="89" t="s">
        <v>13</v>
      </c>
      <c r="N13" s="89" t="s">
        <v>13</v>
      </c>
      <c r="O13" s="89" t="s">
        <v>12</v>
      </c>
      <c r="P13" s="143" t="s">
        <v>14</v>
      </c>
      <c r="Q13" s="99" t="s">
        <v>12</v>
      </c>
      <c r="R13" s="144" t="s">
        <v>16</v>
      </c>
      <c r="S13" s="144" t="s">
        <v>12</v>
      </c>
      <c r="T13" s="89" t="s">
        <v>13</v>
      </c>
      <c r="U13" s="135" t="s">
        <v>13</v>
      </c>
      <c r="V13" s="127" t="s">
        <v>14</v>
      </c>
      <c r="W13" s="127" t="s">
        <v>14</v>
      </c>
      <c r="X13" s="127" t="s">
        <v>14</v>
      </c>
      <c r="Y13" s="99" t="s">
        <v>14</v>
      </c>
      <c r="Z13" s="99" t="s">
        <v>14</v>
      </c>
      <c r="AA13" s="26" t="s">
        <v>13</v>
      </c>
      <c r="AB13" s="26" t="s">
        <v>12</v>
      </c>
      <c r="AC13" s="146" t="s">
        <v>14</v>
      </c>
      <c r="AD13" s="117" t="s">
        <v>13</v>
      </c>
      <c r="AE13" s="117" t="s">
        <v>16</v>
      </c>
      <c r="AF13" s="89" t="s">
        <v>13</v>
      </c>
      <c r="AG13" s="148" t="s">
        <v>12</v>
      </c>
      <c r="AH13" s="107">
        <v>21</v>
      </c>
      <c r="AI13" s="15"/>
      <c r="AJ13" s="15"/>
      <c r="AK13" s="153">
        <v>73000</v>
      </c>
      <c r="AL13" s="159">
        <v>98000</v>
      </c>
      <c r="AM13" s="159"/>
      <c r="AN13" s="159">
        <v>25000</v>
      </c>
      <c r="AO13" s="159"/>
      <c r="AP13" s="159"/>
      <c r="AQ13" s="166">
        <v>1</v>
      </c>
      <c r="AR13" s="162">
        <v>78421</v>
      </c>
      <c r="AS13" s="157">
        <f t="shared" si="0"/>
        <v>2077579</v>
      </c>
    </row>
    <row r="14" spans="1:156" ht="23.15" customHeight="1">
      <c r="A14" s="24">
        <v>6</v>
      </c>
      <c r="B14" s="25"/>
      <c r="C14" s="26"/>
      <c r="D14" s="26"/>
      <c r="E14" s="26"/>
      <c r="F14" s="26"/>
      <c r="G14" s="26"/>
      <c r="H14" s="26"/>
      <c r="I14" s="117"/>
      <c r="J14" s="117"/>
      <c r="K14" s="26"/>
      <c r="L14" s="26"/>
      <c r="M14" s="26"/>
      <c r="N14" s="26"/>
      <c r="O14" s="26"/>
      <c r="P14" s="117"/>
      <c r="Q14" s="117"/>
      <c r="R14" s="26"/>
      <c r="S14" s="26"/>
      <c r="T14" s="26"/>
      <c r="U14" s="136"/>
      <c r="V14" s="128"/>
      <c r="W14" s="128"/>
      <c r="X14" s="128"/>
      <c r="Y14" s="26"/>
      <c r="Z14" s="26"/>
      <c r="AA14" s="26"/>
      <c r="AB14" s="26"/>
      <c r="AC14" s="26"/>
      <c r="AD14" s="117"/>
      <c r="AE14" s="117"/>
      <c r="AF14" s="26"/>
      <c r="AG14" s="104"/>
      <c r="AH14" s="108"/>
      <c r="AI14" s="15"/>
      <c r="AJ14" s="15"/>
      <c r="AK14" s="153"/>
      <c r="AL14" s="159"/>
      <c r="AM14" s="159"/>
      <c r="AN14" s="159"/>
      <c r="AO14" s="159"/>
      <c r="AP14" s="159"/>
      <c r="AQ14" s="166"/>
      <c r="AR14" s="162"/>
      <c r="AS14" s="157">
        <f t="shared" si="0"/>
        <v>0</v>
      </c>
    </row>
    <row r="15" spans="1:156" ht="24" customHeight="1">
      <c r="A15" s="24">
        <v>7</v>
      </c>
      <c r="B15" s="25"/>
      <c r="C15" s="26"/>
      <c r="D15" s="26"/>
      <c r="E15" s="26"/>
      <c r="F15" s="26"/>
      <c r="G15" s="26"/>
      <c r="H15" s="26"/>
      <c r="I15" s="117"/>
      <c r="J15" s="117"/>
      <c r="K15" s="33"/>
      <c r="L15" s="33"/>
      <c r="M15" s="33"/>
      <c r="N15" s="26"/>
      <c r="O15" s="26"/>
      <c r="P15" s="117"/>
      <c r="Q15" s="117"/>
      <c r="R15" s="26"/>
      <c r="S15" s="26"/>
      <c r="T15" s="26"/>
      <c r="U15" s="136"/>
      <c r="V15" s="128"/>
      <c r="W15" s="128"/>
      <c r="X15" s="128"/>
      <c r="Y15" s="26"/>
      <c r="Z15" s="26"/>
      <c r="AA15" s="26"/>
      <c r="AB15" s="26"/>
      <c r="AC15" s="26"/>
      <c r="AD15" s="117"/>
      <c r="AE15" s="117"/>
      <c r="AF15" s="26"/>
      <c r="AG15" s="104"/>
      <c r="AH15" s="107"/>
      <c r="AI15" s="15"/>
      <c r="AJ15" s="15"/>
      <c r="AK15" s="153"/>
      <c r="AL15" s="159"/>
      <c r="AM15" s="159"/>
      <c r="AN15" s="159"/>
      <c r="AO15" s="159"/>
      <c r="AP15" s="159"/>
      <c r="AQ15" s="166"/>
      <c r="AR15" s="162"/>
      <c r="AS15" s="157">
        <f t="shared" si="0"/>
        <v>0</v>
      </c>
    </row>
    <row r="16" spans="1:156" ht="23.15" customHeight="1">
      <c r="A16" s="28"/>
      <c r="B16" s="31" t="s">
        <v>17</v>
      </c>
      <c r="C16" s="31"/>
      <c r="D16" s="31"/>
      <c r="E16" s="31"/>
      <c r="F16" s="31"/>
      <c r="G16" s="31"/>
      <c r="H16" s="31"/>
      <c r="I16" s="118"/>
      <c r="J16" s="119"/>
      <c r="K16" s="30"/>
      <c r="L16" s="30"/>
      <c r="M16" s="30"/>
      <c r="N16" s="53"/>
      <c r="O16" s="31"/>
      <c r="P16" s="118"/>
      <c r="Q16" s="118"/>
      <c r="R16" s="31"/>
      <c r="S16" s="31"/>
      <c r="T16" s="31"/>
      <c r="U16" s="137"/>
      <c r="V16" s="129"/>
      <c r="W16" s="129"/>
      <c r="X16" s="129"/>
      <c r="Y16" s="31"/>
      <c r="Z16" s="31"/>
      <c r="AA16" s="31"/>
      <c r="AB16" s="31"/>
      <c r="AC16" s="31"/>
      <c r="AD16" s="118"/>
      <c r="AE16" s="118"/>
      <c r="AF16" s="31"/>
      <c r="AG16" s="52"/>
      <c r="AH16" s="113"/>
      <c r="AK16" s="153"/>
      <c r="AL16" s="159"/>
      <c r="AM16" s="159"/>
      <c r="AN16" s="159"/>
      <c r="AO16" s="159"/>
      <c r="AP16" s="159"/>
      <c r="AQ16" s="166"/>
      <c r="AR16" s="162"/>
      <c r="AS16" s="157">
        <f t="shared" si="0"/>
        <v>0</v>
      </c>
    </row>
    <row r="17" spans="1:62" ht="25" customHeight="1">
      <c r="A17" s="24">
        <v>8</v>
      </c>
      <c r="B17" s="32" t="s">
        <v>18</v>
      </c>
      <c r="C17" s="95" t="s">
        <v>12</v>
      </c>
      <c r="D17" s="149" t="s">
        <v>14</v>
      </c>
      <c r="E17" s="95" t="s">
        <v>13</v>
      </c>
      <c r="F17" s="95" t="s">
        <v>13</v>
      </c>
      <c r="G17" s="33" t="s">
        <v>12</v>
      </c>
      <c r="H17" s="151" t="s">
        <v>14</v>
      </c>
      <c r="I17" s="118" t="s">
        <v>13</v>
      </c>
      <c r="J17" s="119" t="s">
        <v>13</v>
      </c>
      <c r="K17" s="26" t="s">
        <v>13</v>
      </c>
      <c r="L17" s="26" t="s">
        <v>12</v>
      </c>
      <c r="M17" s="26" t="s">
        <v>16</v>
      </c>
      <c r="N17" s="152" t="s">
        <v>14</v>
      </c>
      <c r="O17" s="151" t="s">
        <v>14</v>
      </c>
      <c r="P17" s="118" t="s">
        <v>13</v>
      </c>
      <c r="Q17" s="118" t="s">
        <v>12</v>
      </c>
      <c r="R17" s="33" t="s">
        <v>12</v>
      </c>
      <c r="S17" s="33" t="s">
        <v>13</v>
      </c>
      <c r="T17" s="33" t="s">
        <v>12</v>
      </c>
      <c r="U17" s="100" t="s">
        <v>12</v>
      </c>
      <c r="V17" s="130" t="s">
        <v>14</v>
      </c>
      <c r="W17" s="130" t="s">
        <v>14</v>
      </c>
      <c r="X17" s="130" t="s">
        <v>14</v>
      </c>
      <c r="Y17" s="100" t="s">
        <v>14</v>
      </c>
      <c r="Z17" s="100" t="s">
        <v>14</v>
      </c>
      <c r="AA17" s="33" t="s">
        <v>13</v>
      </c>
      <c r="AB17" s="33" t="s">
        <v>12</v>
      </c>
      <c r="AC17" s="33" t="s">
        <v>12</v>
      </c>
      <c r="AD17" s="151" t="s">
        <v>14</v>
      </c>
      <c r="AE17" s="118" t="s">
        <v>13</v>
      </c>
      <c r="AF17" s="33" t="s">
        <v>13</v>
      </c>
      <c r="AG17" s="54" t="s">
        <v>12</v>
      </c>
      <c r="AH17" s="109">
        <v>21</v>
      </c>
      <c r="AK17" s="153">
        <v>77000</v>
      </c>
      <c r="AL17" s="159">
        <v>104000</v>
      </c>
      <c r="AM17" s="159"/>
      <c r="AN17" s="159">
        <v>25000</v>
      </c>
      <c r="AO17" s="159"/>
      <c r="AP17" s="159"/>
      <c r="AQ17" s="166">
        <v>1</v>
      </c>
      <c r="AR17" s="162">
        <v>78421</v>
      </c>
      <c r="AS17" s="157">
        <f t="shared" si="0"/>
        <v>2207579</v>
      </c>
      <c r="BI17" s="15"/>
      <c r="BJ17" s="15"/>
    </row>
    <row r="18" spans="1:62" ht="24" customHeight="1">
      <c r="A18" s="24">
        <v>9</v>
      </c>
      <c r="B18" s="32" t="s">
        <v>19</v>
      </c>
      <c r="C18" s="149" t="s">
        <v>14</v>
      </c>
      <c r="D18" s="95" t="s">
        <v>13</v>
      </c>
      <c r="E18" s="95" t="s">
        <v>13</v>
      </c>
      <c r="F18" s="95" t="s">
        <v>12</v>
      </c>
      <c r="G18" s="149" t="s">
        <v>14</v>
      </c>
      <c r="H18" s="33" t="s">
        <v>13</v>
      </c>
      <c r="I18" s="118" t="s">
        <v>12</v>
      </c>
      <c r="J18" s="101" t="s">
        <v>14</v>
      </c>
      <c r="K18" s="143" t="s">
        <v>14</v>
      </c>
      <c r="L18" s="26" t="s">
        <v>13</v>
      </c>
      <c r="M18" s="26" t="s">
        <v>13</v>
      </c>
      <c r="N18" s="55" t="s">
        <v>12</v>
      </c>
      <c r="O18" s="33" t="s">
        <v>13</v>
      </c>
      <c r="P18" s="118" t="s">
        <v>13</v>
      </c>
      <c r="Q18" s="100" t="s">
        <v>14</v>
      </c>
      <c r="R18" s="95" t="s">
        <v>13</v>
      </c>
      <c r="S18" s="33" t="s">
        <v>12</v>
      </c>
      <c r="T18" s="33" t="s">
        <v>13</v>
      </c>
      <c r="U18" s="100" t="s">
        <v>12</v>
      </c>
      <c r="V18" s="130" t="s">
        <v>14</v>
      </c>
      <c r="W18" s="130" t="s">
        <v>14</v>
      </c>
      <c r="X18" s="130" t="s">
        <v>14</v>
      </c>
      <c r="Y18" s="95" t="s">
        <v>12</v>
      </c>
      <c r="Z18" s="95" t="s">
        <v>12</v>
      </c>
      <c r="AA18" s="149" t="s">
        <v>14</v>
      </c>
      <c r="AB18" s="33" t="s">
        <v>13</v>
      </c>
      <c r="AC18" s="33" t="s">
        <v>13</v>
      </c>
      <c r="AD18" s="118" t="s">
        <v>16</v>
      </c>
      <c r="AE18" s="118" t="s">
        <v>12</v>
      </c>
      <c r="AF18" s="151" t="s">
        <v>14</v>
      </c>
      <c r="AG18" s="54" t="s">
        <v>13</v>
      </c>
      <c r="AH18" s="107">
        <v>21</v>
      </c>
      <c r="AI18" s="15"/>
      <c r="AJ18" s="15"/>
      <c r="AK18" s="153">
        <v>73000</v>
      </c>
      <c r="AL18" s="159">
        <v>98000</v>
      </c>
      <c r="AM18" s="159"/>
      <c r="AN18" s="159">
        <v>25000</v>
      </c>
      <c r="AO18" s="159"/>
      <c r="AP18" s="159"/>
      <c r="AQ18" s="166">
        <v>1</v>
      </c>
      <c r="AR18" s="162">
        <v>78421</v>
      </c>
      <c r="AS18" s="157">
        <f t="shared" si="0"/>
        <v>2077579</v>
      </c>
    </row>
    <row r="19" spans="1:62" ht="24" customHeight="1">
      <c r="A19" s="24">
        <v>10</v>
      </c>
      <c r="B19" s="32" t="s">
        <v>20</v>
      </c>
      <c r="C19" s="95" t="s">
        <v>13</v>
      </c>
      <c r="D19" s="95" t="s">
        <v>12</v>
      </c>
      <c r="E19" s="149" t="s">
        <v>14</v>
      </c>
      <c r="F19" s="95" t="s">
        <v>13</v>
      </c>
      <c r="G19" s="33" t="s">
        <v>13</v>
      </c>
      <c r="H19" s="33" t="s">
        <v>12</v>
      </c>
      <c r="I19" s="151" t="s">
        <v>14</v>
      </c>
      <c r="J19" s="101" t="s">
        <v>12</v>
      </c>
      <c r="K19" s="26" t="s">
        <v>13</v>
      </c>
      <c r="L19" s="26" t="s">
        <v>13</v>
      </c>
      <c r="M19" s="26" t="s">
        <v>12</v>
      </c>
      <c r="N19" s="152" t="s">
        <v>14</v>
      </c>
      <c r="O19" s="33" t="s">
        <v>13</v>
      </c>
      <c r="P19" s="118" t="s">
        <v>12</v>
      </c>
      <c r="Q19" s="100" t="s">
        <v>14</v>
      </c>
      <c r="R19" s="95" t="s">
        <v>13</v>
      </c>
      <c r="S19" s="33" t="s">
        <v>13</v>
      </c>
      <c r="T19" s="33" t="s">
        <v>12</v>
      </c>
      <c r="U19" s="138" t="s">
        <v>13</v>
      </c>
      <c r="V19" s="130" t="s">
        <v>14</v>
      </c>
      <c r="W19" s="130" t="s">
        <v>14</v>
      </c>
      <c r="X19" s="130" t="s">
        <v>14</v>
      </c>
      <c r="Y19" s="100" t="s">
        <v>14</v>
      </c>
      <c r="Z19" s="33" t="s">
        <v>13</v>
      </c>
      <c r="AA19" s="33" t="s">
        <v>12</v>
      </c>
      <c r="AB19" s="151" t="s">
        <v>14</v>
      </c>
      <c r="AC19" s="151" t="s">
        <v>14</v>
      </c>
      <c r="AD19" s="118" t="s">
        <v>13</v>
      </c>
      <c r="AE19" s="118" t="s">
        <v>13</v>
      </c>
      <c r="AF19" s="33" t="s">
        <v>12</v>
      </c>
      <c r="AG19" s="54" t="s">
        <v>13</v>
      </c>
      <c r="AH19" s="107">
        <v>21</v>
      </c>
      <c r="AI19" s="15"/>
      <c r="AJ19" s="15"/>
      <c r="AK19" s="153">
        <v>73000</v>
      </c>
      <c r="AL19" s="159">
        <v>98000</v>
      </c>
      <c r="AM19" s="159"/>
      <c r="AN19" s="159">
        <v>25000</v>
      </c>
      <c r="AO19" s="159"/>
      <c r="AP19" s="159"/>
      <c r="AQ19" s="166">
        <v>1</v>
      </c>
      <c r="AR19" s="162">
        <v>78421</v>
      </c>
      <c r="AS19" s="157">
        <f t="shared" si="0"/>
        <v>2077579</v>
      </c>
    </row>
    <row r="20" spans="1:62" ht="24" customHeight="1">
      <c r="A20" s="24">
        <v>11</v>
      </c>
      <c r="B20" s="32" t="s">
        <v>21</v>
      </c>
      <c r="C20" s="95" t="s">
        <v>13</v>
      </c>
      <c r="D20" s="95" t="s">
        <v>13</v>
      </c>
      <c r="E20" s="95" t="s">
        <v>12</v>
      </c>
      <c r="F20" s="149" t="s">
        <v>14</v>
      </c>
      <c r="G20" s="33" t="s">
        <v>13</v>
      </c>
      <c r="H20" s="33" t="s">
        <v>13</v>
      </c>
      <c r="I20" s="118" t="s">
        <v>13</v>
      </c>
      <c r="J20" s="119" t="s">
        <v>16</v>
      </c>
      <c r="K20" s="26" t="s">
        <v>12</v>
      </c>
      <c r="L20" s="146" t="s">
        <v>14</v>
      </c>
      <c r="M20" s="146" t="s">
        <v>14</v>
      </c>
      <c r="N20" s="55" t="s">
        <v>13</v>
      </c>
      <c r="O20" s="33" t="s">
        <v>12</v>
      </c>
      <c r="P20" s="151" t="s">
        <v>14</v>
      </c>
      <c r="Q20" s="118" t="s">
        <v>13</v>
      </c>
      <c r="R20" s="33" t="s">
        <v>12</v>
      </c>
      <c r="S20" s="33" t="s">
        <v>12</v>
      </c>
      <c r="T20" s="33" t="s">
        <v>13</v>
      </c>
      <c r="U20" s="138" t="s">
        <v>13</v>
      </c>
      <c r="V20" s="130" t="s">
        <v>14</v>
      </c>
      <c r="W20" s="130" t="s">
        <v>14</v>
      </c>
      <c r="X20" s="130" t="s">
        <v>14</v>
      </c>
      <c r="Y20" s="95" t="s">
        <v>13</v>
      </c>
      <c r="Z20" s="31" t="s">
        <v>14</v>
      </c>
      <c r="AA20" s="31" t="s">
        <v>14</v>
      </c>
      <c r="AB20" s="33" t="s">
        <v>13</v>
      </c>
      <c r="AC20" s="33" t="s">
        <v>12</v>
      </c>
      <c r="AD20" s="118" t="s">
        <v>12</v>
      </c>
      <c r="AE20" s="151" t="s">
        <v>14</v>
      </c>
      <c r="AF20" s="68" t="s">
        <v>13</v>
      </c>
      <c r="AG20" s="54" t="s">
        <v>12</v>
      </c>
      <c r="AH20" s="107">
        <v>21</v>
      </c>
      <c r="AI20" s="15"/>
      <c r="AJ20" s="15"/>
      <c r="AK20" s="153">
        <v>73000</v>
      </c>
      <c r="AL20" s="159">
        <v>98000</v>
      </c>
      <c r="AM20" s="159"/>
      <c r="AN20" s="159">
        <v>25000</v>
      </c>
      <c r="AO20" s="159"/>
      <c r="AP20" s="159"/>
      <c r="AQ20" s="166">
        <v>1</v>
      </c>
      <c r="AR20" s="162">
        <v>78421</v>
      </c>
      <c r="AS20" s="157">
        <f t="shared" si="0"/>
        <v>2077579</v>
      </c>
    </row>
    <row r="21" spans="1:62" ht="25" customHeight="1">
      <c r="A21" s="24"/>
      <c r="B21" s="32"/>
      <c r="C21" s="33"/>
      <c r="D21" s="33"/>
      <c r="E21" s="33"/>
      <c r="F21" s="33"/>
      <c r="G21" s="33"/>
      <c r="H21" s="33"/>
      <c r="I21" s="118"/>
      <c r="J21" s="119"/>
      <c r="K21" s="26"/>
      <c r="L21" s="26"/>
      <c r="M21" s="26"/>
      <c r="N21" s="55"/>
      <c r="O21" s="33"/>
      <c r="P21" s="118"/>
      <c r="Q21" s="118"/>
      <c r="R21" s="33"/>
      <c r="S21" s="33"/>
      <c r="T21" s="33"/>
      <c r="U21" s="137"/>
      <c r="V21" s="129"/>
      <c r="W21" s="129"/>
      <c r="X21" s="129"/>
      <c r="Y21" s="33"/>
      <c r="Z21" s="33"/>
      <c r="AA21" s="33"/>
      <c r="AB21" s="33"/>
      <c r="AC21" s="33"/>
      <c r="AD21" s="118"/>
      <c r="AE21" s="118"/>
      <c r="AF21" s="68"/>
      <c r="AG21" s="54"/>
      <c r="AH21" s="107"/>
      <c r="AI21" s="15"/>
      <c r="AJ21" s="15"/>
      <c r="AK21" s="76"/>
      <c r="AL21" s="77"/>
      <c r="AM21" s="77"/>
      <c r="AN21" s="77"/>
      <c r="AO21" s="77"/>
      <c r="AP21" s="77"/>
      <c r="AQ21" s="83"/>
      <c r="AR21" s="82"/>
      <c r="AS21" s="87"/>
    </row>
    <row r="22" spans="1:62" ht="20.149999999999999" customHeight="1">
      <c r="A22" s="24"/>
      <c r="B22" s="32"/>
      <c r="C22" s="33"/>
      <c r="D22" s="33"/>
      <c r="E22" s="33"/>
      <c r="F22" s="33"/>
      <c r="G22" s="33"/>
      <c r="H22" s="33"/>
      <c r="I22" s="118"/>
      <c r="J22" s="119"/>
      <c r="K22" s="26"/>
      <c r="L22" s="26"/>
      <c r="M22" s="26"/>
      <c r="N22" s="55"/>
      <c r="O22" s="33"/>
      <c r="P22" s="118"/>
      <c r="Q22" s="118"/>
      <c r="R22" s="33"/>
      <c r="S22" s="33"/>
      <c r="T22" s="33"/>
      <c r="U22" s="137"/>
      <c r="V22" s="129"/>
      <c r="W22" s="129"/>
      <c r="X22" s="129"/>
      <c r="Y22" s="33"/>
      <c r="Z22" s="33"/>
      <c r="AA22" s="33"/>
      <c r="AB22" s="33"/>
      <c r="AC22" s="33"/>
      <c r="AD22" s="118"/>
      <c r="AE22" s="118"/>
      <c r="AF22" s="69"/>
      <c r="AG22" s="54"/>
      <c r="AH22" s="107"/>
      <c r="AI22" s="15"/>
      <c r="AJ22" s="15"/>
      <c r="AK22" s="78"/>
      <c r="AL22" s="79"/>
      <c r="AM22" s="79"/>
      <c r="AN22" s="79"/>
      <c r="AO22" s="79"/>
      <c r="AP22" s="79"/>
      <c r="AR22" s="167"/>
      <c r="AS22" s="168"/>
    </row>
    <row r="23" spans="1:62" ht="24" customHeight="1">
      <c r="A23" s="24"/>
      <c r="B23" s="32"/>
      <c r="C23" s="33"/>
      <c r="D23" s="33"/>
      <c r="E23" s="33"/>
      <c r="F23" s="33"/>
      <c r="G23" s="33"/>
      <c r="H23" s="33"/>
      <c r="I23" s="118"/>
      <c r="J23" s="119"/>
      <c r="K23" s="26"/>
      <c r="L23" s="26"/>
      <c r="M23" s="26"/>
      <c r="N23" s="55"/>
      <c r="O23" s="33"/>
      <c r="P23" s="118"/>
      <c r="Q23" s="118"/>
      <c r="R23" s="33"/>
      <c r="S23" s="33"/>
      <c r="T23" s="33"/>
      <c r="U23" s="137"/>
      <c r="V23" s="129"/>
      <c r="W23" s="129"/>
      <c r="X23" s="129"/>
      <c r="Y23" s="33"/>
      <c r="Z23" s="33"/>
      <c r="AA23" s="33"/>
      <c r="AB23" s="33"/>
      <c r="AC23" s="33"/>
      <c r="AD23" s="118"/>
      <c r="AE23" s="118"/>
      <c r="AF23" s="69"/>
      <c r="AG23" s="54"/>
      <c r="AH23" s="109"/>
      <c r="AK23" s="78"/>
      <c r="AL23" s="79"/>
      <c r="AM23" s="79"/>
      <c r="AN23" s="79"/>
      <c r="AO23" s="79"/>
      <c r="AP23" s="79"/>
      <c r="AR23" s="169" t="s">
        <v>22</v>
      </c>
      <c r="AS23" s="170">
        <f>SUM(AS7:AS20)</f>
        <v>22892211</v>
      </c>
    </row>
    <row r="24" spans="1:62" ht="29.15" customHeight="1">
      <c r="A24" s="24"/>
      <c r="B24" s="32"/>
      <c r="C24" s="32"/>
      <c r="D24" s="32"/>
      <c r="E24" s="32"/>
      <c r="F24" s="32"/>
      <c r="G24" s="32"/>
      <c r="H24" s="32"/>
      <c r="I24" s="120"/>
      <c r="J24" s="121"/>
      <c r="K24" s="25"/>
      <c r="L24" s="25"/>
      <c r="M24" s="25"/>
      <c r="N24" s="57"/>
      <c r="O24" s="32"/>
      <c r="P24" s="120"/>
      <c r="Q24" s="120"/>
      <c r="R24" s="32"/>
      <c r="S24" s="32"/>
      <c r="T24" s="32"/>
      <c r="U24" s="139"/>
      <c r="V24" s="131"/>
      <c r="W24" s="131"/>
      <c r="X24" s="131"/>
      <c r="Y24" s="32"/>
      <c r="Z24" s="32"/>
      <c r="AA24" s="32"/>
      <c r="AB24" s="32"/>
      <c r="AC24" s="32"/>
      <c r="AD24" s="120"/>
      <c r="AE24" s="120"/>
      <c r="AF24" s="69"/>
      <c r="AG24" s="56"/>
      <c r="AH24" s="109"/>
      <c r="AK24" s="78"/>
      <c r="AL24" s="79"/>
      <c r="AM24" s="79"/>
      <c r="AN24" s="79"/>
      <c r="AO24" s="79"/>
      <c r="AP24" s="79"/>
      <c r="AR24" s="171"/>
      <c r="AS24" s="172"/>
    </row>
    <row r="25" spans="1:62" ht="20.149999999999999" customHeight="1">
      <c r="A25" s="24"/>
      <c r="B25" s="34"/>
      <c r="C25" s="34"/>
      <c r="D25" s="34"/>
      <c r="E25" s="34"/>
      <c r="F25" s="34"/>
      <c r="G25" s="34"/>
      <c r="H25" s="34"/>
      <c r="I25" s="122"/>
      <c r="J25" s="123"/>
      <c r="K25" s="32"/>
      <c r="L25" s="32"/>
      <c r="M25" s="32"/>
      <c r="N25" s="59"/>
      <c r="O25" s="34"/>
      <c r="P25" s="122"/>
      <c r="Q25" s="122"/>
      <c r="R25" s="34"/>
      <c r="S25" s="34"/>
      <c r="T25" s="34"/>
      <c r="U25" s="140"/>
      <c r="V25" s="132"/>
      <c r="W25" s="132"/>
      <c r="X25" s="132"/>
      <c r="Y25" s="34"/>
      <c r="Z25" s="34"/>
      <c r="AA25" s="34"/>
      <c r="AB25" s="34"/>
      <c r="AC25" s="34"/>
      <c r="AD25" s="122"/>
      <c r="AE25" s="122"/>
      <c r="AF25" s="70"/>
      <c r="AG25" s="58"/>
      <c r="AH25" s="109"/>
      <c r="AK25" s="78"/>
      <c r="AL25" s="78"/>
      <c r="AM25" s="78"/>
      <c r="AN25" s="78"/>
      <c r="AO25" s="78"/>
      <c r="AP25" s="78"/>
      <c r="AR25" s="78"/>
      <c r="AS25" s="87"/>
    </row>
    <row r="26" spans="1:62" ht="20.149999999999999" customHeight="1">
      <c r="A26" s="24"/>
      <c r="B26" s="35"/>
      <c r="C26" s="36"/>
      <c r="D26" s="36"/>
      <c r="E26" s="36"/>
      <c r="F26" s="36"/>
      <c r="G26" s="36"/>
      <c r="H26" s="36"/>
      <c r="I26" s="124"/>
      <c r="J26" s="125"/>
      <c r="K26" s="61"/>
      <c r="L26" s="36"/>
      <c r="M26" s="62"/>
      <c r="N26" s="63"/>
      <c r="O26" s="36"/>
      <c r="P26" s="124"/>
      <c r="Q26" s="124"/>
      <c r="R26" s="36"/>
      <c r="S26" s="36"/>
      <c r="T26" s="36"/>
      <c r="U26" s="141"/>
      <c r="V26" s="133"/>
      <c r="W26" s="133"/>
      <c r="X26" s="133"/>
      <c r="Y26" s="36"/>
      <c r="Z26" s="36"/>
      <c r="AA26" s="20"/>
      <c r="AB26" s="20"/>
      <c r="AC26" s="36"/>
      <c r="AD26" s="124"/>
      <c r="AE26" s="124"/>
      <c r="AF26" s="36"/>
      <c r="AG26" s="60"/>
      <c r="AH26" s="110"/>
    </row>
    <row r="27" spans="1:62" ht="31.5" customHeight="1">
      <c r="A27" s="37" t="s">
        <v>23</v>
      </c>
      <c r="B27" s="38" t="s">
        <v>24</v>
      </c>
      <c r="C27" s="39"/>
      <c r="D27" s="40"/>
      <c r="E27" s="40"/>
      <c r="F27" s="40"/>
      <c r="G27" s="40"/>
      <c r="H27" s="39"/>
      <c r="I27" s="40"/>
      <c r="J27" s="40"/>
      <c r="K27" s="40"/>
      <c r="L27" s="40"/>
      <c r="M27" s="40"/>
      <c r="N27" s="38" t="s">
        <v>25</v>
      </c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71"/>
      <c r="AG27" s="40"/>
    </row>
    <row r="28" spans="1:62" ht="15.75" customHeight="1">
      <c r="A28" s="40"/>
      <c r="B28" s="41" t="s">
        <v>26</v>
      </c>
      <c r="C28" s="42" t="s">
        <v>12</v>
      </c>
      <c r="D28" s="40" t="s">
        <v>27</v>
      </c>
      <c r="E28" s="40"/>
      <c r="F28" s="40"/>
      <c r="G28" s="40"/>
      <c r="H28" s="42" t="s">
        <v>13</v>
      </c>
      <c r="I28" s="40" t="s">
        <v>28</v>
      </c>
      <c r="J28" s="40"/>
      <c r="K28" s="40"/>
      <c r="L28" s="40"/>
      <c r="M28" s="42" t="s">
        <v>16</v>
      </c>
      <c r="N28" s="40" t="s">
        <v>29</v>
      </c>
      <c r="O28" s="40"/>
      <c r="P28" s="40"/>
      <c r="Q28" s="40"/>
      <c r="R28" s="88" t="s">
        <v>14</v>
      </c>
      <c r="S28" s="40" t="s">
        <v>30</v>
      </c>
      <c r="T28" s="40"/>
      <c r="U28" s="40"/>
      <c r="V28" s="40"/>
      <c r="W28" s="42" t="s">
        <v>31</v>
      </c>
      <c r="X28" s="40" t="s">
        <v>32</v>
      </c>
      <c r="Y28" s="40"/>
      <c r="Z28" s="40"/>
      <c r="AA28" s="40"/>
      <c r="AB28" s="40"/>
      <c r="AC28" s="40"/>
      <c r="AD28" s="40"/>
      <c r="AE28" s="40"/>
      <c r="AF28" s="71"/>
      <c r="AG28" s="40"/>
    </row>
    <row r="29" spans="1:62" ht="12" customHeight="1">
      <c r="A29" s="40"/>
    </row>
    <row r="30" spans="1:62" ht="21" customHeight="1">
      <c r="C30" s="43" t="s">
        <v>33</v>
      </c>
      <c r="D30" s="16" t="s">
        <v>34</v>
      </c>
      <c r="H30" s="43" t="s">
        <v>35</v>
      </c>
      <c r="I30" s="16" t="s">
        <v>36</v>
      </c>
      <c r="M30" s="43" t="s">
        <v>37</v>
      </c>
      <c r="N30" s="16" t="s">
        <v>38</v>
      </c>
      <c r="R30" s="43" t="s">
        <v>39</v>
      </c>
      <c r="S30" s="16" t="s">
        <v>40</v>
      </c>
      <c r="W30" s="65"/>
      <c r="BG30" s="15"/>
    </row>
    <row r="31" spans="1:62" ht="18.75" customHeight="1">
      <c r="B31" s="44" t="s">
        <v>41</v>
      </c>
      <c r="C31" s="16" t="s">
        <v>42</v>
      </c>
      <c r="S31" s="16" t="s">
        <v>43</v>
      </c>
      <c r="AA31" s="16" t="s">
        <v>44</v>
      </c>
    </row>
    <row r="32" spans="1:62" ht="18.75" customHeight="1">
      <c r="C32" s="45" t="s">
        <v>71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 t="s">
        <v>45</v>
      </c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 spans="3:66" ht="19.5" customHeight="1">
      <c r="C33" s="46"/>
      <c r="D33" s="45" t="s">
        <v>46</v>
      </c>
      <c r="E33" s="47"/>
      <c r="F33" s="45"/>
      <c r="G33" s="45"/>
      <c r="H33" s="85"/>
      <c r="I33" s="45" t="s">
        <v>47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</row>
    <row r="34" spans="3:66" ht="20.25" customHeight="1">
      <c r="C34" s="48"/>
      <c r="D34" s="48" t="s">
        <v>48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72"/>
      <c r="AA34" s="16" t="s">
        <v>72</v>
      </c>
    </row>
    <row r="35" spans="3:66" ht="25">
      <c r="C35" s="49" t="s">
        <v>49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BN35" s="15"/>
    </row>
    <row r="39" spans="3:66">
      <c r="Y39" s="73"/>
      <c r="AK39" s="15"/>
    </row>
    <row r="44" spans="3:66">
      <c r="BA44" s="15"/>
    </row>
    <row r="48" spans="3:66">
      <c r="AQ48" s="15"/>
      <c r="AR48" s="15"/>
    </row>
    <row r="49" spans="43:196">
      <c r="AQ49" s="15"/>
      <c r="AR49" s="15"/>
    </row>
    <row r="50" spans="43:196">
      <c r="AQ50" s="15"/>
      <c r="AR50" s="15"/>
    </row>
    <row r="51" spans="43:196">
      <c r="AQ51" s="15"/>
      <c r="AR51" s="15"/>
    </row>
    <row r="55" spans="43:196"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</row>
    <row r="56" spans="43:196"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</row>
    <row r="57" spans="43:196"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</row>
    <row r="58" spans="43:196"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</row>
    <row r="59" spans="43:196"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</row>
    <row r="60" spans="43:196"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</row>
    <row r="61" spans="43:196"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</row>
    <row r="62" spans="43:196"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</row>
    <row r="63" spans="43:196"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</row>
    <row r="64" spans="43:196"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  <c r="FU64" s="84"/>
      <c r="FV64" s="84"/>
      <c r="FW64" s="84"/>
      <c r="FX64" s="84"/>
      <c r="FY64" s="84"/>
      <c r="FZ64" s="84"/>
      <c r="GA64" s="84"/>
      <c r="GB64" s="84"/>
      <c r="GC64" s="84"/>
      <c r="GD64" s="84"/>
      <c r="GE64" s="84"/>
      <c r="GF64" s="84"/>
      <c r="GG64" s="84"/>
      <c r="GH64" s="84"/>
      <c r="GI64" s="84"/>
      <c r="GJ64" s="84"/>
      <c r="GK64" s="84"/>
      <c r="GL64" s="84"/>
      <c r="GM64" s="84"/>
      <c r="GN64" s="84"/>
    </row>
    <row r="91" spans="207:207">
      <c r="GY91" s="84"/>
    </row>
  </sheetData>
  <mergeCells count="12">
    <mergeCell ref="A1:I1"/>
    <mergeCell ref="A2:AG2"/>
    <mergeCell ref="V6:X6"/>
    <mergeCell ref="AK5:AK6"/>
    <mergeCell ref="AL5:AL6"/>
    <mergeCell ref="AR5:AR6"/>
    <mergeCell ref="AS5:AS6"/>
    <mergeCell ref="AM5:AM6"/>
    <mergeCell ref="AN5:AN6"/>
    <mergeCell ref="AO5:AO6"/>
    <mergeCell ref="AP5:AP6"/>
    <mergeCell ref="AQ5:AQ6"/>
  </mergeCells>
  <printOptions horizontalCentered="1" verticalCentered="1"/>
  <pageMargins left="0" right="0" top="0" bottom="0" header="0" footer="0"/>
  <pageSetup paperSize="256" scale="82" fitToHeight="6" orientation="landscape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0"/>
  <sheetViews>
    <sheetView topLeftCell="A2" zoomScale="45" zoomScaleNormal="90" workbookViewId="0">
      <selection activeCell="B5" sqref="B5"/>
    </sheetView>
  </sheetViews>
  <sheetFormatPr defaultColWidth="9.1796875" defaultRowHeight="14.5"/>
  <cols>
    <col min="1" max="1" width="4.26953125" style="1" customWidth="1"/>
    <col min="2" max="2" width="9" style="1" customWidth="1"/>
    <col min="3" max="3" width="48.453125" style="1" customWidth="1"/>
    <col min="4" max="4" width="50.26953125" style="1" customWidth="1"/>
    <col min="5" max="5" width="56.7265625" style="1" customWidth="1"/>
    <col min="6" max="6" width="18" style="1" customWidth="1"/>
    <col min="7" max="7" width="4.54296875" style="1" customWidth="1"/>
    <col min="8" max="8" width="4.1796875" style="1" customWidth="1"/>
    <col min="9" max="9" width="4.453125" style="1" customWidth="1"/>
    <col min="10" max="10" width="4.26953125" style="1" customWidth="1"/>
    <col min="11" max="12" width="4.1796875" style="1" customWidth="1"/>
    <col min="13" max="13" width="4.453125" style="1" customWidth="1"/>
    <col min="14" max="14" width="4.26953125" style="1" customWidth="1"/>
    <col min="15" max="15" width="4.453125" style="1" customWidth="1"/>
    <col min="16" max="16" width="4.54296875" style="1" customWidth="1"/>
    <col min="17" max="18" width="4.453125" style="1" customWidth="1"/>
    <col min="19" max="19" width="4.7265625" style="1" customWidth="1"/>
    <col min="20" max="20" width="4.54296875" style="1" customWidth="1"/>
    <col min="21" max="21" width="4.7265625" style="1" customWidth="1"/>
    <col min="22" max="22" width="4.26953125" style="1" customWidth="1"/>
    <col min="23" max="23" width="4.7265625" style="1" customWidth="1"/>
    <col min="24" max="24" width="4.26953125" style="1" customWidth="1"/>
    <col min="25" max="25" width="5" style="1" customWidth="1"/>
    <col min="26" max="26" width="4.7265625" style="1" customWidth="1"/>
    <col min="27" max="28" width="4.453125" style="1" customWidth="1"/>
    <col min="29" max="29" width="4.54296875" style="1" customWidth="1"/>
    <col min="30" max="30" width="4.1796875" style="1" customWidth="1"/>
    <col min="31" max="31" width="4.453125" style="1" customWidth="1"/>
    <col min="32" max="32" width="4.7265625" style="1" customWidth="1"/>
    <col min="33" max="34" width="4.26953125" style="1" customWidth="1"/>
    <col min="35" max="16384" width="9.1796875" style="1"/>
  </cols>
  <sheetData>
    <row r="1" spans="1:34" ht="15" customHeight="1">
      <c r="A1" s="2"/>
      <c r="B1" s="2"/>
      <c r="C1" s="2"/>
      <c r="D1" s="2"/>
      <c r="E1" s="2"/>
      <c r="F1" s="2"/>
      <c r="G1" s="2"/>
      <c r="H1" s="2"/>
      <c r="I1" s="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25.5">
      <c r="A2" s="2"/>
      <c r="B2" s="2"/>
      <c r="C2" s="2"/>
      <c r="D2" s="3" t="s">
        <v>50</v>
      </c>
      <c r="E2" s="3"/>
      <c r="F2" s="2"/>
      <c r="G2" s="2"/>
      <c r="H2" s="2"/>
      <c r="I2" s="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ht="25.5">
      <c r="A3" s="2"/>
      <c r="B3" s="2"/>
      <c r="C3" s="2"/>
      <c r="D3" s="3" t="s">
        <v>74</v>
      </c>
      <c r="E3" s="3"/>
      <c r="F3" s="2"/>
      <c r="G3" s="2"/>
      <c r="H3" s="2"/>
      <c r="I3" s="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ht="15" customHeight="1">
      <c r="A4" s="2"/>
      <c r="B4" s="2"/>
      <c r="C4" s="2"/>
      <c r="D4" s="2"/>
      <c r="E4" s="2"/>
      <c r="F4" s="2"/>
      <c r="G4" s="2"/>
      <c r="H4" s="2"/>
      <c r="I4" s="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ht="42" customHeight="1">
      <c r="A5" s="2"/>
      <c r="B5" s="2"/>
      <c r="C5" s="4" t="s">
        <v>51</v>
      </c>
      <c r="D5" s="4" t="s">
        <v>89</v>
      </c>
      <c r="E5" s="4" t="s">
        <v>90</v>
      </c>
      <c r="F5" s="2"/>
      <c r="G5" s="2"/>
      <c r="H5" s="2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ht="42" customHeight="1">
      <c r="A6" s="2"/>
      <c r="B6" s="2"/>
      <c r="C6" s="4" t="s">
        <v>51</v>
      </c>
      <c r="D6" s="4" t="s">
        <v>52</v>
      </c>
      <c r="E6" s="4" t="s">
        <v>91</v>
      </c>
      <c r="F6" s="2"/>
      <c r="G6" s="2"/>
      <c r="H6" s="2"/>
      <c r="I6" s="2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ht="42" customHeight="1">
      <c r="A7" s="2"/>
      <c r="B7" s="2"/>
      <c r="C7" s="5" t="s">
        <v>53</v>
      </c>
      <c r="D7" s="6" t="s">
        <v>92</v>
      </c>
      <c r="E7" s="6" t="s">
        <v>93</v>
      </c>
      <c r="F7" s="2"/>
      <c r="G7" s="2"/>
      <c r="H7" s="2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ht="42" customHeight="1">
      <c r="A8" s="2"/>
      <c r="B8" s="2"/>
      <c r="C8" s="5" t="s">
        <v>53</v>
      </c>
      <c r="D8" s="6" t="s">
        <v>54</v>
      </c>
      <c r="E8" s="6" t="s">
        <v>94</v>
      </c>
      <c r="F8" s="2"/>
      <c r="G8" s="2"/>
      <c r="H8" s="2"/>
      <c r="I8" s="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42" customHeight="1">
      <c r="A9" s="2"/>
      <c r="B9" s="2"/>
      <c r="C9" s="7" t="s">
        <v>55</v>
      </c>
      <c r="D9" s="7" t="s">
        <v>95</v>
      </c>
      <c r="E9" s="7" t="s">
        <v>96</v>
      </c>
      <c r="F9" s="2"/>
      <c r="G9" s="2"/>
      <c r="H9" s="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42" customHeight="1">
      <c r="A10" s="2"/>
      <c r="B10" s="2"/>
      <c r="C10" s="7" t="s">
        <v>55</v>
      </c>
      <c r="D10" s="7" t="s">
        <v>97</v>
      </c>
      <c r="E10" s="7" t="s">
        <v>98</v>
      </c>
      <c r="F10" s="2"/>
      <c r="G10" s="2"/>
      <c r="H10" s="2"/>
      <c r="I10" s="2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42" customHeight="1">
      <c r="A11" s="2"/>
      <c r="B11" s="2"/>
      <c r="C11" s="8" t="s">
        <v>56</v>
      </c>
      <c r="D11" s="8" t="s">
        <v>70</v>
      </c>
      <c r="E11" s="8" t="s">
        <v>97</v>
      </c>
      <c r="F11" s="2"/>
      <c r="G11" s="2"/>
      <c r="H11" s="2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42" customHeight="1">
      <c r="A12" s="2"/>
      <c r="B12" s="2"/>
      <c r="C12" s="9" t="s">
        <v>56</v>
      </c>
      <c r="D12" s="9" t="s">
        <v>100</v>
      </c>
      <c r="E12" s="9" t="s">
        <v>99</v>
      </c>
      <c r="F12" s="2"/>
      <c r="G12" s="2"/>
      <c r="H12" s="2"/>
      <c r="I12" s="2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ht="42" customHeight="1">
      <c r="A13" s="2"/>
      <c r="B13" s="2"/>
      <c r="C13" s="10" t="s">
        <v>57</v>
      </c>
      <c r="D13" s="10" t="s">
        <v>58</v>
      </c>
      <c r="E13" s="10"/>
      <c r="F13" s="2"/>
      <c r="G13" s="2"/>
      <c r="H13" s="2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42" customHeight="1">
      <c r="A14" s="2"/>
      <c r="B14" s="2"/>
      <c r="C14" s="4" t="s">
        <v>59</v>
      </c>
      <c r="D14" s="183" t="s">
        <v>60</v>
      </c>
      <c r="E14" s="184"/>
      <c r="F14" s="2"/>
      <c r="G14" s="2"/>
      <c r="H14" s="2"/>
      <c r="I14" s="2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/>
    </row>
    <row r="15" spans="1:34" ht="42" customHeight="1">
      <c r="A15" s="2"/>
      <c r="B15" s="2"/>
      <c r="C15" s="4" t="s">
        <v>61</v>
      </c>
      <c r="D15" s="185"/>
      <c r="E15" s="186"/>
      <c r="F15" s="2"/>
      <c r="G15" s="2"/>
      <c r="H15" s="2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/>
    </row>
    <row r="16" spans="1:34" ht="25.5">
      <c r="A16" s="2"/>
      <c r="B16" s="2"/>
      <c r="C16" s="11"/>
      <c r="D16" s="11"/>
      <c r="E16" s="11"/>
      <c r="F16" s="2"/>
      <c r="G16" s="2"/>
      <c r="H16" s="2"/>
      <c r="I16" s="2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/>
    </row>
    <row r="17" spans="1:34" ht="25.5">
      <c r="A17" s="2"/>
      <c r="B17" s="2"/>
      <c r="C17" s="11"/>
      <c r="D17" s="12" t="s">
        <v>62</v>
      </c>
      <c r="E17" s="13" t="s">
        <v>63</v>
      </c>
      <c r="F17" s="2"/>
      <c r="G17" s="2"/>
      <c r="H17" s="2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25.5">
      <c r="A18" s="2"/>
      <c r="B18" s="2"/>
      <c r="C18" s="11"/>
      <c r="D18" s="12" t="s">
        <v>64</v>
      </c>
      <c r="E18" s="12"/>
      <c r="F18" s="2"/>
      <c r="G18" s="2"/>
      <c r="H18" s="2"/>
      <c r="I18" s="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25.5">
      <c r="A19" s="2"/>
      <c r="B19" s="2"/>
      <c r="C19" s="11"/>
      <c r="D19" s="12" t="s">
        <v>65</v>
      </c>
      <c r="E19" s="12"/>
      <c r="F19" s="2"/>
      <c r="G19" s="2"/>
      <c r="H19" s="2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25.5">
      <c r="A20" s="2"/>
      <c r="B20" s="2"/>
      <c r="C20" s="11"/>
      <c r="D20" s="11"/>
      <c r="E20" s="11" t="s">
        <v>77</v>
      </c>
      <c r="F20" s="2"/>
      <c r="G20" s="2"/>
      <c r="H20" s="2"/>
      <c r="I20" s="2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4" ht="25.5">
      <c r="A21" s="2"/>
      <c r="B21" s="2"/>
      <c r="C21" s="11"/>
      <c r="D21" s="11"/>
      <c r="E21" s="11"/>
      <c r="F21" s="2"/>
      <c r="G21" s="2"/>
      <c r="H21" s="2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4" ht="25.5">
      <c r="A22" s="2"/>
      <c r="B22" s="2"/>
      <c r="C22" s="11"/>
      <c r="D22" s="11"/>
      <c r="E22" s="11"/>
      <c r="F22" s="2"/>
      <c r="G22" s="2"/>
      <c r="H22" s="2"/>
      <c r="I22" s="2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4" ht="25.5">
      <c r="A23" s="2"/>
      <c r="B23" s="2"/>
      <c r="C23" s="11"/>
      <c r="D23" s="11"/>
      <c r="E23" s="11"/>
      <c r="F23" s="2"/>
      <c r="G23" s="2"/>
      <c r="H23" s="2"/>
      <c r="I23" s="2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4" ht="25.5">
      <c r="A24" s="2"/>
      <c r="B24" s="2"/>
      <c r="C24" s="11"/>
      <c r="D24" s="11"/>
      <c r="E24" s="11"/>
      <c r="F24" s="2"/>
      <c r="G24" s="2"/>
      <c r="H24" s="2"/>
      <c r="I24" s="2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4" ht="25.5">
      <c r="A25" s="2"/>
      <c r="B25" s="2"/>
      <c r="C25" s="11"/>
      <c r="D25" s="11"/>
      <c r="E25" s="11"/>
      <c r="F25" s="2"/>
      <c r="G25" s="2"/>
      <c r="H25" s="2"/>
      <c r="I25" s="2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4" ht="25.5">
      <c r="A26" s="2"/>
      <c r="B26" s="2"/>
      <c r="C26" s="11"/>
      <c r="D26" s="11"/>
      <c r="E26" s="11"/>
      <c r="F26" s="2"/>
      <c r="G26" s="2"/>
      <c r="H26" s="2"/>
      <c r="I26" s="2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4" ht="25.5">
      <c r="A27" s="2"/>
      <c r="B27" s="2"/>
      <c r="C27" s="11"/>
      <c r="D27" s="11"/>
      <c r="E27" s="11"/>
      <c r="F27" s="2"/>
      <c r="G27" s="2"/>
      <c r="H27" s="2"/>
      <c r="I27" s="2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4" ht="25.5">
      <c r="A28" s="2"/>
      <c r="B28" s="2"/>
      <c r="C28" s="11"/>
      <c r="D28" s="11"/>
      <c r="E28" s="11"/>
      <c r="F28" s="2"/>
      <c r="G28" s="2"/>
      <c r="H28" s="2"/>
      <c r="I28" s="2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4" ht="25.5">
      <c r="A29" s="2"/>
      <c r="B29" s="2"/>
      <c r="C29" s="2"/>
      <c r="D29" s="2"/>
      <c r="E29" s="2"/>
      <c r="F29" s="2"/>
      <c r="G29" s="2"/>
      <c r="H29" s="2"/>
      <c r="I29" s="2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4" ht="25.5">
      <c r="A30" s="2"/>
      <c r="B30" s="2"/>
      <c r="C30" s="2"/>
      <c r="D30" s="2"/>
      <c r="E30" s="2"/>
      <c r="F30" s="2"/>
      <c r="G30" s="2"/>
      <c r="H30" s="2"/>
      <c r="I30" s="2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</sheetData>
  <mergeCells count="1">
    <mergeCell ref="D14:E15"/>
  </mergeCells>
  <pageMargins left="0.75" right="0.75" top="1" bottom="1" header="0.5" footer="0.5"/>
  <pageSetup paperSize="9"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ABSENSI</vt:lpstr>
      <vt:lpstr>PIKET</vt:lpstr>
      <vt:lpstr>ABSENSI!Print_Area</vt:lpstr>
    </vt:vector>
  </TitlesOfParts>
  <Company>Quick Chicken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</dc:creator>
  <cp:lastModifiedBy>LENOVO</cp:lastModifiedBy>
  <cp:lastPrinted>2020-10-02T13:16:00Z</cp:lastPrinted>
  <dcterms:created xsi:type="dcterms:W3CDTF">2008-10-28T02:18:00Z</dcterms:created>
  <dcterms:modified xsi:type="dcterms:W3CDTF">2026-02-28T09:05:55Z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95FC4379D8C94D6B90B7F49D4528A5E6_13</vt:lpwstr>
  </property>
</Properties>
</file>