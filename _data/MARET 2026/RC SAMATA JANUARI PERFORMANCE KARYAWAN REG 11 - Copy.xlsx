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MARET 2026\"/>
    </mc:Choice>
  </mc:AlternateContent>
  <xr:revisionPtr revIDLastSave="0" documentId="13_ncr:1_{CC42CAFF-FAD5-44D1-AADA-DBC6467D1A98}" xr6:coauthVersionLast="47" xr6:coauthVersionMax="47" xr10:uidLastSave="{00000000-0000-0000-0000-000000000000}"/>
  <bookViews>
    <workbookView xWindow="-110" yWindow="-110" windowWidth="19420" windowHeight="10300" tabRatio="996" activeTab="7" xr2:uid="{00000000-000D-0000-FFFF-FFFF00000000}"/>
  </bookViews>
  <sheets>
    <sheet name="STAFF PERFORMANCE CONTOH" sheetId="1" r:id="rId1"/>
    <sheet name="TIARA" sheetId="2" r:id="rId2"/>
    <sheet name="ANNISA" sheetId="3" r:id="rId3"/>
    <sheet name="SULFI" sheetId="4" r:id="rId4"/>
    <sheet name="YANI" sheetId="5" r:id="rId5"/>
    <sheet name="ASHRUL" sheetId="6" r:id="rId6"/>
    <sheet name="ILHAM" sheetId="7" r:id="rId7"/>
    <sheet name="IKKY" sheetId="8" r:id="rId8"/>
    <sheet name="NAMA 8" sheetId="9" r:id="rId9"/>
    <sheet name="NAMA 9" sheetId="10" r:id="rId10"/>
    <sheet name="NAMA 10" sheetId="11" r:id="rId11"/>
    <sheet name="NAMA 11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" l="1"/>
  <c r="E24" i="12"/>
  <c r="F24" i="12"/>
  <c r="D24" i="12"/>
  <c r="CX24" i="12"/>
  <c r="F26" i="12"/>
  <c r="C24" i="12"/>
  <c r="E24" i="11"/>
  <c r="F24" i="11"/>
  <c r="D24" i="11"/>
  <c r="CX24" i="11"/>
  <c r="F26" i="11"/>
  <c r="C24" i="11"/>
  <c r="E24" i="10"/>
  <c r="F24" i="10"/>
  <c r="D24" i="10"/>
  <c r="CX24" i="10"/>
  <c r="F26" i="10"/>
  <c r="C24" i="10"/>
  <c r="E24" i="9"/>
  <c r="F24" i="9"/>
  <c r="D24" i="9"/>
  <c r="CX24" i="9"/>
  <c r="F26" i="9"/>
  <c r="C24" i="9"/>
  <c r="F24" i="8"/>
  <c r="E24" i="8"/>
  <c r="D24" i="8"/>
  <c r="C24" i="8"/>
  <c r="F24" i="6"/>
  <c r="E24" i="6"/>
  <c r="D24" i="6"/>
  <c r="C24" i="6"/>
  <c r="F24" i="5"/>
  <c r="E24" i="5"/>
  <c r="D24" i="5"/>
  <c r="C24" i="5"/>
  <c r="F24" i="4"/>
  <c r="D24" i="4"/>
  <c r="C24" i="4"/>
  <c r="E24" i="3"/>
  <c r="F24" i="3"/>
  <c r="D24" i="3"/>
  <c r="C24" i="3"/>
  <c r="F24" i="2"/>
  <c r="E24" i="2"/>
  <c r="D24" i="2"/>
  <c r="C24" i="2"/>
  <c r="E24" i="1"/>
  <c r="F24" i="1"/>
  <c r="D24" i="1"/>
  <c r="CX24" i="1"/>
  <c r="F26" i="1"/>
  <c r="C24" i="1"/>
  <c r="F24" i="7"/>
  <c r="E24" i="7"/>
  <c r="D24" i="7"/>
  <c r="C24" i="7"/>
  <c r="CX24" i="4" l="1"/>
  <c r="F26" i="4" s="1"/>
  <c r="CX24" i="3"/>
  <c r="F26" i="3" s="1"/>
</calcChain>
</file>

<file path=xl/sharedStrings.xml><?xml version="1.0" encoding="utf-8"?>
<sst xmlns="http://schemas.openxmlformats.org/spreadsheetml/2006/main" count="745" uniqueCount="124">
  <si>
    <t>NO</t>
  </si>
  <si>
    <t>EVALUATION KRITERIA</t>
  </si>
  <si>
    <t>DISCIPLINE /DISIPLIN</t>
  </si>
  <si>
    <t>LOYALITY / LOYAL TERHADAP  PEKERJAAN</t>
  </si>
  <si>
    <t>RESPONSIBILITY / TANGGUNG JAWAB</t>
  </si>
  <si>
    <t>INISIATIVE / INISIATIF</t>
  </si>
  <si>
    <t>TRUSTWORTHY / KEJUJURAN</t>
  </si>
  <si>
    <t>APPEARANCE /PENAMPILAN DIRI</t>
  </si>
  <si>
    <t>TEAM WORK /HUBUNGAN KERJA</t>
  </si>
  <si>
    <t>PHYSICAL / KETAHANAN FISIK</t>
  </si>
  <si>
    <t xml:space="preserve">WAKTU YANG DIBERIKAN UNTUK MEMPERBAIKI SEGI NEGATIF................... hari / minggu </t>
  </si>
  <si>
    <t>Tanda tangan Penilai</t>
  </si>
  <si>
    <t>Tanda tangan yang dinilai</t>
  </si>
  <si>
    <t>___________________</t>
  </si>
  <si>
    <t xml:space="preserve">                             ___________________</t>
  </si>
  <si>
    <t>SEGI POSITIF :</t>
  </si>
  <si>
    <t>SEGI NEGATIF :</t>
  </si>
  <si>
    <t>SPEADING &amp; IMPLEMENTASI / KECEPATAN &amp; PELAKSANAAN KERJA</t>
  </si>
  <si>
    <t>TEST SCORES EVALUATION MONTLY /NILAI TES EVALUASI BULANAN</t>
  </si>
  <si>
    <t>STAFF PERFORMANCE EVALUATION</t>
  </si>
  <si>
    <t>JABATAN                          :</t>
  </si>
  <si>
    <t>CABANG                           :</t>
  </si>
  <si>
    <t>TANGGAL MASUK         :</t>
  </si>
  <si>
    <t>TANGGAL PENILAIAN  :</t>
  </si>
  <si>
    <t>NAMA                                :</t>
  </si>
  <si>
    <t>Dengan ini kami mengajukan penilaian kerja karyawan sebagai berikut :</t>
  </si>
  <si>
    <t>50 - 60 cukup</t>
  </si>
  <si>
    <t>70 - 80 baik</t>
  </si>
  <si>
    <t>80 - 100 sangat baik</t>
  </si>
  <si>
    <t>30 - 50 sangat kurang</t>
  </si>
  <si>
    <t xml:space="preserve">Nilai </t>
  </si>
  <si>
    <t>NB  :</t>
  </si>
  <si>
    <t>SANGAT KURANG</t>
  </si>
  <si>
    <t>CUKUP</t>
  </si>
  <si>
    <t>BAIK</t>
  </si>
  <si>
    <t>SANGAT BAIK</t>
  </si>
  <si>
    <t>TOTAL</t>
  </si>
  <si>
    <t>Catatan Kehadiran :</t>
  </si>
  <si>
    <t>Sakit</t>
  </si>
  <si>
    <t>…… hari</t>
  </si>
  <si>
    <t>Alpha</t>
  </si>
  <si>
    <t>Ijin</t>
  </si>
  <si>
    <t>Cuti</t>
  </si>
  <si>
    <t>Penyimpangan</t>
  </si>
  <si>
    <t>Training</t>
  </si>
  <si>
    <t>-</t>
  </si>
  <si>
    <t>* beri nilai angka  sesuai kategori</t>
  </si>
  <si>
    <t>NILAI PRESTASI CREW</t>
  </si>
  <si>
    <t>SITI HAWA</t>
  </si>
  <si>
    <t>SENIOR KASIR</t>
  </si>
  <si>
    <t>Karyawan</t>
  </si>
  <si>
    <t xml:space="preserve">        Supervisor</t>
  </si>
  <si>
    <t xml:space="preserve">50 - 60 cukup </t>
  </si>
  <si>
    <t>* Penilaian beri nilai angka  sesuai kategori</t>
  </si>
  <si>
    <t>Nilai * Beri warna merah</t>
  </si>
  <si>
    <t>2 hari</t>
  </si>
  <si>
    <t>3 hari</t>
  </si>
  <si>
    <t>BASUKI RAHMAT</t>
  </si>
  <si>
    <t>22 JANUARI 2022</t>
  </si>
  <si>
    <t xml:space="preserve"> - </t>
  </si>
  <si>
    <t xml:space="preserve"> </t>
  </si>
  <si>
    <t xml:space="preserve">   3  hari</t>
  </si>
  <si>
    <t>- PELAYANAN DAN KECEPATAN DALAM BEKERJA SUDAH CUKUP BAIK</t>
  </si>
  <si>
    <t xml:space="preserve">WAKTU YANG DIBERIKAN UNTUK MEMPERBAIKI SEGI NEGATIF  4  MINGGU </t>
  </si>
  <si>
    <t>WAKTU YANG DIBERIKAN UNTUK MEMPERBAIKI SEGI NEGATIF  4 MINGGU</t>
  </si>
  <si>
    <t>- PELAKSANAAN KERJA,KEDISIPLINAN CUKUP BAIK</t>
  </si>
  <si>
    <t>-SUKA KEBERSIHAN DAN KERAPIAN EQUIPMENT DAN AREA KERJA</t>
  </si>
  <si>
    <t>WAKTU YANG DIBERIKAN UNTUK MEMPERBAIKI SEGI NEGATIF 4 MINGGU</t>
  </si>
  <si>
    <t>JUNIOR KASIR</t>
  </si>
  <si>
    <t>-KURANG MEMPERHATIKAN MATERI YANG DISAMPAIKAN SPV MAUPUN SENIOR &amp; TIDAK SELALU AKTIF BERINTERAKSI DALAM BEKERJA</t>
  </si>
  <si>
    <t>-SELALU DATANG TEPAT WAKTU</t>
  </si>
  <si>
    <t>- MASIH KURANG BERINISIATIF,KECEPATAN KERJA,KEBERSIHAN DALAM BEKERJA</t>
  </si>
  <si>
    <t>-INISIATIF,KECEPATAN,DAN BELAJAR MEMAHAMI MATERI SOP MASIH PERLU DITINGKAN LAGI</t>
  </si>
  <si>
    <t>TIARA ASTUTI</t>
  </si>
  <si>
    <t>RC SAMATA</t>
  </si>
  <si>
    <t>17 MEI 2024</t>
  </si>
  <si>
    <t xml:space="preserve">     hari</t>
  </si>
  <si>
    <t xml:space="preserve">  .... hari</t>
  </si>
  <si>
    <t>TANGGUNG JAWAB TERHADAP PEKERJAAN</t>
  </si>
  <si>
    <t>HARUS BISA MEMANFAATKAN WAKTU LUANG SAAT JAM KERJA</t>
  </si>
  <si>
    <t>TINGKATKAN KEPEDULIAN TENTANG KEBERSIHAN</t>
  </si>
  <si>
    <t>AL DANNY I.N</t>
  </si>
  <si>
    <t>TINGKATKAN SUGGEST PRODUK KE CU</t>
  </si>
  <si>
    <t>ANNISA</t>
  </si>
  <si>
    <t>11 OKTOBER 2024</t>
  </si>
  <si>
    <t>DISIPLIN DALAM BEKERJA</t>
  </si>
  <si>
    <t>PELAYANAN &amp; KECEPATAN CUKUP BAIK</t>
  </si>
  <si>
    <t>TINGKATKAN INISIATIF &amp;  KEJUJURAN</t>
  </si>
  <si>
    <t>KETAHANAN FISIK  &amp; KEBERSIHAN CUKUP BAIK</t>
  </si>
  <si>
    <t>NILAI BULANAN CUKUP , DITINGKATKAN LAGI</t>
  </si>
  <si>
    <t>AL DANNY IRVAN N</t>
  </si>
  <si>
    <t>SULFI</t>
  </si>
  <si>
    <t xml:space="preserve"> DATANG TEPAT WAKTU &amp; DISIPLIN</t>
  </si>
  <si>
    <t>18 OKTOBER 2024</t>
  </si>
  <si>
    <t>HANDAYANI LUKIN</t>
  </si>
  <si>
    <t>SELALU PERHATIKAN PEMOSTINGAN PRODUK</t>
  </si>
  <si>
    <t>7 JANUARI 2025</t>
  </si>
  <si>
    <t>DISIPLIN DIRI DATANG TEPAT WAKTU</t>
  </si>
  <si>
    <t>PELAYANAN &amp; KECEPATAN CUKUP BAGUS</t>
  </si>
  <si>
    <t>ASHRUL RAMADHAN</t>
  </si>
  <si>
    <t>SENIOR COOK</t>
  </si>
  <si>
    <t>TEAM WORK DALAM BEKERJA CUKUP BAGUS</t>
  </si>
  <si>
    <t>TINGKATKAN TANGGUNG JAWAB TERHADAP PEKERJAAN</t>
  </si>
  <si>
    <t>SERING MAINAN HP SAAT JAM KERJA</t>
  </si>
  <si>
    <t>ILHAM</t>
  </si>
  <si>
    <t>JUNIOR COOK</t>
  </si>
  <si>
    <t>2 JULI 2025</t>
  </si>
  <si>
    <t>JUJUR DALAM KINERJA</t>
  </si>
  <si>
    <t>KURANG MEMPERHATIKAN INSTRUKSI DARI SPV</t>
  </si>
  <si>
    <t>KURANG MEMPERHATIKAN STOK AYAM DAN STOK YANG MENIPIS</t>
  </si>
  <si>
    <t xml:space="preserve">WAKTU YANG DIBERIKAN UNTUK MEMPERBAIKI SEGI NEGATIF 4 minggu </t>
  </si>
  <si>
    <t>M RIFKI FIRMANSYAH</t>
  </si>
  <si>
    <t>RC SAMATA GOWA</t>
  </si>
  <si>
    <t>2 AGUSTUS 2025</t>
  </si>
  <si>
    <t>2  hari</t>
  </si>
  <si>
    <t xml:space="preserve">WAKTU YANG DIBERIKAN UNTUK MEMPERBAIKI SEGI NEGATIF  4  minggu </t>
  </si>
  <si>
    <t>KURANG DISIPLIN SAAT BERANGKAT KERJA/SERING MAIN HP SAAT JAM KERJA</t>
  </si>
  <si>
    <t>KURANG TELITI DALAM BEKERJA</t>
  </si>
  <si>
    <t>8 LANGKAH KASIRNYA KURANG DI TERAPKAN</t>
  </si>
  <si>
    <t>KURANG KONSISTEN</t>
  </si>
  <si>
    <t>SERING MAIN HP SAAT JAM KERJA</t>
  </si>
  <si>
    <t>TANGGUNG JAWAB SEBAGAI SENIOR MASIH KURANG</t>
  </si>
  <si>
    <t xml:space="preserve"> 4 FEBRUARI 2026</t>
  </si>
  <si>
    <t>4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</si>
</sst>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4" borderId="0" xfId="0" applyFont="1" applyFill="1" applyBorder="1" applyAlignment="1"/>
    <xf numFmtId="0" fontId="2" fillId="0" borderId="0" xfId="0" quotePrefix="1" applyFont="1" applyAlignment="1">
      <alignment horizontal="left"/>
    </xf>
    <xf numFmtId="0" fontId="5" fillId="0" borderId="0" xfId="0" applyFont="1" applyFill="1" applyBorder="1" applyAlignment="1"/>
    <xf numFmtId="0" fontId="0" fillId="0" borderId="0" xfId="0" applyAlignment="1">
      <alignment horizontal="left" vertical="center"/>
    </xf>
    <xf numFmtId="0" fontId="2" fillId="0" borderId="0" xfId="0" quotePrefix="1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15" fontId="2" fillId="0" borderId="0" xfId="0" quotePrefix="1" applyNumberFormat="1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184593</xdr:colOff>
      <xdr:row>47</xdr:row>
      <xdr:rowOff>22151</xdr:rowOff>
    </xdr:from>
    <xdr:to>
      <xdr:col>1</xdr:col>
      <xdr:colOff>310117</xdr:colOff>
      <xdr:row>49</xdr:row>
      <xdr:rowOff>73838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300E7-CB54-411A-916F-1817835A952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93" y="9037674"/>
          <a:ext cx="539012" cy="4208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377228</xdr:colOff>
      <xdr:row>47</xdr:row>
      <xdr:rowOff>44009</xdr:rowOff>
    </xdr:from>
    <xdr:to>
      <xdr:col>1</xdr:col>
      <xdr:colOff>370941</xdr:colOff>
      <xdr:row>49</xdr:row>
      <xdr:rowOff>50297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C59399-E236-43AE-8E90-8729607AFF7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228" y="8959158"/>
          <a:ext cx="408663" cy="370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304800</xdr:colOff>
      <xdr:row>46</xdr:row>
      <xdr:rowOff>135466</xdr:rowOff>
    </xdr:from>
    <xdr:to>
      <xdr:col>1</xdr:col>
      <xdr:colOff>389466</xdr:colOff>
      <xdr:row>48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AC00-04EB-4367-8C67-F2D3E4A7E06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050866"/>
          <a:ext cx="499533" cy="4148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431800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18275C-A0E0-4AA1-9472-01512D6151F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67" y="9101667"/>
          <a:ext cx="431800" cy="372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50132</xdr:rowOff>
    </xdr:from>
    <xdr:to>
      <xdr:col>1</xdr:col>
      <xdr:colOff>342566</xdr:colOff>
      <xdr:row>48</xdr:row>
      <xdr:rowOff>150395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429845-9471-49FC-82F4-F4A05A5EC81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08" y="9032040"/>
          <a:ext cx="342566" cy="284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359192</xdr:colOff>
      <xdr:row>47</xdr:row>
      <xdr:rowOff>96212</xdr:rowOff>
    </xdr:from>
    <xdr:to>
      <xdr:col>1</xdr:col>
      <xdr:colOff>384849</xdr:colOff>
      <xdr:row>49</xdr:row>
      <xdr:rowOff>6415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CEA026-0A33-4EDA-BCAF-2CC71D5CA34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92" y="9178636"/>
          <a:ext cx="436162" cy="282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15680</xdr:rowOff>
    </xdr:from>
    <xdr:to>
      <xdr:col>1</xdr:col>
      <xdr:colOff>329259</xdr:colOff>
      <xdr:row>49</xdr:row>
      <xdr:rowOff>62716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FBA03-E2D7-43C7-9382-B4841237CE3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494" y="8850803"/>
          <a:ext cx="329259" cy="4076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X51"/>
  <sheetViews>
    <sheetView showGridLines="0" topLeftCell="A21" workbookViewId="0">
      <selection activeCell="J28" sqref="J28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1" t="s">
        <v>48</v>
      </c>
      <c r="D6" s="31"/>
    </row>
    <row r="7" spans="1:6" x14ac:dyDescent="0.35">
      <c r="B7" s="2" t="s">
        <v>20</v>
      </c>
      <c r="C7" s="31" t="s">
        <v>49</v>
      </c>
      <c r="D7" s="31"/>
      <c r="F7" s="3"/>
    </row>
    <row r="8" spans="1:6" x14ac:dyDescent="0.35">
      <c r="B8" s="2" t="s">
        <v>21</v>
      </c>
      <c r="C8" s="31" t="s">
        <v>57</v>
      </c>
      <c r="D8" s="31"/>
    </row>
    <row r="9" spans="1:6" x14ac:dyDescent="0.35">
      <c r="B9" s="2" t="s">
        <v>22</v>
      </c>
      <c r="C9" s="31" t="s">
        <v>58</v>
      </c>
      <c r="D9" s="31"/>
    </row>
    <row r="10" spans="1:6" x14ac:dyDescent="0.35">
      <c r="B10" s="2" t="s">
        <v>23</v>
      </c>
      <c r="C10" s="30">
        <v>45907</v>
      </c>
      <c r="D10" s="30"/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>
        <v>2</v>
      </c>
      <c r="D14" s="9"/>
      <c r="E14" s="9"/>
      <c r="F14" s="9"/>
    </row>
    <row r="15" spans="1:6" x14ac:dyDescent="0.35">
      <c r="A15" s="7">
        <v>2</v>
      </c>
      <c r="B15" s="8" t="s">
        <v>3</v>
      </c>
      <c r="C15" s="9">
        <v>2</v>
      </c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>
        <v>5</v>
      </c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>
        <v>2</v>
      </c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4" t="s">
        <v>36</v>
      </c>
      <c r="B24" s="34"/>
      <c r="C24" s="10">
        <f>SUM(C14:C23)</f>
        <v>6</v>
      </c>
      <c r="D24" s="9">
        <f>SUM(D14:D23)</f>
        <v>9</v>
      </c>
      <c r="E24" s="9">
        <f>SUM(E14:E23)</f>
        <v>12</v>
      </c>
      <c r="F24" s="9">
        <f>SUM(F14:F23)</f>
        <v>5</v>
      </c>
      <c r="CW24" s="9" t="s">
        <v>36</v>
      </c>
      <c r="CX24" s="9">
        <f>E24+F24+G24+D24</f>
        <v>26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53</v>
      </c>
      <c r="C26" s="35" t="s">
        <v>47</v>
      </c>
      <c r="D26" s="36"/>
      <c r="E26" s="37"/>
      <c r="F26" s="14">
        <f>CX24*2</f>
        <v>52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54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13" t="s">
        <v>29</v>
      </c>
      <c r="C30" s="15" t="s">
        <v>38</v>
      </c>
      <c r="D30" s="16"/>
      <c r="E30" s="17" t="s">
        <v>55</v>
      </c>
    </row>
    <row r="31" spans="1:102" x14ac:dyDescent="0.35">
      <c r="A31" s="11"/>
      <c r="B31" s="18" t="s">
        <v>52</v>
      </c>
      <c r="C31" s="15" t="s">
        <v>40</v>
      </c>
      <c r="D31" s="16"/>
      <c r="E31" s="17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17" t="s">
        <v>39</v>
      </c>
    </row>
    <row r="33" spans="1:5" x14ac:dyDescent="0.35">
      <c r="B33" s="12" t="s">
        <v>28</v>
      </c>
      <c r="C33" s="15" t="s">
        <v>42</v>
      </c>
      <c r="D33" s="16"/>
      <c r="E33" s="17" t="s">
        <v>56</v>
      </c>
    </row>
    <row r="34" spans="1:5" x14ac:dyDescent="0.35">
      <c r="C34" s="38" t="s">
        <v>43</v>
      </c>
      <c r="D34" s="39"/>
      <c r="E34" s="17" t="s">
        <v>39</v>
      </c>
    </row>
    <row r="35" spans="1:5" x14ac:dyDescent="0.35">
      <c r="C35" s="15" t="s">
        <v>44</v>
      </c>
      <c r="D35" s="16"/>
      <c r="E35" s="17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59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10">
    <mergeCell ref="A12:A13"/>
    <mergeCell ref="B12:B13"/>
    <mergeCell ref="A24:B24"/>
    <mergeCell ref="C26:E26"/>
    <mergeCell ref="C34:D34"/>
    <mergeCell ref="C10:D10"/>
    <mergeCell ref="C6:D6"/>
    <mergeCell ref="C7:D7"/>
    <mergeCell ref="C8:D8"/>
    <mergeCell ref="C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X51"/>
  <sheetViews>
    <sheetView showGridLines="0" zoomScale="86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73</v>
      </c>
    </row>
    <row r="7" spans="1:6" x14ac:dyDescent="0.35">
      <c r="B7" s="2" t="s">
        <v>20</v>
      </c>
      <c r="C7" s="3" t="s">
        <v>49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19" t="s">
        <v>75</v>
      </c>
    </row>
    <row r="10" spans="1:6" x14ac:dyDescent="0.35">
      <c r="B10" s="2" t="s">
        <v>23</v>
      </c>
      <c r="C10" s="28" t="s">
        <v>122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>
        <v>4</v>
      </c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6</v>
      </c>
      <c r="E24" s="9">
        <f>SUM(E14:E23)</f>
        <v>28</v>
      </c>
      <c r="F24" s="9">
        <f>SUM(F14:F23)</f>
        <v>5</v>
      </c>
      <c r="CW24" s="9" t="s">
        <v>36</v>
      </c>
      <c r="CX24" s="9">
        <v>37</v>
      </c>
    </row>
    <row r="25" spans="1:102" x14ac:dyDescent="0.35">
      <c r="A25" s="11"/>
      <c r="B25" s="12"/>
      <c r="C25" s="5"/>
      <c r="D25" s="5" t="s">
        <v>60</v>
      </c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v>78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77</v>
      </c>
    </row>
    <row r="33" spans="1:5" x14ac:dyDescent="0.35">
      <c r="B33" s="12" t="s">
        <v>28</v>
      </c>
      <c r="C33" s="15" t="s">
        <v>42</v>
      </c>
      <c r="D33" s="16"/>
      <c r="E33" s="8" t="s">
        <v>76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62</v>
      </c>
      <c r="C38" s="11"/>
      <c r="D38" s="11"/>
      <c r="E38" s="11"/>
    </row>
    <row r="39" spans="1:5" x14ac:dyDescent="0.35">
      <c r="B39" t="s">
        <v>92</v>
      </c>
      <c r="C39" s="11"/>
      <c r="D39" s="11"/>
      <c r="E39" s="11"/>
    </row>
    <row r="40" spans="1:5" x14ac:dyDescent="0.35">
      <c r="B40" t="s">
        <v>78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79</v>
      </c>
    </row>
    <row r="43" spans="1:5" x14ac:dyDescent="0.35">
      <c r="B43" t="s">
        <v>80</v>
      </c>
    </row>
    <row r="44" spans="1:5" x14ac:dyDescent="0.35">
      <c r="B44" t="s">
        <v>121</v>
      </c>
    </row>
    <row r="45" spans="1:5" x14ac:dyDescent="0.35">
      <c r="A45" t="s">
        <v>63</v>
      </c>
    </row>
    <row r="47" spans="1:5" x14ac:dyDescent="0.35">
      <c r="A47" t="s">
        <v>11</v>
      </c>
      <c r="E47" t="s">
        <v>12</v>
      </c>
    </row>
    <row r="49" spans="1:6" x14ac:dyDescent="0.35">
      <c r="A49" s="21"/>
    </row>
    <row r="50" spans="1:6" x14ac:dyDescent="0.35">
      <c r="A50" t="s">
        <v>81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X51"/>
  <sheetViews>
    <sheetView showGridLines="0" zoomScale="101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83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22" t="s">
        <v>84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>
        <v>4</v>
      </c>
      <c r="F14" s="9"/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>
        <v>4</v>
      </c>
      <c r="F20" s="9"/>
    </row>
    <row r="21" spans="1:102" x14ac:dyDescent="0.35">
      <c r="A21" s="7">
        <v>8</v>
      </c>
      <c r="B21" s="8" t="s">
        <v>8</v>
      </c>
      <c r="C21" s="9"/>
      <c r="D21" s="9">
        <v>3</v>
      </c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12</v>
      </c>
      <c r="E24" s="9">
        <f>SUM(E14:E23)</f>
        <v>24</v>
      </c>
      <c r="F24" s="9">
        <f>SUM(F14:F23)</f>
        <v>0</v>
      </c>
      <c r="CW24" s="9" t="s">
        <v>36</v>
      </c>
      <c r="CX24" s="9">
        <f>E24+F24+G24+D24</f>
        <v>36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72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61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85</v>
      </c>
      <c r="C38" s="11"/>
      <c r="D38" s="11"/>
      <c r="E38" s="11"/>
    </row>
    <row r="39" spans="1:5" x14ac:dyDescent="0.35">
      <c r="B39" t="s">
        <v>86</v>
      </c>
      <c r="C39" s="11"/>
      <c r="D39" s="11"/>
      <c r="E39" s="11"/>
    </row>
    <row r="40" spans="1:5" x14ac:dyDescent="0.35">
      <c r="B40" t="s">
        <v>88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s="23" t="s">
        <v>87</v>
      </c>
    </row>
    <row r="43" spans="1:5" x14ac:dyDescent="0.35">
      <c r="B43" t="s">
        <v>79</v>
      </c>
    </row>
    <row r="44" spans="1:5" x14ac:dyDescent="0.35">
      <c r="B44" t="s">
        <v>89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49" spans="1:6" x14ac:dyDescent="0.35">
      <c r="B49" s="24"/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X51"/>
  <sheetViews>
    <sheetView showGridLines="0" topLeftCell="B1" zoomScale="88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91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25" t="s">
        <v>93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>
        <v>5</v>
      </c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0</v>
      </c>
      <c r="E24" s="9">
        <f>SUM(E14:E23)</f>
        <v>32</v>
      </c>
      <c r="F24" s="9">
        <f>SUM(F14:F23)</f>
        <v>10</v>
      </c>
      <c r="CW24" s="9" t="s">
        <v>36</v>
      </c>
      <c r="CX24" s="9">
        <f>E24+F24+G24+D24</f>
        <v>42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84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65</v>
      </c>
      <c r="C38" s="11"/>
      <c r="D38" s="11"/>
      <c r="E38" s="11"/>
    </row>
    <row r="39" spans="1:5" x14ac:dyDescent="0.35">
      <c r="B39" t="s">
        <v>86</v>
      </c>
      <c r="C39" s="11"/>
      <c r="D39" s="11"/>
      <c r="E39" s="11"/>
    </row>
    <row r="40" spans="1:5" x14ac:dyDescent="0.35">
      <c r="B40" t="s">
        <v>66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120</v>
      </c>
    </row>
    <row r="43" spans="1:5" x14ac:dyDescent="0.35">
      <c r="B43" t="s">
        <v>82</v>
      </c>
    </row>
    <row r="44" spans="1:5" x14ac:dyDescent="0.35">
      <c r="B44" t="s">
        <v>95</v>
      </c>
    </row>
    <row r="45" spans="1:5" x14ac:dyDescent="0.35">
      <c r="A45" t="s">
        <v>67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X51"/>
  <sheetViews>
    <sheetView showGridLines="0" zoomScale="75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94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26" t="s">
        <v>96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12</v>
      </c>
      <c r="E24" s="9">
        <f>SUM(E14:E23)</f>
        <v>20</v>
      </c>
      <c r="F24" s="9">
        <f>SUM(F14:F23)</f>
        <v>5</v>
      </c>
      <c r="CW24" s="9" t="s">
        <v>36</v>
      </c>
      <c r="CX24" s="9">
        <v>32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v>74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97</v>
      </c>
      <c r="C38" s="11"/>
      <c r="D38" s="11"/>
      <c r="E38" s="11"/>
    </row>
    <row r="39" spans="1:5" x14ac:dyDescent="0.35">
      <c r="B39" t="s">
        <v>98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119</v>
      </c>
    </row>
    <row r="43" spans="1:5" x14ac:dyDescent="0.35">
      <c r="B43" t="s">
        <v>118</v>
      </c>
    </row>
    <row r="44" spans="1:5" x14ac:dyDescent="0.35">
      <c r="B44" t="s">
        <v>120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X51"/>
  <sheetViews>
    <sheetView showGridLines="0" zoomScale="76" zoomScaleNormal="70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99</v>
      </c>
    </row>
    <row r="7" spans="1:6" x14ac:dyDescent="0.35">
      <c r="B7" s="2" t="s">
        <v>20</v>
      </c>
      <c r="C7" s="3" t="s">
        <v>100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29">
        <v>46271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>
        <v>3</v>
      </c>
      <c r="E14" s="9"/>
      <c r="F14" s="9"/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>
        <v>2</v>
      </c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>
        <v>3</v>
      </c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>
        <v>3</v>
      </c>
      <c r="E23" s="9"/>
      <c r="F23" s="9"/>
    </row>
    <row r="24" spans="1:102" x14ac:dyDescent="0.35">
      <c r="A24" s="34" t="s">
        <v>36</v>
      </c>
      <c r="B24" s="34"/>
      <c r="C24" s="10">
        <f>SUM(C14:C23)</f>
        <v>2</v>
      </c>
      <c r="D24" s="9">
        <f>SUM(D14:D23)</f>
        <v>21</v>
      </c>
      <c r="E24" s="9">
        <f>SUM(E14:E23)</f>
        <v>8</v>
      </c>
      <c r="F24" s="9">
        <f>SUM(F14:F23)</f>
        <v>0</v>
      </c>
      <c r="CW24" s="9" t="s">
        <v>36</v>
      </c>
      <c r="CX24" s="9">
        <v>34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v>62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C38" s="11"/>
      <c r="D38" s="11"/>
      <c r="E38" s="11"/>
    </row>
    <row r="39" spans="1:5" x14ac:dyDescent="0.35">
      <c r="B39" t="s">
        <v>101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102</v>
      </c>
    </row>
    <row r="43" spans="1:5" x14ac:dyDescent="0.35">
      <c r="B43" t="s">
        <v>103</v>
      </c>
    </row>
    <row r="44" spans="1:5" x14ac:dyDescent="0.35">
      <c r="B44" t="s">
        <v>117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X51"/>
  <sheetViews>
    <sheetView showGridLines="0" zoomScale="99" workbookViewId="0">
      <selection activeCell="C10" sqref="C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104</v>
      </c>
    </row>
    <row r="7" spans="1:6" x14ac:dyDescent="0.35">
      <c r="B7" s="2" t="s">
        <v>20</v>
      </c>
      <c r="C7" s="3" t="s">
        <v>105</v>
      </c>
      <c r="F7" s="3"/>
    </row>
    <row r="8" spans="1:6" x14ac:dyDescent="0.35">
      <c r="B8" s="2" t="s">
        <v>21</v>
      </c>
      <c r="C8" s="3" t="s">
        <v>74</v>
      </c>
    </row>
    <row r="9" spans="1:6" x14ac:dyDescent="0.35">
      <c r="B9" s="2" t="s">
        <v>22</v>
      </c>
      <c r="C9" s="27" t="s">
        <v>106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>
        <v>3</v>
      </c>
      <c r="E19" s="9"/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>
        <v>3</v>
      </c>
      <c r="E23" s="9"/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9</v>
      </c>
      <c r="E24" s="9">
        <f>SUM(E14:E23)</f>
        <v>24</v>
      </c>
      <c r="F24" s="9">
        <f>SUM(F14:F23)</f>
        <v>5</v>
      </c>
      <c r="CW24" s="9" t="s">
        <v>36</v>
      </c>
      <c r="CX24" s="9">
        <v>33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v>76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70</v>
      </c>
      <c r="C38" s="11"/>
      <c r="D38" s="11"/>
      <c r="E38" s="11"/>
    </row>
    <row r="39" spans="1:5" x14ac:dyDescent="0.35">
      <c r="B39" t="s">
        <v>107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71</v>
      </c>
    </row>
    <row r="43" spans="1:5" x14ac:dyDescent="0.35">
      <c r="B43" t="s">
        <v>108</v>
      </c>
    </row>
    <row r="44" spans="1:5" x14ac:dyDescent="0.35">
      <c r="B44" t="s">
        <v>109</v>
      </c>
    </row>
    <row r="45" spans="1:5" x14ac:dyDescent="0.35">
      <c r="A45" t="s">
        <v>110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X51"/>
  <sheetViews>
    <sheetView showGridLines="0" tabSelected="1" zoomScale="81" workbookViewId="0">
      <selection activeCell="C11" sqref="C11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111</v>
      </c>
    </row>
    <row r="7" spans="1:6" x14ac:dyDescent="0.35">
      <c r="B7" s="2" t="s">
        <v>20</v>
      </c>
      <c r="C7" s="3" t="s">
        <v>105</v>
      </c>
      <c r="F7" s="3"/>
    </row>
    <row r="8" spans="1:6" x14ac:dyDescent="0.35">
      <c r="B8" s="2" t="s">
        <v>21</v>
      </c>
      <c r="C8" s="3" t="s">
        <v>112</v>
      </c>
    </row>
    <row r="9" spans="1:6" x14ac:dyDescent="0.35">
      <c r="B9" s="2" t="s">
        <v>22</v>
      </c>
      <c r="C9" s="28" t="s">
        <v>113</v>
      </c>
    </row>
    <row r="10" spans="1:6" x14ac:dyDescent="0.35">
      <c r="B10" s="2" t="s">
        <v>23</v>
      </c>
      <c r="C10" s="28" t="s">
        <v>123</v>
      </c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>
        <v>2</v>
      </c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>
        <v>2</v>
      </c>
      <c r="D16" s="9"/>
      <c r="E16" s="9"/>
      <c r="F16" s="9"/>
    </row>
    <row r="17" spans="1:102" x14ac:dyDescent="0.35">
      <c r="A17" s="7">
        <v>4</v>
      </c>
      <c r="B17" s="8" t="s">
        <v>5</v>
      </c>
      <c r="C17" s="9">
        <v>2</v>
      </c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>
        <v>2</v>
      </c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>
        <v>3</v>
      </c>
      <c r="E21" s="9"/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>
        <v>2</v>
      </c>
      <c r="D23" s="9"/>
      <c r="E23" s="9"/>
      <c r="F23" s="9"/>
    </row>
    <row r="24" spans="1:102" x14ac:dyDescent="0.35">
      <c r="A24" s="34" t="s">
        <v>36</v>
      </c>
      <c r="B24" s="34"/>
      <c r="C24" s="10">
        <f>SUM(C14:C23)</f>
        <v>10</v>
      </c>
      <c r="D24" s="9">
        <f>SUM(D14:D23)</f>
        <v>12</v>
      </c>
      <c r="E24" s="9">
        <f>SUM(E14:E23)</f>
        <v>4</v>
      </c>
      <c r="F24" s="9">
        <f>SUM(F14:F23)</f>
        <v>0</v>
      </c>
      <c r="CW24" s="9" t="s">
        <v>36</v>
      </c>
      <c r="CX24" s="9">
        <v>27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v>52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114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116</v>
      </c>
    </row>
    <row r="43" spans="1:5" x14ac:dyDescent="0.35">
      <c r="B43" t="s">
        <v>69</v>
      </c>
    </row>
    <row r="44" spans="1:5" x14ac:dyDescent="0.35">
      <c r="B44" t="s">
        <v>72</v>
      </c>
    </row>
    <row r="45" spans="1:5" x14ac:dyDescent="0.35">
      <c r="A45" t="s">
        <v>115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90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X51"/>
  <sheetViews>
    <sheetView showGridLines="0" workbookViewId="0">
      <selection activeCell="M15" sqref="M15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X51"/>
  <sheetViews>
    <sheetView showGridLines="0" workbookViewId="0">
      <selection activeCell="N10" sqref="N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X51"/>
  <sheetViews>
    <sheetView showGridLines="0" workbookViewId="0">
      <selection activeCell="O13" sqref="O13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X51"/>
  <sheetViews>
    <sheetView showGridLines="0" workbookViewId="0">
      <selection activeCell="K13" sqref="K13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2" t="s">
        <v>0</v>
      </c>
      <c r="B12" s="32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3"/>
      <c r="B13" s="33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4" t="s">
        <v>36</v>
      </c>
      <c r="B24" s="34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5" t="s">
        <v>47</v>
      </c>
      <c r="D26" s="36"/>
      <c r="E26" s="37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0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STAFF PERFORMANCE CONTOH</vt:lpstr>
      <vt:lpstr>TIARA</vt:lpstr>
      <vt:lpstr>ANNISA</vt:lpstr>
      <vt:lpstr>SULFI</vt:lpstr>
      <vt:lpstr>YANI</vt:lpstr>
      <vt:lpstr>ASHRUL</vt:lpstr>
      <vt:lpstr>ILHAM</vt:lpstr>
      <vt:lpstr>IKKY</vt:lpstr>
      <vt:lpstr>NAMA 8</vt:lpstr>
      <vt:lpstr>NAMA 9</vt:lpstr>
      <vt:lpstr>NAMA 10</vt:lpstr>
      <vt:lpstr>NAMA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2025-09-07T23:12:48Z</dcterms:created>
  <dcterms:modified xsi:type="dcterms:W3CDTF">2026-03-05T09:20:02Z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8e0ecd9fdca84dbca7fdf3bf41929822</vt:lpwstr>
  </property>
</Properties>
</file>