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LAPORAN\LAPORAN RC SAMATA 2026\MARET 2026\"/>
    </mc:Choice>
  </mc:AlternateContent>
  <xr:revisionPtr revIDLastSave="0" documentId="13_ncr:1_{A066137A-A2BC-4849-83D2-35367B3BB700}" xr6:coauthVersionLast="47" xr6:coauthVersionMax="47" xr10:uidLastSave="{00000000-0000-0000-0000-000000000000}"/>
  <bookViews>
    <workbookView xWindow="-110" yWindow="-110" windowWidth="19420" windowHeight="10300" tabRatio="996" activeTab="7" xr2:uid="{00000000-000D-0000-FFFF-FFFF00000000}"/>
  </bookViews>
  <sheets>
    <sheet name="STAFF PERFORMANCE CONTOH" sheetId="1" r:id="rId1"/>
    <sheet name="TIARA" sheetId="2" r:id="rId2"/>
    <sheet name="ANNISA" sheetId="3" r:id="rId3"/>
    <sheet name="SULFI" sheetId="4" r:id="rId4"/>
    <sheet name="YANI" sheetId="5" r:id="rId5"/>
    <sheet name="ASHRUL" sheetId="6" r:id="rId6"/>
    <sheet name="ILHAM" sheetId="7" r:id="rId7"/>
    <sheet name="IKKY" sheetId="8" r:id="rId8"/>
    <sheet name="NAMA 8" sheetId="9" r:id="rId9"/>
    <sheet name="NAMA 9" sheetId="10" r:id="rId10"/>
    <sheet name="NAMA 10" sheetId="11" r:id="rId11"/>
    <sheet name="NAMA 11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4" l="1"/>
  <c r="E24" i="12"/>
  <c r="F24" i="12"/>
  <c r="D24" i="12"/>
  <c r="CX24" i="12"/>
  <c r="F26" i="12"/>
  <c r="C24" i="12"/>
  <c r="E24" i="11"/>
  <c r="F24" i="11"/>
  <c r="D24" i="11"/>
  <c r="CX24" i="11"/>
  <c r="F26" i="11"/>
  <c r="C24" i="11"/>
  <c r="E24" i="10"/>
  <c r="F24" i="10"/>
  <c r="D24" i="10"/>
  <c r="CX24" i="10"/>
  <c r="F26" i="10"/>
  <c r="C24" i="10"/>
  <c r="E24" i="9"/>
  <c r="F24" i="9"/>
  <c r="D24" i="9"/>
  <c r="CX24" i="9"/>
  <c r="F26" i="9"/>
  <c r="C24" i="9"/>
  <c r="F26" i="8"/>
  <c r="F24" i="8"/>
  <c r="E24" i="8"/>
  <c r="D24" i="8"/>
  <c r="C24" i="8"/>
  <c r="F24" i="6"/>
  <c r="E24" i="6"/>
  <c r="D24" i="6"/>
  <c r="C24" i="6"/>
  <c r="F24" i="5"/>
  <c r="E24" i="5"/>
  <c r="D24" i="5"/>
  <c r="C24" i="5"/>
  <c r="F24" i="4"/>
  <c r="D24" i="4"/>
  <c r="C24" i="4"/>
  <c r="E24" i="3"/>
  <c r="F24" i="3"/>
  <c r="D24" i="3"/>
  <c r="C24" i="3"/>
  <c r="F24" i="2"/>
  <c r="E24" i="2"/>
  <c r="D24" i="2"/>
  <c r="C24" i="2"/>
  <c r="E24" i="1"/>
  <c r="F24" i="1"/>
  <c r="D24" i="1"/>
  <c r="CX24" i="1"/>
  <c r="F26" i="1"/>
  <c r="C24" i="1"/>
  <c r="F24" i="7"/>
  <c r="E24" i="7"/>
  <c r="D24" i="7"/>
  <c r="C24" i="7"/>
  <c r="CX24" i="4" l="1"/>
  <c r="F26" i="4" s="1"/>
  <c r="CX24" i="3"/>
  <c r="F26" i="3" s="1"/>
</calcChain>
</file>

<file path=xl/sharedStrings.xml><?xml version="1.0" encoding="utf-8"?>
<sst xmlns="http://schemas.openxmlformats.org/spreadsheetml/2006/main" count="746" uniqueCount="123">
  <si>
    <t>NO</t>
  </si>
  <si>
    <t>EVALUATION KRITERIA</t>
  </si>
  <si>
    <t>DISCIPLINE /DISIPLIN</t>
  </si>
  <si>
    <t>LOYALITY / LOYAL TERHADAP  PEKERJAAN</t>
  </si>
  <si>
    <t>RESPONSIBILITY / TANGGUNG JAWAB</t>
  </si>
  <si>
    <t>INISIATIVE / INISIATIF</t>
  </si>
  <si>
    <t>TRUSTWORTHY / KEJUJURAN</t>
  </si>
  <si>
    <t>APPEARANCE /PENAMPILAN DIRI</t>
  </si>
  <si>
    <t>TEAM WORK /HUBUNGAN KERJA</t>
  </si>
  <si>
    <t>PHYSICAL / KETAHANAN FISIK</t>
  </si>
  <si>
    <t xml:space="preserve">WAKTU YANG DIBERIKAN UNTUK MEMPERBAIKI SEGI NEGATIF................... hari / minggu </t>
  </si>
  <si>
    <t>Tanda tangan Penilai</t>
  </si>
  <si>
    <t>Tanda tangan yang dinilai</t>
  </si>
  <si>
    <t>___________________</t>
  </si>
  <si>
    <t xml:space="preserve">                             ___________________</t>
  </si>
  <si>
    <t>SEGI POSITIF :</t>
  </si>
  <si>
    <t>SEGI NEGATIF :</t>
  </si>
  <si>
    <t>SPEADING &amp; IMPLEMENTASI / KECEPATAN &amp; PELAKSANAAN KERJA</t>
  </si>
  <si>
    <t>TEST SCORES EVALUATION MONTLY /NILAI TES EVALUASI BULANAN</t>
  </si>
  <si>
    <t>STAFF PERFORMANCE EVALUATION</t>
  </si>
  <si>
    <t>JABATAN                          :</t>
  </si>
  <si>
    <t>CABANG                           :</t>
  </si>
  <si>
    <t>TANGGAL MASUK         :</t>
  </si>
  <si>
    <t>TANGGAL PENILAIAN  :</t>
  </si>
  <si>
    <t>NAMA                                :</t>
  </si>
  <si>
    <t>Dengan ini kami mengajukan penilaian kerja karyawan sebagai berikut :</t>
  </si>
  <si>
    <t>50 - 60 cukup</t>
  </si>
  <si>
    <t>70 - 80 baik</t>
  </si>
  <si>
    <t>80 - 100 sangat baik</t>
  </si>
  <si>
    <t>30 - 50 sangat kurang</t>
  </si>
  <si>
    <t xml:space="preserve">Nilai </t>
  </si>
  <si>
    <t>NB  :</t>
  </si>
  <si>
    <t>SANGAT KURANG</t>
  </si>
  <si>
    <t>CUKUP</t>
  </si>
  <si>
    <t>BAIK</t>
  </si>
  <si>
    <t>SANGAT BAIK</t>
  </si>
  <si>
    <t>TOTAL</t>
  </si>
  <si>
    <t>Catatan Kehadiran :</t>
  </si>
  <si>
    <t>Sakit</t>
  </si>
  <si>
    <t>…… hari</t>
  </si>
  <si>
    <t>Alpha</t>
  </si>
  <si>
    <t>Ijin</t>
  </si>
  <si>
    <t>Cuti</t>
  </si>
  <si>
    <t>Penyimpangan</t>
  </si>
  <si>
    <t>Training</t>
  </si>
  <si>
    <t>-</t>
  </si>
  <si>
    <t>* beri nilai angka  sesuai kategori</t>
  </si>
  <si>
    <t>NILAI PRESTASI CREW</t>
  </si>
  <si>
    <t>SITI HAWA</t>
  </si>
  <si>
    <t>SENIOR KASIR</t>
  </si>
  <si>
    <t>Karyawan</t>
  </si>
  <si>
    <t xml:space="preserve">        Supervisor</t>
  </si>
  <si>
    <t xml:space="preserve">50 - 60 cukup </t>
  </si>
  <si>
    <t>* Penilaian beri nilai angka  sesuai kategori</t>
  </si>
  <si>
    <t>Nilai * Beri warna merah</t>
  </si>
  <si>
    <t>2 hari</t>
  </si>
  <si>
    <t>3 hari</t>
  </si>
  <si>
    <t>BASUKI RAHMAT</t>
  </si>
  <si>
    <t>22 JANUARI 2022</t>
  </si>
  <si>
    <t xml:space="preserve"> - </t>
  </si>
  <si>
    <t xml:space="preserve"> </t>
  </si>
  <si>
    <t xml:space="preserve">   3  hari</t>
  </si>
  <si>
    <t>- PELAYANAN DAN KECEPATAN DALAM BEKERJA SUDAH CUKUP BAIK</t>
  </si>
  <si>
    <t xml:space="preserve">WAKTU YANG DIBERIKAN UNTUK MEMPERBAIKI SEGI NEGATIF  4  MINGGU </t>
  </si>
  <si>
    <t>WAKTU YANG DIBERIKAN UNTUK MEMPERBAIKI SEGI NEGATIF  4 MINGGU</t>
  </si>
  <si>
    <t>- PELAKSANAAN KERJA,KEDISIPLINAN CUKUP BAIK</t>
  </si>
  <si>
    <t>-SUKA KEBERSIHAN DAN KERAPIAN EQUIPMENT DAN AREA KERJA</t>
  </si>
  <si>
    <t>WAKTU YANG DIBERIKAN UNTUK MEMPERBAIKI SEGI NEGATIF 4 MINGGU</t>
  </si>
  <si>
    <t>JUNIOR KASIR</t>
  </si>
  <si>
    <t>-KURANG DISIPLIN SAAT BERANGKAT KERJA</t>
  </si>
  <si>
    <t>-KURANG MEMPERHATIKAN MATERI YANG DISAMPAIKAN SPV MAUPUN SENIOR &amp; TIDAK SELALU AKTIF BERINTERAKSI DALAM BEKERJA</t>
  </si>
  <si>
    <t>-SELALU DATANG TEPAT WAKTU</t>
  </si>
  <si>
    <t>- MASIH KURANG BERINISIATIF,KECEPATAN KERJA,KEBERSIHAN DALAM BEKERJA</t>
  </si>
  <si>
    <t>-INISIATIF,KECEPATAN,DAN BELAJAR MEMAHAMI MATERI SOP MASIH PERLU DITINGKAN LAGI</t>
  </si>
  <si>
    <t>TIARA ASTUTI</t>
  </si>
  <si>
    <t>RC SAMATA</t>
  </si>
  <si>
    <t>17 MEI 2024</t>
  </si>
  <si>
    <t>5 MARET 2026</t>
  </si>
  <si>
    <t xml:space="preserve">     hari</t>
  </si>
  <si>
    <t xml:space="preserve">  .... hari</t>
  </si>
  <si>
    <t>TANGGUNG JAWAB TERHADAP PEKERJAAN</t>
  </si>
  <si>
    <t>HARUS BISA MEMANFAATKAN WAKTU LUANG SAAT JAM KERJA</t>
  </si>
  <si>
    <t>TINGKATKAN KEPEDULIAN TENTANG KEBERSIHAN</t>
  </si>
  <si>
    <t>AL DANNY I.N</t>
  </si>
  <si>
    <t>TINGKATKAN SUGGEST PRODUK KE CU</t>
  </si>
  <si>
    <t>ANNISA</t>
  </si>
  <si>
    <t>11 OKTOBER 2024</t>
  </si>
  <si>
    <t>DISIPLIN DALAM BEKERJA</t>
  </si>
  <si>
    <t>PELAYANAN &amp; KECEPATAN CUKUP BAIK</t>
  </si>
  <si>
    <t>TINGKATKAN INISIATIF &amp;  KEJUJURAN</t>
  </si>
  <si>
    <t>KETAHANAN FISIK  &amp; KEBERSIHAN CUKUP BAIK</t>
  </si>
  <si>
    <t>NILAI BULANAN CUKUP , DITINGKATKAN LAGI</t>
  </si>
  <si>
    <t>AL DANNY IRVAN N</t>
  </si>
  <si>
    <t>SULFI</t>
  </si>
  <si>
    <t>HARUS BISA MEMANFAATKAN WAKTU LUANG</t>
  </si>
  <si>
    <t xml:space="preserve"> DATANG TEPAT WAKTU &amp; DISIPLIN</t>
  </si>
  <si>
    <t>18 OKTOBER 2024</t>
  </si>
  <si>
    <t>HANDAYANI LUKIN</t>
  </si>
  <si>
    <t>SELALU PERHATIKAN PEMOSTINGAN PRODUK</t>
  </si>
  <si>
    <t>7 JANUARI 2025</t>
  </si>
  <si>
    <t>DISIPLIN DIRI DATANG TEPAT WAKTU</t>
  </si>
  <si>
    <t>PELAYANAN &amp; KECEPATAN CUKUP BAGUS</t>
  </si>
  <si>
    <t>TINGKATKAN INISIATIV &amp; KERAPIAN OUTLET</t>
  </si>
  <si>
    <t>ASHRUL RAMADHAN</t>
  </si>
  <si>
    <t>SENIOR COOK</t>
  </si>
  <si>
    <t>KECEPATAN KERJA SUDAH BAGUS</t>
  </si>
  <si>
    <t>TEAM WORK DALAM BEKERJA CUKUP BAGUS</t>
  </si>
  <si>
    <t>TINGKATKAN TANGGUNG JAWAB TERHADAP PEKERJAAN</t>
  </si>
  <si>
    <t>SERING MAINAN HP SAAT JAM KERJA</t>
  </si>
  <si>
    <t>TINGKATKAN FOKUS DALAM BEKERJA</t>
  </si>
  <si>
    <t>ILHAM</t>
  </si>
  <si>
    <t>JUNIOR COOK</t>
  </si>
  <si>
    <t>2 JULI 2025</t>
  </si>
  <si>
    <t>JUJUR DALAM KINERJA</t>
  </si>
  <si>
    <t>KURANG MEMPERHATIKAN INSTRUKSI DARI SPV</t>
  </si>
  <si>
    <t>KURANG MEMPERHATIKAN STOK AYAM DAN STOK YANG MENIPIS</t>
  </si>
  <si>
    <t xml:space="preserve">WAKTU YANG DIBERIKAN UNTUK MEMPERBAIKI SEGI NEGATIF 4 minggu </t>
  </si>
  <si>
    <t>M RIFKI FIRMANSYAH</t>
  </si>
  <si>
    <t>RC SAMATA GOWA</t>
  </si>
  <si>
    <t>2 AGUSTUS 2025</t>
  </si>
  <si>
    <t>5 MARET 2025</t>
  </si>
  <si>
    <t>2  hari</t>
  </si>
  <si>
    <t xml:space="preserve">WAKTU YANG DIBERIKAN UNTUK MEMPERBAIKI SEGI NEGATIF  4  minggu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</si>
</sst>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4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Calibri"/>
    </font>
    <font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9E3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2" xfId="0" applyFont="1" applyBorder="1" applyAlignment="1"/>
    <xf numFmtId="0" fontId="3" fillId="0" borderId="2" xfId="0" applyFont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0" xfId="0" applyFont="1" applyBorder="1" applyAlignment="1"/>
    <xf numFmtId="0" fontId="2" fillId="0" borderId="0" xfId="0" applyFont="1" applyFill="1" applyBorder="1" applyAlignment="1"/>
    <xf numFmtId="0" fontId="2" fillId="0" borderId="0" xfId="0" applyFont="1" applyFill="1" applyBorder="1" applyAlignment="1"/>
    <xf numFmtId="0" fontId="3" fillId="3" borderId="2" xfId="0" applyFont="1" applyFill="1" applyBorder="1" applyAlignment="1">
      <alignment horizontal="center" vertical="center"/>
    </xf>
    <xf numFmtId="0" fontId="2" fillId="0" borderId="4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>
      <alignment horizontal="center" vertical="center"/>
    </xf>
    <xf numFmtId="0" fontId="2" fillId="4" borderId="0" xfId="0" applyFont="1" applyFill="1" applyBorder="1" applyAlignment="1"/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5" fillId="0" borderId="0" xfId="0" applyFont="1" applyFill="1" applyBorder="1" applyAlignment="1"/>
    <xf numFmtId="0" fontId="0" fillId="0" borderId="0" xfId="0" applyAlignment="1">
      <alignment horizontal="left" vertical="center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2" fillId="0" borderId="0" xfId="0" quotePrefix="1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1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5" fontId="2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www.wps.cn/officeDocument/2020/cellImage" Target="NUL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1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184593</xdr:colOff>
      <xdr:row>47</xdr:row>
      <xdr:rowOff>22151</xdr:rowOff>
    </xdr:from>
    <xdr:to>
      <xdr:col>1</xdr:col>
      <xdr:colOff>310117</xdr:colOff>
      <xdr:row>49</xdr:row>
      <xdr:rowOff>73838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C5300E7-CB54-411A-916F-1817835A9522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593" y="9037674"/>
          <a:ext cx="539012" cy="4208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377228</xdr:colOff>
      <xdr:row>47</xdr:row>
      <xdr:rowOff>44009</xdr:rowOff>
    </xdr:from>
    <xdr:to>
      <xdr:col>1</xdr:col>
      <xdr:colOff>370941</xdr:colOff>
      <xdr:row>49</xdr:row>
      <xdr:rowOff>50297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AC59399-E236-43AE-8E90-8729607AFF79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228" y="8959158"/>
          <a:ext cx="408663" cy="3709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304800</xdr:colOff>
      <xdr:row>46</xdr:row>
      <xdr:rowOff>135466</xdr:rowOff>
    </xdr:from>
    <xdr:to>
      <xdr:col>1</xdr:col>
      <xdr:colOff>389466</xdr:colOff>
      <xdr:row>48</xdr:row>
      <xdr:rowOff>177800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5F4AC00-04EB-4367-8C67-F2D3E4A7E06A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0" y="9050866"/>
          <a:ext cx="499533" cy="4148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431800</xdr:colOff>
      <xdr:row>49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918275C-A0E0-4AA1-9472-01512D6151F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867" y="9101667"/>
          <a:ext cx="431800" cy="37253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0</xdr:colOff>
      <xdr:row>47</xdr:row>
      <xdr:rowOff>50132</xdr:rowOff>
    </xdr:from>
    <xdr:to>
      <xdr:col>1</xdr:col>
      <xdr:colOff>342566</xdr:colOff>
      <xdr:row>48</xdr:row>
      <xdr:rowOff>150395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5429845-9471-49FC-82F4-F4A05A5EC814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408" y="9032040"/>
          <a:ext cx="342566" cy="28407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0</xdr:col>
      <xdr:colOff>359192</xdr:colOff>
      <xdr:row>47</xdr:row>
      <xdr:rowOff>96212</xdr:rowOff>
    </xdr:from>
    <xdr:to>
      <xdr:col>1</xdr:col>
      <xdr:colOff>384849</xdr:colOff>
      <xdr:row>49</xdr:row>
      <xdr:rowOff>6415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ACEA026-0A33-4EDA-BCAF-2CC71D5CA34E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192" y="9178636"/>
          <a:ext cx="436162" cy="28222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 editAs="oneCell">
    <xdr:from>
      <xdr:col>1</xdr:col>
      <xdr:colOff>0</xdr:colOff>
      <xdr:row>47</xdr:row>
      <xdr:rowOff>15680</xdr:rowOff>
    </xdr:from>
    <xdr:to>
      <xdr:col>1</xdr:col>
      <xdr:colOff>329259</xdr:colOff>
      <xdr:row>49</xdr:row>
      <xdr:rowOff>62716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4FBA03-E2D7-43C7-9382-B4841237CE33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494" y="8850803"/>
          <a:ext cx="329259" cy="40765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114136</xdr:colOff>
      <xdr:row>0</xdr:row>
      <xdr:rowOff>50601</xdr:rowOff>
    </xdr:from>
    <xdr:to>
      <xdr:col>1</xdr:col>
      <xdr:colOff>198149</xdr:colOff>
      <xdr:row>2</xdr:row>
      <xdr:rowOff>151804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14300" y="57150"/>
          <a:ext cx="476250" cy="523875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X51"/>
  <sheetViews>
    <sheetView showGridLines="0" topLeftCell="A21" workbookViewId="0">
      <selection activeCell="J28" sqref="J28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44" t="s">
        <v>48</v>
      </c>
      <c r="D6" s="44"/>
    </row>
    <row r="7" spans="1:6" x14ac:dyDescent="0.35">
      <c r="B7" s="2" t="s">
        <v>20</v>
      </c>
      <c r="C7" s="44" t="s">
        <v>49</v>
      </c>
      <c r="D7" s="44"/>
      <c r="F7" s="3"/>
    </row>
    <row r="8" spans="1:6" x14ac:dyDescent="0.35">
      <c r="B8" s="2" t="s">
        <v>21</v>
      </c>
      <c r="C8" s="44" t="s">
        <v>57</v>
      </c>
      <c r="D8" s="44"/>
    </row>
    <row r="9" spans="1:6" x14ac:dyDescent="0.35">
      <c r="B9" s="2" t="s">
        <v>22</v>
      </c>
      <c r="C9" s="44" t="s">
        <v>58</v>
      </c>
      <c r="D9" s="44"/>
    </row>
    <row r="10" spans="1:6" x14ac:dyDescent="0.35">
      <c r="B10" s="2" t="s">
        <v>23</v>
      </c>
      <c r="C10" s="43">
        <v>45907</v>
      </c>
      <c r="D10" s="43"/>
    </row>
    <row r="11" spans="1:6" x14ac:dyDescent="0.35">
      <c r="C11" s="3"/>
    </row>
    <row r="12" spans="1:6" ht="27" customHeight="1" x14ac:dyDescent="0.35">
      <c r="A12" s="35" t="s">
        <v>0</v>
      </c>
      <c r="B12" s="35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6"/>
      <c r="B13" s="36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>
        <v>2</v>
      </c>
      <c r="D14" s="9"/>
      <c r="E14" s="9"/>
      <c r="F14" s="9"/>
    </row>
    <row r="15" spans="1:6" x14ac:dyDescent="0.35">
      <c r="A15" s="7">
        <v>2</v>
      </c>
      <c r="B15" s="8" t="s">
        <v>3</v>
      </c>
      <c r="C15" s="9">
        <v>2</v>
      </c>
      <c r="D15" s="9"/>
      <c r="E15" s="9"/>
      <c r="F15" s="9"/>
    </row>
    <row r="16" spans="1:6" x14ac:dyDescent="0.35">
      <c r="A16" s="7">
        <v>3</v>
      </c>
      <c r="B16" s="8" t="s">
        <v>4</v>
      </c>
      <c r="C16" s="9"/>
      <c r="D16" s="9">
        <v>3</v>
      </c>
      <c r="E16" s="9"/>
      <c r="F16" s="9"/>
    </row>
    <row r="17" spans="1:102" x14ac:dyDescent="0.35">
      <c r="A17" s="7">
        <v>4</v>
      </c>
      <c r="B17" s="8" t="s">
        <v>5</v>
      </c>
      <c r="C17" s="9"/>
      <c r="D17" s="9"/>
      <c r="E17" s="9">
        <v>4</v>
      </c>
      <c r="F17" s="9"/>
    </row>
    <row r="18" spans="1:102" x14ac:dyDescent="0.35">
      <c r="A18" s="7">
        <v>5</v>
      </c>
      <c r="B18" s="8" t="s">
        <v>6</v>
      </c>
      <c r="C18" s="9"/>
      <c r="D18" s="9"/>
      <c r="E18" s="9"/>
      <c r="F18" s="9">
        <v>5</v>
      </c>
    </row>
    <row r="19" spans="1:102" x14ac:dyDescent="0.35">
      <c r="A19" s="7">
        <v>6</v>
      </c>
      <c r="B19" s="8" t="s">
        <v>7</v>
      </c>
      <c r="C19" s="9"/>
      <c r="D19" s="9"/>
      <c r="E19" s="9">
        <v>4</v>
      </c>
      <c r="F19" s="9"/>
    </row>
    <row r="20" spans="1:102" x14ac:dyDescent="0.35">
      <c r="A20" s="7">
        <v>7</v>
      </c>
      <c r="B20" s="8" t="s">
        <v>17</v>
      </c>
      <c r="C20" s="9"/>
      <c r="D20" s="9">
        <v>3</v>
      </c>
      <c r="E20" s="9"/>
      <c r="F20" s="9"/>
    </row>
    <row r="21" spans="1:102" x14ac:dyDescent="0.35">
      <c r="A21" s="7">
        <v>8</v>
      </c>
      <c r="B21" s="8" t="s">
        <v>8</v>
      </c>
      <c r="C21" s="9">
        <v>2</v>
      </c>
      <c r="D21" s="9"/>
      <c r="E21" s="9"/>
      <c r="F21" s="9"/>
    </row>
    <row r="22" spans="1:102" x14ac:dyDescent="0.35">
      <c r="A22" s="7">
        <v>9</v>
      </c>
      <c r="B22" s="8" t="s">
        <v>9</v>
      </c>
      <c r="C22" s="9"/>
      <c r="D22" s="9">
        <v>3</v>
      </c>
      <c r="E22" s="9"/>
      <c r="F22" s="9"/>
    </row>
    <row r="23" spans="1:102" x14ac:dyDescent="0.35">
      <c r="A23" s="7">
        <v>10</v>
      </c>
      <c r="B23" s="8" t="s">
        <v>18</v>
      </c>
      <c r="C23" s="9"/>
      <c r="D23" s="9"/>
      <c r="E23" s="9">
        <v>4</v>
      </c>
      <c r="F23" s="9"/>
    </row>
    <row r="24" spans="1:102" x14ac:dyDescent="0.35">
      <c r="A24" s="37" t="s">
        <v>36</v>
      </c>
      <c r="B24" s="37"/>
      <c r="C24" s="10">
        <f>SUM(C14:C23)</f>
        <v>6</v>
      </c>
      <c r="D24" s="9">
        <f>SUM(D14:D23)</f>
        <v>9</v>
      </c>
      <c r="E24" s="9">
        <f>SUM(E14:E23)</f>
        <v>12</v>
      </c>
      <c r="F24" s="9">
        <f>SUM(F14:F23)</f>
        <v>5</v>
      </c>
      <c r="CW24" s="9" t="s">
        <v>36</v>
      </c>
      <c r="CX24" s="9">
        <f>E24+F24+G24+D24</f>
        <v>26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53</v>
      </c>
      <c r="C26" s="38" t="s">
        <v>47</v>
      </c>
      <c r="D26" s="39"/>
      <c r="E26" s="40"/>
      <c r="F26" s="14">
        <f>CX24*2</f>
        <v>52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54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13" t="s">
        <v>29</v>
      </c>
      <c r="C30" s="15" t="s">
        <v>38</v>
      </c>
      <c r="D30" s="16"/>
      <c r="E30" s="17" t="s">
        <v>55</v>
      </c>
    </row>
    <row r="31" spans="1:102" x14ac:dyDescent="0.35">
      <c r="A31" s="11"/>
      <c r="B31" s="18" t="s">
        <v>52</v>
      </c>
      <c r="C31" s="15" t="s">
        <v>40</v>
      </c>
      <c r="D31" s="16"/>
      <c r="E31" s="17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17" t="s">
        <v>39</v>
      </c>
    </row>
    <row r="33" spans="1:5" x14ac:dyDescent="0.35">
      <c r="B33" s="12" t="s">
        <v>28</v>
      </c>
      <c r="C33" s="15" t="s">
        <v>42</v>
      </c>
      <c r="D33" s="16"/>
      <c r="E33" s="17" t="s">
        <v>56</v>
      </c>
    </row>
    <row r="34" spans="1:5" x14ac:dyDescent="0.35">
      <c r="C34" s="41" t="s">
        <v>43</v>
      </c>
      <c r="D34" s="42"/>
      <c r="E34" s="17" t="s">
        <v>39</v>
      </c>
    </row>
    <row r="35" spans="1:5" x14ac:dyDescent="0.35">
      <c r="C35" s="15" t="s">
        <v>44</v>
      </c>
      <c r="D35" s="16"/>
      <c r="E35" s="17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59</v>
      </c>
      <c r="C38" s="11"/>
      <c r="D38" s="11"/>
      <c r="E38" s="11"/>
    </row>
    <row r="39" spans="1:5" x14ac:dyDescent="0.35"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45</v>
      </c>
    </row>
    <row r="45" spans="1:5" x14ac:dyDescent="0.35">
      <c r="A45" t="s">
        <v>10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13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10">
    <mergeCell ref="C10:D10"/>
    <mergeCell ref="C6:D6"/>
    <mergeCell ref="C7:D7"/>
    <mergeCell ref="C8:D8"/>
    <mergeCell ref="C9:D9"/>
    <mergeCell ref="A12:A13"/>
    <mergeCell ref="B12:B13"/>
    <mergeCell ref="A24:B24"/>
    <mergeCell ref="C26:E26"/>
    <mergeCell ref="C34:D3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X51"/>
  <sheetViews>
    <sheetView showGridLines="0" topLeftCell="A29" zoomScale="86" workbookViewId="0">
      <selection activeCell="B49" sqref="B49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74</v>
      </c>
    </row>
    <row r="7" spans="1:6" x14ac:dyDescent="0.35">
      <c r="B7" s="2" t="s">
        <v>20</v>
      </c>
      <c r="C7" s="3" t="s">
        <v>49</v>
      </c>
      <c r="F7" s="3"/>
    </row>
    <row r="8" spans="1:6" x14ac:dyDescent="0.35">
      <c r="B8" s="2" t="s">
        <v>21</v>
      </c>
      <c r="C8" s="3" t="s">
        <v>75</v>
      </c>
    </row>
    <row r="9" spans="1:6" x14ac:dyDescent="0.35">
      <c r="B9" s="2" t="s">
        <v>22</v>
      </c>
      <c r="C9" s="19" t="s">
        <v>76</v>
      </c>
    </row>
    <row r="10" spans="1:6" x14ac:dyDescent="0.35">
      <c r="B10" s="2" t="s">
        <v>23</v>
      </c>
      <c r="C10" s="20" t="s">
        <v>77</v>
      </c>
    </row>
    <row r="11" spans="1:6" x14ac:dyDescent="0.35">
      <c r="C11" s="3"/>
    </row>
    <row r="12" spans="1:6" ht="27" customHeight="1" x14ac:dyDescent="0.35">
      <c r="A12" s="35" t="s">
        <v>0</v>
      </c>
      <c r="B12" s="35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6"/>
      <c r="B13" s="36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>
        <v>5</v>
      </c>
    </row>
    <row r="15" spans="1:6" x14ac:dyDescent="0.35">
      <c r="A15" s="7">
        <v>2</v>
      </c>
      <c r="B15" s="8" t="s">
        <v>3</v>
      </c>
      <c r="C15" s="9"/>
      <c r="D15" s="9">
        <v>3</v>
      </c>
      <c r="E15" s="9"/>
      <c r="F15" s="9"/>
    </row>
    <row r="16" spans="1:6" x14ac:dyDescent="0.35">
      <c r="A16" s="7">
        <v>3</v>
      </c>
      <c r="B16" s="8" t="s">
        <v>4</v>
      </c>
      <c r="C16" s="9"/>
      <c r="D16" s="9"/>
      <c r="E16" s="9">
        <v>4</v>
      </c>
      <c r="F16" s="9"/>
    </row>
    <row r="17" spans="1:102" x14ac:dyDescent="0.35">
      <c r="A17" s="7">
        <v>4</v>
      </c>
      <c r="B17" s="8" t="s">
        <v>5</v>
      </c>
      <c r="C17" s="9"/>
      <c r="D17" s="9"/>
      <c r="E17" s="9">
        <v>4</v>
      </c>
      <c r="F17" s="9"/>
    </row>
    <row r="18" spans="1:102" x14ac:dyDescent="0.35">
      <c r="A18" s="7">
        <v>5</v>
      </c>
      <c r="B18" s="8" t="s">
        <v>6</v>
      </c>
      <c r="C18" s="9"/>
      <c r="D18" s="9"/>
      <c r="E18" s="9">
        <v>4</v>
      </c>
      <c r="F18" s="9"/>
    </row>
    <row r="19" spans="1:102" x14ac:dyDescent="0.35">
      <c r="A19" s="7">
        <v>6</v>
      </c>
      <c r="B19" s="8" t="s">
        <v>7</v>
      </c>
      <c r="C19" s="9"/>
      <c r="D19" s="9"/>
      <c r="E19" s="9">
        <v>4</v>
      </c>
      <c r="F19" s="9"/>
    </row>
    <row r="20" spans="1:102" x14ac:dyDescent="0.35">
      <c r="A20" s="7">
        <v>7</v>
      </c>
      <c r="B20" s="8" t="s">
        <v>17</v>
      </c>
      <c r="C20" s="9"/>
      <c r="D20" s="9"/>
      <c r="E20" s="9"/>
      <c r="F20" s="9">
        <v>5</v>
      </c>
    </row>
    <row r="21" spans="1:102" x14ac:dyDescent="0.35">
      <c r="A21" s="7">
        <v>8</v>
      </c>
      <c r="B21" s="8" t="s">
        <v>8</v>
      </c>
      <c r="C21" s="9"/>
      <c r="D21" s="9"/>
      <c r="E21" s="9">
        <v>4</v>
      </c>
      <c r="F21" s="9"/>
    </row>
    <row r="22" spans="1:102" x14ac:dyDescent="0.35">
      <c r="A22" s="7">
        <v>9</v>
      </c>
      <c r="B22" s="8" t="s">
        <v>9</v>
      </c>
      <c r="C22" s="9"/>
      <c r="D22" s="9">
        <v>3</v>
      </c>
      <c r="E22" s="9"/>
      <c r="F22" s="9"/>
    </row>
    <row r="23" spans="1:102" x14ac:dyDescent="0.35">
      <c r="A23" s="7">
        <v>10</v>
      </c>
      <c r="B23" s="8" t="s">
        <v>18</v>
      </c>
      <c r="C23" s="9"/>
      <c r="D23" s="9"/>
      <c r="E23" s="9">
        <v>4</v>
      </c>
      <c r="F23" s="9"/>
    </row>
    <row r="24" spans="1:102" x14ac:dyDescent="0.35">
      <c r="A24" s="37" t="s">
        <v>36</v>
      </c>
      <c r="B24" s="37"/>
      <c r="C24" s="10">
        <f>SUM(C14:C23)</f>
        <v>0</v>
      </c>
      <c r="D24" s="9">
        <f>SUM(D14:D23)</f>
        <v>6</v>
      </c>
      <c r="E24" s="9">
        <f>SUM(E14:E23)</f>
        <v>24</v>
      </c>
      <c r="F24" s="9">
        <f>SUM(F14:F23)</f>
        <v>10</v>
      </c>
      <c r="CW24" s="9" t="s">
        <v>36</v>
      </c>
      <c r="CX24" s="9">
        <v>37</v>
      </c>
    </row>
    <row r="25" spans="1:102" x14ac:dyDescent="0.35">
      <c r="A25" s="11"/>
      <c r="B25" s="12"/>
      <c r="C25" s="5"/>
      <c r="D25" s="5" t="s">
        <v>60</v>
      </c>
    </row>
    <row r="26" spans="1:102" x14ac:dyDescent="0.35">
      <c r="A26" s="11"/>
      <c r="B26" s="13" t="s">
        <v>46</v>
      </c>
      <c r="C26" s="38" t="s">
        <v>47</v>
      </c>
      <c r="D26" s="39"/>
      <c r="E26" s="40"/>
      <c r="F26" s="14">
        <v>80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1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79</v>
      </c>
    </row>
    <row r="33" spans="1:5" x14ac:dyDescent="0.35">
      <c r="B33" s="12" t="s">
        <v>28</v>
      </c>
      <c r="C33" s="15" t="s">
        <v>42</v>
      </c>
      <c r="D33" s="16"/>
      <c r="E33" s="8" t="s">
        <v>78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62</v>
      </c>
      <c r="C38" s="11"/>
      <c r="D38" s="11"/>
      <c r="E38" s="11"/>
    </row>
    <row r="39" spans="1:5" x14ac:dyDescent="0.35">
      <c r="B39" t="s">
        <v>95</v>
      </c>
      <c r="C39" s="11"/>
      <c r="D39" s="11"/>
      <c r="E39" s="11"/>
    </row>
    <row r="40" spans="1:5" x14ac:dyDescent="0.35">
      <c r="B40" t="s">
        <v>80</v>
      </c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81</v>
      </c>
    </row>
    <row r="43" spans="1:5" x14ac:dyDescent="0.35">
      <c r="B43" t="s">
        <v>82</v>
      </c>
    </row>
    <row r="44" spans="1:5" x14ac:dyDescent="0.35">
      <c r="B44" t="s">
        <v>84</v>
      </c>
    </row>
    <row r="45" spans="1:5" x14ac:dyDescent="0.35">
      <c r="A45" t="s">
        <v>63</v>
      </c>
    </row>
    <row r="47" spans="1:5" x14ac:dyDescent="0.35">
      <c r="A47" t="s">
        <v>11</v>
      </c>
      <c r="E47" t="s">
        <v>12</v>
      </c>
    </row>
    <row r="49" spans="1:6" x14ac:dyDescent="0.35">
      <c r="A49" s="22"/>
    </row>
    <row r="50" spans="1:6" x14ac:dyDescent="0.35">
      <c r="A50" t="s">
        <v>83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X51"/>
  <sheetViews>
    <sheetView showGridLines="0" topLeftCell="A35" zoomScale="101" workbookViewId="0">
      <selection activeCell="A49" sqref="A49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85</v>
      </c>
    </row>
    <row r="7" spans="1:6" x14ac:dyDescent="0.35">
      <c r="B7" s="2" t="s">
        <v>20</v>
      </c>
      <c r="C7" s="3" t="s">
        <v>68</v>
      </c>
      <c r="F7" s="3"/>
    </row>
    <row r="8" spans="1:6" x14ac:dyDescent="0.35">
      <c r="B8" s="2" t="s">
        <v>21</v>
      </c>
      <c r="C8" s="3" t="s">
        <v>75</v>
      </c>
    </row>
    <row r="9" spans="1:6" x14ac:dyDescent="0.35">
      <c r="B9" s="2" t="s">
        <v>22</v>
      </c>
      <c r="C9" s="23" t="s">
        <v>86</v>
      </c>
    </row>
    <row r="10" spans="1:6" x14ac:dyDescent="0.35">
      <c r="B10" s="2" t="s">
        <v>23</v>
      </c>
      <c r="C10" s="24" t="s">
        <v>77</v>
      </c>
    </row>
    <row r="11" spans="1:6" x14ac:dyDescent="0.35">
      <c r="C11" s="3"/>
    </row>
    <row r="12" spans="1:6" ht="27" customHeight="1" x14ac:dyDescent="0.35">
      <c r="A12" s="35" t="s">
        <v>0</v>
      </c>
      <c r="B12" s="35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6"/>
      <c r="B13" s="36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>
        <v>5</v>
      </c>
    </row>
    <row r="15" spans="1:6" x14ac:dyDescent="0.35">
      <c r="A15" s="7">
        <v>2</v>
      </c>
      <c r="B15" s="8" t="s">
        <v>3</v>
      </c>
      <c r="C15" s="9"/>
      <c r="D15" s="9"/>
      <c r="E15" s="9">
        <v>4</v>
      </c>
      <c r="F15" s="9"/>
    </row>
    <row r="16" spans="1:6" x14ac:dyDescent="0.35">
      <c r="A16" s="7">
        <v>3</v>
      </c>
      <c r="B16" s="8" t="s">
        <v>4</v>
      </c>
      <c r="C16" s="9"/>
      <c r="D16" s="9">
        <v>3</v>
      </c>
      <c r="E16" s="9"/>
      <c r="F16" s="9"/>
    </row>
    <row r="17" spans="1:102" x14ac:dyDescent="0.35">
      <c r="A17" s="7">
        <v>4</v>
      </c>
      <c r="B17" s="8" t="s">
        <v>5</v>
      </c>
      <c r="C17" s="9"/>
      <c r="D17" s="9">
        <v>3</v>
      </c>
      <c r="E17" s="9"/>
      <c r="F17" s="9"/>
    </row>
    <row r="18" spans="1:102" x14ac:dyDescent="0.35">
      <c r="A18" s="7">
        <v>5</v>
      </c>
      <c r="B18" s="8" t="s">
        <v>6</v>
      </c>
      <c r="C18" s="9"/>
      <c r="D18" s="9">
        <v>3</v>
      </c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>
        <v>4</v>
      </c>
      <c r="F19" s="9"/>
    </row>
    <row r="20" spans="1:102" x14ac:dyDescent="0.35">
      <c r="A20" s="7">
        <v>7</v>
      </c>
      <c r="B20" s="8" t="s">
        <v>17</v>
      </c>
      <c r="C20" s="9"/>
      <c r="D20" s="9"/>
      <c r="E20" s="9">
        <v>4</v>
      </c>
      <c r="F20" s="9"/>
    </row>
    <row r="21" spans="1:102" x14ac:dyDescent="0.35">
      <c r="A21" s="7">
        <v>8</v>
      </c>
      <c r="B21" s="8" t="s">
        <v>8</v>
      </c>
      <c r="C21" s="9"/>
      <c r="D21" s="9"/>
      <c r="E21" s="9">
        <v>4</v>
      </c>
      <c r="F21" s="9"/>
    </row>
    <row r="22" spans="1:102" x14ac:dyDescent="0.35">
      <c r="A22" s="7">
        <v>9</v>
      </c>
      <c r="B22" s="8" t="s">
        <v>9</v>
      </c>
      <c r="C22" s="9"/>
      <c r="D22" s="9"/>
      <c r="E22" s="9">
        <v>4</v>
      </c>
      <c r="F22" s="9"/>
    </row>
    <row r="23" spans="1:102" x14ac:dyDescent="0.35">
      <c r="A23" s="7">
        <v>10</v>
      </c>
      <c r="B23" s="8" t="s">
        <v>18</v>
      </c>
      <c r="C23" s="9"/>
      <c r="D23" s="9"/>
      <c r="E23" s="9">
        <v>4</v>
      </c>
      <c r="F23" s="9"/>
    </row>
    <row r="24" spans="1:102" x14ac:dyDescent="0.35">
      <c r="A24" s="37" t="s">
        <v>36</v>
      </c>
      <c r="B24" s="37"/>
      <c r="C24" s="10">
        <f>SUM(C14:C23)</f>
        <v>0</v>
      </c>
      <c r="D24" s="9">
        <f>SUM(D14:D23)</f>
        <v>9</v>
      </c>
      <c r="E24" s="9">
        <f>SUM(E14:E23)</f>
        <v>24</v>
      </c>
      <c r="F24" s="9">
        <f>SUM(F14:F23)</f>
        <v>5</v>
      </c>
      <c r="CW24" s="9" t="s">
        <v>36</v>
      </c>
      <c r="CX24" s="9">
        <f>E24+F24+G24+D24</f>
        <v>38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8" t="s">
        <v>47</v>
      </c>
      <c r="D26" s="39"/>
      <c r="E26" s="40"/>
      <c r="F26" s="14">
        <f>CX24*2</f>
        <v>76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1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61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87</v>
      </c>
      <c r="C38" s="11"/>
      <c r="D38" s="11"/>
      <c r="E38" s="11"/>
    </row>
    <row r="39" spans="1:5" x14ac:dyDescent="0.35">
      <c r="B39" t="s">
        <v>88</v>
      </c>
      <c r="C39" s="11"/>
      <c r="D39" s="11"/>
      <c r="E39" s="11"/>
    </row>
    <row r="40" spans="1:5" x14ac:dyDescent="0.35">
      <c r="B40" t="s">
        <v>90</v>
      </c>
      <c r="C40" s="11"/>
      <c r="D40" s="11"/>
      <c r="E40" s="11"/>
    </row>
    <row r="41" spans="1:5" x14ac:dyDescent="0.35">
      <c r="A41" t="s">
        <v>16</v>
      </c>
    </row>
    <row r="42" spans="1:5" x14ac:dyDescent="0.35">
      <c r="B42" s="25" t="s">
        <v>89</v>
      </c>
    </row>
    <row r="43" spans="1:5" x14ac:dyDescent="0.35">
      <c r="B43" t="s">
        <v>81</v>
      </c>
    </row>
    <row r="44" spans="1:5" x14ac:dyDescent="0.35">
      <c r="B44" t="s">
        <v>91</v>
      </c>
    </row>
    <row r="45" spans="1:5" x14ac:dyDescent="0.35">
      <c r="A45" t="s">
        <v>64</v>
      </c>
    </row>
    <row r="47" spans="1:5" x14ac:dyDescent="0.35">
      <c r="A47" t="s">
        <v>11</v>
      </c>
      <c r="E47" t="s">
        <v>12</v>
      </c>
    </row>
    <row r="49" spans="1:6" x14ac:dyDescent="0.35">
      <c r="B49" s="26"/>
    </row>
    <row r="50" spans="1:6" x14ac:dyDescent="0.35">
      <c r="A50" t="s">
        <v>92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X51"/>
  <sheetViews>
    <sheetView showGridLines="0" topLeftCell="A30" zoomScale="75" workbookViewId="0">
      <selection activeCell="B50" sqref="B50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93</v>
      </c>
    </row>
    <row r="7" spans="1:6" x14ac:dyDescent="0.35">
      <c r="B7" s="2" t="s">
        <v>20</v>
      </c>
      <c r="C7" s="3" t="s">
        <v>68</v>
      </c>
      <c r="F7" s="3"/>
    </row>
    <row r="8" spans="1:6" x14ac:dyDescent="0.35">
      <c r="B8" s="2" t="s">
        <v>21</v>
      </c>
      <c r="C8" s="3" t="s">
        <v>75</v>
      </c>
    </row>
    <row r="9" spans="1:6" x14ac:dyDescent="0.35">
      <c r="B9" s="2" t="s">
        <v>22</v>
      </c>
      <c r="C9" s="27" t="s">
        <v>96</v>
      </c>
    </row>
    <row r="10" spans="1:6" x14ac:dyDescent="0.35">
      <c r="B10" s="2" t="s">
        <v>23</v>
      </c>
      <c r="C10" s="28" t="s">
        <v>77</v>
      </c>
    </row>
    <row r="11" spans="1:6" x14ac:dyDescent="0.35">
      <c r="C11" s="3"/>
    </row>
    <row r="12" spans="1:6" ht="27" customHeight="1" x14ac:dyDescent="0.35">
      <c r="A12" s="35" t="s">
        <v>0</v>
      </c>
      <c r="B12" s="35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6"/>
      <c r="B13" s="36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>
        <v>5</v>
      </c>
    </row>
    <row r="15" spans="1:6" x14ac:dyDescent="0.35">
      <c r="A15" s="7">
        <v>2</v>
      </c>
      <c r="B15" s="8" t="s">
        <v>3</v>
      </c>
      <c r="C15" s="9"/>
      <c r="D15" s="9">
        <v>3</v>
      </c>
      <c r="E15" s="9"/>
      <c r="F15" s="9"/>
    </row>
    <row r="16" spans="1:6" x14ac:dyDescent="0.35">
      <c r="A16" s="7">
        <v>3</v>
      </c>
      <c r="B16" s="8" t="s">
        <v>4</v>
      </c>
      <c r="C16" s="9"/>
      <c r="D16" s="9"/>
      <c r="E16" s="9">
        <v>4</v>
      </c>
      <c r="F16" s="9"/>
    </row>
    <row r="17" spans="1:102" x14ac:dyDescent="0.35">
      <c r="A17" s="7">
        <v>4</v>
      </c>
      <c r="B17" s="8" t="s">
        <v>5</v>
      </c>
      <c r="C17" s="9"/>
      <c r="D17" s="9">
        <v>3</v>
      </c>
      <c r="E17" s="9"/>
      <c r="F17" s="9"/>
    </row>
    <row r="18" spans="1:102" x14ac:dyDescent="0.35">
      <c r="A18" s="7">
        <v>5</v>
      </c>
      <c r="B18" s="8" t="s">
        <v>6</v>
      </c>
      <c r="C18" s="9"/>
      <c r="D18" s="9"/>
      <c r="E18" s="9">
        <v>4</v>
      </c>
      <c r="F18" s="9"/>
    </row>
    <row r="19" spans="1:102" x14ac:dyDescent="0.35">
      <c r="A19" s="7">
        <v>6</v>
      </c>
      <c r="B19" s="8" t="s">
        <v>7</v>
      </c>
      <c r="C19" s="9"/>
      <c r="D19" s="9"/>
      <c r="E19" s="9">
        <v>4</v>
      </c>
      <c r="F19" s="9"/>
    </row>
    <row r="20" spans="1:102" x14ac:dyDescent="0.35">
      <c r="A20" s="7">
        <v>7</v>
      </c>
      <c r="B20" s="8" t="s">
        <v>17</v>
      </c>
      <c r="C20" s="9"/>
      <c r="D20" s="9"/>
      <c r="E20" s="9">
        <v>4</v>
      </c>
      <c r="F20" s="9"/>
    </row>
    <row r="21" spans="1:102" x14ac:dyDescent="0.35">
      <c r="A21" s="7">
        <v>8</v>
      </c>
      <c r="B21" s="8" t="s">
        <v>8</v>
      </c>
      <c r="C21" s="9"/>
      <c r="D21" s="9"/>
      <c r="E21" s="9">
        <v>4</v>
      </c>
      <c r="F21" s="9"/>
    </row>
    <row r="22" spans="1:102" x14ac:dyDescent="0.35">
      <c r="A22" s="7">
        <v>9</v>
      </c>
      <c r="B22" s="8" t="s">
        <v>9</v>
      </c>
      <c r="C22" s="9"/>
      <c r="D22" s="9"/>
      <c r="E22" s="9">
        <v>4</v>
      </c>
      <c r="F22" s="9"/>
    </row>
    <row r="23" spans="1:102" x14ac:dyDescent="0.35">
      <c r="A23" s="7">
        <v>10</v>
      </c>
      <c r="B23" s="8" t="s">
        <v>18</v>
      </c>
      <c r="C23" s="9"/>
      <c r="D23" s="9"/>
      <c r="E23" s="9">
        <v>4</v>
      </c>
      <c r="F23" s="9"/>
    </row>
    <row r="24" spans="1:102" x14ac:dyDescent="0.35">
      <c r="A24" s="37" t="s">
        <v>36</v>
      </c>
      <c r="B24" s="37"/>
      <c r="C24" s="10">
        <f>SUM(C14:C23)</f>
        <v>0</v>
      </c>
      <c r="D24" s="9">
        <f>SUM(D14:D23)</f>
        <v>6</v>
      </c>
      <c r="E24" s="9">
        <f>SUM(E14:E23)</f>
        <v>28</v>
      </c>
      <c r="F24" s="9">
        <f>SUM(F14:F23)</f>
        <v>5</v>
      </c>
      <c r="CW24" s="9" t="s">
        <v>36</v>
      </c>
      <c r="CX24" s="9">
        <f>E24+F24+G24+D24</f>
        <v>39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8" t="s">
        <v>47</v>
      </c>
      <c r="D26" s="39"/>
      <c r="E26" s="40"/>
      <c r="F26" s="14">
        <f>CX24*2</f>
        <v>78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1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65</v>
      </c>
      <c r="C38" s="11"/>
      <c r="D38" s="11"/>
      <c r="E38" s="11"/>
    </row>
    <row r="39" spans="1:5" x14ac:dyDescent="0.35">
      <c r="B39" t="s">
        <v>88</v>
      </c>
      <c r="C39" s="11"/>
      <c r="D39" s="11"/>
      <c r="E39" s="11"/>
    </row>
    <row r="40" spans="1:5" x14ac:dyDescent="0.35">
      <c r="B40" t="s">
        <v>66</v>
      </c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94</v>
      </c>
    </row>
    <row r="43" spans="1:5" x14ac:dyDescent="0.35">
      <c r="B43" t="s">
        <v>84</v>
      </c>
    </row>
    <row r="44" spans="1:5" x14ac:dyDescent="0.35">
      <c r="B44" t="s">
        <v>98</v>
      </c>
    </row>
    <row r="45" spans="1:5" x14ac:dyDescent="0.35">
      <c r="A45" t="s">
        <v>67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92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X51"/>
  <sheetViews>
    <sheetView showGridLines="0" topLeftCell="A29" zoomScale="75" workbookViewId="0">
      <selection activeCell="B48" sqref="B48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97</v>
      </c>
    </row>
    <row r="7" spans="1:6" x14ac:dyDescent="0.35">
      <c r="B7" s="2" t="s">
        <v>20</v>
      </c>
      <c r="C7" s="3" t="s">
        <v>68</v>
      </c>
      <c r="F7" s="3"/>
    </row>
    <row r="8" spans="1:6" x14ac:dyDescent="0.35">
      <c r="B8" s="2" t="s">
        <v>21</v>
      </c>
      <c r="C8" s="3" t="s">
        <v>75</v>
      </c>
    </row>
    <row r="9" spans="1:6" x14ac:dyDescent="0.35">
      <c r="B9" s="2" t="s">
        <v>22</v>
      </c>
      <c r="C9" s="29" t="s">
        <v>99</v>
      </c>
    </row>
    <row r="10" spans="1:6" x14ac:dyDescent="0.35">
      <c r="B10" s="2" t="s">
        <v>23</v>
      </c>
      <c r="C10" s="30" t="s">
        <v>77</v>
      </c>
    </row>
    <row r="11" spans="1:6" x14ac:dyDescent="0.35">
      <c r="C11" s="3"/>
    </row>
    <row r="12" spans="1:6" ht="27" customHeight="1" x14ac:dyDescent="0.35">
      <c r="A12" s="35" t="s">
        <v>0</v>
      </c>
      <c r="B12" s="35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6"/>
      <c r="B13" s="36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>
        <v>5</v>
      </c>
    </row>
    <row r="15" spans="1:6" x14ac:dyDescent="0.35">
      <c r="A15" s="7">
        <v>2</v>
      </c>
      <c r="B15" s="8" t="s">
        <v>3</v>
      </c>
      <c r="C15" s="9"/>
      <c r="D15" s="9"/>
      <c r="E15" s="9">
        <v>4</v>
      </c>
      <c r="F15" s="9"/>
    </row>
    <row r="16" spans="1:6" x14ac:dyDescent="0.35">
      <c r="A16" s="7">
        <v>3</v>
      </c>
      <c r="B16" s="8" t="s">
        <v>4</v>
      </c>
      <c r="C16" s="9"/>
      <c r="D16" s="9">
        <v>3</v>
      </c>
      <c r="E16" s="9"/>
      <c r="F16" s="9"/>
    </row>
    <row r="17" spans="1:102" x14ac:dyDescent="0.35">
      <c r="A17" s="7">
        <v>4</v>
      </c>
      <c r="B17" s="8" t="s">
        <v>5</v>
      </c>
      <c r="C17" s="9"/>
      <c r="D17" s="9">
        <v>3</v>
      </c>
      <c r="E17" s="9"/>
      <c r="F17" s="9"/>
    </row>
    <row r="18" spans="1:102" x14ac:dyDescent="0.35">
      <c r="A18" s="7">
        <v>5</v>
      </c>
      <c r="B18" s="8" t="s">
        <v>6</v>
      </c>
      <c r="C18" s="9"/>
      <c r="D18" s="9">
        <v>3</v>
      </c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>
        <v>4</v>
      </c>
      <c r="F19" s="9"/>
    </row>
    <row r="20" spans="1:102" x14ac:dyDescent="0.35">
      <c r="A20" s="7">
        <v>7</v>
      </c>
      <c r="B20" s="8" t="s">
        <v>17</v>
      </c>
      <c r="C20" s="9"/>
      <c r="D20" s="9"/>
      <c r="E20" s="9">
        <v>4</v>
      </c>
      <c r="F20" s="9"/>
    </row>
    <row r="21" spans="1:102" x14ac:dyDescent="0.35">
      <c r="A21" s="7">
        <v>8</v>
      </c>
      <c r="B21" s="8" t="s">
        <v>8</v>
      </c>
      <c r="C21" s="9"/>
      <c r="D21" s="9"/>
      <c r="E21" s="9">
        <v>4</v>
      </c>
      <c r="F21" s="9"/>
    </row>
    <row r="22" spans="1:102" x14ac:dyDescent="0.35">
      <c r="A22" s="7">
        <v>9</v>
      </c>
      <c r="B22" s="8" t="s">
        <v>9</v>
      </c>
      <c r="C22" s="9"/>
      <c r="D22" s="9"/>
      <c r="E22" s="9">
        <v>4</v>
      </c>
      <c r="F22" s="9"/>
    </row>
    <row r="23" spans="1:102" x14ac:dyDescent="0.35">
      <c r="A23" s="7">
        <v>10</v>
      </c>
      <c r="B23" s="8" t="s">
        <v>18</v>
      </c>
      <c r="C23" s="9"/>
      <c r="D23" s="9"/>
      <c r="E23" s="9">
        <v>4</v>
      </c>
      <c r="F23" s="9"/>
    </row>
    <row r="24" spans="1:102" x14ac:dyDescent="0.35">
      <c r="A24" s="37" t="s">
        <v>36</v>
      </c>
      <c r="B24" s="37"/>
      <c r="C24" s="10">
        <f>SUM(C14:C23)</f>
        <v>0</v>
      </c>
      <c r="D24" s="9">
        <f>SUM(D14:D23)</f>
        <v>9</v>
      </c>
      <c r="E24" s="9">
        <f>SUM(E14:E23)</f>
        <v>24</v>
      </c>
      <c r="F24" s="9">
        <f>SUM(F14:F23)</f>
        <v>5</v>
      </c>
      <c r="CW24" s="9" t="s">
        <v>36</v>
      </c>
      <c r="CX24" s="9">
        <v>32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8" t="s">
        <v>47</v>
      </c>
      <c r="D26" s="39"/>
      <c r="E26" s="40"/>
      <c r="F26" s="14">
        <v>76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1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100</v>
      </c>
      <c r="C38" s="11"/>
      <c r="D38" s="11"/>
      <c r="E38" s="11"/>
    </row>
    <row r="39" spans="1:5" x14ac:dyDescent="0.35">
      <c r="B39" t="s">
        <v>101</v>
      </c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102</v>
      </c>
    </row>
    <row r="43" spans="1:5" x14ac:dyDescent="0.35">
      <c r="B43" t="s">
        <v>94</v>
      </c>
    </row>
    <row r="44" spans="1:5" x14ac:dyDescent="0.35">
      <c r="B44" t="s">
        <v>84</v>
      </c>
    </row>
    <row r="45" spans="1:5" x14ac:dyDescent="0.35">
      <c r="A45" t="s">
        <v>64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92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X51"/>
  <sheetViews>
    <sheetView showGridLines="0" topLeftCell="A29" zoomScale="76" zoomScaleNormal="70" workbookViewId="0">
      <selection activeCell="B49" sqref="B49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103</v>
      </c>
    </row>
    <row r="7" spans="1:6" x14ac:dyDescent="0.35">
      <c r="B7" s="2" t="s">
        <v>20</v>
      </c>
      <c r="C7" s="3" t="s">
        <v>104</v>
      </c>
      <c r="F7" s="3"/>
    </row>
    <row r="8" spans="1:6" x14ac:dyDescent="0.35">
      <c r="B8" s="2" t="s">
        <v>21</v>
      </c>
      <c r="C8" s="3" t="s">
        <v>75</v>
      </c>
    </row>
    <row r="9" spans="1:6" x14ac:dyDescent="0.35">
      <c r="B9" s="2" t="s">
        <v>22</v>
      </c>
      <c r="C9" s="45">
        <v>46271</v>
      </c>
    </row>
    <row r="10" spans="1:6" x14ac:dyDescent="0.35">
      <c r="B10" s="2" t="s">
        <v>23</v>
      </c>
      <c r="C10" s="31" t="s">
        <v>77</v>
      </c>
    </row>
    <row r="11" spans="1:6" x14ac:dyDescent="0.35">
      <c r="C11" s="3"/>
    </row>
    <row r="12" spans="1:6" ht="27" customHeight="1" x14ac:dyDescent="0.35">
      <c r="A12" s="35" t="s">
        <v>0</v>
      </c>
      <c r="B12" s="35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6"/>
      <c r="B13" s="36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>
        <v>3</v>
      </c>
      <c r="E14" s="9"/>
      <c r="F14" s="9"/>
    </row>
    <row r="15" spans="1:6" x14ac:dyDescent="0.35">
      <c r="A15" s="7">
        <v>2</v>
      </c>
      <c r="B15" s="8" t="s">
        <v>3</v>
      </c>
      <c r="C15" s="9"/>
      <c r="D15" s="9"/>
      <c r="E15" s="9">
        <v>4</v>
      </c>
      <c r="F15" s="9"/>
    </row>
    <row r="16" spans="1:6" x14ac:dyDescent="0.35">
      <c r="A16" s="7">
        <v>3</v>
      </c>
      <c r="B16" s="8" t="s">
        <v>4</v>
      </c>
      <c r="C16" s="9">
        <v>2</v>
      </c>
      <c r="D16" s="9"/>
      <c r="E16" s="9"/>
      <c r="F16" s="9"/>
    </row>
    <row r="17" spans="1:102" x14ac:dyDescent="0.35">
      <c r="A17" s="7">
        <v>4</v>
      </c>
      <c r="B17" s="8" t="s">
        <v>5</v>
      </c>
      <c r="C17" s="9"/>
      <c r="D17" s="9"/>
      <c r="E17" s="9">
        <v>4</v>
      </c>
      <c r="F17" s="9"/>
    </row>
    <row r="18" spans="1:102" x14ac:dyDescent="0.35">
      <c r="A18" s="7">
        <v>5</v>
      </c>
      <c r="B18" s="8" t="s">
        <v>6</v>
      </c>
      <c r="C18" s="9"/>
      <c r="D18" s="9">
        <v>3</v>
      </c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>
        <v>4</v>
      </c>
      <c r="F19" s="9"/>
    </row>
    <row r="20" spans="1:102" x14ac:dyDescent="0.35">
      <c r="A20" s="7">
        <v>7</v>
      </c>
      <c r="B20" s="8" t="s">
        <v>17</v>
      </c>
      <c r="C20" s="9"/>
      <c r="D20" s="9">
        <v>3</v>
      </c>
      <c r="E20" s="9"/>
      <c r="F20" s="9"/>
    </row>
    <row r="21" spans="1:102" x14ac:dyDescent="0.35">
      <c r="A21" s="7">
        <v>8</v>
      </c>
      <c r="B21" s="8" t="s">
        <v>8</v>
      </c>
      <c r="C21" s="9"/>
      <c r="D21" s="9"/>
      <c r="E21" s="9">
        <v>4</v>
      </c>
      <c r="F21" s="9"/>
    </row>
    <row r="22" spans="1:102" x14ac:dyDescent="0.35">
      <c r="A22" s="7">
        <v>9</v>
      </c>
      <c r="B22" s="8" t="s">
        <v>9</v>
      </c>
      <c r="C22" s="9"/>
      <c r="D22" s="9"/>
      <c r="E22" s="9">
        <v>4</v>
      </c>
      <c r="F22" s="9"/>
    </row>
    <row r="23" spans="1:102" x14ac:dyDescent="0.35">
      <c r="A23" s="7">
        <v>10</v>
      </c>
      <c r="B23" s="8" t="s">
        <v>18</v>
      </c>
      <c r="C23" s="9"/>
      <c r="D23" s="9"/>
      <c r="E23" s="9">
        <v>4</v>
      </c>
      <c r="F23" s="9"/>
    </row>
    <row r="24" spans="1:102" x14ac:dyDescent="0.35">
      <c r="A24" s="37" t="s">
        <v>36</v>
      </c>
      <c r="B24" s="37"/>
      <c r="C24" s="10">
        <f>SUM(C14:C23)</f>
        <v>2</v>
      </c>
      <c r="D24" s="9">
        <f>SUM(D14:D23)</f>
        <v>9</v>
      </c>
      <c r="E24" s="9">
        <f>SUM(E14:E23)</f>
        <v>24</v>
      </c>
      <c r="F24" s="9">
        <f>SUM(F14:F23)</f>
        <v>0</v>
      </c>
      <c r="CW24" s="9" t="s">
        <v>36</v>
      </c>
      <c r="CX24" s="9">
        <v>34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8" t="s">
        <v>47</v>
      </c>
      <c r="D26" s="39"/>
      <c r="E26" s="40"/>
      <c r="F26" s="14">
        <v>70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1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105</v>
      </c>
      <c r="C38" s="11"/>
      <c r="D38" s="11"/>
      <c r="E38" s="11"/>
    </row>
    <row r="39" spans="1:5" x14ac:dyDescent="0.35">
      <c r="B39" t="s">
        <v>106</v>
      </c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107</v>
      </c>
    </row>
    <row r="43" spans="1:5" x14ac:dyDescent="0.35">
      <c r="B43" t="s">
        <v>108</v>
      </c>
    </row>
    <row r="44" spans="1:5" x14ac:dyDescent="0.35">
      <c r="B44" t="s">
        <v>109</v>
      </c>
    </row>
    <row r="45" spans="1:5" x14ac:dyDescent="0.35">
      <c r="A45" t="s">
        <v>64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92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X51"/>
  <sheetViews>
    <sheetView showGridLines="0" topLeftCell="A33" zoomScale="99" workbookViewId="0">
      <selection activeCell="B49" sqref="B49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110</v>
      </c>
    </row>
    <row r="7" spans="1:6" x14ac:dyDescent="0.35">
      <c r="B7" s="2" t="s">
        <v>20</v>
      </c>
      <c r="C7" s="3" t="s">
        <v>111</v>
      </c>
      <c r="F7" s="3"/>
    </row>
    <row r="8" spans="1:6" x14ac:dyDescent="0.35">
      <c r="B8" s="2" t="s">
        <v>21</v>
      </c>
      <c r="C8" s="3" t="s">
        <v>75</v>
      </c>
    </row>
    <row r="9" spans="1:6" x14ac:dyDescent="0.35">
      <c r="B9" s="2" t="s">
        <v>22</v>
      </c>
      <c r="C9" s="32" t="s">
        <v>112</v>
      </c>
    </row>
    <row r="10" spans="1:6" x14ac:dyDescent="0.35">
      <c r="B10" s="2" t="s">
        <v>23</v>
      </c>
      <c r="C10" s="33" t="s">
        <v>77</v>
      </c>
    </row>
    <row r="11" spans="1:6" x14ac:dyDescent="0.35">
      <c r="C11" s="3"/>
    </row>
    <row r="12" spans="1:6" ht="27" customHeight="1" x14ac:dyDescent="0.35">
      <c r="A12" s="35" t="s">
        <v>0</v>
      </c>
      <c r="B12" s="35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6"/>
      <c r="B13" s="36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>
        <v>5</v>
      </c>
    </row>
    <row r="15" spans="1:6" x14ac:dyDescent="0.35">
      <c r="A15" s="7">
        <v>2</v>
      </c>
      <c r="B15" s="8" t="s">
        <v>3</v>
      </c>
      <c r="C15" s="9"/>
      <c r="D15" s="9"/>
      <c r="E15" s="9">
        <v>4</v>
      </c>
      <c r="F15" s="9"/>
    </row>
    <row r="16" spans="1:6" x14ac:dyDescent="0.35">
      <c r="A16" s="7">
        <v>3</v>
      </c>
      <c r="B16" s="8" t="s">
        <v>4</v>
      </c>
      <c r="C16" s="9"/>
      <c r="D16" s="9"/>
      <c r="E16" s="9">
        <v>4</v>
      </c>
      <c r="F16" s="9"/>
    </row>
    <row r="17" spans="1:102" x14ac:dyDescent="0.35">
      <c r="A17" s="7">
        <v>4</v>
      </c>
      <c r="B17" s="8" t="s">
        <v>5</v>
      </c>
      <c r="C17" s="9"/>
      <c r="D17" s="9">
        <v>3</v>
      </c>
      <c r="E17" s="9"/>
      <c r="F17" s="9"/>
    </row>
    <row r="18" spans="1:102" x14ac:dyDescent="0.35">
      <c r="A18" s="7">
        <v>5</v>
      </c>
      <c r="B18" s="8" t="s">
        <v>6</v>
      </c>
      <c r="C18" s="9"/>
      <c r="D18" s="9"/>
      <c r="E18" s="9">
        <v>4</v>
      </c>
      <c r="F18" s="9"/>
    </row>
    <row r="19" spans="1:102" x14ac:dyDescent="0.35">
      <c r="A19" s="7">
        <v>6</v>
      </c>
      <c r="B19" s="8" t="s">
        <v>7</v>
      </c>
      <c r="C19" s="9"/>
      <c r="D19" s="9">
        <v>3</v>
      </c>
      <c r="E19" s="9"/>
      <c r="F19" s="9"/>
    </row>
    <row r="20" spans="1:102" x14ac:dyDescent="0.35">
      <c r="A20" s="7">
        <v>7</v>
      </c>
      <c r="B20" s="8" t="s">
        <v>17</v>
      </c>
      <c r="C20" s="9"/>
      <c r="D20" s="9">
        <v>3</v>
      </c>
      <c r="E20" s="9"/>
      <c r="F20" s="9"/>
    </row>
    <row r="21" spans="1:102" x14ac:dyDescent="0.35">
      <c r="A21" s="7">
        <v>8</v>
      </c>
      <c r="B21" s="8" t="s">
        <v>8</v>
      </c>
      <c r="C21" s="9"/>
      <c r="D21" s="9">
        <v>3</v>
      </c>
      <c r="E21" s="9"/>
      <c r="F21" s="9"/>
    </row>
    <row r="22" spans="1:102" x14ac:dyDescent="0.35">
      <c r="A22" s="7">
        <v>9</v>
      </c>
      <c r="B22" s="8" t="s">
        <v>9</v>
      </c>
      <c r="C22" s="9"/>
      <c r="D22" s="9"/>
      <c r="E22" s="9">
        <v>4</v>
      </c>
      <c r="F22" s="9"/>
    </row>
    <row r="23" spans="1:102" x14ac:dyDescent="0.35">
      <c r="A23" s="7">
        <v>10</v>
      </c>
      <c r="B23" s="8" t="s">
        <v>18</v>
      </c>
      <c r="C23" s="9"/>
      <c r="D23" s="9">
        <v>3</v>
      </c>
      <c r="E23" s="9"/>
      <c r="F23" s="9"/>
    </row>
    <row r="24" spans="1:102" x14ac:dyDescent="0.35">
      <c r="A24" s="37" t="s">
        <v>36</v>
      </c>
      <c r="B24" s="37"/>
      <c r="C24" s="10">
        <f>SUM(C14:C23)</f>
        <v>0</v>
      </c>
      <c r="D24" s="9">
        <f>SUM(D14:D23)</f>
        <v>15</v>
      </c>
      <c r="E24" s="9">
        <f>SUM(E14:E23)</f>
        <v>16</v>
      </c>
      <c r="F24" s="9">
        <f>SUM(F14:F23)</f>
        <v>5</v>
      </c>
      <c r="CW24" s="9" t="s">
        <v>36</v>
      </c>
      <c r="CX24" s="9">
        <v>33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8" t="s">
        <v>47</v>
      </c>
      <c r="D26" s="39"/>
      <c r="E26" s="40"/>
      <c r="F26" s="14">
        <v>72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1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71</v>
      </c>
      <c r="C38" s="11"/>
      <c r="D38" s="11"/>
      <c r="E38" s="11"/>
    </row>
    <row r="39" spans="1:5" x14ac:dyDescent="0.35">
      <c r="B39" t="s">
        <v>113</v>
      </c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72</v>
      </c>
    </row>
    <row r="43" spans="1:5" x14ac:dyDescent="0.35">
      <c r="B43" t="s">
        <v>114</v>
      </c>
    </row>
    <row r="44" spans="1:5" x14ac:dyDescent="0.35">
      <c r="B44" t="s">
        <v>115</v>
      </c>
    </row>
    <row r="45" spans="1:5" x14ac:dyDescent="0.35">
      <c r="A45" t="s">
        <v>116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92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X51"/>
  <sheetViews>
    <sheetView showGridLines="0" tabSelected="1" zoomScale="81" workbookViewId="0">
      <selection activeCell="D56" sqref="D56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 t="s">
        <v>117</v>
      </c>
    </row>
    <row r="7" spans="1:6" x14ac:dyDescent="0.35">
      <c r="B7" s="2" t="s">
        <v>20</v>
      </c>
      <c r="C7" s="3" t="s">
        <v>111</v>
      </c>
      <c r="F7" s="3"/>
    </row>
    <row r="8" spans="1:6" x14ac:dyDescent="0.35">
      <c r="B8" s="2" t="s">
        <v>21</v>
      </c>
      <c r="C8" s="3" t="s">
        <v>118</v>
      </c>
    </row>
    <row r="9" spans="1:6" x14ac:dyDescent="0.35">
      <c r="B9" s="2" t="s">
        <v>22</v>
      </c>
      <c r="C9" s="34" t="s">
        <v>119</v>
      </c>
    </row>
    <row r="10" spans="1:6" x14ac:dyDescent="0.35">
      <c r="B10" s="2" t="s">
        <v>23</v>
      </c>
      <c r="C10" s="34" t="s">
        <v>120</v>
      </c>
    </row>
    <row r="11" spans="1:6" x14ac:dyDescent="0.35">
      <c r="C11" s="3"/>
    </row>
    <row r="12" spans="1:6" ht="27" customHeight="1" x14ac:dyDescent="0.35">
      <c r="A12" s="35" t="s">
        <v>0</v>
      </c>
      <c r="B12" s="35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6"/>
      <c r="B13" s="36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>
        <v>2</v>
      </c>
      <c r="D14" s="9"/>
      <c r="E14" s="9"/>
      <c r="F14" s="9"/>
    </row>
    <row r="15" spans="1:6" x14ac:dyDescent="0.35">
      <c r="A15" s="7">
        <v>2</v>
      </c>
      <c r="B15" s="8" t="s">
        <v>3</v>
      </c>
      <c r="C15" s="9"/>
      <c r="D15" s="9">
        <v>3</v>
      </c>
      <c r="E15" s="9"/>
      <c r="F15" s="9"/>
    </row>
    <row r="16" spans="1:6" x14ac:dyDescent="0.35">
      <c r="A16" s="7">
        <v>3</v>
      </c>
      <c r="B16" s="8" t="s">
        <v>4</v>
      </c>
      <c r="C16" s="9"/>
      <c r="D16" s="9">
        <v>3</v>
      </c>
      <c r="E16" s="9"/>
      <c r="F16" s="9"/>
    </row>
    <row r="17" spans="1:102" x14ac:dyDescent="0.35">
      <c r="A17" s="7">
        <v>4</v>
      </c>
      <c r="B17" s="8" t="s">
        <v>5</v>
      </c>
      <c r="C17" s="9">
        <v>2</v>
      </c>
      <c r="D17" s="9"/>
      <c r="E17" s="9"/>
      <c r="F17" s="9"/>
    </row>
    <row r="18" spans="1:102" x14ac:dyDescent="0.35">
      <c r="A18" s="7">
        <v>5</v>
      </c>
      <c r="B18" s="8" t="s">
        <v>6</v>
      </c>
      <c r="C18" s="9"/>
      <c r="D18" s="9"/>
      <c r="E18" s="9">
        <v>4</v>
      </c>
      <c r="F18" s="9"/>
    </row>
    <row r="19" spans="1:102" x14ac:dyDescent="0.35">
      <c r="A19" s="7">
        <v>6</v>
      </c>
      <c r="B19" s="8" t="s">
        <v>7</v>
      </c>
      <c r="C19" s="9">
        <v>2</v>
      </c>
      <c r="D19" s="9"/>
      <c r="E19" s="9"/>
      <c r="F19" s="9"/>
    </row>
    <row r="20" spans="1:102" x14ac:dyDescent="0.35">
      <c r="A20" s="7">
        <v>7</v>
      </c>
      <c r="B20" s="8" t="s">
        <v>17</v>
      </c>
      <c r="C20" s="9"/>
      <c r="D20" s="9">
        <v>3</v>
      </c>
      <c r="E20" s="9"/>
      <c r="F20" s="9"/>
    </row>
    <row r="21" spans="1:102" x14ac:dyDescent="0.35">
      <c r="A21" s="7">
        <v>8</v>
      </c>
      <c r="B21" s="8" t="s">
        <v>8</v>
      </c>
      <c r="C21" s="9"/>
      <c r="D21" s="9">
        <v>3</v>
      </c>
      <c r="E21" s="9"/>
      <c r="F21" s="9"/>
    </row>
    <row r="22" spans="1:102" x14ac:dyDescent="0.35">
      <c r="A22" s="7">
        <v>9</v>
      </c>
      <c r="B22" s="8" t="s">
        <v>9</v>
      </c>
      <c r="C22" s="9"/>
      <c r="D22" s="9">
        <v>3</v>
      </c>
      <c r="E22" s="9"/>
      <c r="F22" s="9"/>
    </row>
    <row r="23" spans="1:102" x14ac:dyDescent="0.35">
      <c r="A23" s="7">
        <v>10</v>
      </c>
      <c r="B23" s="8" t="s">
        <v>18</v>
      </c>
      <c r="C23" s="9">
        <v>2</v>
      </c>
      <c r="D23" s="9"/>
      <c r="E23" s="9"/>
      <c r="F23" s="9"/>
    </row>
    <row r="24" spans="1:102" x14ac:dyDescent="0.35">
      <c r="A24" s="37" t="s">
        <v>36</v>
      </c>
      <c r="B24" s="37"/>
      <c r="C24" s="10">
        <f>SUM(C14:C23)</f>
        <v>8</v>
      </c>
      <c r="D24" s="9">
        <f>SUM(D14:D23)</f>
        <v>15</v>
      </c>
      <c r="E24" s="9">
        <f>SUM(E14:E23)</f>
        <v>4</v>
      </c>
      <c r="F24" s="9">
        <f>SUM(F14:F23)</f>
        <v>0</v>
      </c>
      <c r="CW24" s="9" t="s">
        <v>36</v>
      </c>
      <c r="CX24" s="9">
        <v>27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8" t="s">
        <v>47</v>
      </c>
      <c r="D26" s="39"/>
      <c r="E26" s="40"/>
      <c r="F26" s="14">
        <f>CX24*2</f>
        <v>54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1" t="s">
        <v>29</v>
      </c>
      <c r="C30" s="15" t="s">
        <v>38</v>
      </c>
      <c r="D30" s="16"/>
      <c r="E30" s="8" t="s">
        <v>121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45</v>
      </c>
      <c r="C38" s="11"/>
      <c r="D38" s="11"/>
      <c r="E38" s="11"/>
    </row>
    <row r="39" spans="1:5" x14ac:dyDescent="0.35"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69</v>
      </c>
    </row>
    <row r="43" spans="1:5" x14ac:dyDescent="0.35">
      <c r="B43" t="s">
        <v>70</v>
      </c>
    </row>
    <row r="44" spans="1:5" x14ac:dyDescent="0.35">
      <c r="B44" t="s">
        <v>73</v>
      </c>
    </row>
    <row r="45" spans="1:5" x14ac:dyDescent="0.35">
      <c r="A45" t="s">
        <v>122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92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CX51"/>
  <sheetViews>
    <sheetView showGridLines="0" workbookViewId="0">
      <selection activeCell="M15" sqref="M15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/>
    </row>
    <row r="7" spans="1:6" x14ac:dyDescent="0.35">
      <c r="B7" s="2" t="s">
        <v>20</v>
      </c>
      <c r="C7" s="3"/>
      <c r="F7" s="3"/>
    </row>
    <row r="8" spans="1:6" x14ac:dyDescent="0.35">
      <c r="B8" s="2" t="s">
        <v>21</v>
      </c>
      <c r="C8" s="3"/>
    </row>
    <row r="9" spans="1:6" x14ac:dyDescent="0.35">
      <c r="B9" s="2" t="s">
        <v>22</v>
      </c>
      <c r="C9" s="3"/>
    </row>
    <row r="10" spans="1:6" x14ac:dyDescent="0.35">
      <c r="B10" s="2" t="s">
        <v>23</v>
      </c>
      <c r="C10" s="3"/>
    </row>
    <row r="11" spans="1:6" x14ac:dyDescent="0.35">
      <c r="C11" s="3"/>
    </row>
    <row r="12" spans="1:6" ht="27" customHeight="1" x14ac:dyDescent="0.35">
      <c r="A12" s="35" t="s">
        <v>0</v>
      </c>
      <c r="B12" s="35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6"/>
      <c r="B13" s="36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/>
    </row>
    <row r="15" spans="1:6" x14ac:dyDescent="0.35">
      <c r="A15" s="7">
        <v>2</v>
      </c>
      <c r="B15" s="8" t="s">
        <v>3</v>
      </c>
      <c r="C15" s="9"/>
      <c r="D15" s="9"/>
      <c r="E15" s="9"/>
      <c r="F15" s="9"/>
    </row>
    <row r="16" spans="1:6" x14ac:dyDescent="0.35">
      <c r="A16" s="7">
        <v>3</v>
      </c>
      <c r="B16" s="8" t="s">
        <v>4</v>
      </c>
      <c r="C16" s="9"/>
      <c r="D16" s="9"/>
      <c r="E16" s="9"/>
      <c r="F16" s="9"/>
    </row>
    <row r="17" spans="1:102" x14ac:dyDescent="0.35">
      <c r="A17" s="7">
        <v>4</v>
      </c>
      <c r="B17" s="8" t="s">
        <v>5</v>
      </c>
      <c r="C17" s="9"/>
      <c r="D17" s="9"/>
      <c r="E17" s="9"/>
      <c r="F17" s="9"/>
    </row>
    <row r="18" spans="1:102" x14ac:dyDescent="0.35">
      <c r="A18" s="7">
        <v>5</v>
      </c>
      <c r="B18" s="8" t="s">
        <v>6</v>
      </c>
      <c r="C18" s="9"/>
      <c r="D18" s="9"/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/>
      <c r="F19" s="9"/>
    </row>
    <row r="20" spans="1:102" x14ac:dyDescent="0.35">
      <c r="A20" s="7">
        <v>7</v>
      </c>
      <c r="B20" s="8" t="s">
        <v>17</v>
      </c>
      <c r="C20" s="9"/>
      <c r="D20" s="9"/>
      <c r="E20" s="9"/>
      <c r="F20" s="9"/>
    </row>
    <row r="21" spans="1:102" x14ac:dyDescent="0.35">
      <c r="A21" s="7">
        <v>8</v>
      </c>
      <c r="B21" s="8" t="s">
        <v>8</v>
      </c>
      <c r="C21" s="9"/>
      <c r="D21" s="9"/>
      <c r="E21" s="9"/>
      <c r="F21" s="9"/>
    </row>
    <row r="22" spans="1:102" x14ac:dyDescent="0.35">
      <c r="A22" s="7">
        <v>9</v>
      </c>
      <c r="B22" s="8" t="s">
        <v>9</v>
      </c>
      <c r="C22" s="9"/>
      <c r="D22" s="9"/>
      <c r="E22" s="9"/>
      <c r="F22" s="9"/>
    </row>
    <row r="23" spans="1:102" x14ac:dyDescent="0.35">
      <c r="A23" s="7">
        <v>10</v>
      </c>
      <c r="B23" s="8" t="s">
        <v>18</v>
      </c>
      <c r="C23" s="9"/>
      <c r="D23" s="9"/>
      <c r="E23" s="9"/>
      <c r="F23" s="9"/>
    </row>
    <row r="24" spans="1:102" x14ac:dyDescent="0.35">
      <c r="A24" s="37" t="s">
        <v>36</v>
      </c>
      <c r="B24" s="37"/>
      <c r="C24" s="10">
        <f>SUM(C14:C23)</f>
        <v>0</v>
      </c>
      <c r="D24" s="9">
        <f>SUM(D14:D23)</f>
        <v>0</v>
      </c>
      <c r="E24" s="9">
        <f>SUM(E14:E23)</f>
        <v>0</v>
      </c>
      <c r="F24" s="9">
        <f>SUM(F14:F23)</f>
        <v>0</v>
      </c>
      <c r="CW24" s="9" t="s">
        <v>36</v>
      </c>
      <c r="CX24" s="9">
        <f>E24+F24+G24+D24</f>
        <v>0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8" t="s">
        <v>47</v>
      </c>
      <c r="D26" s="39"/>
      <c r="E26" s="40"/>
      <c r="F26" s="14">
        <f>CX24*2</f>
        <v>0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1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45</v>
      </c>
      <c r="C38" s="11"/>
      <c r="D38" s="11"/>
      <c r="E38" s="11"/>
    </row>
    <row r="39" spans="1:5" x14ac:dyDescent="0.35"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45</v>
      </c>
    </row>
    <row r="45" spans="1:5" x14ac:dyDescent="0.35">
      <c r="A45" t="s">
        <v>10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13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CX51"/>
  <sheetViews>
    <sheetView showGridLines="0" workbookViewId="0">
      <selection activeCell="N10" sqref="N10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/>
    </row>
    <row r="7" spans="1:6" x14ac:dyDescent="0.35">
      <c r="B7" s="2" t="s">
        <v>20</v>
      </c>
      <c r="C7" s="3"/>
      <c r="F7" s="3"/>
    </row>
    <row r="8" spans="1:6" x14ac:dyDescent="0.35">
      <c r="B8" s="2" t="s">
        <v>21</v>
      </c>
      <c r="C8" s="3"/>
    </row>
    <row r="9" spans="1:6" x14ac:dyDescent="0.35">
      <c r="B9" s="2" t="s">
        <v>22</v>
      </c>
      <c r="C9" s="3"/>
    </row>
    <row r="10" spans="1:6" x14ac:dyDescent="0.35">
      <c r="B10" s="2" t="s">
        <v>23</v>
      </c>
      <c r="C10" s="3"/>
    </row>
    <row r="11" spans="1:6" x14ac:dyDescent="0.35">
      <c r="C11" s="3"/>
    </row>
    <row r="12" spans="1:6" ht="27" customHeight="1" x14ac:dyDescent="0.35">
      <c r="A12" s="35" t="s">
        <v>0</v>
      </c>
      <c r="B12" s="35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6"/>
      <c r="B13" s="36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/>
    </row>
    <row r="15" spans="1:6" x14ac:dyDescent="0.35">
      <c r="A15" s="7">
        <v>2</v>
      </c>
      <c r="B15" s="8" t="s">
        <v>3</v>
      </c>
      <c r="C15" s="9"/>
      <c r="D15" s="9"/>
      <c r="E15" s="9"/>
      <c r="F15" s="9"/>
    </row>
    <row r="16" spans="1:6" x14ac:dyDescent="0.35">
      <c r="A16" s="7">
        <v>3</v>
      </c>
      <c r="B16" s="8" t="s">
        <v>4</v>
      </c>
      <c r="C16" s="9"/>
      <c r="D16" s="9"/>
      <c r="E16" s="9"/>
      <c r="F16" s="9"/>
    </row>
    <row r="17" spans="1:102" x14ac:dyDescent="0.35">
      <c r="A17" s="7">
        <v>4</v>
      </c>
      <c r="B17" s="8" t="s">
        <v>5</v>
      </c>
      <c r="C17" s="9"/>
      <c r="D17" s="9"/>
      <c r="E17" s="9"/>
      <c r="F17" s="9"/>
    </row>
    <row r="18" spans="1:102" x14ac:dyDescent="0.35">
      <c r="A18" s="7">
        <v>5</v>
      </c>
      <c r="B18" s="8" t="s">
        <v>6</v>
      </c>
      <c r="C18" s="9"/>
      <c r="D18" s="9"/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/>
      <c r="F19" s="9"/>
    </row>
    <row r="20" spans="1:102" x14ac:dyDescent="0.35">
      <c r="A20" s="7">
        <v>7</v>
      </c>
      <c r="B20" s="8" t="s">
        <v>17</v>
      </c>
      <c r="C20" s="9"/>
      <c r="D20" s="9"/>
      <c r="E20" s="9"/>
      <c r="F20" s="9"/>
    </row>
    <row r="21" spans="1:102" x14ac:dyDescent="0.35">
      <c r="A21" s="7">
        <v>8</v>
      </c>
      <c r="B21" s="8" t="s">
        <v>8</v>
      </c>
      <c r="C21" s="9"/>
      <c r="D21" s="9"/>
      <c r="E21" s="9"/>
      <c r="F21" s="9"/>
    </row>
    <row r="22" spans="1:102" x14ac:dyDescent="0.35">
      <c r="A22" s="7">
        <v>9</v>
      </c>
      <c r="B22" s="8" t="s">
        <v>9</v>
      </c>
      <c r="C22" s="9"/>
      <c r="D22" s="9"/>
      <c r="E22" s="9"/>
      <c r="F22" s="9"/>
    </row>
    <row r="23" spans="1:102" x14ac:dyDescent="0.35">
      <c r="A23" s="7">
        <v>10</v>
      </c>
      <c r="B23" s="8" t="s">
        <v>18</v>
      </c>
      <c r="C23" s="9"/>
      <c r="D23" s="9"/>
      <c r="E23" s="9"/>
      <c r="F23" s="9"/>
    </row>
    <row r="24" spans="1:102" x14ac:dyDescent="0.35">
      <c r="A24" s="37" t="s">
        <v>36</v>
      </c>
      <c r="B24" s="37"/>
      <c r="C24" s="10">
        <f>SUM(C14:C23)</f>
        <v>0</v>
      </c>
      <c r="D24" s="9">
        <f>SUM(D14:D23)</f>
        <v>0</v>
      </c>
      <c r="E24" s="9">
        <f>SUM(E14:E23)</f>
        <v>0</v>
      </c>
      <c r="F24" s="9">
        <f>SUM(F14:F23)</f>
        <v>0</v>
      </c>
      <c r="CW24" s="9" t="s">
        <v>36</v>
      </c>
      <c r="CX24" s="9">
        <f>E24+F24+G24+D24</f>
        <v>0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8" t="s">
        <v>47</v>
      </c>
      <c r="D26" s="39"/>
      <c r="E26" s="40"/>
      <c r="F26" s="14">
        <f>CX24*2</f>
        <v>0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1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45</v>
      </c>
      <c r="C38" s="11"/>
      <c r="D38" s="11"/>
      <c r="E38" s="11"/>
    </row>
    <row r="39" spans="1:5" x14ac:dyDescent="0.35"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45</v>
      </c>
    </row>
    <row r="45" spans="1:5" x14ac:dyDescent="0.35">
      <c r="A45" t="s">
        <v>10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13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CX51"/>
  <sheetViews>
    <sheetView showGridLines="0" workbookViewId="0">
      <selection activeCell="O13" sqref="O13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/>
    </row>
    <row r="7" spans="1:6" x14ac:dyDescent="0.35">
      <c r="B7" s="2" t="s">
        <v>20</v>
      </c>
      <c r="C7" s="3"/>
      <c r="F7" s="3"/>
    </row>
    <row r="8" spans="1:6" x14ac:dyDescent="0.35">
      <c r="B8" s="2" t="s">
        <v>21</v>
      </c>
      <c r="C8" s="3"/>
    </row>
    <row r="9" spans="1:6" x14ac:dyDescent="0.35">
      <c r="B9" s="2" t="s">
        <v>22</v>
      </c>
      <c r="C9" s="3"/>
    </row>
    <row r="10" spans="1:6" x14ac:dyDescent="0.35">
      <c r="B10" s="2" t="s">
        <v>23</v>
      </c>
      <c r="C10" s="3"/>
    </row>
    <row r="11" spans="1:6" x14ac:dyDescent="0.35">
      <c r="C11" s="3"/>
    </row>
    <row r="12" spans="1:6" ht="27" customHeight="1" x14ac:dyDescent="0.35">
      <c r="A12" s="35" t="s">
        <v>0</v>
      </c>
      <c r="B12" s="35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6"/>
      <c r="B13" s="36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/>
    </row>
    <row r="15" spans="1:6" x14ac:dyDescent="0.35">
      <c r="A15" s="7">
        <v>2</v>
      </c>
      <c r="B15" s="8" t="s">
        <v>3</v>
      </c>
      <c r="C15" s="9"/>
      <c r="D15" s="9"/>
      <c r="E15" s="9"/>
      <c r="F15" s="9"/>
    </row>
    <row r="16" spans="1:6" x14ac:dyDescent="0.35">
      <c r="A16" s="7">
        <v>3</v>
      </c>
      <c r="B16" s="8" t="s">
        <v>4</v>
      </c>
      <c r="C16" s="9"/>
      <c r="D16" s="9"/>
      <c r="E16" s="9"/>
      <c r="F16" s="9"/>
    </row>
    <row r="17" spans="1:102" x14ac:dyDescent="0.35">
      <c r="A17" s="7">
        <v>4</v>
      </c>
      <c r="B17" s="8" t="s">
        <v>5</v>
      </c>
      <c r="C17" s="9"/>
      <c r="D17" s="9"/>
      <c r="E17" s="9"/>
      <c r="F17" s="9"/>
    </row>
    <row r="18" spans="1:102" x14ac:dyDescent="0.35">
      <c r="A18" s="7">
        <v>5</v>
      </c>
      <c r="B18" s="8" t="s">
        <v>6</v>
      </c>
      <c r="C18" s="9"/>
      <c r="D18" s="9"/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/>
      <c r="F19" s="9"/>
    </row>
    <row r="20" spans="1:102" x14ac:dyDescent="0.35">
      <c r="A20" s="7">
        <v>7</v>
      </c>
      <c r="B20" s="8" t="s">
        <v>17</v>
      </c>
      <c r="C20" s="9"/>
      <c r="D20" s="9"/>
      <c r="E20" s="9"/>
      <c r="F20" s="9"/>
    </row>
    <row r="21" spans="1:102" x14ac:dyDescent="0.35">
      <c r="A21" s="7">
        <v>8</v>
      </c>
      <c r="B21" s="8" t="s">
        <v>8</v>
      </c>
      <c r="C21" s="9"/>
      <c r="D21" s="9"/>
      <c r="E21" s="9"/>
      <c r="F21" s="9"/>
    </row>
    <row r="22" spans="1:102" x14ac:dyDescent="0.35">
      <c r="A22" s="7">
        <v>9</v>
      </c>
      <c r="B22" s="8" t="s">
        <v>9</v>
      </c>
      <c r="C22" s="9"/>
      <c r="D22" s="9"/>
      <c r="E22" s="9"/>
      <c r="F22" s="9"/>
    </row>
    <row r="23" spans="1:102" x14ac:dyDescent="0.35">
      <c r="A23" s="7">
        <v>10</v>
      </c>
      <c r="B23" s="8" t="s">
        <v>18</v>
      </c>
      <c r="C23" s="9"/>
      <c r="D23" s="9"/>
      <c r="E23" s="9"/>
      <c r="F23" s="9"/>
    </row>
    <row r="24" spans="1:102" x14ac:dyDescent="0.35">
      <c r="A24" s="37" t="s">
        <v>36</v>
      </c>
      <c r="B24" s="37"/>
      <c r="C24" s="10">
        <f>SUM(C14:C23)</f>
        <v>0</v>
      </c>
      <c r="D24" s="9">
        <f>SUM(D14:D23)</f>
        <v>0</v>
      </c>
      <c r="E24" s="9">
        <f>SUM(E14:E23)</f>
        <v>0</v>
      </c>
      <c r="F24" s="9">
        <f>SUM(F14:F23)</f>
        <v>0</v>
      </c>
      <c r="CW24" s="9" t="s">
        <v>36</v>
      </c>
      <c r="CX24" s="9">
        <f>E24+F24+G24+D24</f>
        <v>0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8" t="s">
        <v>47</v>
      </c>
      <c r="D26" s="39"/>
      <c r="E26" s="40"/>
      <c r="F26" s="14">
        <f>CX24*2</f>
        <v>0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1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45</v>
      </c>
      <c r="C38" s="11"/>
      <c r="D38" s="11"/>
      <c r="E38" s="11"/>
    </row>
    <row r="39" spans="1:5" x14ac:dyDescent="0.35"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45</v>
      </c>
    </row>
    <row r="45" spans="1:5" x14ac:dyDescent="0.35">
      <c r="A45" t="s">
        <v>10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13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CX51"/>
  <sheetViews>
    <sheetView showGridLines="0" workbookViewId="0">
      <selection activeCell="K13" sqref="K13"/>
    </sheetView>
  </sheetViews>
  <sheetFormatPr defaultColWidth="9.90625" defaultRowHeight="14.5" x14ac:dyDescent="0.35"/>
  <cols>
    <col min="1" max="1" width="5.90625" customWidth="1"/>
    <col min="2" max="2" width="61.453125" customWidth="1"/>
    <col min="3" max="4" width="8.6328125" customWidth="1"/>
  </cols>
  <sheetData>
    <row r="2" spans="1:6" ht="18.5" x14ac:dyDescent="0.45">
      <c r="B2" s="1" t="s">
        <v>19</v>
      </c>
      <c r="C2" s="1"/>
    </row>
    <row r="4" spans="1:6" x14ac:dyDescent="0.35">
      <c r="B4" t="s">
        <v>25</v>
      </c>
    </row>
    <row r="6" spans="1:6" x14ac:dyDescent="0.35">
      <c r="B6" s="2" t="s">
        <v>24</v>
      </c>
      <c r="C6" s="3"/>
    </row>
    <row r="7" spans="1:6" x14ac:dyDescent="0.35">
      <c r="B7" s="2" t="s">
        <v>20</v>
      </c>
      <c r="C7" s="3"/>
      <c r="F7" s="3"/>
    </row>
    <row r="8" spans="1:6" x14ac:dyDescent="0.35">
      <c r="B8" s="2" t="s">
        <v>21</v>
      </c>
      <c r="C8" s="3"/>
    </row>
    <row r="9" spans="1:6" x14ac:dyDescent="0.35">
      <c r="B9" s="2" t="s">
        <v>22</v>
      </c>
      <c r="C9" s="3"/>
    </row>
    <row r="10" spans="1:6" x14ac:dyDescent="0.35">
      <c r="B10" s="2" t="s">
        <v>23</v>
      </c>
      <c r="C10" s="3"/>
    </row>
    <row r="11" spans="1:6" x14ac:dyDescent="0.35">
      <c r="C11" s="3"/>
    </row>
    <row r="12" spans="1:6" ht="27" customHeight="1" x14ac:dyDescent="0.35">
      <c r="A12" s="35" t="s">
        <v>0</v>
      </c>
      <c r="B12" s="35" t="s">
        <v>1</v>
      </c>
      <c r="C12" s="4" t="s">
        <v>32</v>
      </c>
      <c r="D12" s="4" t="s">
        <v>33</v>
      </c>
      <c r="E12" s="4" t="s">
        <v>34</v>
      </c>
      <c r="F12" s="4" t="s">
        <v>35</v>
      </c>
    </row>
    <row r="13" spans="1:6" s="5" customFormat="1" ht="24" customHeight="1" x14ac:dyDescent="0.35">
      <c r="A13" s="36"/>
      <c r="B13" s="36"/>
      <c r="C13" s="6">
        <v>2</v>
      </c>
      <c r="D13" s="6">
        <v>3</v>
      </c>
      <c r="E13" s="6">
        <v>4</v>
      </c>
      <c r="F13" s="6">
        <v>5</v>
      </c>
    </row>
    <row r="14" spans="1:6" x14ac:dyDescent="0.35">
      <c r="A14" s="7">
        <v>1</v>
      </c>
      <c r="B14" s="8" t="s">
        <v>2</v>
      </c>
      <c r="C14" s="9"/>
      <c r="D14" s="9"/>
      <c r="E14" s="9"/>
      <c r="F14" s="9"/>
    </row>
    <row r="15" spans="1:6" x14ac:dyDescent="0.35">
      <c r="A15" s="7">
        <v>2</v>
      </c>
      <c r="B15" s="8" t="s">
        <v>3</v>
      </c>
      <c r="C15" s="9"/>
      <c r="D15" s="9"/>
      <c r="E15" s="9"/>
      <c r="F15" s="9"/>
    </row>
    <row r="16" spans="1:6" x14ac:dyDescent="0.35">
      <c r="A16" s="7">
        <v>3</v>
      </c>
      <c r="B16" s="8" t="s">
        <v>4</v>
      </c>
      <c r="C16" s="9"/>
      <c r="D16" s="9"/>
      <c r="E16" s="9"/>
      <c r="F16" s="9"/>
    </row>
    <row r="17" spans="1:102" x14ac:dyDescent="0.35">
      <c r="A17" s="7">
        <v>4</v>
      </c>
      <c r="B17" s="8" t="s">
        <v>5</v>
      </c>
      <c r="C17" s="9"/>
      <c r="D17" s="9"/>
      <c r="E17" s="9"/>
      <c r="F17" s="9"/>
    </row>
    <row r="18" spans="1:102" x14ac:dyDescent="0.35">
      <c r="A18" s="7">
        <v>5</v>
      </c>
      <c r="B18" s="8" t="s">
        <v>6</v>
      </c>
      <c r="C18" s="9"/>
      <c r="D18" s="9"/>
      <c r="E18" s="9"/>
      <c r="F18" s="9"/>
    </row>
    <row r="19" spans="1:102" x14ac:dyDescent="0.35">
      <c r="A19" s="7">
        <v>6</v>
      </c>
      <c r="B19" s="8" t="s">
        <v>7</v>
      </c>
      <c r="C19" s="9"/>
      <c r="D19" s="9"/>
      <c r="E19" s="9"/>
      <c r="F19" s="9"/>
    </row>
    <row r="20" spans="1:102" x14ac:dyDescent="0.35">
      <c r="A20" s="7">
        <v>7</v>
      </c>
      <c r="B20" s="8" t="s">
        <v>17</v>
      </c>
      <c r="C20" s="9"/>
      <c r="D20" s="9"/>
      <c r="E20" s="9"/>
      <c r="F20" s="9"/>
    </row>
    <row r="21" spans="1:102" x14ac:dyDescent="0.35">
      <c r="A21" s="7">
        <v>8</v>
      </c>
      <c r="B21" s="8" t="s">
        <v>8</v>
      </c>
      <c r="C21" s="9"/>
      <c r="D21" s="9"/>
      <c r="E21" s="9"/>
      <c r="F21" s="9"/>
    </row>
    <row r="22" spans="1:102" x14ac:dyDescent="0.35">
      <c r="A22" s="7">
        <v>9</v>
      </c>
      <c r="B22" s="8" t="s">
        <v>9</v>
      </c>
      <c r="C22" s="9"/>
      <c r="D22" s="9"/>
      <c r="E22" s="9"/>
      <c r="F22" s="9"/>
    </row>
    <row r="23" spans="1:102" x14ac:dyDescent="0.35">
      <c r="A23" s="7">
        <v>10</v>
      </c>
      <c r="B23" s="8" t="s">
        <v>18</v>
      </c>
      <c r="C23" s="9"/>
      <c r="D23" s="9"/>
      <c r="E23" s="9"/>
      <c r="F23" s="9"/>
    </row>
    <row r="24" spans="1:102" x14ac:dyDescent="0.35">
      <c r="A24" s="37" t="s">
        <v>36</v>
      </c>
      <c r="B24" s="37"/>
      <c r="C24" s="10">
        <f>SUM(C14:C23)</f>
        <v>0</v>
      </c>
      <c r="D24" s="9">
        <f>SUM(D14:D23)</f>
        <v>0</v>
      </c>
      <c r="E24" s="9">
        <f>SUM(E14:E23)</f>
        <v>0</v>
      </c>
      <c r="F24" s="9">
        <f>SUM(F14:F23)</f>
        <v>0</v>
      </c>
      <c r="CW24" s="9" t="s">
        <v>36</v>
      </c>
      <c r="CX24" s="9">
        <f>E24+F24+G24+D24</f>
        <v>0</v>
      </c>
    </row>
    <row r="25" spans="1:102" x14ac:dyDescent="0.35">
      <c r="A25" s="11"/>
      <c r="B25" s="12"/>
      <c r="C25" s="5"/>
      <c r="D25" s="5"/>
    </row>
    <row r="26" spans="1:102" x14ac:dyDescent="0.35">
      <c r="A26" s="11"/>
      <c r="B26" s="13" t="s">
        <v>46</v>
      </c>
      <c r="C26" s="38" t="s">
        <v>47</v>
      </c>
      <c r="D26" s="39"/>
      <c r="E26" s="40"/>
      <c r="F26" s="14">
        <f>CX24*2</f>
        <v>0</v>
      </c>
    </row>
    <row r="27" spans="1:102" x14ac:dyDescent="0.35">
      <c r="A27" s="11"/>
      <c r="B27" s="12"/>
    </row>
    <row r="28" spans="1:102" ht="15" customHeight="1" x14ac:dyDescent="0.35">
      <c r="A28" s="11" t="s">
        <v>31</v>
      </c>
      <c r="B28" s="12" t="s">
        <v>30</v>
      </c>
      <c r="C28" t="s">
        <v>37</v>
      </c>
    </row>
    <row r="29" spans="1:102" ht="15" customHeight="1" x14ac:dyDescent="0.35">
      <c r="A29" s="11"/>
    </row>
    <row r="30" spans="1:102" x14ac:dyDescent="0.35">
      <c r="A30" s="11"/>
      <c r="B30" s="21" t="s">
        <v>29</v>
      </c>
      <c r="C30" s="15" t="s">
        <v>38</v>
      </c>
      <c r="D30" s="16"/>
      <c r="E30" s="8" t="s">
        <v>39</v>
      </c>
    </row>
    <row r="31" spans="1:102" x14ac:dyDescent="0.35">
      <c r="A31" s="11"/>
      <c r="B31" s="12" t="s">
        <v>26</v>
      </c>
      <c r="C31" s="15" t="s">
        <v>40</v>
      </c>
      <c r="D31" s="16"/>
      <c r="E31" s="8" t="s">
        <v>39</v>
      </c>
      <c r="I31" s="11"/>
    </row>
    <row r="32" spans="1:102" x14ac:dyDescent="0.35">
      <c r="A32" s="11"/>
      <c r="B32" s="12" t="s">
        <v>27</v>
      </c>
      <c r="C32" s="15" t="s">
        <v>41</v>
      </c>
      <c r="D32" s="16"/>
      <c r="E32" s="8" t="s">
        <v>39</v>
      </c>
    </row>
    <row r="33" spans="1:5" x14ac:dyDescent="0.35">
      <c r="B33" s="12" t="s">
        <v>28</v>
      </c>
      <c r="C33" s="15" t="s">
        <v>42</v>
      </c>
      <c r="D33" s="16"/>
      <c r="E33" s="8" t="s">
        <v>39</v>
      </c>
    </row>
    <row r="34" spans="1:5" x14ac:dyDescent="0.35">
      <c r="C34" s="8" t="s">
        <v>43</v>
      </c>
      <c r="D34" s="8"/>
      <c r="E34" s="8" t="s">
        <v>39</v>
      </c>
    </row>
    <row r="35" spans="1:5" x14ac:dyDescent="0.35">
      <c r="C35" s="15" t="s">
        <v>44</v>
      </c>
      <c r="D35" s="16"/>
      <c r="E35" s="8" t="s">
        <v>39</v>
      </c>
    </row>
    <row r="36" spans="1:5" x14ac:dyDescent="0.35">
      <c r="C36" s="11"/>
      <c r="D36" s="11"/>
      <c r="E36" s="11"/>
    </row>
    <row r="37" spans="1:5" x14ac:dyDescent="0.35">
      <c r="A37" t="s">
        <v>15</v>
      </c>
      <c r="C37" s="11"/>
      <c r="D37" s="11"/>
      <c r="E37" s="11"/>
    </row>
    <row r="38" spans="1:5" x14ac:dyDescent="0.35">
      <c r="B38" t="s">
        <v>45</v>
      </c>
      <c r="C38" s="11"/>
      <c r="D38" s="11"/>
      <c r="E38" s="11"/>
    </row>
    <row r="39" spans="1:5" x14ac:dyDescent="0.35">
      <c r="C39" s="11"/>
      <c r="D39" s="11"/>
      <c r="E39" s="11"/>
    </row>
    <row r="40" spans="1:5" x14ac:dyDescent="0.35">
      <c r="C40" s="11"/>
      <c r="D40" s="11"/>
      <c r="E40" s="11"/>
    </row>
    <row r="41" spans="1:5" x14ac:dyDescent="0.35">
      <c r="A41" t="s">
        <v>16</v>
      </c>
    </row>
    <row r="42" spans="1:5" x14ac:dyDescent="0.35">
      <c r="B42" t="s">
        <v>45</v>
      </c>
    </row>
    <row r="45" spans="1:5" x14ac:dyDescent="0.35">
      <c r="A45" t="s">
        <v>10</v>
      </c>
    </row>
    <row r="47" spans="1:5" x14ac:dyDescent="0.35">
      <c r="A47" t="s">
        <v>11</v>
      </c>
      <c r="E47" t="s">
        <v>12</v>
      </c>
    </row>
    <row r="50" spans="1:6" x14ac:dyDescent="0.35">
      <c r="A50" t="s">
        <v>13</v>
      </c>
      <c r="D50" t="s">
        <v>14</v>
      </c>
    </row>
    <row r="51" spans="1:6" x14ac:dyDescent="0.35">
      <c r="A51" t="s">
        <v>51</v>
      </c>
      <c r="F51" t="s">
        <v>50</v>
      </c>
    </row>
  </sheetData>
  <mergeCells count="4">
    <mergeCell ref="A12:A13"/>
    <mergeCell ref="B12:B13"/>
    <mergeCell ref="A24:B24"/>
    <mergeCell ref="C26:E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STAFF PERFORMANCE CONTOH</vt:lpstr>
      <vt:lpstr>TIARA</vt:lpstr>
      <vt:lpstr>ANNISA</vt:lpstr>
      <vt:lpstr>SULFI</vt:lpstr>
      <vt:lpstr>YANI</vt:lpstr>
      <vt:lpstr>ASHRUL</vt:lpstr>
      <vt:lpstr>ILHAM</vt:lpstr>
      <vt:lpstr>IKKY</vt:lpstr>
      <vt:lpstr>NAMA 8</vt:lpstr>
      <vt:lpstr>NAMA 9</vt:lpstr>
      <vt:lpstr>NAMA 10</vt:lpstr>
      <vt:lpstr>NAMA 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LENOVO</cp:lastModifiedBy>
  <dcterms:created xsi:type="dcterms:W3CDTF">2025-09-07T23:12:48Z</dcterms:created>
  <dcterms:modified xsi:type="dcterms:W3CDTF">2026-03-05T09:00:21Z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8e0ecd9fdca84dbca7fdf3bf41929822</vt:lpwstr>
  </property>
</Properties>
</file>