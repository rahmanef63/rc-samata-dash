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LAPORAN\LAPORAN RC SAMATA 2026\"/>
    </mc:Choice>
  </mc:AlternateContent>
  <xr:revisionPtr revIDLastSave="0" documentId="13_ncr:1_{F2280643-1C1D-4464-97D7-BBE81C005F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definedNames>
    <definedName name="_xlnm.Print_Area" localSheetId="0">Sheet1!#REF!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23" i="2" l="1"/>
  <c r="H13" i="2"/>
  <c r="H14" i="2"/>
  <c r="H15" i="2"/>
  <c r="H16" i="2"/>
  <c r="H17" i="2"/>
  <c r="H18" i="2"/>
  <c r="H19" i="2"/>
  <c r="H20" i="2"/>
  <c r="H21" i="2"/>
  <c r="H22" i="2"/>
  <c r="H24" i="2" l="1"/>
</calcChain>
</file>

<file path=xl/sharedStrings.xml><?xml version="1.0" encoding="utf-8"?>
<sst xmlns="http://schemas.openxmlformats.org/spreadsheetml/2006/main" count="21" uniqueCount="21">
  <si>
    <t>NAMA BAHAN</t>
  </si>
  <si>
    <t>EXPIRED</t>
  </si>
  <si>
    <t>UNIT</t>
  </si>
  <si>
    <t>HARGA</t>
  </si>
  <si>
    <t>AREA MANAGER</t>
  </si>
  <si>
    <t>TOTAL HARGA</t>
  </si>
  <si>
    <t>JMLH</t>
  </si>
  <si>
    <t>PPN (11%)</t>
  </si>
  <si>
    <t>EKO ARDIANSYAH</t>
  </si>
  <si>
    <t>SUPERVISOR</t>
  </si>
  <si>
    <t>PERGANTIAN PRODUK</t>
  </si>
  <si>
    <t xml:space="preserve">PERIODE </t>
  </si>
  <si>
    <t>22-31 JANUARI 2026</t>
  </si>
  <si>
    <t>RC SAMATA</t>
  </si>
  <si>
    <t>BERAS</t>
  </si>
  <si>
    <t>ROTI BURGER</t>
  </si>
  <si>
    <t>TEPUNG CAKRA</t>
  </si>
  <si>
    <t>CHESEMELT</t>
  </si>
  <si>
    <t>PREMIK SAMBAL TERASI</t>
  </si>
  <si>
    <t>BUMBU KRIUK (BIANG BREADER)</t>
  </si>
  <si>
    <t>SALDI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</si>
</sst>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&quot;Rp&quot;* #,##0_-;\-&quot;Rp&quot;* #,##0_-;_-&quot;Rp&quot;* &quot;-&quot;??_-;_-@_-"/>
    <numFmt numFmtId="166" formatCode="_-[$Rp-3809]* #,##0_-;\-[$Rp-3809]* #,##0_-;_-[$Rp-3809]* &quot;-&quot;??_-;_-@_-"/>
    <numFmt numFmtId="167" formatCode="_-* #,##0.0_-;\-* #,##0.0_-;_-* &quot;-&quot;_-;_-@_-"/>
    <numFmt numFmtId="168" formatCode="[$-409]d\-mmm\-yy;@"/>
  </numFmts>
  <fonts count="7" x14ac:knownFonts="1">
    <font>
      <sz val="11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5911"/>
        <bgColor rgb="FF000000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164" fontId="4" fillId="0" borderId="0">
      <protection locked="0"/>
    </xf>
    <xf numFmtId="9" fontId="6" fillId="0" borderId="0" applyFont="0" applyFill="0" applyBorder="0" applyAlignment="0" applyProtection="0"/>
  </cellStyleXfs>
  <cellXfs count="4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9" fontId="3" fillId="0" borderId="1" xfId="0" applyNumberFormat="1" applyFont="1" applyBorder="1">
      <alignment vertical="center"/>
    </xf>
    <xf numFmtId="166" fontId="3" fillId="0" borderId="1" xfId="1" applyNumberFormat="1" applyFont="1" applyBorder="1" applyAlignment="1" applyProtection="1">
      <alignment vertical="center"/>
    </xf>
    <xf numFmtId="14" fontId="3" fillId="0" borderId="1" xfId="0" applyNumberFormat="1" applyFont="1" applyBorder="1">
      <alignment vertical="center"/>
    </xf>
    <xf numFmtId="9" fontId="3" fillId="0" borderId="1" xfId="0" quotePrefix="1" applyNumberFormat="1" applyFont="1" applyBorder="1">
      <alignment vertical="center"/>
    </xf>
    <xf numFmtId="167" fontId="3" fillId="0" borderId="1" xfId="1" applyNumberFormat="1" applyFont="1" applyBorder="1" applyAlignment="1" applyProtection="1">
      <alignment vertical="center"/>
    </xf>
    <xf numFmtId="0" fontId="3" fillId="0" borderId="5" xfId="0" applyFont="1" applyBorder="1">
      <alignment vertical="center"/>
    </xf>
    <xf numFmtId="165" fontId="3" fillId="0" borderId="6" xfId="0" applyNumberFormat="1" applyFont="1" applyBorder="1">
      <alignment vertical="center"/>
    </xf>
    <xf numFmtId="0" fontId="3" fillId="0" borderId="7" xfId="0" applyFont="1" applyBorder="1">
      <alignment vertical="center"/>
    </xf>
    <xf numFmtId="0" fontId="3" fillId="0" borderId="11" xfId="0" applyFont="1" applyBorder="1">
      <alignment vertical="center"/>
    </xf>
    <xf numFmtId="165" fontId="3" fillId="3" borderId="12" xfId="0" applyNumberFormat="1" applyFont="1" applyFill="1" applyBorder="1">
      <alignment vertical="center"/>
    </xf>
    <xf numFmtId="0" fontId="3" fillId="0" borderId="13" xfId="0" applyFont="1" applyBorder="1">
      <alignment vertical="center"/>
    </xf>
    <xf numFmtId="14" fontId="3" fillId="0" borderId="14" xfId="0" applyNumberFormat="1" applyFont="1" applyBorder="1">
      <alignment vertical="center"/>
    </xf>
    <xf numFmtId="0" fontId="3" fillId="0" borderId="14" xfId="0" applyFont="1" applyBorder="1">
      <alignment vertical="center"/>
    </xf>
    <xf numFmtId="166" fontId="3" fillId="0" borderId="14" xfId="1" applyNumberFormat="1" applyFont="1" applyBorder="1" applyAlignment="1" applyProtection="1">
      <alignment vertical="center"/>
    </xf>
    <xf numFmtId="167" fontId="3" fillId="0" borderId="14" xfId="1" applyNumberFormat="1" applyFont="1" applyBorder="1" applyAlignment="1" applyProtection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2" borderId="17" xfId="0" applyFont="1" applyFill="1" applyBorder="1">
      <alignment vertical="center"/>
    </xf>
    <xf numFmtId="9" fontId="3" fillId="0" borderId="14" xfId="2" applyFont="1" applyBorder="1" applyAlignment="1">
      <alignment vertical="center"/>
    </xf>
    <xf numFmtId="168" fontId="3" fillId="0" borderId="1" xfId="0" applyNumberFormat="1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5" fontId="3" fillId="0" borderId="1" xfId="0" quotePrefix="1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121920</xdr:rowOff>
    </xdr:to>
    <xdr:sp macro="" textlink="">
      <xdr:nvSpPr>
        <xdr:cNvPr id="1031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1280160" y="981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30</xdr:row>
      <xdr:rowOff>0</xdr:rowOff>
    </xdr:from>
    <xdr:ext cx="304800" cy="312420"/>
    <xdr:sp macro="" textlink="">
      <xdr:nvSpPr>
        <xdr:cNvPr id="13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247775" y="5715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10</xdr:col>
      <xdr:colOff>0</xdr:colOff>
      <xdr:row>30</xdr:row>
      <xdr:rowOff>0</xdr:rowOff>
    </xdr:from>
    <xdr:to>
      <xdr:col>10</xdr:col>
      <xdr:colOff>304800</xdr:colOff>
      <xdr:row>31</xdr:row>
      <xdr:rowOff>121920</xdr:rowOff>
    </xdr:to>
    <xdr:sp macro="" textlink="">
      <xdr:nvSpPr>
        <xdr:cNvPr id="27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1247775" y="37623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</xdr:col>
      <xdr:colOff>0</xdr:colOff>
      <xdr:row>30</xdr:row>
      <xdr:rowOff>0</xdr:rowOff>
    </xdr:from>
    <xdr:ext cx="304800" cy="312420"/>
    <xdr:sp macro="" textlink="">
      <xdr:nvSpPr>
        <xdr:cNvPr id="31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247775" y="122586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2420"/>
    <xdr:sp macro="" textlink="">
      <xdr:nvSpPr>
        <xdr:cNvPr id="19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8515350" y="149352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</xdr:col>
      <xdr:colOff>146588</xdr:colOff>
      <xdr:row>2</xdr:row>
      <xdr:rowOff>0</xdr:rowOff>
    </xdr:from>
    <xdr:to>
      <xdr:col>1</xdr:col>
      <xdr:colOff>632834</xdr:colOff>
      <xdr:row>4</xdr:row>
      <xdr:rowOff>0</xdr:rowOff>
    </xdr:to>
    <xdr:pic>
      <xdr:nvPicPr>
        <xdr:cNvPr id="20" name="rect" descr="xl/media/image0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280813" y="14935200"/>
          <a:ext cx="486246" cy="381000"/>
        </a:xfrm>
        <a:prstGeom prst="rect">
          <a:avLst/>
        </a:prstGeom>
        <a:noFill/>
        <a:ln w="0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146588</xdr:colOff>
      <xdr:row>2</xdr:row>
      <xdr:rowOff>0</xdr:rowOff>
    </xdr:from>
    <xdr:to>
      <xdr:col>1</xdr:col>
      <xdr:colOff>632834</xdr:colOff>
      <xdr:row>4</xdr:row>
      <xdr:rowOff>0</xdr:rowOff>
    </xdr:to>
    <xdr:pic>
      <xdr:nvPicPr>
        <xdr:cNvPr id="35" name="rect" descr="xl/media/image0.jpe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280813" y="14935200"/>
          <a:ext cx="486246" cy="381000"/>
        </a:xfrm>
        <a:prstGeom prst="rect">
          <a:avLst/>
        </a:prstGeom>
        <a:noFill/>
        <a:ln w="0" cap="flat" cmpd="sng">
          <a:noFill/>
          <a:prstDash val="solid"/>
          <a:miter/>
        </a:ln>
        <a:effectLst/>
      </xdr:spPr>
    </xdr:pic>
    <xdr:clientData/>
  </xdr:twoCellAnchor>
  <xdr:oneCellAnchor>
    <xdr:from>
      <xdr:col>1</xdr:col>
      <xdr:colOff>0</xdr:colOff>
      <xdr:row>32</xdr:row>
      <xdr:rowOff>0</xdr:rowOff>
    </xdr:from>
    <xdr:ext cx="304800" cy="312420"/>
    <xdr:sp macro="" textlink="">
      <xdr:nvSpPr>
        <xdr:cNvPr id="2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714375" y="5715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304800" cy="312420"/>
    <xdr:sp macro="" textlink="">
      <xdr:nvSpPr>
        <xdr:cNvPr id="3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714375" y="5715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</xdr:row>
      <xdr:rowOff>0</xdr:rowOff>
    </xdr:from>
    <xdr:ext cx="304800" cy="312420"/>
    <xdr:sp macro="" textlink="">
      <xdr:nvSpPr>
        <xdr:cNvPr id="4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381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304800" cy="312420"/>
    <xdr:sp macro="" textlink="">
      <xdr:nvSpPr>
        <xdr:cNvPr id="9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714375" y="6477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304800" cy="312420"/>
    <xdr:sp macro="" textlink="">
      <xdr:nvSpPr>
        <xdr:cNvPr id="10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714375" y="116205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</xdr:row>
      <xdr:rowOff>0</xdr:rowOff>
    </xdr:from>
    <xdr:ext cx="304800" cy="312420"/>
    <xdr:sp macro="" textlink="">
      <xdr:nvSpPr>
        <xdr:cNvPr id="11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62865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304800" cy="312420"/>
    <xdr:sp macro="" textlink="">
      <xdr:nvSpPr>
        <xdr:cNvPr id="17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714375" y="123825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</xdr:row>
      <xdr:rowOff>0</xdr:rowOff>
    </xdr:from>
    <xdr:ext cx="304800" cy="312420"/>
    <xdr:sp macro="" textlink="">
      <xdr:nvSpPr>
        <xdr:cNvPr id="18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2192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89889</xdr:colOff>
      <xdr:row>26</xdr:row>
      <xdr:rowOff>0</xdr:rowOff>
    </xdr:from>
    <xdr:to>
      <xdr:col>1</xdr:col>
      <xdr:colOff>730250</xdr:colOff>
      <xdr:row>28</xdr:row>
      <xdr:rowOff>171353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B2B608D-E456-475B-B35F-E9505E5EB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0722" y="3952875"/>
          <a:ext cx="640361" cy="541770"/>
        </a:xfrm>
        <a:prstGeom prst="rect">
          <a:avLst/>
        </a:prstGeom>
      </xdr:spPr>
    </xdr:pic>
    <xdr:clientData/>
  </xdr:twoCellAnchor>
  <xdr:twoCellAnchor editAs="oneCell">
    <xdr:from>
      <xdr:col>7</xdr:col>
      <xdr:colOff>116417</xdr:colOff>
      <xdr:row>26</xdr:row>
      <xdr:rowOff>37042</xdr:rowOff>
    </xdr:from>
    <xdr:to>
      <xdr:col>7</xdr:col>
      <xdr:colOff>374015</xdr:colOff>
      <xdr:row>28</xdr:row>
      <xdr:rowOff>132292</xdr:rowOff>
    </xdr:to>
    <xdr:pic>
      <xdr:nvPicPr>
        <xdr:cNvPr id="21" name="Image1">
          <a:extLst>
            <a:ext uri="{FF2B5EF4-FFF2-40B4-BE49-F238E27FC236}">
              <a16:creationId xmlns:a16="http://schemas.microsoft.com/office/drawing/2014/main" id="{25461159-ED65-4736-B211-88A9BE825306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/>
      </xdr:blipFill>
      <xdr:spPr>
        <a:xfrm>
          <a:off x="4508500" y="3989917"/>
          <a:ext cx="257598" cy="465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0"/>
  <sheetViews>
    <sheetView tabSelected="1" topLeftCell="A11" zoomScale="120" zoomScaleNormal="120" workbookViewId="0">
      <selection activeCell="H27" sqref="H27"/>
    </sheetView>
  </sheetViews>
  <sheetFormatPr defaultColWidth="9" defaultRowHeight="14.5" x14ac:dyDescent="0.35"/>
  <cols>
    <col min="1" max="1" width="10.6328125" customWidth="1"/>
    <col min="2" max="2" width="12.36328125" customWidth="1"/>
    <col min="3" max="3" width="8.90625" customWidth="1"/>
    <col min="4" max="4" width="7.6328125" customWidth="1"/>
    <col min="5" max="5" width="9.81640625" customWidth="1"/>
    <col min="6" max="6" width="7.6328125" customWidth="1"/>
    <col min="7" max="7" width="5.81640625" customWidth="1"/>
    <col min="8" max="8" width="12.6328125" customWidth="1"/>
    <col min="9" max="9" width="12.90625" bestFit="1" customWidth="1"/>
  </cols>
  <sheetData>
    <row r="1" spans="1:11" x14ac:dyDescent="0.35">
      <c r="A1" s="3"/>
      <c r="B1" s="3"/>
      <c r="C1" s="3"/>
      <c r="D1" s="3"/>
      <c r="E1" s="3"/>
      <c r="F1" s="3"/>
      <c r="G1" s="3"/>
      <c r="H1" s="3"/>
    </row>
    <row r="2" spans="1:11" ht="15" thickBot="1" x14ac:dyDescent="0.4">
      <c r="A2" s="26"/>
      <c r="B2" s="26"/>
      <c r="C2" s="26"/>
      <c r="D2" s="26"/>
      <c r="E2" s="26"/>
      <c r="F2" s="26"/>
      <c r="G2" s="26"/>
      <c r="H2" s="26"/>
      <c r="I2" s="26"/>
    </row>
    <row r="3" spans="1:11" x14ac:dyDescent="0.35">
      <c r="B3" s="27"/>
      <c r="C3" s="29" t="s">
        <v>10</v>
      </c>
      <c r="D3" s="29"/>
      <c r="E3" s="29"/>
      <c r="F3" s="29"/>
      <c r="G3" s="29"/>
      <c r="H3" s="30"/>
      <c r="I3" s="1"/>
    </row>
    <row r="4" spans="1:11" x14ac:dyDescent="0.35">
      <c r="B4" s="28"/>
      <c r="C4" s="31"/>
      <c r="D4" s="31"/>
      <c r="E4" s="31"/>
      <c r="F4" s="31"/>
      <c r="G4" s="31"/>
      <c r="H4" s="32"/>
      <c r="I4" s="1"/>
      <c r="K4" s="1"/>
    </row>
    <row r="5" spans="1:11" x14ac:dyDescent="0.35">
      <c r="B5" s="28" t="s">
        <v>13</v>
      </c>
      <c r="C5" s="31"/>
      <c r="D5" s="31"/>
      <c r="E5" s="31"/>
      <c r="F5" s="31"/>
      <c r="G5" s="31"/>
      <c r="H5" s="32"/>
      <c r="I5" s="1"/>
      <c r="K5" s="1"/>
    </row>
    <row r="6" spans="1:11" x14ac:dyDescent="0.35">
      <c r="B6" s="11"/>
      <c r="C6" s="33"/>
      <c r="D6" s="34"/>
      <c r="E6" s="34"/>
      <c r="F6" s="34"/>
      <c r="G6" s="34"/>
      <c r="H6" s="35"/>
      <c r="I6" s="1"/>
      <c r="K6" s="1"/>
    </row>
    <row r="7" spans="1:11" x14ac:dyDescent="0.35">
      <c r="B7" s="11" t="s">
        <v>11</v>
      </c>
      <c r="C7" s="34" t="s">
        <v>12</v>
      </c>
      <c r="D7" s="34"/>
      <c r="E7" s="34"/>
      <c r="F7" s="34"/>
      <c r="G7" s="34"/>
      <c r="H7" s="35"/>
      <c r="I7" s="1"/>
      <c r="K7" s="1"/>
    </row>
    <row r="8" spans="1:11" x14ac:dyDescent="0.35">
      <c r="B8" s="11"/>
      <c r="C8" s="34"/>
      <c r="D8" s="34"/>
      <c r="E8" s="34"/>
      <c r="F8" s="34"/>
      <c r="G8" s="34"/>
      <c r="H8" s="35"/>
      <c r="I8" s="1"/>
      <c r="K8" s="1"/>
    </row>
    <row r="9" spans="1:11" ht="15" thickBot="1" x14ac:dyDescent="0.4">
      <c r="B9" s="13"/>
      <c r="C9" s="36"/>
      <c r="D9" s="37"/>
      <c r="E9" s="37"/>
      <c r="F9" s="37"/>
      <c r="G9" s="37"/>
      <c r="H9" s="38"/>
      <c r="I9" s="1"/>
      <c r="K9" s="1"/>
    </row>
    <row r="10" spans="1:11" ht="15" customHeight="1" thickBot="1" x14ac:dyDescent="0.4">
      <c r="B10" s="21" t="s">
        <v>0</v>
      </c>
      <c r="C10" s="22" t="s">
        <v>1</v>
      </c>
      <c r="D10" s="22" t="s">
        <v>2</v>
      </c>
      <c r="E10" s="22" t="s">
        <v>3</v>
      </c>
      <c r="F10" s="22" t="s">
        <v>6</v>
      </c>
      <c r="G10" s="22" t="s">
        <v>7</v>
      </c>
      <c r="H10" s="23" t="s">
        <v>5</v>
      </c>
      <c r="I10" s="1"/>
      <c r="K10" s="1"/>
    </row>
    <row r="11" spans="1:11" x14ac:dyDescent="0.35">
      <c r="B11" s="16" t="s">
        <v>14</v>
      </c>
      <c r="C11" s="17"/>
      <c r="D11" s="18"/>
      <c r="E11" s="19">
        <v>15000</v>
      </c>
      <c r="F11" s="20">
        <v>1.5</v>
      </c>
      <c r="G11" s="24"/>
      <c r="H11" s="12">
        <f t="shared" ref="H11:H22" si="0">E11*F11</f>
        <v>22500</v>
      </c>
      <c r="I11" s="1"/>
      <c r="K11" s="1"/>
    </row>
    <row r="12" spans="1:11" ht="18" customHeight="1" x14ac:dyDescent="0.35">
      <c r="B12" s="11" t="s">
        <v>15</v>
      </c>
      <c r="C12" s="8"/>
      <c r="D12" s="2"/>
      <c r="E12" s="7">
        <v>2907.0833333333298</v>
      </c>
      <c r="F12" s="10">
        <v>1</v>
      </c>
      <c r="G12" s="24"/>
      <c r="H12" s="12">
        <f t="shared" si="0"/>
        <v>2907.0833333333298</v>
      </c>
      <c r="I12" s="1"/>
      <c r="K12" s="1"/>
    </row>
    <row r="13" spans="1:11" x14ac:dyDescent="0.35">
      <c r="B13" s="11" t="s">
        <v>16</v>
      </c>
      <c r="C13" s="8"/>
      <c r="D13" s="2"/>
      <c r="E13" s="7">
        <v>9363</v>
      </c>
      <c r="F13" s="10">
        <v>4.5</v>
      </c>
      <c r="G13" s="6"/>
      <c r="H13" s="12">
        <f t="shared" si="0"/>
        <v>42133.5</v>
      </c>
      <c r="I13" s="1"/>
      <c r="K13" s="1"/>
    </row>
    <row r="14" spans="1:11" x14ac:dyDescent="0.35">
      <c r="B14" s="11" t="s">
        <v>17</v>
      </c>
      <c r="C14" s="8"/>
      <c r="D14" s="2"/>
      <c r="E14" s="7">
        <v>12937</v>
      </c>
      <c r="F14" s="10">
        <v>3.4</v>
      </c>
      <c r="G14" s="6"/>
      <c r="H14" s="12">
        <f t="shared" si="0"/>
        <v>43985.799999999996</v>
      </c>
      <c r="I14" s="1"/>
      <c r="K14" s="1"/>
    </row>
    <row r="15" spans="1:11" x14ac:dyDescent="0.35">
      <c r="B15" s="11" t="s">
        <v>18</v>
      </c>
      <c r="C15" s="25"/>
      <c r="D15" s="2"/>
      <c r="E15" s="7">
        <v>26488</v>
      </c>
      <c r="F15" s="10">
        <v>0.6</v>
      </c>
      <c r="G15" s="6"/>
      <c r="H15" s="12">
        <f t="shared" si="0"/>
        <v>15892.8</v>
      </c>
      <c r="I15" s="1"/>
      <c r="K15" s="1"/>
    </row>
    <row r="16" spans="1:11" x14ac:dyDescent="0.35">
      <c r="B16" s="11" t="s">
        <v>19</v>
      </c>
      <c r="C16" s="25"/>
      <c r="D16" s="2"/>
      <c r="E16" s="7">
        <v>4189</v>
      </c>
      <c r="F16" s="10">
        <v>0.9</v>
      </c>
      <c r="G16" s="6"/>
      <c r="H16" s="12">
        <f t="shared" si="0"/>
        <v>3770.1</v>
      </c>
      <c r="I16" s="1"/>
      <c r="K16" s="1"/>
    </row>
    <row r="17" spans="2:11" x14ac:dyDescent="0.35">
      <c r="B17" s="11"/>
      <c r="C17" s="8"/>
      <c r="D17" s="2"/>
      <c r="E17" s="7"/>
      <c r="F17" s="10"/>
      <c r="G17" s="6"/>
      <c r="H17" s="12">
        <f t="shared" si="0"/>
        <v>0</v>
      </c>
      <c r="I17" s="1"/>
      <c r="K17" s="1"/>
    </row>
    <row r="18" spans="2:11" hidden="1" x14ac:dyDescent="0.35">
      <c r="B18" s="11"/>
      <c r="C18" s="8"/>
      <c r="D18" s="2"/>
      <c r="E18" s="7"/>
      <c r="F18" s="10"/>
      <c r="G18" s="6"/>
      <c r="H18" s="12">
        <f t="shared" si="0"/>
        <v>0</v>
      </c>
      <c r="I18" s="1"/>
      <c r="K18" s="1"/>
    </row>
    <row r="19" spans="2:11" hidden="1" x14ac:dyDescent="0.35">
      <c r="B19" s="11"/>
      <c r="C19" s="8"/>
      <c r="D19" s="2"/>
      <c r="E19" s="7"/>
      <c r="F19" s="10"/>
      <c r="G19" s="6"/>
      <c r="H19" s="12">
        <f t="shared" si="0"/>
        <v>0</v>
      </c>
      <c r="I19" s="1"/>
      <c r="K19" s="1"/>
    </row>
    <row r="20" spans="2:11" hidden="1" x14ac:dyDescent="0.35">
      <c r="B20" s="11"/>
      <c r="C20" s="8"/>
      <c r="D20" s="2"/>
      <c r="E20" s="7"/>
      <c r="F20" s="10"/>
      <c r="G20" s="6"/>
      <c r="H20" s="12">
        <f t="shared" si="0"/>
        <v>0</v>
      </c>
      <c r="I20" s="1"/>
      <c r="K20" s="1"/>
    </row>
    <row r="21" spans="2:11" hidden="1" x14ac:dyDescent="0.35">
      <c r="B21" s="11"/>
      <c r="C21" s="8"/>
      <c r="D21" s="2"/>
      <c r="E21" s="7"/>
      <c r="F21" s="10"/>
      <c r="G21" s="6"/>
      <c r="H21" s="12">
        <f t="shared" si="0"/>
        <v>0</v>
      </c>
      <c r="I21" s="1"/>
      <c r="K21" s="1"/>
    </row>
    <row r="22" spans="2:11" hidden="1" x14ac:dyDescent="0.35">
      <c r="B22" s="11"/>
      <c r="C22" s="8"/>
      <c r="D22" s="2"/>
      <c r="E22" s="7"/>
      <c r="F22" s="10"/>
      <c r="G22" s="6"/>
      <c r="H22" s="12">
        <f t="shared" si="0"/>
        <v>0</v>
      </c>
      <c r="I22" s="1"/>
      <c r="K22" s="1"/>
    </row>
    <row r="23" spans="2:11" x14ac:dyDescent="0.35">
      <c r="B23" s="11"/>
      <c r="C23" s="8"/>
      <c r="D23" s="2"/>
      <c r="E23" s="7"/>
      <c r="F23" s="10"/>
      <c r="G23" s="9"/>
      <c r="H23" s="12">
        <f>(H11+H12)*G23</f>
        <v>0</v>
      </c>
      <c r="I23" s="1"/>
      <c r="K23" s="1"/>
    </row>
    <row r="24" spans="2:11" ht="15" thickBot="1" x14ac:dyDescent="0.4">
      <c r="B24" s="13"/>
      <c r="C24" s="39"/>
      <c r="D24" s="40"/>
      <c r="E24" s="40"/>
      <c r="F24" s="41"/>
      <c r="G24" s="14"/>
      <c r="H24" s="15">
        <f>SUM(H11:H22)+H23</f>
        <v>131189.28333333333</v>
      </c>
      <c r="I24" s="1"/>
      <c r="K24" s="1"/>
    </row>
    <row r="25" spans="2:11" x14ac:dyDescent="0.35">
      <c r="B25" s="1"/>
      <c r="C25" s="1"/>
      <c r="D25" s="1"/>
      <c r="E25" s="1"/>
      <c r="F25" s="1"/>
      <c r="G25" s="1"/>
      <c r="H25" s="1"/>
      <c r="I25" s="1"/>
      <c r="K25" s="1"/>
    </row>
    <row r="26" spans="2:11" x14ac:dyDescent="0.35">
      <c r="B26" s="3" t="s">
        <v>9</v>
      </c>
      <c r="C26" s="3"/>
      <c r="D26" s="26"/>
      <c r="E26" s="26"/>
      <c r="F26" s="26"/>
      <c r="G26" s="26" t="s">
        <v>4</v>
      </c>
      <c r="H26" s="26"/>
      <c r="I26" s="3"/>
      <c r="K26" s="1"/>
    </row>
    <row r="27" spans="2:11" x14ac:dyDescent="0.35">
      <c r="B27" s="5"/>
      <c r="C27" s="3"/>
      <c r="D27" s="3"/>
      <c r="E27" s="3"/>
      <c r="F27" s="3"/>
      <c r="G27" s="3"/>
      <c r="H27" s="3"/>
      <c r="I27" s="3"/>
      <c r="K27" s="1"/>
    </row>
    <row r="28" spans="2:11" x14ac:dyDescent="0.35">
      <c r="B28" s="3"/>
      <c r="C28" s="3"/>
      <c r="D28" s="3"/>
      <c r="E28" s="3"/>
      <c r="F28" s="3"/>
      <c r="G28" s="3"/>
      <c r="H28" s="3"/>
      <c r="I28" s="3"/>
      <c r="K28" s="1"/>
    </row>
    <row r="29" spans="2:11" x14ac:dyDescent="0.35">
      <c r="B29" s="4"/>
      <c r="C29" s="3"/>
      <c r="D29" s="26"/>
      <c r="E29" s="26"/>
      <c r="F29" s="26"/>
      <c r="G29" s="26"/>
      <c r="H29" s="26"/>
      <c r="I29" s="26"/>
      <c r="K29" s="1"/>
    </row>
    <row r="30" spans="2:11" x14ac:dyDescent="0.35">
      <c r="B30" s="4" t="s">
        <v>20</v>
      </c>
      <c r="C30" s="3"/>
      <c r="D30" s="3"/>
      <c r="E30" s="3"/>
      <c r="F30" s="3"/>
      <c r="G30" s="26" t="s">
        <v>8</v>
      </c>
      <c r="H30" s="26"/>
      <c r="I30" s="3"/>
      <c r="K30" s="1"/>
    </row>
  </sheetData>
  <mergeCells count="14">
    <mergeCell ref="A2:I2"/>
    <mergeCell ref="D29:F29"/>
    <mergeCell ref="G29:I29"/>
    <mergeCell ref="G26:H26"/>
    <mergeCell ref="G30:H30"/>
    <mergeCell ref="B3:B4"/>
    <mergeCell ref="C3:H4"/>
    <mergeCell ref="B5:H5"/>
    <mergeCell ref="C6:H6"/>
    <mergeCell ref="C7:H7"/>
    <mergeCell ref="C8:H8"/>
    <mergeCell ref="C9:H9"/>
    <mergeCell ref="C24:F24"/>
    <mergeCell ref="D26:F26"/>
  </mergeCells>
  <pageMargins left="0.7" right="0.7" top="0.75" bottom="0.75" header="0.3" footer="0.3"/>
  <pageSetup paperSize="9" scale="8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2025-03-23T06:57:56Z</cp:lastPrinted>
  <dcterms:created xsi:type="dcterms:W3CDTF">2020-08-21T14:59:00Z</dcterms:created>
  <dcterms:modified xsi:type="dcterms:W3CDTF">2026-02-01T10:11:25Z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1033-11.2.0.9906</vt:lpwstr>
  </property>
</Properties>
</file>