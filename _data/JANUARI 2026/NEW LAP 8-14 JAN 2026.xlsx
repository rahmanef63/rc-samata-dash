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mc:AlternateContent xmlns:mc="http://schemas.openxmlformats.org/markup-compatibility/2006">
    <mc:Choice Requires="x15">
      <x15ac:absPath xmlns:x15ac="http://schemas.microsoft.com/office/spreadsheetml/2010/11/ac" url="C:\Users\LENOVO\Documents\LAPORAN\LAPORAN RC SAMATA 2026\JANUARI 2026\"/>
    </mc:Choice>
  </mc:AlternateContent>
  <xr:revisionPtr revIDLastSave="0" documentId="13_ncr:1_{C1FC9ADF-BF6A-472A-AF7A-92727021611B}" xr6:coauthVersionLast="47" xr6:coauthVersionMax="47" xr10:uidLastSave="{00000000-0000-0000-0000-000000000000}"/>
  <bookViews>
    <workbookView xWindow="-110" yWindow="-110" windowWidth="19420" windowHeight="10300" tabRatio="1000" firstSheet="12" activeTab="13" xr2:uid="{00000000-000D-0000-FFFF-FFFF00000000}"/>
  </bookViews>
  <sheets>
    <sheet name="PETUNJUK PENGERJAAN" sheetId="1" r:id="rId1"/>
    <sheet name="SOP ADMINISTRASI" sheetId="2" r:id="rId2"/>
    <sheet name="WEEKLY FC" sheetId="8" r:id="rId3"/>
    <sheet name="PEMBELIAN KREDIT" sheetId="6" r:id="rId4"/>
    <sheet name="LPKK" sheetId="4" r:id="rId5"/>
    <sheet name="VENDOR" sheetId="5" r:id="rId6"/>
    <sheet name="IKHTISAR FOOD COST" sheetId="9" r:id="rId7"/>
    <sheet name="TO - TI" sheetId="12" r:id="rId8"/>
    <sheet name="HITUNGAN HPP PRODUK" sheetId="10" r:id="rId9"/>
    <sheet name="LEFT OVER" sheetId="11" r:id="rId10"/>
    <sheet name="LAP. CF" sheetId="13" r:id="rId11"/>
    <sheet name="SALES CONTROL" sheetId="3" r:id="rId12"/>
    <sheet name="COST ANALYSIS" sheetId="7" r:id="rId13"/>
    <sheet name="LAPORAN KAS PERIODE" sheetId="14" r:id="rId14"/>
    <sheet name="LAP. PENJUALAN " sheetId="51" r:id="rId15"/>
    <sheet name="LAP. PENJUALAN GRAB FOOD" sheetId="17" r:id="rId16"/>
    <sheet name="LAP. PENJUALAN GO FOOD" sheetId="18" r:id="rId17"/>
    <sheet name="LAP. PENJUALAN SHOPEE FOOD" sheetId="19" r:id="rId18"/>
    <sheet name="LAP TAMBAHAN " sheetId="15" r:id="rId19"/>
    <sheet name="LAP. PENJUALAN PPN 10 %" sheetId="16" r:id="rId20"/>
    <sheet name="kas periode" sheetId="20" state="hidden" r:id="rId21"/>
    <sheet name="FOOD COST ITEM KELAS 2,3A,3B,4" sheetId="21" state="hidden" r:id="rId22"/>
    <sheet name="FC ITEM KELAS 2 " sheetId="22" state="hidden" r:id="rId23"/>
    <sheet name="FC ITEM KELAS 3A" sheetId="23" state="hidden" r:id="rId24"/>
    <sheet name="FC ITEM KELAS 3B" sheetId="24" state="hidden" r:id="rId25"/>
    <sheet name="FC ITEM KELAS 4" sheetId="25" state="hidden" r:id="rId26"/>
    <sheet name="RANDOM COOK" sheetId="26" r:id="rId27"/>
    <sheet name="MCC" sheetId="27" r:id="rId28"/>
    <sheet name="PENANGGALAN " sheetId="28" r:id="rId29"/>
    <sheet name="PHT" sheetId="29" r:id="rId30"/>
    <sheet name="MO" sheetId="30" r:id="rId31"/>
    <sheet name="MO GREEN CRISPY" sheetId="47" r:id="rId32"/>
    <sheet name="LKK" sheetId="31" state="hidden" r:id="rId33"/>
    <sheet name="LKK FULL PAJAK" sheetId="32" r:id="rId34"/>
    <sheet name="LKK FULL PAJAK (2)" sheetId="53" r:id="rId35"/>
    <sheet name="STOCK CONTROL CASHIER" sheetId="33" r:id="rId36"/>
    <sheet name="KOREKSI KASIR" sheetId="34" r:id="rId37"/>
    <sheet name="PLU REGULER" sheetId="48" r:id="rId38"/>
    <sheet name=" PLU PROMO REGION" sheetId="52" r:id="rId39"/>
    <sheet name=" PLU GO FOOD" sheetId="49" r:id="rId40"/>
    <sheet name="PLU GRAB" sheetId="50" r:id="rId41"/>
    <sheet name=" PLU SHOPEE" sheetId="35" r:id="rId42"/>
    <sheet name="LOG BOOK" sheetId="39" r:id="rId43"/>
    <sheet name="MANAGER CEK LIST" sheetId="40" r:id="rId44"/>
    <sheet name="INSENTIF" sheetId="41" r:id="rId45"/>
    <sheet name="MANAGEMENT BOOK" sheetId="42" r:id="rId46"/>
    <sheet name="JADWAL" sheetId="43" r:id="rId47"/>
    <sheet name="Sheet1" sheetId="54" r:id="rId48"/>
    <sheet name="Sheet2" sheetId="55" r:id="rId49"/>
    <sheet name="TO-TI PERKEDEL" sheetId="44" state="hidden" r:id="rId50"/>
    <sheet name="TO CATTERING STAFF" sheetId="45" state="hidden" r:id="rId51"/>
  </sheets>
  <externalReferences>
    <externalReference r:id="rId52"/>
    <externalReference r:id="rId53"/>
    <externalReference r:id="rId54"/>
  </externalReferences>
  <definedNames>
    <definedName name="_xlnm.Print_Area" localSheetId="39">' PLU GO FOOD'!#REF!</definedName>
    <definedName name="_xlnm.Print_Area" localSheetId="38">' PLU PROMO REGION'!#REF!</definedName>
    <definedName name="_xlnm.Print_Area" localSheetId="41">' PLU SHOPEE'!#REF!</definedName>
    <definedName name="_xlnm.Print_Area" localSheetId="6">'IKHTISAR FOOD COST'!$A$2:$E$59</definedName>
    <definedName name="_xlnm.Print_Area" localSheetId="46">JADWAL!$A$1:$AG$35</definedName>
    <definedName name="_xlnm.Print_Area" localSheetId="20">'kas periode'!$A$1:$M$27</definedName>
    <definedName name="_xlnm.Print_Area" localSheetId="36">'KOREKSI KASIR'!$A$1:$D$71</definedName>
    <definedName name="_xlnm.Print_Area" localSheetId="18">'LAP TAMBAHAN '!$A$6:$S$7</definedName>
    <definedName name="_xlnm.Print_Area" localSheetId="10">'LAP. CF'!$B$2:$O$63</definedName>
    <definedName name="_xlnm.Print_Area" localSheetId="14">'LAP. PENJUALAN '!$A$215:$S$281</definedName>
    <definedName name="_xlnm.Print_Area" localSheetId="17">'LAP. PENJUALAN SHOPEE FOOD'!$A$1:$S$178</definedName>
    <definedName name="_xlnm.Print_Area" localSheetId="13">'LAPORAN KAS PERIODE'!$B$1:$M$37</definedName>
    <definedName name="_xlnm.Print_Area" localSheetId="9">'LEFT OVER'!$A$1:$P$46</definedName>
    <definedName name="_xlnm.Print_Area" localSheetId="32">LKK!$A$1:$U$33</definedName>
    <definedName name="_xlnm.Print_Area" localSheetId="4">LPKK!$A$1:$Q$120</definedName>
    <definedName name="_xlnm.Print_Area" localSheetId="43">'MANAGER CEK LIST'!$A$1:$J$75</definedName>
    <definedName name="_xlnm.Print_Area" localSheetId="3">'PEMBELIAN KREDIT'!$A$3:$K$122</definedName>
    <definedName name="_xlnm.Print_Area" localSheetId="40">'PLU GRAB'!#REF!</definedName>
    <definedName name="_xlnm.Print_Area" localSheetId="37">'PLU REGULER'!#REF!</definedName>
    <definedName name="_xlnm.Print_Area" localSheetId="26">'RANDOM COOK'!$A$1:$S$41</definedName>
    <definedName name="_xlnm.Print_Area" localSheetId="11">'SALES CONTROL'!$A$1:$J$54</definedName>
    <definedName name="_xlnm.Print_Area" localSheetId="5">VENDOR!$B$2:$AN$85</definedName>
    <definedName name="_xlnm.Print_Area" localSheetId="2">'WEEKLY FC'!$A$3:$F$406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5" i="43" l="1"/>
  <c r="A14" i="43"/>
  <c r="A13" i="43"/>
  <c r="A12" i="43"/>
  <c r="A11" i="43"/>
  <c r="A10" i="43"/>
  <c r="A9" i="43"/>
  <c r="A8" i="43"/>
  <c r="A7" i="43"/>
  <c r="AG5" i="43"/>
  <c r="AF5" i="43"/>
  <c r="AE5" i="43"/>
  <c r="AD5" i="43"/>
  <c r="AC5" i="43"/>
  <c r="AB5" i="43"/>
  <c r="AA5" i="43"/>
  <c r="Z5" i="43"/>
  <c r="Y5" i="43"/>
  <c r="X5" i="43"/>
  <c r="W5" i="43"/>
  <c r="V5" i="43"/>
  <c r="U5" i="43"/>
  <c r="T5" i="43"/>
  <c r="S5" i="43"/>
  <c r="R5" i="43"/>
  <c r="Q5" i="43"/>
  <c r="P5" i="43"/>
  <c r="O5" i="43"/>
  <c r="N5" i="43"/>
  <c r="M5" i="43"/>
  <c r="L5" i="43"/>
  <c r="E34" i="41"/>
  <c r="D25" i="31"/>
  <c r="D18" i="31"/>
  <c r="K12" i="31"/>
  <c r="D12" i="31"/>
  <c r="D31" i="26"/>
  <c r="G126" i="25"/>
  <c r="G125" i="25"/>
  <c r="G124" i="25"/>
  <c r="G123" i="25"/>
  <c r="C123" i="25"/>
  <c r="G122" i="25"/>
  <c r="C122" i="25"/>
  <c r="G121" i="25"/>
  <c r="C121" i="25"/>
  <c r="G120" i="25"/>
  <c r="C120" i="25"/>
  <c r="G119" i="25"/>
  <c r="C119" i="25"/>
  <c r="G118" i="25"/>
  <c r="C118" i="25"/>
  <c r="G117" i="25"/>
  <c r="C117" i="25"/>
  <c r="G116" i="25"/>
  <c r="C116" i="25"/>
  <c r="G115" i="25"/>
  <c r="C115" i="25"/>
  <c r="G114" i="25"/>
  <c r="C114" i="25"/>
  <c r="G113" i="25"/>
  <c r="C113" i="25"/>
  <c r="G112" i="25"/>
  <c r="C112" i="25"/>
  <c r="G111" i="25"/>
  <c r="C111" i="25"/>
  <c r="G110" i="25"/>
  <c r="C110" i="25"/>
  <c r="G109" i="25"/>
  <c r="C109" i="25"/>
  <c r="G108" i="25"/>
  <c r="C108" i="25"/>
  <c r="G107" i="25"/>
  <c r="C107" i="25"/>
  <c r="G106" i="25"/>
  <c r="C106" i="25"/>
  <c r="G105" i="25"/>
  <c r="C105" i="25"/>
  <c r="G104" i="25"/>
  <c r="C104" i="25"/>
  <c r="G103" i="25"/>
  <c r="C103" i="25"/>
  <c r="G102" i="25"/>
  <c r="C102" i="25"/>
  <c r="G101" i="25"/>
  <c r="C101" i="25"/>
  <c r="G100" i="25"/>
  <c r="C100" i="25"/>
  <c r="G99" i="25"/>
  <c r="C99" i="25"/>
  <c r="G98" i="25"/>
  <c r="C98" i="25"/>
  <c r="G97" i="25"/>
  <c r="C97" i="25"/>
  <c r="G96" i="25"/>
  <c r="C96" i="25"/>
  <c r="G95" i="25"/>
  <c r="C95" i="25"/>
  <c r="G94" i="25"/>
  <c r="G82" i="25"/>
  <c r="C82" i="25"/>
  <c r="G81" i="25"/>
  <c r="C81" i="25"/>
  <c r="G80" i="25"/>
  <c r="C80" i="25"/>
  <c r="G79" i="25"/>
  <c r="C79" i="25"/>
  <c r="G77" i="25"/>
  <c r="C77" i="25"/>
  <c r="G76" i="25"/>
  <c r="C76" i="25"/>
  <c r="G75" i="25"/>
  <c r="C75" i="25"/>
  <c r="G74" i="25"/>
  <c r="C74" i="25"/>
  <c r="G72" i="25"/>
  <c r="C72" i="25"/>
  <c r="G71" i="25"/>
  <c r="C71" i="25"/>
  <c r="G70" i="25"/>
  <c r="C70" i="25"/>
  <c r="G68" i="25"/>
  <c r="C68" i="25"/>
  <c r="G67" i="25"/>
  <c r="C67" i="25"/>
  <c r="G66" i="25"/>
  <c r="C66" i="25"/>
  <c r="G65" i="25"/>
  <c r="C65" i="25"/>
  <c r="G64" i="25"/>
  <c r="C64" i="25"/>
  <c r="G63" i="25"/>
  <c r="C63" i="25"/>
  <c r="G61" i="25"/>
  <c r="C61" i="25"/>
  <c r="G60" i="25"/>
  <c r="C60" i="25"/>
  <c r="G59" i="25"/>
  <c r="C59" i="25"/>
  <c r="G57" i="25"/>
  <c r="C57" i="25"/>
  <c r="G56" i="25"/>
  <c r="C56" i="25"/>
  <c r="G55" i="25"/>
  <c r="C55" i="25"/>
  <c r="G53" i="25"/>
  <c r="C53" i="25"/>
  <c r="G52" i="25"/>
  <c r="C52" i="25"/>
  <c r="G51" i="25"/>
  <c r="C51" i="25"/>
  <c r="G49" i="25"/>
  <c r="C49" i="25"/>
  <c r="G48" i="25"/>
  <c r="C48" i="25"/>
  <c r="G47" i="25"/>
  <c r="C47" i="25"/>
  <c r="G46" i="25"/>
  <c r="C46" i="25"/>
  <c r="G44" i="25"/>
  <c r="C44" i="25"/>
  <c r="G43" i="25"/>
  <c r="C43" i="25"/>
  <c r="G42" i="25"/>
  <c r="C42" i="25"/>
  <c r="G40" i="25"/>
  <c r="C40" i="25"/>
  <c r="G39" i="25"/>
  <c r="C39" i="25"/>
  <c r="G38" i="25"/>
  <c r="C38" i="25"/>
  <c r="G37" i="25"/>
  <c r="C37" i="25"/>
  <c r="G36" i="25"/>
  <c r="C36" i="25"/>
  <c r="G34" i="25"/>
  <c r="C34" i="25"/>
  <c r="G33" i="25"/>
  <c r="C33" i="25"/>
  <c r="G32" i="25"/>
  <c r="C32" i="25"/>
  <c r="G31" i="25"/>
  <c r="C31" i="25"/>
  <c r="G30" i="25"/>
  <c r="C30" i="25"/>
  <c r="G29" i="25"/>
  <c r="C29" i="25"/>
  <c r="G28" i="25"/>
  <c r="C28" i="25"/>
  <c r="G27" i="25"/>
  <c r="C27" i="25"/>
  <c r="G26" i="25"/>
  <c r="F26" i="25"/>
  <c r="C26" i="25"/>
  <c r="G25" i="25"/>
  <c r="F25" i="25"/>
  <c r="C25" i="25"/>
  <c r="G24" i="25"/>
  <c r="G23" i="25"/>
  <c r="C23" i="25"/>
  <c r="G22" i="25"/>
  <c r="G21" i="25"/>
  <c r="C21" i="25"/>
  <c r="G20" i="25"/>
  <c r="C20" i="25"/>
  <c r="G18" i="25"/>
  <c r="C18" i="25"/>
  <c r="G17" i="25"/>
  <c r="C17" i="25"/>
  <c r="G16" i="25"/>
  <c r="C16" i="25"/>
  <c r="G15" i="25"/>
  <c r="C15" i="25"/>
  <c r="G14" i="25"/>
  <c r="C14" i="25"/>
  <c r="G12" i="25"/>
  <c r="C12" i="25"/>
  <c r="G11" i="25"/>
  <c r="C11" i="25"/>
  <c r="G10" i="25"/>
  <c r="C10" i="25"/>
  <c r="G9" i="25"/>
  <c r="C9" i="25"/>
  <c r="G8" i="25"/>
  <c r="F8" i="25"/>
  <c r="C8" i="25"/>
  <c r="G7" i="25"/>
  <c r="F7" i="25"/>
  <c r="C7" i="25"/>
  <c r="C6" i="25"/>
  <c r="G127" i="24"/>
  <c r="G126" i="24"/>
  <c r="G125" i="24"/>
  <c r="G124" i="24"/>
  <c r="C124" i="24"/>
  <c r="G123" i="24"/>
  <c r="C123" i="24"/>
  <c r="G122" i="24"/>
  <c r="C122" i="24"/>
  <c r="G121" i="24"/>
  <c r="C121" i="24"/>
  <c r="G120" i="24"/>
  <c r="C120" i="24"/>
  <c r="G119" i="24"/>
  <c r="C119" i="24"/>
  <c r="G118" i="24"/>
  <c r="C118" i="24"/>
  <c r="G117" i="24"/>
  <c r="C117" i="24"/>
  <c r="G116" i="24"/>
  <c r="C116" i="24"/>
  <c r="G115" i="24"/>
  <c r="C115" i="24"/>
  <c r="G114" i="24"/>
  <c r="C114" i="24"/>
  <c r="G113" i="24"/>
  <c r="C113" i="24"/>
  <c r="G112" i="24"/>
  <c r="C112" i="24"/>
  <c r="G111" i="24"/>
  <c r="C111" i="24"/>
  <c r="G110" i="24"/>
  <c r="C110" i="24"/>
  <c r="G109" i="24"/>
  <c r="C109" i="24"/>
  <c r="G108" i="24"/>
  <c r="C108" i="24"/>
  <c r="G107" i="24"/>
  <c r="C107" i="24"/>
  <c r="G106" i="24"/>
  <c r="C106" i="24"/>
  <c r="G105" i="24"/>
  <c r="C105" i="24"/>
  <c r="G104" i="24"/>
  <c r="C104" i="24"/>
  <c r="G103" i="24"/>
  <c r="C103" i="24"/>
  <c r="G102" i="24"/>
  <c r="C102" i="24"/>
  <c r="G101" i="24"/>
  <c r="C101" i="24"/>
  <c r="G100" i="24"/>
  <c r="C100" i="24"/>
  <c r="G99" i="24"/>
  <c r="C99" i="24"/>
  <c r="G98" i="24"/>
  <c r="C98" i="24"/>
  <c r="G97" i="24"/>
  <c r="C97" i="24"/>
  <c r="G96" i="24"/>
  <c r="C96" i="24"/>
  <c r="G82" i="24"/>
  <c r="C82" i="24"/>
  <c r="G81" i="24"/>
  <c r="C81" i="24"/>
  <c r="G80" i="24"/>
  <c r="C80" i="24"/>
  <c r="G79" i="24"/>
  <c r="C79" i="24"/>
  <c r="G77" i="24"/>
  <c r="C77" i="24"/>
  <c r="G76" i="24"/>
  <c r="C76" i="24"/>
  <c r="G75" i="24"/>
  <c r="C75" i="24"/>
  <c r="G74" i="24"/>
  <c r="C74" i="24"/>
  <c r="G72" i="24"/>
  <c r="C72" i="24"/>
  <c r="G71" i="24"/>
  <c r="C71" i="24"/>
  <c r="G70" i="24"/>
  <c r="C70" i="24"/>
  <c r="G68" i="24"/>
  <c r="C68" i="24"/>
  <c r="G67" i="24"/>
  <c r="C67" i="24"/>
  <c r="G66" i="24"/>
  <c r="C66" i="24"/>
  <c r="G65" i="24"/>
  <c r="C65" i="24"/>
  <c r="G64" i="24"/>
  <c r="C64" i="24"/>
  <c r="G63" i="24"/>
  <c r="C63" i="24"/>
  <c r="G61" i="24"/>
  <c r="C61" i="24"/>
  <c r="G60" i="24"/>
  <c r="C60" i="24"/>
  <c r="G59" i="24"/>
  <c r="C59" i="24"/>
  <c r="G57" i="24"/>
  <c r="C57" i="24"/>
  <c r="G56" i="24"/>
  <c r="C56" i="24"/>
  <c r="G55" i="24"/>
  <c r="C55" i="24"/>
  <c r="G53" i="24"/>
  <c r="C53" i="24"/>
  <c r="G52" i="24"/>
  <c r="C52" i="24"/>
  <c r="G51" i="24"/>
  <c r="C51" i="24"/>
  <c r="G49" i="24"/>
  <c r="C49" i="24"/>
  <c r="G48" i="24"/>
  <c r="C48" i="24"/>
  <c r="G47" i="24"/>
  <c r="C47" i="24"/>
  <c r="G46" i="24"/>
  <c r="C46" i="24"/>
  <c r="G44" i="24"/>
  <c r="C44" i="24"/>
  <c r="G43" i="24"/>
  <c r="C43" i="24"/>
  <c r="G42" i="24"/>
  <c r="C42" i="24"/>
  <c r="G40" i="24"/>
  <c r="C40" i="24"/>
  <c r="G39" i="24"/>
  <c r="C39" i="24"/>
  <c r="G38" i="24"/>
  <c r="C38" i="24"/>
  <c r="G37" i="24"/>
  <c r="C37" i="24"/>
  <c r="G36" i="24"/>
  <c r="C36" i="24"/>
  <c r="G34" i="24"/>
  <c r="C34" i="24"/>
  <c r="G33" i="24"/>
  <c r="C33" i="24"/>
  <c r="G32" i="24"/>
  <c r="C32" i="24"/>
  <c r="G31" i="24"/>
  <c r="C31" i="24"/>
  <c r="G30" i="24"/>
  <c r="C30" i="24"/>
  <c r="G29" i="24"/>
  <c r="C29" i="24"/>
  <c r="G28" i="24"/>
  <c r="C28" i="24"/>
  <c r="G27" i="24"/>
  <c r="C27" i="24"/>
  <c r="G26" i="24"/>
  <c r="F26" i="24"/>
  <c r="C26" i="24"/>
  <c r="G25" i="24"/>
  <c r="F25" i="24"/>
  <c r="C25" i="24"/>
  <c r="G24" i="24"/>
  <c r="G23" i="24"/>
  <c r="C23" i="24"/>
  <c r="G22" i="24"/>
  <c r="G21" i="24"/>
  <c r="C21" i="24"/>
  <c r="G20" i="24"/>
  <c r="C20" i="24"/>
  <c r="G18" i="24"/>
  <c r="C18" i="24"/>
  <c r="G17" i="24"/>
  <c r="C17" i="24"/>
  <c r="G16" i="24"/>
  <c r="C16" i="24"/>
  <c r="G15" i="24"/>
  <c r="C15" i="24"/>
  <c r="G14" i="24"/>
  <c r="C14" i="24"/>
  <c r="G12" i="24"/>
  <c r="C12" i="24"/>
  <c r="G11" i="24"/>
  <c r="C11" i="24"/>
  <c r="G10" i="24"/>
  <c r="C10" i="24"/>
  <c r="G9" i="24"/>
  <c r="C9" i="24"/>
  <c r="G8" i="24"/>
  <c r="F8" i="24"/>
  <c r="C8" i="24"/>
  <c r="G7" i="24"/>
  <c r="F7" i="24"/>
  <c r="C7" i="24"/>
  <c r="C6" i="24"/>
  <c r="G127" i="23"/>
  <c r="G126" i="23"/>
  <c r="G125" i="23"/>
  <c r="G124" i="23"/>
  <c r="C124" i="23"/>
  <c r="G123" i="23"/>
  <c r="C123" i="23"/>
  <c r="G122" i="23"/>
  <c r="C122" i="23"/>
  <c r="G121" i="23"/>
  <c r="C121" i="23"/>
  <c r="G120" i="23"/>
  <c r="C120" i="23"/>
  <c r="G119" i="23"/>
  <c r="C119" i="23"/>
  <c r="G118" i="23"/>
  <c r="C118" i="23"/>
  <c r="G117" i="23"/>
  <c r="C117" i="23"/>
  <c r="G116" i="23"/>
  <c r="C116" i="23"/>
  <c r="G115" i="23"/>
  <c r="C115" i="23"/>
  <c r="G114" i="23"/>
  <c r="C114" i="23"/>
  <c r="G113" i="23"/>
  <c r="C113" i="23"/>
  <c r="G112" i="23"/>
  <c r="C112" i="23"/>
  <c r="G111" i="23"/>
  <c r="C111" i="23"/>
  <c r="G110" i="23"/>
  <c r="C110" i="23"/>
  <c r="G109" i="23"/>
  <c r="C109" i="23"/>
  <c r="G108" i="23"/>
  <c r="C108" i="23"/>
  <c r="G107" i="23"/>
  <c r="C107" i="23"/>
  <c r="G106" i="23"/>
  <c r="C106" i="23"/>
  <c r="G105" i="23"/>
  <c r="C105" i="23"/>
  <c r="G104" i="23"/>
  <c r="C104" i="23"/>
  <c r="G103" i="23"/>
  <c r="C103" i="23"/>
  <c r="G102" i="23"/>
  <c r="C102" i="23"/>
  <c r="G101" i="23"/>
  <c r="C101" i="23"/>
  <c r="G100" i="23"/>
  <c r="C100" i="23"/>
  <c r="G99" i="23"/>
  <c r="C99" i="23"/>
  <c r="G98" i="23"/>
  <c r="C98" i="23"/>
  <c r="G97" i="23"/>
  <c r="C97" i="23"/>
  <c r="G96" i="23"/>
  <c r="C96" i="23"/>
  <c r="G95" i="23"/>
  <c r="G82" i="23"/>
  <c r="C82" i="23"/>
  <c r="G81" i="23"/>
  <c r="C81" i="23"/>
  <c r="G80" i="23"/>
  <c r="C80" i="23"/>
  <c r="G79" i="23"/>
  <c r="C79" i="23"/>
  <c r="G77" i="23"/>
  <c r="C77" i="23"/>
  <c r="G76" i="23"/>
  <c r="C76" i="23"/>
  <c r="G75" i="23"/>
  <c r="C75" i="23"/>
  <c r="G74" i="23"/>
  <c r="C74" i="23"/>
  <c r="G72" i="23"/>
  <c r="C72" i="23"/>
  <c r="G71" i="23"/>
  <c r="C71" i="23"/>
  <c r="G70" i="23"/>
  <c r="C70" i="23"/>
  <c r="G68" i="23"/>
  <c r="C68" i="23"/>
  <c r="G67" i="23"/>
  <c r="C67" i="23"/>
  <c r="G66" i="23"/>
  <c r="C66" i="23"/>
  <c r="G65" i="23"/>
  <c r="C65" i="23"/>
  <c r="G64" i="23"/>
  <c r="C64" i="23"/>
  <c r="G63" i="23"/>
  <c r="C63" i="23"/>
  <c r="G61" i="23"/>
  <c r="C61" i="23"/>
  <c r="G60" i="23"/>
  <c r="C60" i="23"/>
  <c r="G59" i="23"/>
  <c r="C59" i="23"/>
  <c r="G57" i="23"/>
  <c r="C57" i="23"/>
  <c r="G56" i="23"/>
  <c r="C56" i="23"/>
  <c r="G55" i="23"/>
  <c r="C55" i="23"/>
  <c r="G53" i="23"/>
  <c r="C53" i="23"/>
  <c r="G52" i="23"/>
  <c r="C52" i="23"/>
  <c r="G51" i="23"/>
  <c r="C51" i="23"/>
  <c r="G49" i="23"/>
  <c r="C49" i="23"/>
  <c r="G48" i="23"/>
  <c r="C48" i="23"/>
  <c r="G47" i="23"/>
  <c r="C47" i="23"/>
  <c r="G46" i="23"/>
  <c r="C46" i="23"/>
  <c r="G44" i="23"/>
  <c r="C44" i="23"/>
  <c r="G43" i="23"/>
  <c r="C43" i="23"/>
  <c r="G42" i="23"/>
  <c r="C42" i="23"/>
  <c r="G40" i="23"/>
  <c r="C40" i="23"/>
  <c r="G39" i="23"/>
  <c r="C39" i="23"/>
  <c r="G38" i="23"/>
  <c r="C38" i="23"/>
  <c r="G37" i="23"/>
  <c r="C37" i="23"/>
  <c r="G36" i="23"/>
  <c r="C36" i="23"/>
  <c r="G34" i="23"/>
  <c r="C34" i="23"/>
  <c r="G33" i="23"/>
  <c r="C33" i="23"/>
  <c r="G32" i="23"/>
  <c r="C32" i="23"/>
  <c r="G31" i="23"/>
  <c r="C31" i="23"/>
  <c r="G30" i="23"/>
  <c r="C30" i="23"/>
  <c r="G29" i="23"/>
  <c r="C29" i="23"/>
  <c r="G28" i="23"/>
  <c r="C28" i="23"/>
  <c r="G27" i="23"/>
  <c r="F27" i="23"/>
  <c r="C27" i="23"/>
  <c r="G26" i="23"/>
  <c r="F26" i="23"/>
  <c r="C26" i="23"/>
  <c r="G25" i="23"/>
  <c r="F25" i="23"/>
  <c r="C25" i="23"/>
  <c r="G24" i="23"/>
  <c r="G23" i="23"/>
  <c r="C23" i="23"/>
  <c r="G22" i="23"/>
  <c r="G21" i="23"/>
  <c r="C21" i="23"/>
  <c r="G20" i="23"/>
  <c r="C20" i="23"/>
  <c r="G18" i="23"/>
  <c r="C18" i="23"/>
  <c r="G17" i="23"/>
  <c r="C17" i="23"/>
  <c r="G16" i="23"/>
  <c r="C16" i="23"/>
  <c r="G15" i="23"/>
  <c r="C15" i="23"/>
  <c r="G14" i="23"/>
  <c r="C14" i="23"/>
  <c r="G12" i="23"/>
  <c r="C12" i="23"/>
  <c r="G11" i="23"/>
  <c r="C11" i="23"/>
  <c r="G10" i="23"/>
  <c r="C10" i="23"/>
  <c r="G9" i="23"/>
  <c r="C9" i="23"/>
  <c r="G8" i="23"/>
  <c r="F8" i="23"/>
  <c r="C8" i="23"/>
  <c r="G7" i="23"/>
  <c r="F7" i="23"/>
  <c r="C7" i="23"/>
  <c r="C6" i="23"/>
  <c r="G137" i="22"/>
  <c r="A137" i="22"/>
  <c r="G136" i="22"/>
  <c r="A136" i="22"/>
  <c r="G135" i="22"/>
  <c r="A135" i="22"/>
  <c r="G134" i="22"/>
  <c r="C134" i="22"/>
  <c r="A134" i="22"/>
  <c r="G133" i="22"/>
  <c r="C133" i="22"/>
  <c r="A133" i="22"/>
  <c r="G132" i="22"/>
  <c r="C132" i="22"/>
  <c r="A132" i="22"/>
  <c r="G131" i="22"/>
  <c r="C131" i="22"/>
  <c r="A131" i="22"/>
  <c r="G130" i="22"/>
  <c r="C130" i="22"/>
  <c r="A130" i="22"/>
  <c r="G129" i="22"/>
  <c r="C129" i="22"/>
  <c r="A129" i="22"/>
  <c r="G128" i="22"/>
  <c r="C128" i="22"/>
  <c r="A128" i="22"/>
  <c r="G127" i="22"/>
  <c r="C127" i="22"/>
  <c r="A127" i="22"/>
  <c r="G126" i="22"/>
  <c r="C126" i="22"/>
  <c r="A126" i="22"/>
  <c r="G125" i="22"/>
  <c r="C125" i="22"/>
  <c r="A125" i="22"/>
  <c r="G124" i="22"/>
  <c r="C124" i="22"/>
  <c r="A124" i="22"/>
  <c r="G123" i="22"/>
  <c r="C123" i="22"/>
  <c r="A123" i="22"/>
  <c r="G122" i="22"/>
  <c r="C122" i="22"/>
  <c r="A122" i="22"/>
  <c r="G121" i="22"/>
  <c r="C121" i="22"/>
  <c r="A121" i="22"/>
  <c r="G120" i="22"/>
  <c r="C120" i="22"/>
  <c r="A120" i="22"/>
  <c r="G119" i="22"/>
  <c r="C119" i="22"/>
  <c r="A119" i="22"/>
  <c r="G118" i="22"/>
  <c r="C118" i="22"/>
  <c r="A118" i="22"/>
  <c r="G117" i="22"/>
  <c r="C117" i="22"/>
  <c r="A117" i="22"/>
  <c r="G116" i="22"/>
  <c r="C116" i="22"/>
  <c r="A116" i="22"/>
  <c r="G115" i="22"/>
  <c r="C115" i="22"/>
  <c r="A115" i="22"/>
  <c r="G114" i="22"/>
  <c r="C114" i="22"/>
  <c r="A114" i="22"/>
  <c r="G113" i="22"/>
  <c r="C113" i="22"/>
  <c r="A113" i="22"/>
  <c r="G112" i="22"/>
  <c r="C112" i="22"/>
  <c r="A112" i="22"/>
  <c r="G111" i="22"/>
  <c r="C111" i="22"/>
  <c r="A111" i="22"/>
  <c r="G110" i="22"/>
  <c r="C110" i="22"/>
  <c r="A110" i="22"/>
  <c r="G109" i="22"/>
  <c r="C109" i="22"/>
  <c r="A109" i="22"/>
  <c r="G108" i="22"/>
  <c r="C108" i="22"/>
  <c r="A108" i="22"/>
  <c r="G107" i="22"/>
  <c r="C107" i="22"/>
  <c r="A107" i="22"/>
  <c r="C106" i="22"/>
  <c r="A106" i="22"/>
  <c r="E105" i="22"/>
  <c r="C105" i="22"/>
  <c r="E104" i="22"/>
  <c r="C104" i="22"/>
  <c r="E103" i="22"/>
  <c r="C103" i="22"/>
  <c r="E102" i="22"/>
  <c r="C102" i="22"/>
  <c r="E101" i="22"/>
  <c r="C101" i="22"/>
  <c r="E100" i="22"/>
  <c r="C100" i="22"/>
  <c r="E99" i="22"/>
  <c r="C99" i="22"/>
  <c r="E98" i="22"/>
  <c r="C98" i="22"/>
  <c r="E97" i="22"/>
  <c r="C97" i="22"/>
  <c r="E96" i="22"/>
  <c r="C96" i="22"/>
  <c r="E95" i="22"/>
  <c r="C95" i="22"/>
  <c r="E94" i="22"/>
  <c r="C94" i="22"/>
  <c r="E93" i="22"/>
  <c r="C93" i="22"/>
  <c r="E92" i="22"/>
  <c r="C92" i="22"/>
  <c r="E91" i="22"/>
  <c r="C91" i="22"/>
  <c r="E90" i="22"/>
  <c r="C90" i="22"/>
  <c r="E89" i="22"/>
  <c r="C89" i="22"/>
  <c r="E88" i="22"/>
  <c r="C88" i="22"/>
  <c r="E87" i="22"/>
  <c r="C87" i="22"/>
  <c r="E86" i="22"/>
  <c r="C86" i="22"/>
  <c r="E85" i="22"/>
  <c r="C85" i="22"/>
  <c r="E84" i="22"/>
  <c r="C84" i="22"/>
  <c r="E83" i="22"/>
  <c r="C83" i="22"/>
  <c r="E82" i="22"/>
  <c r="C82" i="22"/>
  <c r="E81" i="22"/>
  <c r="C81" i="22"/>
  <c r="E80" i="22"/>
  <c r="C80" i="22"/>
  <c r="E79" i="22"/>
  <c r="C79" i="22"/>
  <c r="E78" i="22"/>
  <c r="C78" i="22"/>
  <c r="E77" i="22"/>
  <c r="C77" i="22"/>
  <c r="E76" i="22"/>
  <c r="C76" i="22"/>
  <c r="E75" i="22"/>
  <c r="C75" i="22"/>
  <c r="E74" i="22"/>
  <c r="C74" i="22"/>
  <c r="E73" i="22"/>
  <c r="C73" i="22"/>
  <c r="E72" i="22"/>
  <c r="C72" i="22"/>
  <c r="G71" i="22"/>
  <c r="E71" i="22"/>
  <c r="C71" i="22"/>
  <c r="G70" i="22"/>
  <c r="E70" i="22"/>
  <c r="C70" i="22"/>
  <c r="G69" i="22"/>
  <c r="E69" i="22"/>
  <c r="C69" i="22"/>
  <c r="G68" i="22"/>
  <c r="E68" i="22"/>
  <c r="C68" i="22"/>
  <c r="E67" i="22"/>
  <c r="C67" i="22"/>
  <c r="G66" i="22"/>
  <c r="E66" i="22"/>
  <c r="C66" i="22"/>
  <c r="G65" i="22"/>
  <c r="E65" i="22"/>
  <c r="C65" i="22"/>
  <c r="G64" i="22"/>
  <c r="E64" i="22"/>
  <c r="C64" i="22"/>
  <c r="E63" i="22"/>
  <c r="C63" i="22"/>
  <c r="G62" i="22"/>
  <c r="E62" i="22"/>
  <c r="C62" i="22"/>
  <c r="G61" i="22"/>
  <c r="E61" i="22"/>
  <c r="C61" i="22"/>
  <c r="G60" i="22"/>
  <c r="E60" i="22"/>
  <c r="C60" i="22"/>
  <c r="G59" i="22"/>
  <c r="E59" i="22"/>
  <c r="C59" i="22"/>
  <c r="G58" i="22"/>
  <c r="E58" i="22"/>
  <c r="C58" i="22"/>
  <c r="G57" i="22"/>
  <c r="E57" i="22"/>
  <c r="C57" i="22"/>
  <c r="E56" i="22"/>
  <c r="C56" i="22"/>
  <c r="G55" i="22"/>
  <c r="E55" i="22"/>
  <c r="C55" i="22"/>
  <c r="G54" i="22"/>
  <c r="E54" i="22"/>
  <c r="C54" i="22"/>
  <c r="G53" i="22"/>
  <c r="E53" i="22"/>
  <c r="C53" i="22"/>
  <c r="G52" i="22"/>
  <c r="E52" i="22"/>
  <c r="C52" i="22"/>
  <c r="G51" i="22"/>
  <c r="E51" i="22"/>
  <c r="C51" i="22"/>
  <c r="G50" i="22"/>
  <c r="E50" i="22"/>
  <c r="C50" i="22"/>
  <c r="E49" i="22"/>
  <c r="C49" i="22"/>
  <c r="G48" i="22"/>
  <c r="E48" i="22"/>
  <c r="C48" i="22"/>
  <c r="G47" i="22"/>
  <c r="E47" i="22"/>
  <c r="C47" i="22"/>
  <c r="G46" i="22"/>
  <c r="E46" i="22"/>
  <c r="C46" i="22"/>
  <c r="E45" i="22"/>
  <c r="C45" i="22"/>
  <c r="G44" i="22"/>
  <c r="F44" i="22"/>
  <c r="E44" i="22"/>
  <c r="C44" i="22"/>
  <c r="G43" i="22"/>
  <c r="F43" i="22"/>
  <c r="E43" i="22"/>
  <c r="C43" i="22"/>
  <c r="G42" i="22"/>
  <c r="F42" i="22"/>
  <c r="E42" i="22"/>
  <c r="C42" i="22"/>
  <c r="E41" i="22"/>
  <c r="C41" i="22"/>
  <c r="G40" i="22"/>
  <c r="F40" i="22"/>
  <c r="E40" i="22"/>
  <c r="C40" i="22"/>
  <c r="G39" i="22"/>
  <c r="F39" i="22"/>
  <c r="E39" i="22"/>
  <c r="C39" i="22"/>
  <c r="G38" i="22"/>
  <c r="F38" i="22"/>
  <c r="E38" i="22"/>
  <c r="C38" i="22"/>
  <c r="G37" i="22"/>
  <c r="F37" i="22"/>
  <c r="E37" i="22"/>
  <c r="C37" i="22"/>
  <c r="G36" i="22"/>
  <c r="F36" i="22"/>
  <c r="E36" i="22"/>
  <c r="C36" i="22"/>
  <c r="E35" i="22"/>
  <c r="C35" i="22"/>
  <c r="G34" i="22"/>
  <c r="F34" i="22"/>
  <c r="E34" i="22"/>
  <c r="C34" i="22"/>
  <c r="G33" i="22"/>
  <c r="F33" i="22"/>
  <c r="E33" i="22"/>
  <c r="C33" i="22"/>
  <c r="G32" i="22"/>
  <c r="F32" i="22"/>
  <c r="E32" i="22"/>
  <c r="C32" i="22"/>
  <c r="G31" i="22"/>
  <c r="F31" i="22"/>
  <c r="E31" i="22"/>
  <c r="C31" i="22"/>
  <c r="G30" i="22"/>
  <c r="F30" i="22"/>
  <c r="E30" i="22"/>
  <c r="C30" i="22"/>
  <c r="G29" i="22"/>
  <c r="F29" i="22"/>
  <c r="E29" i="22"/>
  <c r="C29" i="22"/>
  <c r="G28" i="22"/>
  <c r="F28" i="22"/>
  <c r="E28" i="22"/>
  <c r="C28" i="22"/>
  <c r="G27" i="22"/>
  <c r="F27" i="22"/>
  <c r="E27" i="22"/>
  <c r="C27" i="22"/>
  <c r="G26" i="22"/>
  <c r="F26" i="22"/>
  <c r="E26" i="22"/>
  <c r="C26" i="22"/>
  <c r="G25" i="22"/>
  <c r="F25" i="22"/>
  <c r="E25" i="22"/>
  <c r="C25" i="22"/>
  <c r="G24" i="22"/>
  <c r="G23" i="22"/>
  <c r="C23" i="22"/>
  <c r="G22" i="22"/>
  <c r="G21" i="22"/>
  <c r="F21" i="22"/>
  <c r="E21" i="22"/>
  <c r="G20" i="22"/>
  <c r="C20" i="22"/>
  <c r="G18" i="22"/>
  <c r="F18" i="22"/>
  <c r="E18" i="22"/>
  <c r="C18" i="22"/>
  <c r="G17" i="22"/>
  <c r="F17" i="22"/>
  <c r="E17" i="22"/>
  <c r="C17" i="22"/>
  <c r="G16" i="22"/>
  <c r="F16" i="22"/>
  <c r="E16" i="22"/>
  <c r="C16" i="22"/>
  <c r="G15" i="22"/>
  <c r="F15" i="22"/>
  <c r="E15" i="22"/>
  <c r="C15" i="22"/>
  <c r="G14" i="22"/>
  <c r="F14" i="22"/>
  <c r="E14" i="22"/>
  <c r="C14" i="22"/>
  <c r="G12" i="22"/>
  <c r="F12" i="22"/>
  <c r="E12" i="22"/>
  <c r="C12" i="22"/>
  <c r="G11" i="22"/>
  <c r="F11" i="22"/>
  <c r="E11" i="22"/>
  <c r="C11" i="22"/>
  <c r="G10" i="22"/>
  <c r="F10" i="22"/>
  <c r="E10" i="22"/>
  <c r="C10" i="22"/>
  <c r="G9" i="22"/>
  <c r="F9" i="22"/>
  <c r="E9" i="22"/>
  <c r="C9" i="22"/>
  <c r="G8" i="22"/>
  <c r="F8" i="22"/>
  <c r="E8" i="22"/>
  <c r="C8" i="22"/>
  <c r="G7" i="22"/>
  <c r="F7" i="22"/>
  <c r="E7" i="22"/>
  <c r="C7" i="22"/>
  <c r="C6" i="22"/>
  <c r="M82" i="21"/>
  <c r="E82" i="21"/>
  <c r="D82" i="21"/>
  <c r="M81" i="21"/>
  <c r="E81" i="21"/>
  <c r="D81" i="21"/>
  <c r="M80" i="21"/>
  <c r="E80" i="21"/>
  <c r="D80" i="21"/>
  <c r="M79" i="21"/>
  <c r="E79" i="21"/>
  <c r="D79" i="21"/>
  <c r="V77" i="21"/>
  <c r="U77" i="21"/>
  <c r="M77" i="21"/>
  <c r="E77" i="21"/>
  <c r="D77" i="21"/>
  <c r="V76" i="21"/>
  <c r="U76" i="21"/>
  <c r="M76" i="21"/>
  <c r="E76" i="21"/>
  <c r="D76" i="21"/>
  <c r="V75" i="21"/>
  <c r="U75" i="21"/>
  <c r="M75" i="21"/>
  <c r="E75" i="21"/>
  <c r="D75" i="21"/>
  <c r="V74" i="21"/>
  <c r="U74" i="21"/>
  <c r="M74" i="21"/>
  <c r="E74" i="21"/>
  <c r="D74" i="21"/>
  <c r="V72" i="21"/>
  <c r="U72" i="21"/>
  <c r="M72" i="21"/>
  <c r="E72" i="21"/>
  <c r="D72" i="21"/>
  <c r="V71" i="21"/>
  <c r="U71" i="21"/>
  <c r="M71" i="21"/>
  <c r="E71" i="21"/>
  <c r="D71" i="21"/>
  <c r="V70" i="21"/>
  <c r="U70" i="21"/>
  <c r="M70" i="21"/>
  <c r="E70" i="21"/>
  <c r="D70" i="21"/>
  <c r="V68" i="21"/>
  <c r="U68" i="21"/>
  <c r="M68" i="21"/>
  <c r="E68" i="21"/>
  <c r="D68" i="21"/>
  <c r="V67" i="21"/>
  <c r="U67" i="21"/>
  <c r="M67" i="21"/>
  <c r="E67" i="21"/>
  <c r="D67" i="21"/>
  <c r="V66" i="21"/>
  <c r="U66" i="21"/>
  <c r="M66" i="21"/>
  <c r="E66" i="21"/>
  <c r="D66" i="21"/>
  <c r="V65" i="21"/>
  <c r="U65" i="21"/>
  <c r="M65" i="21"/>
  <c r="E65" i="21"/>
  <c r="D65" i="21"/>
  <c r="V64" i="21"/>
  <c r="U64" i="21"/>
  <c r="M64" i="21"/>
  <c r="E64" i="21"/>
  <c r="D64" i="21"/>
  <c r="V63" i="21"/>
  <c r="U63" i="21"/>
  <c r="M63" i="21"/>
  <c r="E63" i="21"/>
  <c r="D63" i="21"/>
  <c r="V61" i="21"/>
  <c r="M61" i="21"/>
  <c r="E61" i="21"/>
  <c r="D61" i="21"/>
  <c r="V60" i="21"/>
  <c r="U60" i="21"/>
  <c r="M60" i="21"/>
  <c r="E60" i="21"/>
  <c r="D60" i="21"/>
  <c r="V59" i="21"/>
  <c r="U59" i="21"/>
  <c r="M59" i="21"/>
  <c r="E59" i="21"/>
  <c r="D59" i="21"/>
  <c r="V57" i="21"/>
  <c r="U57" i="21"/>
  <c r="M57" i="21"/>
  <c r="E57" i="21"/>
  <c r="D57" i="21"/>
  <c r="V56" i="21"/>
  <c r="U56" i="21"/>
  <c r="M56" i="21"/>
  <c r="E56" i="21"/>
  <c r="D56" i="21"/>
  <c r="V55" i="21"/>
  <c r="U55" i="21"/>
  <c r="M55" i="21"/>
  <c r="E55" i="21"/>
  <c r="D55" i="21"/>
  <c r="V53" i="21"/>
  <c r="U53" i="21"/>
  <c r="M53" i="21"/>
  <c r="E53" i="21"/>
  <c r="D53" i="21"/>
  <c r="V52" i="21"/>
  <c r="U52" i="21"/>
  <c r="M52" i="21"/>
  <c r="E52" i="21"/>
  <c r="D52" i="21"/>
  <c r="V51" i="21"/>
  <c r="U51" i="21"/>
  <c r="M51" i="21"/>
  <c r="E51" i="21"/>
  <c r="D51" i="21"/>
  <c r="V49" i="21"/>
  <c r="U49" i="21"/>
  <c r="E49" i="21"/>
  <c r="V48" i="21"/>
  <c r="U48" i="21"/>
  <c r="E48" i="21"/>
  <c r="V47" i="21"/>
  <c r="U47" i="21"/>
  <c r="E47" i="21"/>
  <c r="V46" i="21"/>
  <c r="U46" i="21"/>
  <c r="E46" i="21"/>
  <c r="V44" i="21"/>
  <c r="U44" i="21"/>
  <c r="M44" i="21"/>
  <c r="E44" i="21"/>
  <c r="D44" i="21"/>
  <c r="V43" i="21"/>
  <c r="U43" i="21"/>
  <c r="M43" i="21"/>
  <c r="E43" i="21"/>
  <c r="D43" i="21"/>
  <c r="V42" i="21"/>
  <c r="U42" i="21"/>
  <c r="M42" i="21"/>
  <c r="E42" i="21"/>
  <c r="D42" i="21"/>
  <c r="V40" i="21"/>
  <c r="U40" i="21"/>
  <c r="M40" i="21"/>
  <c r="E40" i="21"/>
  <c r="D40" i="21"/>
  <c r="V39" i="21"/>
  <c r="M39" i="21"/>
  <c r="E39" i="21"/>
  <c r="D39" i="21"/>
  <c r="V38" i="21"/>
  <c r="M38" i="21"/>
  <c r="E38" i="21"/>
  <c r="D38" i="21"/>
  <c r="V37" i="21"/>
  <c r="M37" i="21"/>
  <c r="E37" i="21"/>
  <c r="D37" i="21"/>
  <c r="V36" i="21"/>
  <c r="M36" i="21"/>
  <c r="E36" i="21"/>
  <c r="D36" i="21"/>
  <c r="V34" i="21"/>
  <c r="U34" i="21"/>
  <c r="M34" i="21"/>
  <c r="E34" i="21"/>
  <c r="D34" i="21"/>
  <c r="V33" i="21"/>
  <c r="U33" i="21"/>
  <c r="M33" i="21"/>
  <c r="E33" i="21"/>
  <c r="D33" i="21"/>
  <c r="V32" i="21"/>
  <c r="U32" i="21"/>
  <c r="M32" i="21"/>
  <c r="E32" i="21"/>
  <c r="D32" i="21"/>
  <c r="V31" i="21"/>
  <c r="U31" i="21"/>
  <c r="M31" i="21"/>
  <c r="E31" i="21"/>
  <c r="D31" i="21"/>
  <c r="V30" i="21"/>
  <c r="U30" i="21"/>
  <c r="M30" i="21"/>
  <c r="E30" i="21"/>
  <c r="D30" i="21"/>
  <c r="V29" i="21"/>
  <c r="U29" i="21"/>
  <c r="M29" i="21"/>
  <c r="E29" i="21"/>
  <c r="D29" i="21"/>
  <c r="V28" i="21"/>
  <c r="U28" i="21"/>
  <c r="M28" i="21"/>
  <c r="E28" i="21"/>
  <c r="D28" i="21"/>
  <c r="V27" i="21"/>
  <c r="U27" i="21"/>
  <c r="M27" i="21"/>
  <c r="E27" i="21"/>
  <c r="D27" i="21"/>
  <c r="V26" i="21"/>
  <c r="U26" i="21"/>
  <c r="M26" i="21"/>
  <c r="E26" i="21"/>
  <c r="D26" i="21"/>
  <c r="Z25" i="21"/>
  <c r="X25" i="21"/>
  <c r="V25" i="21"/>
  <c r="U25" i="21"/>
  <c r="M25" i="21"/>
  <c r="E25" i="21"/>
  <c r="D25" i="21"/>
  <c r="V24" i="21"/>
  <c r="E24" i="21"/>
  <c r="V23" i="21"/>
  <c r="M23" i="21"/>
  <c r="E23" i="21"/>
  <c r="V22" i="21"/>
  <c r="E22" i="21"/>
  <c r="V21" i="21"/>
  <c r="M21" i="21"/>
  <c r="E21" i="21"/>
  <c r="V20" i="21"/>
  <c r="M20" i="21"/>
  <c r="E20" i="21"/>
  <c r="V19" i="21"/>
  <c r="V18" i="21"/>
  <c r="U18" i="21"/>
  <c r="M18" i="21"/>
  <c r="E18" i="21"/>
  <c r="D18" i="21"/>
  <c r="V17" i="21"/>
  <c r="U17" i="21"/>
  <c r="M17" i="21"/>
  <c r="E17" i="21"/>
  <c r="D17" i="21"/>
  <c r="V16" i="21"/>
  <c r="U16" i="21"/>
  <c r="M16" i="21"/>
  <c r="E16" i="21"/>
  <c r="V15" i="21"/>
  <c r="U15" i="21"/>
  <c r="M15" i="21"/>
  <c r="E15" i="21"/>
  <c r="D15" i="21"/>
  <c r="V14" i="21"/>
  <c r="U14" i="21"/>
  <c r="M14" i="21"/>
  <c r="E14" i="21"/>
  <c r="D14" i="21"/>
  <c r="V12" i="21"/>
  <c r="U12" i="21"/>
  <c r="M12" i="21"/>
  <c r="E12" i="21"/>
  <c r="D12" i="21"/>
  <c r="V11" i="21"/>
  <c r="U11" i="21"/>
  <c r="M11" i="21"/>
  <c r="E11" i="21"/>
  <c r="D11" i="21"/>
  <c r="V10" i="21"/>
  <c r="U10" i="21"/>
  <c r="M10" i="21"/>
  <c r="E10" i="21"/>
  <c r="D10" i="21"/>
  <c r="V9" i="21"/>
  <c r="U9" i="21"/>
  <c r="M9" i="21"/>
  <c r="E9" i="21"/>
  <c r="D9" i="21"/>
  <c r="V8" i="21"/>
  <c r="U8" i="21"/>
  <c r="M8" i="21"/>
  <c r="E8" i="21"/>
  <c r="D8" i="21"/>
  <c r="X7" i="21"/>
  <c r="V7" i="21"/>
  <c r="U7" i="21"/>
  <c r="M7" i="21"/>
  <c r="E7" i="21"/>
  <c r="D7" i="21"/>
  <c r="L8" i="20"/>
  <c r="K8" i="20"/>
  <c r="J8" i="20"/>
  <c r="I8" i="20"/>
  <c r="H8" i="20"/>
  <c r="G8" i="20"/>
  <c r="F8" i="20"/>
  <c r="E8" i="20"/>
  <c r="D8" i="20"/>
  <c r="C8" i="20"/>
  <c r="N271" i="16"/>
  <c r="R270" i="16"/>
  <c r="P270" i="16"/>
  <c r="O270" i="16"/>
  <c r="N270" i="16"/>
  <c r="M270" i="16"/>
  <c r="L270" i="16"/>
  <c r="K270" i="16"/>
  <c r="J270" i="16"/>
  <c r="I270" i="16"/>
  <c r="H270" i="16"/>
  <c r="G270" i="16"/>
  <c r="F270" i="16"/>
  <c r="E270" i="16"/>
  <c r="D270" i="16"/>
  <c r="AG269" i="16"/>
  <c r="AF269" i="16"/>
  <c r="AE269" i="16"/>
  <c r="AD269" i="16"/>
  <c r="AC269" i="16"/>
  <c r="AB269" i="16"/>
  <c r="AA269" i="16"/>
  <c r="Z269" i="16"/>
  <c r="Y269" i="16"/>
  <c r="X269" i="16"/>
  <c r="R269" i="16"/>
  <c r="P269" i="16"/>
  <c r="O269" i="16"/>
  <c r="M269" i="16"/>
  <c r="L269" i="16"/>
  <c r="K269" i="16"/>
  <c r="J269" i="16"/>
  <c r="I269" i="16"/>
  <c r="H269" i="16"/>
  <c r="G269" i="16"/>
  <c r="F269" i="16"/>
  <c r="E269" i="16"/>
  <c r="D269" i="16"/>
  <c r="AG268" i="16"/>
  <c r="AF268" i="16"/>
  <c r="AE268" i="16"/>
  <c r="AD268" i="16"/>
  <c r="AC268" i="16"/>
  <c r="AB268" i="16"/>
  <c r="AA268" i="16"/>
  <c r="Z268" i="16"/>
  <c r="Y268" i="16"/>
  <c r="X268" i="16"/>
  <c r="S268" i="16"/>
  <c r="R268" i="16"/>
  <c r="P268" i="16"/>
  <c r="O268" i="16"/>
  <c r="N268" i="16"/>
  <c r="AG267" i="16"/>
  <c r="AF267" i="16"/>
  <c r="AE267" i="16"/>
  <c r="AD267" i="16"/>
  <c r="AC267" i="16"/>
  <c r="AB267" i="16"/>
  <c r="AA267" i="16"/>
  <c r="Z267" i="16"/>
  <c r="Y267" i="16"/>
  <c r="X267" i="16"/>
  <c r="S267" i="16"/>
  <c r="R267" i="16"/>
  <c r="P267" i="16"/>
  <c r="O267" i="16"/>
  <c r="N267" i="16"/>
  <c r="AG266" i="16"/>
  <c r="AF266" i="16"/>
  <c r="AE266" i="16"/>
  <c r="AD266" i="16"/>
  <c r="AC266" i="16"/>
  <c r="AB266" i="16"/>
  <c r="AA266" i="16"/>
  <c r="Z266" i="16"/>
  <c r="Y266" i="16"/>
  <c r="X266" i="16"/>
  <c r="S266" i="16"/>
  <c r="R266" i="16"/>
  <c r="P266" i="16"/>
  <c r="O266" i="16"/>
  <c r="N266" i="16"/>
  <c r="AG265" i="16"/>
  <c r="AF265" i="16"/>
  <c r="AE265" i="16"/>
  <c r="AD265" i="16"/>
  <c r="AC265" i="16"/>
  <c r="AB265" i="16"/>
  <c r="AA265" i="16"/>
  <c r="Z265" i="16"/>
  <c r="Y265" i="16"/>
  <c r="X265" i="16"/>
  <c r="S265" i="16"/>
  <c r="R265" i="16"/>
  <c r="P265" i="16"/>
  <c r="O265" i="16"/>
  <c r="N265" i="16"/>
  <c r="AG264" i="16"/>
  <c r="AF264" i="16"/>
  <c r="AE264" i="16"/>
  <c r="AD264" i="16"/>
  <c r="AC264" i="16"/>
  <c r="AB264" i="16"/>
  <c r="AA264" i="16"/>
  <c r="Z264" i="16"/>
  <c r="Y264" i="16"/>
  <c r="X264" i="16"/>
  <c r="S264" i="16"/>
  <c r="R264" i="16"/>
  <c r="P264" i="16"/>
  <c r="O264" i="16"/>
  <c r="N264" i="16"/>
  <c r="AG263" i="16"/>
  <c r="AF263" i="16"/>
  <c r="AE263" i="16"/>
  <c r="AD263" i="16"/>
  <c r="AC263" i="16"/>
  <c r="AB263" i="16"/>
  <c r="AA263" i="16"/>
  <c r="Z263" i="16"/>
  <c r="Y263" i="16"/>
  <c r="X263" i="16"/>
  <c r="S263" i="16"/>
  <c r="R263" i="16"/>
  <c r="P263" i="16"/>
  <c r="O263" i="16"/>
  <c r="N263" i="16"/>
  <c r="AG262" i="16"/>
  <c r="AF262" i="16"/>
  <c r="AE262" i="16"/>
  <c r="AD262" i="16"/>
  <c r="AC262" i="16"/>
  <c r="AB262" i="16"/>
  <c r="AA262" i="16"/>
  <c r="Z262" i="16"/>
  <c r="Y262" i="16"/>
  <c r="X262" i="16"/>
  <c r="S262" i="16"/>
  <c r="R262" i="16"/>
  <c r="P262" i="16"/>
  <c r="O262" i="16"/>
  <c r="N262" i="16"/>
  <c r="AG261" i="16"/>
  <c r="AF261" i="16"/>
  <c r="AE261" i="16"/>
  <c r="AD261" i="16"/>
  <c r="AC261" i="16"/>
  <c r="AB261" i="16"/>
  <c r="AA261" i="16"/>
  <c r="Z261" i="16"/>
  <c r="Y261" i="16"/>
  <c r="X261" i="16"/>
  <c r="S261" i="16"/>
  <c r="R261" i="16"/>
  <c r="P261" i="16"/>
  <c r="O261" i="16"/>
  <c r="N261" i="16"/>
  <c r="AG260" i="16"/>
  <c r="AF260" i="16"/>
  <c r="AE260" i="16"/>
  <c r="AD260" i="16"/>
  <c r="AC260" i="16"/>
  <c r="AB260" i="16"/>
  <c r="AA260" i="16"/>
  <c r="Z260" i="16"/>
  <c r="Y260" i="16"/>
  <c r="X260" i="16"/>
  <c r="S260" i="16"/>
  <c r="R260" i="16"/>
  <c r="P260" i="16"/>
  <c r="O260" i="16"/>
  <c r="N260" i="16"/>
  <c r="AG259" i="16"/>
  <c r="AF259" i="16"/>
  <c r="AE259" i="16"/>
  <c r="AD259" i="16"/>
  <c r="AC259" i="16"/>
  <c r="AB259" i="16"/>
  <c r="AA259" i="16"/>
  <c r="Z259" i="16"/>
  <c r="Y259" i="16"/>
  <c r="X259" i="16"/>
  <c r="S259" i="16"/>
  <c r="R259" i="16"/>
  <c r="P259" i="16"/>
  <c r="O259" i="16"/>
  <c r="N259" i="16"/>
  <c r="AG258" i="16"/>
  <c r="AF258" i="16"/>
  <c r="AE258" i="16"/>
  <c r="AD258" i="16"/>
  <c r="AC258" i="16"/>
  <c r="AB258" i="16"/>
  <c r="AA258" i="16"/>
  <c r="Z258" i="16"/>
  <c r="Y258" i="16"/>
  <c r="X258" i="16"/>
  <c r="S258" i="16"/>
  <c r="R258" i="16"/>
  <c r="P258" i="16"/>
  <c r="O258" i="16"/>
  <c r="N258" i="16"/>
  <c r="AG257" i="16"/>
  <c r="AF257" i="16"/>
  <c r="AE257" i="16"/>
  <c r="AD257" i="16"/>
  <c r="AC257" i="16"/>
  <c r="AB257" i="16"/>
  <c r="AA257" i="16"/>
  <c r="Z257" i="16"/>
  <c r="Y257" i="16"/>
  <c r="X257" i="16"/>
  <c r="S257" i="16"/>
  <c r="R257" i="16"/>
  <c r="P257" i="16"/>
  <c r="O257" i="16"/>
  <c r="N257" i="16"/>
  <c r="AG256" i="16"/>
  <c r="AF256" i="16"/>
  <c r="AE256" i="16"/>
  <c r="AD256" i="16"/>
  <c r="AC256" i="16"/>
  <c r="AB256" i="16"/>
  <c r="AA256" i="16"/>
  <c r="Z256" i="16"/>
  <c r="Y256" i="16"/>
  <c r="X256" i="16"/>
  <c r="S256" i="16"/>
  <c r="R256" i="16"/>
  <c r="P256" i="16"/>
  <c r="O256" i="16"/>
  <c r="N256" i="16"/>
  <c r="AG255" i="16"/>
  <c r="AF255" i="16"/>
  <c r="AE255" i="16"/>
  <c r="AD255" i="16"/>
  <c r="AC255" i="16"/>
  <c r="AB255" i="16"/>
  <c r="AA255" i="16"/>
  <c r="Z255" i="16"/>
  <c r="Y255" i="16"/>
  <c r="X255" i="16"/>
  <c r="S255" i="16"/>
  <c r="R255" i="16"/>
  <c r="P255" i="16"/>
  <c r="O255" i="16"/>
  <c r="N255" i="16"/>
  <c r="C255" i="16"/>
  <c r="AG254" i="16"/>
  <c r="AF254" i="16"/>
  <c r="AE254" i="16"/>
  <c r="AD254" i="16"/>
  <c r="AC254" i="16"/>
  <c r="AB254" i="16"/>
  <c r="AA254" i="16"/>
  <c r="Z254" i="16"/>
  <c r="Y254" i="16"/>
  <c r="X254" i="16"/>
  <c r="S254" i="16"/>
  <c r="R254" i="16"/>
  <c r="P254" i="16"/>
  <c r="O254" i="16"/>
  <c r="N254" i="16"/>
  <c r="C254" i="16"/>
  <c r="AG253" i="16"/>
  <c r="AF253" i="16"/>
  <c r="AE253" i="16"/>
  <c r="AD253" i="16"/>
  <c r="AC253" i="16"/>
  <c r="AB253" i="16"/>
  <c r="AA253" i="16"/>
  <c r="Z253" i="16"/>
  <c r="Y253" i="16"/>
  <c r="X253" i="16"/>
  <c r="S253" i="16"/>
  <c r="R253" i="16"/>
  <c r="P253" i="16"/>
  <c r="O253" i="16"/>
  <c r="N253" i="16"/>
  <c r="C253" i="16"/>
  <c r="AG252" i="16"/>
  <c r="AF252" i="16"/>
  <c r="AE252" i="16"/>
  <c r="AD252" i="16"/>
  <c r="AC252" i="16"/>
  <c r="AB252" i="16"/>
  <c r="AA252" i="16"/>
  <c r="Z252" i="16"/>
  <c r="Y252" i="16"/>
  <c r="X252" i="16"/>
  <c r="S252" i="16"/>
  <c r="R252" i="16"/>
  <c r="P252" i="16"/>
  <c r="O252" i="16"/>
  <c r="N252" i="16"/>
  <c r="AG251" i="16"/>
  <c r="AF251" i="16"/>
  <c r="AE251" i="16"/>
  <c r="AD251" i="16"/>
  <c r="AC251" i="16"/>
  <c r="AB251" i="16"/>
  <c r="AA251" i="16"/>
  <c r="Z251" i="16"/>
  <c r="Y251" i="16"/>
  <c r="X251" i="16"/>
  <c r="S251" i="16"/>
  <c r="R251" i="16"/>
  <c r="P251" i="16"/>
  <c r="O251" i="16"/>
  <c r="N251" i="16"/>
  <c r="C251" i="16"/>
  <c r="AG250" i="16"/>
  <c r="AF250" i="16"/>
  <c r="AE250" i="16"/>
  <c r="AD250" i="16"/>
  <c r="AC250" i="16"/>
  <c r="AB250" i="16"/>
  <c r="AA250" i="16"/>
  <c r="Z250" i="16"/>
  <c r="Y250" i="16"/>
  <c r="X250" i="16"/>
  <c r="S250" i="16"/>
  <c r="R250" i="16"/>
  <c r="P250" i="16"/>
  <c r="O250" i="16"/>
  <c r="N250" i="16"/>
  <c r="C250" i="16"/>
  <c r="AG249" i="16"/>
  <c r="AF249" i="16"/>
  <c r="AE249" i="16"/>
  <c r="AD249" i="16"/>
  <c r="AC249" i="16"/>
  <c r="AB249" i="16"/>
  <c r="AA249" i="16"/>
  <c r="Z249" i="16"/>
  <c r="Y249" i="16"/>
  <c r="X249" i="16"/>
  <c r="S249" i="16"/>
  <c r="R249" i="16"/>
  <c r="P249" i="16"/>
  <c r="O249" i="16"/>
  <c r="N249" i="16"/>
  <c r="C249" i="16"/>
  <c r="AG248" i="16"/>
  <c r="AF248" i="16"/>
  <c r="AE248" i="16"/>
  <c r="AD248" i="16"/>
  <c r="AC248" i="16"/>
  <c r="AB248" i="16"/>
  <c r="AA248" i="16"/>
  <c r="Z248" i="16"/>
  <c r="Y248" i="16"/>
  <c r="X248" i="16"/>
  <c r="S248" i="16"/>
  <c r="R248" i="16"/>
  <c r="P248" i="16"/>
  <c r="O248" i="16"/>
  <c r="N248" i="16"/>
  <c r="AG247" i="16"/>
  <c r="AF247" i="16"/>
  <c r="AE247" i="16"/>
  <c r="AD247" i="16"/>
  <c r="AC247" i="16"/>
  <c r="AB247" i="16"/>
  <c r="AA247" i="16"/>
  <c r="Z247" i="16"/>
  <c r="Y247" i="16"/>
  <c r="X247" i="16"/>
  <c r="S247" i="16"/>
  <c r="R247" i="16"/>
  <c r="P247" i="16"/>
  <c r="O247" i="16"/>
  <c r="N247" i="16"/>
  <c r="C247" i="16"/>
  <c r="AG246" i="16"/>
  <c r="AF246" i="16"/>
  <c r="AE246" i="16"/>
  <c r="AD246" i="16"/>
  <c r="AC246" i="16"/>
  <c r="AB246" i="16"/>
  <c r="AA246" i="16"/>
  <c r="Z246" i="16"/>
  <c r="Y246" i="16"/>
  <c r="X246" i="16"/>
  <c r="S246" i="16"/>
  <c r="R246" i="16"/>
  <c r="P246" i="16"/>
  <c r="O246" i="16"/>
  <c r="N246" i="16"/>
  <c r="C246" i="16"/>
  <c r="AG245" i="16"/>
  <c r="AF245" i="16"/>
  <c r="AE245" i="16"/>
  <c r="AD245" i="16"/>
  <c r="AC245" i="16"/>
  <c r="AB245" i="16"/>
  <c r="AA245" i="16"/>
  <c r="Z245" i="16"/>
  <c r="Y245" i="16"/>
  <c r="X245" i="16"/>
  <c r="S245" i="16"/>
  <c r="R245" i="16"/>
  <c r="P245" i="16"/>
  <c r="O245" i="16"/>
  <c r="N245" i="16"/>
  <c r="AG244" i="16"/>
  <c r="AF244" i="16"/>
  <c r="AE244" i="16"/>
  <c r="AD244" i="16"/>
  <c r="AC244" i="16"/>
  <c r="AB244" i="16"/>
  <c r="AA244" i="16"/>
  <c r="Z244" i="16"/>
  <c r="Y244" i="16"/>
  <c r="X244" i="16"/>
  <c r="S244" i="16"/>
  <c r="R244" i="16"/>
  <c r="P244" i="16"/>
  <c r="O244" i="16"/>
  <c r="N244" i="16"/>
  <c r="C244" i="16"/>
  <c r="AG243" i="16"/>
  <c r="AF243" i="16"/>
  <c r="AE243" i="16"/>
  <c r="AD243" i="16"/>
  <c r="AC243" i="16"/>
  <c r="AB243" i="16"/>
  <c r="AA243" i="16"/>
  <c r="Z243" i="16"/>
  <c r="Y243" i="16"/>
  <c r="X243" i="16"/>
  <c r="S243" i="16"/>
  <c r="R243" i="16"/>
  <c r="P243" i="16"/>
  <c r="O243" i="16"/>
  <c r="N243" i="16"/>
  <c r="C243" i="16"/>
  <c r="AG242" i="16"/>
  <c r="AF242" i="16"/>
  <c r="AE242" i="16"/>
  <c r="AD242" i="16"/>
  <c r="AC242" i="16"/>
  <c r="AB242" i="16"/>
  <c r="AA242" i="16"/>
  <c r="Z242" i="16"/>
  <c r="Y242" i="16"/>
  <c r="X242" i="16"/>
  <c r="S242" i="16"/>
  <c r="R242" i="16"/>
  <c r="P242" i="16"/>
  <c r="O242" i="16"/>
  <c r="N242" i="16"/>
  <c r="C242" i="16"/>
  <c r="AG241" i="16"/>
  <c r="AF241" i="16"/>
  <c r="AE241" i="16"/>
  <c r="AD241" i="16"/>
  <c r="AC241" i="16"/>
  <c r="AB241" i="16"/>
  <c r="AA241" i="16"/>
  <c r="Z241" i="16"/>
  <c r="Y241" i="16"/>
  <c r="X241" i="16"/>
  <c r="S241" i="16"/>
  <c r="R241" i="16"/>
  <c r="P241" i="16"/>
  <c r="O241" i="16"/>
  <c r="N241" i="16"/>
  <c r="AG240" i="16"/>
  <c r="AF240" i="16"/>
  <c r="AE240" i="16"/>
  <c r="AD240" i="16"/>
  <c r="AC240" i="16"/>
  <c r="AB240" i="16"/>
  <c r="AA240" i="16"/>
  <c r="Z240" i="16"/>
  <c r="Y240" i="16"/>
  <c r="X240" i="16"/>
  <c r="S240" i="16"/>
  <c r="R240" i="16"/>
  <c r="P240" i="16"/>
  <c r="O240" i="16"/>
  <c r="N240" i="16"/>
  <c r="C240" i="16"/>
  <c r="AG239" i="16"/>
  <c r="AF239" i="16"/>
  <c r="AE239" i="16"/>
  <c r="AD239" i="16"/>
  <c r="AC239" i="16"/>
  <c r="AB239" i="16"/>
  <c r="AA239" i="16"/>
  <c r="Z239" i="16"/>
  <c r="Y239" i="16"/>
  <c r="X239" i="16"/>
  <c r="S239" i="16"/>
  <c r="R239" i="16"/>
  <c r="P239" i="16"/>
  <c r="O239" i="16"/>
  <c r="N239" i="16"/>
  <c r="C239" i="16"/>
  <c r="AG238" i="16"/>
  <c r="AF238" i="16"/>
  <c r="AE238" i="16"/>
  <c r="AD238" i="16"/>
  <c r="AC238" i="16"/>
  <c r="AB238" i="16"/>
  <c r="AA238" i="16"/>
  <c r="Z238" i="16"/>
  <c r="Y238" i="16"/>
  <c r="X238" i="16"/>
  <c r="S238" i="16"/>
  <c r="R238" i="16"/>
  <c r="P238" i="16"/>
  <c r="O238" i="16"/>
  <c r="N238" i="16"/>
  <c r="C238" i="16"/>
  <c r="AG237" i="16"/>
  <c r="AF237" i="16"/>
  <c r="AE237" i="16"/>
  <c r="AD237" i="16"/>
  <c r="AC237" i="16"/>
  <c r="AB237" i="16"/>
  <c r="AA237" i="16"/>
  <c r="Z237" i="16"/>
  <c r="Y237" i="16"/>
  <c r="X237" i="16"/>
  <c r="S237" i="16"/>
  <c r="R237" i="16"/>
  <c r="P237" i="16"/>
  <c r="O237" i="16"/>
  <c r="N237" i="16"/>
  <c r="C237" i="16"/>
  <c r="AG236" i="16"/>
  <c r="AF236" i="16"/>
  <c r="AE236" i="16"/>
  <c r="AD236" i="16"/>
  <c r="AC236" i="16"/>
  <c r="AB236" i="16"/>
  <c r="AA236" i="16"/>
  <c r="Z236" i="16"/>
  <c r="Y236" i="16"/>
  <c r="X236" i="16"/>
  <c r="S236" i="16"/>
  <c r="R236" i="16"/>
  <c r="P236" i="16"/>
  <c r="O236" i="16"/>
  <c r="N236" i="16"/>
  <c r="AG235" i="16"/>
  <c r="AF235" i="16"/>
  <c r="AE235" i="16"/>
  <c r="AD235" i="16"/>
  <c r="AC235" i="16"/>
  <c r="AB235" i="16"/>
  <c r="AA235" i="16"/>
  <c r="Z235" i="16"/>
  <c r="Y235" i="16"/>
  <c r="X235" i="16"/>
  <c r="S235" i="16"/>
  <c r="R235" i="16"/>
  <c r="P235" i="16"/>
  <c r="O235" i="16"/>
  <c r="N235" i="16"/>
  <c r="C235" i="16"/>
  <c r="AG234" i="16"/>
  <c r="AF234" i="16"/>
  <c r="AE234" i="16"/>
  <c r="AD234" i="16"/>
  <c r="AC234" i="16"/>
  <c r="AB234" i="16"/>
  <c r="AA234" i="16"/>
  <c r="Z234" i="16"/>
  <c r="Y234" i="16"/>
  <c r="X234" i="16"/>
  <c r="S234" i="16"/>
  <c r="R234" i="16"/>
  <c r="P234" i="16"/>
  <c r="O234" i="16"/>
  <c r="N234" i="16"/>
  <c r="C234" i="16"/>
  <c r="AG233" i="16"/>
  <c r="AF233" i="16"/>
  <c r="AE233" i="16"/>
  <c r="AD233" i="16"/>
  <c r="AC233" i="16"/>
  <c r="AB233" i="16"/>
  <c r="AA233" i="16"/>
  <c r="Z233" i="16"/>
  <c r="Y233" i="16"/>
  <c r="X233" i="16"/>
  <c r="S233" i="16"/>
  <c r="R233" i="16"/>
  <c r="P233" i="16"/>
  <c r="O233" i="16"/>
  <c r="N233" i="16"/>
  <c r="C233" i="16"/>
  <c r="AG232" i="16"/>
  <c r="AF232" i="16"/>
  <c r="AE232" i="16"/>
  <c r="AD232" i="16"/>
  <c r="AC232" i="16"/>
  <c r="AB232" i="16"/>
  <c r="AA232" i="16"/>
  <c r="Z232" i="16"/>
  <c r="Y232" i="16"/>
  <c r="X232" i="16"/>
  <c r="S232" i="16"/>
  <c r="R232" i="16"/>
  <c r="P232" i="16"/>
  <c r="O232" i="16"/>
  <c r="N232" i="16"/>
  <c r="C232" i="16"/>
  <c r="AG231" i="16"/>
  <c r="AF231" i="16"/>
  <c r="AE231" i="16"/>
  <c r="AD231" i="16"/>
  <c r="AC231" i="16"/>
  <c r="AB231" i="16"/>
  <c r="AA231" i="16"/>
  <c r="Z231" i="16"/>
  <c r="Y231" i="16"/>
  <c r="X231" i="16"/>
  <c r="S231" i="16"/>
  <c r="R231" i="16"/>
  <c r="P231" i="16"/>
  <c r="O231" i="16"/>
  <c r="N231" i="16"/>
  <c r="C231" i="16"/>
  <c r="AG230" i="16"/>
  <c r="AF230" i="16"/>
  <c r="AE230" i="16"/>
  <c r="AD230" i="16"/>
  <c r="AC230" i="16"/>
  <c r="AB230" i="16"/>
  <c r="AA230" i="16"/>
  <c r="Z230" i="16"/>
  <c r="Y230" i="16"/>
  <c r="X230" i="16"/>
  <c r="S230" i="16"/>
  <c r="R230" i="16"/>
  <c r="P230" i="16"/>
  <c r="O230" i="16"/>
  <c r="N230" i="16"/>
  <c r="C230" i="16"/>
  <c r="AG229" i="16"/>
  <c r="AF229" i="16"/>
  <c r="AE229" i="16"/>
  <c r="AD229" i="16"/>
  <c r="AC229" i="16"/>
  <c r="AB229" i="16"/>
  <c r="AA229" i="16"/>
  <c r="Z229" i="16"/>
  <c r="Y229" i="16"/>
  <c r="X229" i="16"/>
  <c r="S229" i="16"/>
  <c r="R229" i="16"/>
  <c r="P229" i="16"/>
  <c r="O229" i="16"/>
  <c r="N229" i="16"/>
  <c r="C229" i="16"/>
  <c r="AG228" i="16"/>
  <c r="AF228" i="16"/>
  <c r="AE228" i="16"/>
  <c r="AD228" i="16"/>
  <c r="AC228" i="16"/>
  <c r="AB228" i="16"/>
  <c r="AA228" i="16"/>
  <c r="Z228" i="16"/>
  <c r="Y228" i="16"/>
  <c r="X228" i="16"/>
  <c r="S228" i="16"/>
  <c r="R228" i="16"/>
  <c r="P228" i="16"/>
  <c r="O228" i="16"/>
  <c r="N228" i="16"/>
  <c r="C228" i="16"/>
  <c r="AG227" i="16"/>
  <c r="AF227" i="16"/>
  <c r="AE227" i="16"/>
  <c r="AD227" i="16"/>
  <c r="AC227" i="16"/>
  <c r="AB227" i="16"/>
  <c r="AA227" i="16"/>
  <c r="Z227" i="16"/>
  <c r="Y227" i="16"/>
  <c r="X227" i="16"/>
  <c r="S227" i="16"/>
  <c r="R227" i="16"/>
  <c r="P227" i="16"/>
  <c r="O227" i="16"/>
  <c r="N227" i="16"/>
  <c r="C227" i="16"/>
  <c r="AG226" i="16"/>
  <c r="AF226" i="16"/>
  <c r="AE226" i="16"/>
  <c r="AD226" i="16"/>
  <c r="AC226" i="16"/>
  <c r="AB226" i="16"/>
  <c r="AA226" i="16"/>
  <c r="Z226" i="16"/>
  <c r="Y226" i="16"/>
  <c r="X226" i="16"/>
  <c r="S226" i="16"/>
  <c r="R226" i="16"/>
  <c r="P226" i="16"/>
  <c r="O226" i="16"/>
  <c r="N226" i="16"/>
  <c r="C226" i="16"/>
  <c r="AG225" i="16"/>
  <c r="AF225" i="16"/>
  <c r="AE225" i="16"/>
  <c r="AD225" i="16"/>
  <c r="AC225" i="16"/>
  <c r="AB225" i="16"/>
  <c r="AA225" i="16"/>
  <c r="Z225" i="16"/>
  <c r="Y225" i="16"/>
  <c r="X225" i="16"/>
  <c r="S225" i="16"/>
  <c r="R225" i="16"/>
  <c r="P225" i="16"/>
  <c r="O225" i="16"/>
  <c r="N225" i="16"/>
  <c r="C225" i="16"/>
  <c r="AG224" i="16"/>
  <c r="AF224" i="16"/>
  <c r="AE224" i="16"/>
  <c r="AD224" i="16"/>
  <c r="AC224" i="16"/>
  <c r="AB224" i="16"/>
  <c r="AA224" i="16"/>
  <c r="Z224" i="16"/>
  <c r="Y224" i="16"/>
  <c r="X224" i="16"/>
  <c r="S224" i="16"/>
  <c r="R224" i="16"/>
  <c r="P224" i="16"/>
  <c r="O224" i="16"/>
  <c r="N224" i="16"/>
  <c r="C224" i="16"/>
  <c r="AG223" i="16"/>
  <c r="AF223" i="16"/>
  <c r="AE223" i="16"/>
  <c r="AD223" i="16"/>
  <c r="AC223" i="16"/>
  <c r="AB223" i="16"/>
  <c r="AA223" i="16"/>
  <c r="Z223" i="16"/>
  <c r="Y223" i="16"/>
  <c r="X223" i="16"/>
  <c r="S223" i="16"/>
  <c r="R223" i="16"/>
  <c r="P223" i="16"/>
  <c r="O223" i="16"/>
  <c r="N223" i="16"/>
  <c r="AG222" i="16"/>
  <c r="AF222" i="16"/>
  <c r="AE222" i="16"/>
  <c r="AD222" i="16"/>
  <c r="AC222" i="16"/>
  <c r="AB222" i="16"/>
  <c r="AA222" i="16"/>
  <c r="Z222" i="16"/>
  <c r="Y222" i="16"/>
  <c r="X222" i="16"/>
  <c r="S222" i="16"/>
  <c r="R222" i="16"/>
  <c r="P222" i="16"/>
  <c r="O222" i="16"/>
  <c r="N222" i="16"/>
  <c r="C222" i="16"/>
  <c r="AG221" i="16"/>
  <c r="AF221" i="16"/>
  <c r="AE221" i="16"/>
  <c r="AD221" i="16"/>
  <c r="AC221" i="16"/>
  <c r="AB221" i="16"/>
  <c r="AA221" i="16"/>
  <c r="Z221" i="16"/>
  <c r="Y221" i="16"/>
  <c r="X221" i="16"/>
  <c r="S221" i="16"/>
  <c r="R221" i="16"/>
  <c r="P221" i="16"/>
  <c r="O221" i="16"/>
  <c r="N221" i="16"/>
  <c r="C221" i="16"/>
  <c r="AG220" i="16"/>
  <c r="AF220" i="16"/>
  <c r="AE220" i="16"/>
  <c r="AD220" i="16"/>
  <c r="AC220" i="16"/>
  <c r="AB220" i="16"/>
  <c r="AA220" i="16"/>
  <c r="Z220" i="16"/>
  <c r="Y220" i="16"/>
  <c r="X220" i="16"/>
  <c r="S220" i="16"/>
  <c r="R220" i="16"/>
  <c r="P220" i="16"/>
  <c r="O220" i="16"/>
  <c r="N220" i="16"/>
  <c r="C220" i="16"/>
  <c r="AG219" i="16"/>
  <c r="AF219" i="16"/>
  <c r="AE219" i="16"/>
  <c r="AD219" i="16"/>
  <c r="AC219" i="16"/>
  <c r="AB219" i="16"/>
  <c r="AA219" i="16"/>
  <c r="Z219" i="16"/>
  <c r="Y219" i="16"/>
  <c r="X219" i="16"/>
  <c r="S219" i="16"/>
  <c r="R219" i="16"/>
  <c r="P219" i="16"/>
  <c r="O219" i="16"/>
  <c r="N219" i="16"/>
  <c r="C219" i="16"/>
  <c r="AG218" i="16"/>
  <c r="AF218" i="16"/>
  <c r="AE218" i="16"/>
  <c r="AD218" i="16"/>
  <c r="AC218" i="16"/>
  <c r="AB218" i="16"/>
  <c r="AA218" i="16"/>
  <c r="Z218" i="16"/>
  <c r="Y218" i="16"/>
  <c r="X218" i="16"/>
  <c r="S218" i="16"/>
  <c r="R218" i="16"/>
  <c r="P218" i="16"/>
  <c r="O218" i="16"/>
  <c r="N218" i="16"/>
  <c r="C218" i="16"/>
  <c r="AG217" i="16"/>
  <c r="AF217" i="16"/>
  <c r="AE217" i="16"/>
  <c r="AD217" i="16"/>
  <c r="AC217" i="16"/>
  <c r="AB217" i="16"/>
  <c r="AA217" i="16"/>
  <c r="Z217" i="16"/>
  <c r="Y217" i="16"/>
  <c r="X217" i="16"/>
  <c r="S217" i="16"/>
  <c r="R217" i="16"/>
  <c r="P217" i="16"/>
  <c r="O217" i="16"/>
  <c r="N217" i="16"/>
  <c r="C217" i="16"/>
  <c r="AG216" i="16"/>
  <c r="AF216" i="16"/>
  <c r="AE216" i="16"/>
  <c r="AD216" i="16"/>
  <c r="AC216" i="16"/>
  <c r="AB216" i="16"/>
  <c r="AA216" i="16"/>
  <c r="Z216" i="16"/>
  <c r="Y216" i="16"/>
  <c r="X216" i="16"/>
  <c r="S216" i="16"/>
  <c r="R216" i="16"/>
  <c r="P216" i="16"/>
  <c r="O216" i="16"/>
  <c r="N216" i="16"/>
  <c r="C216" i="16"/>
  <c r="AG215" i="16"/>
  <c r="AF215" i="16"/>
  <c r="AE215" i="16"/>
  <c r="AD215" i="16"/>
  <c r="AC215" i="16"/>
  <c r="AB215" i="16"/>
  <c r="AA215" i="16"/>
  <c r="Z215" i="16"/>
  <c r="Y215" i="16"/>
  <c r="X215" i="16"/>
  <c r="S215" i="16"/>
  <c r="R215" i="16"/>
  <c r="P215" i="16"/>
  <c r="O215" i="16"/>
  <c r="N215" i="16"/>
  <c r="C215" i="16"/>
  <c r="AG214" i="16"/>
  <c r="AF214" i="16"/>
  <c r="AE214" i="16"/>
  <c r="AD214" i="16"/>
  <c r="AC214" i="16"/>
  <c r="AB214" i="16"/>
  <c r="AA214" i="16"/>
  <c r="Z214" i="16"/>
  <c r="Y214" i="16"/>
  <c r="X214" i="16"/>
  <c r="S214" i="16"/>
  <c r="R214" i="16"/>
  <c r="P214" i="16"/>
  <c r="O214" i="16"/>
  <c r="N214" i="16"/>
  <c r="C214" i="16"/>
  <c r="M213" i="16"/>
  <c r="L213" i="16"/>
  <c r="K213" i="16"/>
  <c r="J213" i="16"/>
  <c r="I213" i="16"/>
  <c r="H213" i="16"/>
  <c r="G213" i="16"/>
  <c r="F213" i="16"/>
  <c r="E213" i="16"/>
  <c r="D213" i="16"/>
  <c r="C213" i="16"/>
  <c r="AG211" i="16"/>
  <c r="AF211" i="16"/>
  <c r="AE211" i="16"/>
  <c r="AD211" i="16"/>
  <c r="AC211" i="16"/>
  <c r="AB211" i="16"/>
  <c r="AA211" i="16"/>
  <c r="Z211" i="16"/>
  <c r="Y211" i="16"/>
  <c r="X211" i="16"/>
  <c r="R211" i="16"/>
  <c r="P211" i="16"/>
  <c r="O211" i="16"/>
  <c r="M211" i="16"/>
  <c r="L211" i="16"/>
  <c r="K211" i="16"/>
  <c r="J211" i="16"/>
  <c r="I211" i="16"/>
  <c r="H211" i="16"/>
  <c r="G211" i="16"/>
  <c r="F211" i="16"/>
  <c r="E211" i="16"/>
  <c r="D211" i="16"/>
  <c r="AG210" i="16"/>
  <c r="AF210" i="16"/>
  <c r="AE210" i="16"/>
  <c r="AD210" i="16"/>
  <c r="AC210" i="16"/>
  <c r="AB210" i="16"/>
  <c r="AA210" i="16"/>
  <c r="Z210" i="16"/>
  <c r="Y210" i="16"/>
  <c r="X210" i="16"/>
  <c r="S210" i="16"/>
  <c r="R210" i="16"/>
  <c r="P210" i="16"/>
  <c r="O210" i="16"/>
  <c r="N210" i="16"/>
  <c r="AG209" i="16"/>
  <c r="AF209" i="16"/>
  <c r="AE209" i="16"/>
  <c r="AD209" i="16"/>
  <c r="AC209" i="16"/>
  <c r="AB209" i="16"/>
  <c r="AA209" i="16"/>
  <c r="Z209" i="16"/>
  <c r="Y209" i="16"/>
  <c r="X209" i="16"/>
  <c r="S209" i="16"/>
  <c r="R209" i="16"/>
  <c r="P209" i="16"/>
  <c r="O209" i="16"/>
  <c r="N209" i="16"/>
  <c r="AG208" i="16"/>
  <c r="AF208" i="16"/>
  <c r="AE208" i="16"/>
  <c r="AD208" i="16"/>
  <c r="AC208" i="16"/>
  <c r="AB208" i="16"/>
  <c r="AA208" i="16"/>
  <c r="Z208" i="16"/>
  <c r="Y208" i="16"/>
  <c r="X208" i="16"/>
  <c r="S208" i="16"/>
  <c r="R208" i="16"/>
  <c r="P208" i="16"/>
  <c r="O208" i="16"/>
  <c r="N208" i="16"/>
  <c r="AG207" i="16"/>
  <c r="AF207" i="16"/>
  <c r="AE207" i="16"/>
  <c r="AD207" i="16"/>
  <c r="AC207" i="16"/>
  <c r="AB207" i="16"/>
  <c r="AA207" i="16"/>
  <c r="Z207" i="16"/>
  <c r="Y207" i="16"/>
  <c r="X207" i="16"/>
  <c r="S207" i="16"/>
  <c r="R207" i="16"/>
  <c r="P207" i="16"/>
  <c r="O207" i="16"/>
  <c r="N207" i="16"/>
  <c r="AG206" i="16"/>
  <c r="AF206" i="16"/>
  <c r="AE206" i="16"/>
  <c r="AD206" i="16"/>
  <c r="AC206" i="16"/>
  <c r="AB206" i="16"/>
  <c r="AA206" i="16"/>
  <c r="Z206" i="16"/>
  <c r="Y206" i="16"/>
  <c r="X206" i="16"/>
  <c r="S206" i="16"/>
  <c r="R206" i="16"/>
  <c r="P206" i="16"/>
  <c r="O206" i="16"/>
  <c r="N206" i="16"/>
  <c r="AG205" i="16"/>
  <c r="AF205" i="16"/>
  <c r="AE205" i="16"/>
  <c r="AD205" i="16"/>
  <c r="AC205" i="16"/>
  <c r="AB205" i="16"/>
  <c r="AA205" i="16"/>
  <c r="Z205" i="16"/>
  <c r="Y205" i="16"/>
  <c r="X205" i="16"/>
  <c r="S205" i="16"/>
  <c r="R205" i="16"/>
  <c r="P205" i="16"/>
  <c r="O205" i="16"/>
  <c r="N205" i="16"/>
  <c r="AG204" i="16"/>
  <c r="AF204" i="16"/>
  <c r="AE204" i="16"/>
  <c r="AD204" i="16"/>
  <c r="AC204" i="16"/>
  <c r="AB204" i="16"/>
  <c r="AA204" i="16"/>
  <c r="Z204" i="16"/>
  <c r="Y204" i="16"/>
  <c r="X204" i="16"/>
  <c r="S204" i="16"/>
  <c r="R204" i="16"/>
  <c r="P204" i="16"/>
  <c r="O204" i="16"/>
  <c r="N204" i="16"/>
  <c r="AG203" i="16"/>
  <c r="AF203" i="16"/>
  <c r="AE203" i="16"/>
  <c r="AD203" i="16"/>
  <c r="AC203" i="16"/>
  <c r="AB203" i="16"/>
  <c r="AA203" i="16"/>
  <c r="Z203" i="16"/>
  <c r="Y203" i="16"/>
  <c r="X203" i="16"/>
  <c r="S203" i="16"/>
  <c r="R203" i="16"/>
  <c r="P203" i="16"/>
  <c r="O203" i="16"/>
  <c r="N203" i="16"/>
  <c r="AG202" i="16"/>
  <c r="AF202" i="16"/>
  <c r="AE202" i="16"/>
  <c r="AD202" i="16"/>
  <c r="AC202" i="16"/>
  <c r="AB202" i="16"/>
  <c r="AA202" i="16"/>
  <c r="Z202" i="16"/>
  <c r="Y202" i="16"/>
  <c r="X202" i="16"/>
  <c r="S202" i="16"/>
  <c r="R202" i="16"/>
  <c r="P202" i="16"/>
  <c r="O202" i="16"/>
  <c r="N202" i="16"/>
  <c r="AG201" i="16"/>
  <c r="AF201" i="16"/>
  <c r="AE201" i="16"/>
  <c r="AD201" i="16"/>
  <c r="AC201" i="16"/>
  <c r="AB201" i="16"/>
  <c r="AA201" i="16"/>
  <c r="Z201" i="16"/>
  <c r="Y201" i="16"/>
  <c r="X201" i="16"/>
  <c r="S201" i="16"/>
  <c r="R201" i="16"/>
  <c r="P201" i="16"/>
  <c r="O201" i="16"/>
  <c r="N201" i="16"/>
  <c r="AG200" i="16"/>
  <c r="AF200" i="16"/>
  <c r="AE200" i="16"/>
  <c r="AD200" i="16"/>
  <c r="AC200" i="16"/>
  <c r="AB200" i="16"/>
  <c r="AA200" i="16"/>
  <c r="Z200" i="16"/>
  <c r="Y200" i="16"/>
  <c r="X200" i="16"/>
  <c r="S200" i="16"/>
  <c r="R200" i="16"/>
  <c r="P200" i="16"/>
  <c r="O200" i="16"/>
  <c r="N200" i="16"/>
  <c r="AG199" i="16"/>
  <c r="AF199" i="16"/>
  <c r="AE199" i="16"/>
  <c r="AD199" i="16"/>
  <c r="AC199" i="16"/>
  <c r="AB199" i="16"/>
  <c r="AA199" i="16"/>
  <c r="Z199" i="16"/>
  <c r="Y199" i="16"/>
  <c r="X199" i="16"/>
  <c r="S199" i="16"/>
  <c r="R199" i="16"/>
  <c r="P199" i="16"/>
  <c r="O199" i="16"/>
  <c r="N199" i="16"/>
  <c r="AG198" i="16"/>
  <c r="AF198" i="16"/>
  <c r="AE198" i="16"/>
  <c r="AD198" i="16"/>
  <c r="AC198" i="16"/>
  <c r="AB198" i="16"/>
  <c r="AA198" i="16"/>
  <c r="Z198" i="16"/>
  <c r="Y198" i="16"/>
  <c r="X198" i="16"/>
  <c r="S198" i="16"/>
  <c r="R198" i="16"/>
  <c r="P198" i="16"/>
  <c r="O198" i="16"/>
  <c r="N198" i="16"/>
  <c r="AG197" i="16"/>
  <c r="AF197" i="16"/>
  <c r="AE197" i="16"/>
  <c r="AD197" i="16"/>
  <c r="AC197" i="16"/>
  <c r="AB197" i="16"/>
  <c r="AA197" i="16"/>
  <c r="Z197" i="16"/>
  <c r="Y197" i="16"/>
  <c r="X197" i="16"/>
  <c r="S197" i="16"/>
  <c r="R197" i="16"/>
  <c r="P197" i="16"/>
  <c r="O197" i="16"/>
  <c r="N197" i="16"/>
  <c r="AG196" i="16"/>
  <c r="AF196" i="16"/>
  <c r="AE196" i="16"/>
  <c r="AD196" i="16"/>
  <c r="AC196" i="16"/>
  <c r="AB196" i="16"/>
  <c r="AA196" i="16"/>
  <c r="Z196" i="16"/>
  <c r="Y196" i="16"/>
  <c r="X196" i="16"/>
  <c r="S196" i="16"/>
  <c r="R196" i="16"/>
  <c r="P196" i="16"/>
  <c r="O196" i="16"/>
  <c r="N196" i="16"/>
  <c r="AG195" i="16"/>
  <c r="AF195" i="16"/>
  <c r="AE195" i="16"/>
  <c r="AD195" i="16"/>
  <c r="AC195" i="16"/>
  <c r="AB195" i="16"/>
  <c r="AA195" i="16"/>
  <c r="Z195" i="16"/>
  <c r="Y195" i="16"/>
  <c r="X195" i="16"/>
  <c r="S195" i="16"/>
  <c r="R195" i="16"/>
  <c r="P195" i="16"/>
  <c r="O195" i="16"/>
  <c r="N195" i="16"/>
  <c r="AG194" i="16"/>
  <c r="AF194" i="16"/>
  <c r="AE194" i="16"/>
  <c r="AD194" i="16"/>
  <c r="AC194" i="16"/>
  <c r="AB194" i="16"/>
  <c r="AA194" i="16"/>
  <c r="Z194" i="16"/>
  <c r="Y194" i="16"/>
  <c r="X194" i="16"/>
  <c r="S194" i="16"/>
  <c r="R194" i="16"/>
  <c r="P194" i="16"/>
  <c r="O194" i="16"/>
  <c r="N194" i="16"/>
  <c r="AG193" i="16"/>
  <c r="AF193" i="16"/>
  <c r="AE193" i="16"/>
  <c r="AD193" i="16"/>
  <c r="AC193" i="16"/>
  <c r="AB193" i="16"/>
  <c r="AA193" i="16"/>
  <c r="Z193" i="16"/>
  <c r="Y193" i="16"/>
  <c r="X193" i="16"/>
  <c r="S193" i="16"/>
  <c r="R193" i="16"/>
  <c r="P193" i="16"/>
  <c r="O193" i="16"/>
  <c r="N193" i="16"/>
  <c r="AG192" i="16"/>
  <c r="AF192" i="16"/>
  <c r="AE192" i="16"/>
  <c r="AD192" i="16"/>
  <c r="AC192" i="16"/>
  <c r="AB192" i="16"/>
  <c r="AA192" i="16"/>
  <c r="Z192" i="16"/>
  <c r="Y192" i="16"/>
  <c r="X192" i="16"/>
  <c r="S192" i="16"/>
  <c r="R192" i="16"/>
  <c r="P192" i="16"/>
  <c r="O192" i="16"/>
  <c r="N192" i="16"/>
  <c r="AG191" i="16"/>
  <c r="AF191" i="16"/>
  <c r="AE191" i="16"/>
  <c r="AD191" i="16"/>
  <c r="AC191" i="16"/>
  <c r="AB191" i="16"/>
  <c r="AA191" i="16"/>
  <c r="Z191" i="16"/>
  <c r="Y191" i="16"/>
  <c r="X191" i="16"/>
  <c r="S191" i="16"/>
  <c r="R191" i="16"/>
  <c r="P191" i="16"/>
  <c r="O191" i="16"/>
  <c r="N191" i="16"/>
  <c r="AG190" i="16"/>
  <c r="AF190" i="16"/>
  <c r="AE190" i="16"/>
  <c r="AD190" i="16"/>
  <c r="AC190" i="16"/>
  <c r="AB190" i="16"/>
  <c r="AA190" i="16"/>
  <c r="Z190" i="16"/>
  <c r="Y190" i="16"/>
  <c r="X190" i="16"/>
  <c r="S190" i="16"/>
  <c r="R190" i="16"/>
  <c r="P190" i="16"/>
  <c r="O190" i="16"/>
  <c r="N190" i="16"/>
  <c r="AG189" i="16"/>
  <c r="AF189" i="16"/>
  <c r="AE189" i="16"/>
  <c r="AD189" i="16"/>
  <c r="AC189" i="16"/>
  <c r="AB189" i="16"/>
  <c r="AA189" i="16"/>
  <c r="Z189" i="16"/>
  <c r="Y189" i="16"/>
  <c r="X189" i="16"/>
  <c r="S189" i="16"/>
  <c r="R189" i="16"/>
  <c r="P189" i="16"/>
  <c r="O189" i="16"/>
  <c r="N189" i="16"/>
  <c r="AG188" i="16"/>
  <c r="AF188" i="16"/>
  <c r="AE188" i="16"/>
  <c r="AD188" i="16"/>
  <c r="AC188" i="16"/>
  <c r="AB188" i="16"/>
  <c r="AA188" i="16"/>
  <c r="Z188" i="16"/>
  <c r="Y188" i="16"/>
  <c r="X188" i="16"/>
  <c r="S188" i="16"/>
  <c r="R188" i="16"/>
  <c r="P188" i="16"/>
  <c r="O188" i="16"/>
  <c r="N188" i="16"/>
  <c r="AG187" i="16"/>
  <c r="AF187" i="16"/>
  <c r="AE187" i="16"/>
  <c r="AD187" i="16"/>
  <c r="AC187" i="16"/>
  <c r="AB187" i="16"/>
  <c r="AA187" i="16"/>
  <c r="Z187" i="16"/>
  <c r="Y187" i="16"/>
  <c r="X187" i="16"/>
  <c r="S187" i="16"/>
  <c r="R187" i="16"/>
  <c r="P187" i="16"/>
  <c r="O187" i="16"/>
  <c r="N187" i="16"/>
  <c r="AG186" i="16"/>
  <c r="AF186" i="16"/>
  <c r="AE186" i="16"/>
  <c r="AD186" i="16"/>
  <c r="AC186" i="16"/>
  <c r="AB186" i="16"/>
  <c r="AA186" i="16"/>
  <c r="Z186" i="16"/>
  <c r="Y186" i="16"/>
  <c r="X186" i="16"/>
  <c r="S186" i="16"/>
  <c r="R186" i="16"/>
  <c r="P186" i="16"/>
  <c r="O186" i="16"/>
  <c r="N186" i="16"/>
  <c r="AG185" i="16"/>
  <c r="AF185" i="16"/>
  <c r="AE185" i="16"/>
  <c r="AD185" i="16"/>
  <c r="AC185" i="16"/>
  <c r="AB185" i="16"/>
  <c r="AA185" i="16"/>
  <c r="Z185" i="16"/>
  <c r="Y185" i="16"/>
  <c r="X185" i="16"/>
  <c r="S185" i="16"/>
  <c r="R185" i="16"/>
  <c r="P185" i="16"/>
  <c r="O185" i="16"/>
  <c r="N185" i="16"/>
  <c r="AG184" i="16"/>
  <c r="AF184" i="16"/>
  <c r="AE184" i="16"/>
  <c r="AD184" i="16"/>
  <c r="AC184" i="16"/>
  <c r="AB184" i="16"/>
  <c r="AA184" i="16"/>
  <c r="Z184" i="16"/>
  <c r="Y184" i="16"/>
  <c r="X184" i="16"/>
  <c r="S184" i="16"/>
  <c r="R184" i="16"/>
  <c r="P184" i="16"/>
  <c r="O184" i="16"/>
  <c r="N184" i="16"/>
  <c r="AG183" i="16"/>
  <c r="AF183" i="16"/>
  <c r="AE183" i="16"/>
  <c r="AD183" i="16"/>
  <c r="AC183" i="16"/>
  <c r="AB183" i="16"/>
  <c r="AA183" i="16"/>
  <c r="Z183" i="16"/>
  <c r="Y183" i="16"/>
  <c r="X183" i="16"/>
  <c r="S183" i="16"/>
  <c r="R183" i="16"/>
  <c r="P183" i="16"/>
  <c r="O183" i="16"/>
  <c r="N183" i="16"/>
  <c r="AG182" i="16"/>
  <c r="AF182" i="16"/>
  <c r="AE182" i="16"/>
  <c r="AD182" i="16"/>
  <c r="AC182" i="16"/>
  <c r="AB182" i="16"/>
  <c r="AA182" i="16"/>
  <c r="Z182" i="16"/>
  <c r="Y182" i="16"/>
  <c r="X182" i="16"/>
  <c r="S182" i="16"/>
  <c r="R182" i="16"/>
  <c r="P182" i="16"/>
  <c r="O182" i="16"/>
  <c r="N182" i="16"/>
  <c r="AG181" i="16"/>
  <c r="AF181" i="16"/>
  <c r="AE181" i="16"/>
  <c r="AD181" i="16"/>
  <c r="AC181" i="16"/>
  <c r="AB181" i="16"/>
  <c r="AA181" i="16"/>
  <c r="Z181" i="16"/>
  <c r="Y181" i="16"/>
  <c r="X181" i="16"/>
  <c r="S181" i="16"/>
  <c r="R181" i="16"/>
  <c r="P181" i="16"/>
  <c r="O181" i="16"/>
  <c r="N181" i="16"/>
  <c r="AG180" i="16"/>
  <c r="AF180" i="16"/>
  <c r="AE180" i="16"/>
  <c r="AD180" i="16"/>
  <c r="AC180" i="16"/>
  <c r="AB180" i="16"/>
  <c r="AA180" i="16"/>
  <c r="Z180" i="16"/>
  <c r="Y180" i="16"/>
  <c r="X180" i="16"/>
  <c r="S180" i="16"/>
  <c r="R180" i="16"/>
  <c r="P180" i="16"/>
  <c r="O180" i="16"/>
  <c r="N180" i="16"/>
  <c r="AG179" i="16"/>
  <c r="AF179" i="16"/>
  <c r="AE179" i="16"/>
  <c r="AD179" i="16"/>
  <c r="AC179" i="16"/>
  <c r="AB179" i="16"/>
  <c r="AA179" i="16"/>
  <c r="Z179" i="16"/>
  <c r="Y179" i="16"/>
  <c r="X179" i="16"/>
  <c r="S179" i="16"/>
  <c r="R179" i="16"/>
  <c r="P179" i="16"/>
  <c r="O179" i="16"/>
  <c r="N179" i="16"/>
  <c r="AG178" i="16"/>
  <c r="AF178" i="16"/>
  <c r="AE178" i="16"/>
  <c r="AD178" i="16"/>
  <c r="AC178" i="16"/>
  <c r="AB178" i="16"/>
  <c r="AA178" i="16"/>
  <c r="Z178" i="16"/>
  <c r="Y178" i="16"/>
  <c r="X178" i="16"/>
  <c r="S178" i="16"/>
  <c r="R178" i="16"/>
  <c r="P178" i="16"/>
  <c r="O178" i="16"/>
  <c r="N178" i="16"/>
  <c r="AG177" i="16"/>
  <c r="AF177" i="16"/>
  <c r="AE177" i="16"/>
  <c r="AD177" i="16"/>
  <c r="AC177" i="16"/>
  <c r="AB177" i="16"/>
  <c r="AA177" i="16"/>
  <c r="Z177" i="16"/>
  <c r="Y177" i="16"/>
  <c r="X177" i="16"/>
  <c r="S177" i="16"/>
  <c r="R177" i="16"/>
  <c r="P177" i="16"/>
  <c r="O177" i="16"/>
  <c r="N177" i="16"/>
  <c r="AG176" i="16"/>
  <c r="AF176" i="16"/>
  <c r="AE176" i="16"/>
  <c r="AD176" i="16"/>
  <c r="AC176" i="16"/>
  <c r="AB176" i="16"/>
  <c r="AA176" i="16"/>
  <c r="Z176" i="16"/>
  <c r="Y176" i="16"/>
  <c r="X176" i="16"/>
  <c r="S176" i="16"/>
  <c r="R176" i="16"/>
  <c r="P176" i="16"/>
  <c r="O176" i="16"/>
  <c r="N176" i="16"/>
  <c r="AG175" i="16"/>
  <c r="AF175" i="16"/>
  <c r="AE175" i="16"/>
  <c r="AD175" i="16"/>
  <c r="AC175" i="16"/>
  <c r="AB175" i="16"/>
  <c r="AA175" i="16"/>
  <c r="Z175" i="16"/>
  <c r="Y175" i="16"/>
  <c r="X175" i="16"/>
  <c r="S175" i="16"/>
  <c r="R175" i="16"/>
  <c r="P175" i="16"/>
  <c r="O175" i="16"/>
  <c r="N175" i="16"/>
  <c r="AG174" i="16"/>
  <c r="AF174" i="16"/>
  <c r="AE174" i="16"/>
  <c r="AD174" i="16"/>
  <c r="AC174" i="16"/>
  <c r="AB174" i="16"/>
  <c r="AA174" i="16"/>
  <c r="Z174" i="16"/>
  <c r="Y174" i="16"/>
  <c r="X174" i="16"/>
  <c r="S174" i="16"/>
  <c r="R174" i="16"/>
  <c r="P174" i="16"/>
  <c r="O174" i="16"/>
  <c r="N174" i="16"/>
  <c r="AG173" i="16"/>
  <c r="AF173" i="16"/>
  <c r="AE173" i="16"/>
  <c r="AD173" i="16"/>
  <c r="AC173" i="16"/>
  <c r="AB173" i="16"/>
  <c r="AA173" i="16"/>
  <c r="Z173" i="16"/>
  <c r="Y173" i="16"/>
  <c r="X173" i="16"/>
  <c r="S173" i="16"/>
  <c r="R173" i="16"/>
  <c r="P173" i="16"/>
  <c r="O173" i="16"/>
  <c r="N173" i="16"/>
  <c r="AG172" i="16"/>
  <c r="AF172" i="16"/>
  <c r="AE172" i="16"/>
  <c r="AD172" i="16"/>
  <c r="AC172" i="16"/>
  <c r="AB172" i="16"/>
  <c r="AA172" i="16"/>
  <c r="Z172" i="16"/>
  <c r="Y172" i="16"/>
  <c r="X172" i="16"/>
  <c r="S172" i="16"/>
  <c r="R172" i="16"/>
  <c r="P172" i="16"/>
  <c r="O172" i="16"/>
  <c r="N172" i="16"/>
  <c r="AG171" i="16"/>
  <c r="AF171" i="16"/>
  <c r="AE171" i="16"/>
  <c r="AD171" i="16"/>
  <c r="AC171" i="16"/>
  <c r="AB171" i="16"/>
  <c r="AA171" i="16"/>
  <c r="Z171" i="16"/>
  <c r="Y171" i="16"/>
  <c r="X171" i="16"/>
  <c r="S171" i="16"/>
  <c r="R171" i="16"/>
  <c r="P171" i="16"/>
  <c r="O171" i="16"/>
  <c r="N171" i="16"/>
  <c r="AG170" i="16"/>
  <c r="AF170" i="16"/>
  <c r="AE170" i="16"/>
  <c r="AD170" i="16"/>
  <c r="AC170" i="16"/>
  <c r="AB170" i="16"/>
  <c r="AA170" i="16"/>
  <c r="Z170" i="16"/>
  <c r="Y170" i="16"/>
  <c r="X170" i="16"/>
  <c r="S170" i="16"/>
  <c r="R170" i="16"/>
  <c r="P170" i="16"/>
  <c r="O170" i="16"/>
  <c r="N170" i="16"/>
  <c r="AG169" i="16"/>
  <c r="AF169" i="16"/>
  <c r="AE169" i="16"/>
  <c r="AD169" i="16"/>
  <c r="AC169" i="16"/>
  <c r="AB169" i="16"/>
  <c r="AA169" i="16"/>
  <c r="Z169" i="16"/>
  <c r="Y169" i="16"/>
  <c r="X169" i="16"/>
  <c r="S169" i="16"/>
  <c r="R169" i="16"/>
  <c r="P169" i="16"/>
  <c r="O169" i="16"/>
  <c r="N169" i="16"/>
  <c r="AG168" i="16"/>
  <c r="AF168" i="16"/>
  <c r="AE168" i="16"/>
  <c r="AD168" i="16"/>
  <c r="AC168" i="16"/>
  <c r="AB168" i="16"/>
  <c r="AA168" i="16"/>
  <c r="Z168" i="16"/>
  <c r="Y168" i="16"/>
  <c r="X168" i="16"/>
  <c r="S168" i="16"/>
  <c r="R168" i="16"/>
  <c r="P168" i="16"/>
  <c r="O168" i="16"/>
  <c r="N168" i="16"/>
  <c r="AG167" i="16"/>
  <c r="AF167" i="16"/>
  <c r="AE167" i="16"/>
  <c r="AD167" i="16"/>
  <c r="AC167" i="16"/>
  <c r="AB167" i="16"/>
  <c r="AA167" i="16"/>
  <c r="Z167" i="16"/>
  <c r="Y167" i="16"/>
  <c r="X167" i="16"/>
  <c r="S167" i="16"/>
  <c r="R167" i="16"/>
  <c r="P167" i="16"/>
  <c r="O167" i="16"/>
  <c r="N167" i="16"/>
  <c r="AG166" i="16"/>
  <c r="AF166" i="16"/>
  <c r="AE166" i="16"/>
  <c r="AD166" i="16"/>
  <c r="AC166" i="16"/>
  <c r="AB166" i="16"/>
  <c r="AA166" i="16"/>
  <c r="Z166" i="16"/>
  <c r="Y166" i="16"/>
  <c r="X166" i="16"/>
  <c r="S166" i="16"/>
  <c r="R166" i="16"/>
  <c r="P166" i="16"/>
  <c r="O166" i="16"/>
  <c r="N166" i="16"/>
  <c r="AG165" i="16"/>
  <c r="AF165" i="16"/>
  <c r="AE165" i="16"/>
  <c r="AD165" i="16"/>
  <c r="AC165" i="16"/>
  <c r="AB165" i="16"/>
  <c r="AA165" i="16"/>
  <c r="Z165" i="16"/>
  <c r="Y165" i="16"/>
  <c r="X165" i="16"/>
  <c r="S165" i="16"/>
  <c r="R165" i="16"/>
  <c r="P165" i="16"/>
  <c r="O165" i="16"/>
  <c r="N165" i="16"/>
  <c r="AG164" i="16"/>
  <c r="AF164" i="16"/>
  <c r="AE164" i="16"/>
  <c r="AD164" i="16"/>
  <c r="AC164" i="16"/>
  <c r="AB164" i="16"/>
  <c r="AA164" i="16"/>
  <c r="Z164" i="16"/>
  <c r="Y164" i="16"/>
  <c r="X164" i="16"/>
  <c r="S164" i="16"/>
  <c r="R164" i="16"/>
  <c r="P164" i="16"/>
  <c r="O164" i="16"/>
  <c r="N164" i="16"/>
  <c r="AG163" i="16"/>
  <c r="AF163" i="16"/>
  <c r="AE163" i="16"/>
  <c r="AD163" i="16"/>
  <c r="AC163" i="16"/>
  <c r="AB163" i="16"/>
  <c r="AA163" i="16"/>
  <c r="Z163" i="16"/>
  <c r="Y163" i="16"/>
  <c r="X163" i="16"/>
  <c r="S163" i="16"/>
  <c r="R163" i="16"/>
  <c r="P163" i="16"/>
  <c r="O163" i="16"/>
  <c r="N163" i="16"/>
  <c r="AG162" i="16"/>
  <c r="AF162" i="16"/>
  <c r="AE162" i="16"/>
  <c r="AD162" i="16"/>
  <c r="AC162" i="16"/>
  <c r="AB162" i="16"/>
  <c r="AA162" i="16"/>
  <c r="Z162" i="16"/>
  <c r="Y162" i="16"/>
  <c r="X162" i="16"/>
  <c r="S162" i="16"/>
  <c r="R162" i="16"/>
  <c r="P162" i="16"/>
  <c r="O162" i="16"/>
  <c r="N162" i="16"/>
  <c r="AG161" i="16"/>
  <c r="AF161" i="16"/>
  <c r="AE161" i="16"/>
  <c r="AD161" i="16"/>
  <c r="AC161" i="16"/>
  <c r="AB161" i="16"/>
  <c r="AA161" i="16"/>
  <c r="Z161" i="16"/>
  <c r="Y161" i="16"/>
  <c r="X161" i="16"/>
  <c r="S161" i="16"/>
  <c r="R161" i="16"/>
  <c r="P161" i="16"/>
  <c r="O161" i="16"/>
  <c r="N161" i="16"/>
  <c r="AG160" i="16"/>
  <c r="AF160" i="16"/>
  <c r="AE160" i="16"/>
  <c r="AD160" i="16"/>
  <c r="AC160" i="16"/>
  <c r="AB160" i="16"/>
  <c r="AA160" i="16"/>
  <c r="Z160" i="16"/>
  <c r="Y160" i="16"/>
  <c r="X160" i="16"/>
  <c r="S160" i="16"/>
  <c r="R160" i="16"/>
  <c r="P160" i="16"/>
  <c r="O160" i="16"/>
  <c r="N160" i="16"/>
  <c r="AG159" i="16"/>
  <c r="AF159" i="16"/>
  <c r="AE159" i="16"/>
  <c r="AD159" i="16"/>
  <c r="AC159" i="16"/>
  <c r="AB159" i="16"/>
  <c r="AA159" i="16"/>
  <c r="Z159" i="16"/>
  <c r="Y159" i="16"/>
  <c r="X159" i="16"/>
  <c r="S159" i="16"/>
  <c r="R159" i="16"/>
  <c r="P159" i="16"/>
  <c r="O159" i="16"/>
  <c r="N159" i="16"/>
  <c r="AG158" i="16"/>
  <c r="AF158" i="16"/>
  <c r="AE158" i="16"/>
  <c r="AD158" i="16"/>
  <c r="AC158" i="16"/>
  <c r="AB158" i="16"/>
  <c r="AA158" i="16"/>
  <c r="Z158" i="16"/>
  <c r="Y158" i="16"/>
  <c r="X158" i="16"/>
  <c r="S158" i="16"/>
  <c r="R158" i="16"/>
  <c r="P158" i="16"/>
  <c r="O158" i="16"/>
  <c r="N158" i="16"/>
  <c r="AG157" i="16"/>
  <c r="AF157" i="16"/>
  <c r="AE157" i="16"/>
  <c r="AD157" i="16"/>
  <c r="AC157" i="16"/>
  <c r="AB157" i="16"/>
  <c r="AA157" i="16"/>
  <c r="Z157" i="16"/>
  <c r="Y157" i="16"/>
  <c r="X157" i="16"/>
  <c r="S157" i="16"/>
  <c r="R157" i="16"/>
  <c r="P157" i="16"/>
  <c r="O157" i="16"/>
  <c r="N157" i="16"/>
  <c r="AG156" i="16"/>
  <c r="AF156" i="16"/>
  <c r="AE156" i="16"/>
  <c r="AD156" i="16"/>
  <c r="AC156" i="16"/>
  <c r="AB156" i="16"/>
  <c r="AA156" i="16"/>
  <c r="Z156" i="16"/>
  <c r="Y156" i="16"/>
  <c r="X156" i="16"/>
  <c r="S156" i="16"/>
  <c r="R156" i="16"/>
  <c r="P156" i="16"/>
  <c r="O156" i="16"/>
  <c r="N156" i="16"/>
  <c r="AG155" i="16"/>
  <c r="AF155" i="16"/>
  <c r="AE155" i="16"/>
  <c r="AD155" i="16"/>
  <c r="AC155" i="16"/>
  <c r="AB155" i="16"/>
  <c r="AA155" i="16"/>
  <c r="Z155" i="16"/>
  <c r="Y155" i="16"/>
  <c r="X155" i="16"/>
  <c r="S155" i="16"/>
  <c r="R155" i="16"/>
  <c r="P155" i="16"/>
  <c r="O155" i="16"/>
  <c r="N155" i="16"/>
  <c r="AG154" i="16"/>
  <c r="AF154" i="16"/>
  <c r="AE154" i="16"/>
  <c r="AD154" i="16"/>
  <c r="AC154" i="16"/>
  <c r="AB154" i="16"/>
  <c r="AA154" i="16"/>
  <c r="Z154" i="16"/>
  <c r="Y154" i="16"/>
  <c r="X154" i="16"/>
  <c r="S154" i="16"/>
  <c r="R154" i="16"/>
  <c r="P154" i="16"/>
  <c r="O154" i="16"/>
  <c r="N154" i="16"/>
  <c r="AG153" i="16"/>
  <c r="AF153" i="16"/>
  <c r="AE153" i="16"/>
  <c r="AD153" i="16"/>
  <c r="AC153" i="16"/>
  <c r="AB153" i="16"/>
  <c r="AA153" i="16"/>
  <c r="Z153" i="16"/>
  <c r="Y153" i="16"/>
  <c r="X153" i="16"/>
  <c r="S153" i="16"/>
  <c r="R153" i="16"/>
  <c r="P153" i="16"/>
  <c r="O153" i="16"/>
  <c r="N153" i="16"/>
  <c r="AG152" i="16"/>
  <c r="AF152" i="16"/>
  <c r="AE152" i="16"/>
  <c r="AD152" i="16"/>
  <c r="AC152" i="16"/>
  <c r="AB152" i="16"/>
  <c r="AA152" i="16"/>
  <c r="Z152" i="16"/>
  <c r="Y152" i="16"/>
  <c r="X152" i="16"/>
  <c r="S152" i="16"/>
  <c r="R152" i="16"/>
  <c r="P152" i="16"/>
  <c r="O152" i="16"/>
  <c r="N152" i="16"/>
  <c r="AG151" i="16"/>
  <c r="AF151" i="16"/>
  <c r="AE151" i="16"/>
  <c r="AD151" i="16"/>
  <c r="AC151" i="16"/>
  <c r="AB151" i="16"/>
  <c r="AA151" i="16"/>
  <c r="Z151" i="16"/>
  <c r="Y151" i="16"/>
  <c r="X151" i="16"/>
  <c r="S151" i="16"/>
  <c r="R151" i="16"/>
  <c r="P151" i="16"/>
  <c r="O151" i="16"/>
  <c r="N151" i="16"/>
  <c r="AG150" i="16"/>
  <c r="AF150" i="16"/>
  <c r="AE150" i="16"/>
  <c r="AD150" i="16"/>
  <c r="AC150" i="16"/>
  <c r="AB150" i="16"/>
  <c r="AA150" i="16"/>
  <c r="Z150" i="16"/>
  <c r="Y150" i="16"/>
  <c r="X150" i="16"/>
  <c r="S150" i="16"/>
  <c r="R150" i="16"/>
  <c r="P150" i="16"/>
  <c r="O150" i="16"/>
  <c r="N150" i="16"/>
  <c r="AG149" i="16"/>
  <c r="AF149" i="16"/>
  <c r="AE149" i="16"/>
  <c r="AD149" i="16"/>
  <c r="AC149" i="16"/>
  <c r="AB149" i="16"/>
  <c r="AA149" i="16"/>
  <c r="Z149" i="16"/>
  <c r="Y149" i="16"/>
  <c r="X149" i="16"/>
  <c r="S149" i="16"/>
  <c r="R149" i="16"/>
  <c r="P149" i="16"/>
  <c r="O149" i="16"/>
  <c r="N149" i="16"/>
  <c r="AG148" i="16"/>
  <c r="AF148" i="16"/>
  <c r="AE148" i="16"/>
  <c r="AD148" i="16"/>
  <c r="AC148" i="16"/>
  <c r="AB148" i="16"/>
  <c r="AA148" i="16"/>
  <c r="Z148" i="16"/>
  <c r="Y148" i="16"/>
  <c r="X148" i="16"/>
  <c r="S148" i="16"/>
  <c r="R148" i="16"/>
  <c r="P148" i="16"/>
  <c r="O148" i="16"/>
  <c r="N148" i="16"/>
  <c r="C148" i="16"/>
  <c r="AG147" i="16"/>
  <c r="AF147" i="16"/>
  <c r="AE147" i="16"/>
  <c r="AD147" i="16"/>
  <c r="AC147" i="16"/>
  <c r="AB147" i="16"/>
  <c r="AA147" i="16"/>
  <c r="Z147" i="16"/>
  <c r="Y147" i="16"/>
  <c r="X147" i="16"/>
  <c r="S147" i="16"/>
  <c r="R147" i="16"/>
  <c r="P147" i="16"/>
  <c r="O147" i="16"/>
  <c r="N147" i="16"/>
  <c r="C147" i="16"/>
  <c r="AG146" i="16"/>
  <c r="AF146" i="16"/>
  <c r="AE146" i="16"/>
  <c r="AD146" i="16"/>
  <c r="AC146" i="16"/>
  <c r="AB146" i="16"/>
  <c r="AA146" i="16"/>
  <c r="Z146" i="16"/>
  <c r="Y146" i="16"/>
  <c r="X146" i="16"/>
  <c r="S146" i="16"/>
  <c r="R146" i="16"/>
  <c r="P146" i="16"/>
  <c r="O146" i="16"/>
  <c r="N146" i="16"/>
  <c r="AG145" i="16"/>
  <c r="AF145" i="16"/>
  <c r="AE145" i="16"/>
  <c r="AD145" i="16"/>
  <c r="AC145" i="16"/>
  <c r="AB145" i="16"/>
  <c r="AA145" i="16"/>
  <c r="Z145" i="16"/>
  <c r="Y145" i="16"/>
  <c r="X145" i="16"/>
  <c r="S145" i="16"/>
  <c r="R145" i="16"/>
  <c r="P145" i="16"/>
  <c r="O145" i="16"/>
  <c r="N145" i="16"/>
  <c r="C145" i="16"/>
  <c r="AG144" i="16"/>
  <c r="AF144" i="16"/>
  <c r="AE144" i="16"/>
  <c r="AD144" i="16"/>
  <c r="AC144" i="16"/>
  <c r="AB144" i="16"/>
  <c r="AA144" i="16"/>
  <c r="Z144" i="16"/>
  <c r="Y144" i="16"/>
  <c r="X144" i="16"/>
  <c r="S144" i="16"/>
  <c r="R144" i="16"/>
  <c r="P144" i="16"/>
  <c r="O144" i="16"/>
  <c r="N144" i="16"/>
  <c r="C144" i="16"/>
  <c r="AG143" i="16"/>
  <c r="AF143" i="16"/>
  <c r="AE143" i="16"/>
  <c r="AD143" i="16"/>
  <c r="AC143" i="16"/>
  <c r="AB143" i="16"/>
  <c r="AA143" i="16"/>
  <c r="Z143" i="16"/>
  <c r="Y143" i="16"/>
  <c r="X143" i="16"/>
  <c r="S143" i="16"/>
  <c r="R143" i="16"/>
  <c r="P143" i="16"/>
  <c r="O143" i="16"/>
  <c r="N143" i="16"/>
  <c r="C143" i="16"/>
  <c r="AG142" i="16"/>
  <c r="AF142" i="16"/>
  <c r="AE142" i="16"/>
  <c r="AD142" i="16"/>
  <c r="AC142" i="16"/>
  <c r="AB142" i="16"/>
  <c r="AA142" i="16"/>
  <c r="Z142" i="16"/>
  <c r="Y142" i="16"/>
  <c r="X142" i="16"/>
  <c r="S142" i="16"/>
  <c r="R142" i="16"/>
  <c r="P142" i="16"/>
  <c r="O142" i="16"/>
  <c r="N142" i="16"/>
  <c r="AG141" i="16"/>
  <c r="AF141" i="16"/>
  <c r="AE141" i="16"/>
  <c r="AD141" i="16"/>
  <c r="AC141" i="16"/>
  <c r="AB141" i="16"/>
  <c r="AA141" i="16"/>
  <c r="Z141" i="16"/>
  <c r="Y141" i="16"/>
  <c r="X141" i="16"/>
  <c r="S141" i="16"/>
  <c r="R141" i="16"/>
  <c r="P141" i="16"/>
  <c r="O141" i="16"/>
  <c r="N141" i="16"/>
  <c r="C141" i="16"/>
  <c r="AG140" i="16"/>
  <c r="AF140" i="16"/>
  <c r="AE140" i="16"/>
  <c r="AD140" i="16"/>
  <c r="AC140" i="16"/>
  <c r="AB140" i="16"/>
  <c r="AA140" i="16"/>
  <c r="Z140" i="16"/>
  <c r="Y140" i="16"/>
  <c r="X140" i="16"/>
  <c r="S140" i="16"/>
  <c r="R140" i="16"/>
  <c r="P140" i="16"/>
  <c r="O140" i="16"/>
  <c r="N140" i="16"/>
  <c r="C140" i="16"/>
  <c r="AG139" i="16"/>
  <c r="AF139" i="16"/>
  <c r="AE139" i="16"/>
  <c r="AD139" i="16"/>
  <c r="AC139" i="16"/>
  <c r="AB139" i="16"/>
  <c r="AA139" i="16"/>
  <c r="Z139" i="16"/>
  <c r="Y139" i="16"/>
  <c r="X139" i="16"/>
  <c r="S139" i="16"/>
  <c r="R139" i="16"/>
  <c r="P139" i="16"/>
  <c r="O139" i="16"/>
  <c r="N139" i="16"/>
  <c r="AG138" i="16"/>
  <c r="AF138" i="16"/>
  <c r="AE138" i="16"/>
  <c r="AD138" i="16"/>
  <c r="AC138" i="16"/>
  <c r="AB138" i="16"/>
  <c r="AA138" i="16"/>
  <c r="Z138" i="16"/>
  <c r="Y138" i="16"/>
  <c r="X138" i="16"/>
  <c r="S138" i="16"/>
  <c r="R138" i="16"/>
  <c r="P138" i="16"/>
  <c r="O138" i="16"/>
  <c r="N138" i="16"/>
  <c r="C138" i="16"/>
  <c r="AG137" i="16"/>
  <c r="AF137" i="16"/>
  <c r="AE137" i="16"/>
  <c r="AD137" i="16"/>
  <c r="AC137" i="16"/>
  <c r="AB137" i="16"/>
  <c r="AA137" i="16"/>
  <c r="Z137" i="16"/>
  <c r="Y137" i="16"/>
  <c r="X137" i="16"/>
  <c r="S137" i="16"/>
  <c r="R137" i="16"/>
  <c r="P137" i="16"/>
  <c r="O137" i="16"/>
  <c r="N137" i="16"/>
  <c r="C137" i="16"/>
  <c r="AG136" i="16"/>
  <c r="AF136" i="16"/>
  <c r="AE136" i="16"/>
  <c r="AD136" i="16"/>
  <c r="AC136" i="16"/>
  <c r="AB136" i="16"/>
  <c r="AA136" i="16"/>
  <c r="Z136" i="16"/>
  <c r="Y136" i="16"/>
  <c r="X136" i="16"/>
  <c r="S136" i="16"/>
  <c r="R136" i="16"/>
  <c r="P136" i="16"/>
  <c r="O136" i="16"/>
  <c r="N136" i="16"/>
  <c r="C136" i="16"/>
  <c r="AG135" i="16"/>
  <c r="AF135" i="16"/>
  <c r="AE135" i="16"/>
  <c r="AD135" i="16"/>
  <c r="AC135" i="16"/>
  <c r="AB135" i="16"/>
  <c r="AA135" i="16"/>
  <c r="Z135" i="16"/>
  <c r="Y135" i="16"/>
  <c r="X135" i="16"/>
  <c r="S135" i="16"/>
  <c r="R135" i="16"/>
  <c r="P135" i="16"/>
  <c r="O135" i="16"/>
  <c r="N135" i="16"/>
  <c r="C135" i="16"/>
  <c r="AG134" i="16"/>
  <c r="AF134" i="16"/>
  <c r="AE134" i="16"/>
  <c r="AD134" i="16"/>
  <c r="AC134" i="16"/>
  <c r="AB134" i="16"/>
  <c r="AA134" i="16"/>
  <c r="Z134" i="16"/>
  <c r="Y134" i="16"/>
  <c r="X134" i="16"/>
  <c r="S134" i="16"/>
  <c r="R134" i="16"/>
  <c r="P134" i="16"/>
  <c r="O134" i="16"/>
  <c r="N134" i="16"/>
  <c r="C134" i="16"/>
  <c r="AG133" i="16"/>
  <c r="AF133" i="16"/>
  <c r="AE133" i="16"/>
  <c r="AD133" i="16"/>
  <c r="AC133" i="16"/>
  <c r="AB133" i="16"/>
  <c r="AA133" i="16"/>
  <c r="Z133" i="16"/>
  <c r="Y133" i="16"/>
  <c r="X133" i="16"/>
  <c r="S133" i="16"/>
  <c r="R133" i="16"/>
  <c r="P133" i="16"/>
  <c r="O133" i="16"/>
  <c r="N133" i="16"/>
  <c r="AG132" i="16"/>
  <c r="AF132" i="16"/>
  <c r="AE132" i="16"/>
  <c r="AD132" i="16"/>
  <c r="AC132" i="16"/>
  <c r="AB132" i="16"/>
  <c r="AA132" i="16"/>
  <c r="Z132" i="16"/>
  <c r="Y132" i="16"/>
  <c r="X132" i="16"/>
  <c r="S132" i="16"/>
  <c r="R132" i="16"/>
  <c r="P132" i="16"/>
  <c r="O132" i="16"/>
  <c r="N132" i="16"/>
  <c r="C132" i="16"/>
  <c r="AG131" i="16"/>
  <c r="AF131" i="16"/>
  <c r="AE131" i="16"/>
  <c r="AD131" i="16"/>
  <c r="AC131" i="16"/>
  <c r="AB131" i="16"/>
  <c r="AA131" i="16"/>
  <c r="Z131" i="16"/>
  <c r="Y131" i="16"/>
  <c r="X131" i="16"/>
  <c r="S131" i="16"/>
  <c r="R131" i="16"/>
  <c r="P131" i="16"/>
  <c r="O131" i="16"/>
  <c r="N131" i="16"/>
  <c r="C131" i="16"/>
  <c r="AG130" i="16"/>
  <c r="AF130" i="16"/>
  <c r="AE130" i="16"/>
  <c r="AD130" i="16"/>
  <c r="AC130" i="16"/>
  <c r="AB130" i="16"/>
  <c r="AA130" i="16"/>
  <c r="Z130" i="16"/>
  <c r="Y130" i="16"/>
  <c r="X130" i="16"/>
  <c r="S130" i="16"/>
  <c r="R130" i="16"/>
  <c r="P130" i="16"/>
  <c r="O130" i="16"/>
  <c r="N130" i="16"/>
  <c r="C130" i="16"/>
  <c r="AG129" i="16"/>
  <c r="AF129" i="16"/>
  <c r="AE129" i="16"/>
  <c r="AD129" i="16"/>
  <c r="AC129" i="16"/>
  <c r="AB129" i="16"/>
  <c r="AA129" i="16"/>
  <c r="Z129" i="16"/>
  <c r="Y129" i="16"/>
  <c r="X129" i="16"/>
  <c r="S129" i="16"/>
  <c r="R129" i="16"/>
  <c r="P129" i="16"/>
  <c r="O129" i="16"/>
  <c r="N129" i="16"/>
  <c r="C129" i="16"/>
  <c r="AG128" i="16"/>
  <c r="AF128" i="16"/>
  <c r="AE128" i="16"/>
  <c r="AD128" i="16"/>
  <c r="AC128" i="16"/>
  <c r="AB128" i="16"/>
  <c r="AA128" i="16"/>
  <c r="Z128" i="16"/>
  <c r="Y128" i="16"/>
  <c r="X128" i="16"/>
  <c r="S128" i="16"/>
  <c r="R128" i="16"/>
  <c r="P128" i="16"/>
  <c r="O128" i="16"/>
  <c r="N128" i="16"/>
  <c r="AG127" i="16"/>
  <c r="AF127" i="16"/>
  <c r="AE127" i="16"/>
  <c r="AD127" i="16"/>
  <c r="AC127" i="16"/>
  <c r="AB127" i="16"/>
  <c r="AA127" i="16"/>
  <c r="Z127" i="16"/>
  <c r="Y127" i="16"/>
  <c r="X127" i="16"/>
  <c r="S127" i="16"/>
  <c r="R127" i="16"/>
  <c r="P127" i="16"/>
  <c r="O127" i="16"/>
  <c r="N127" i="16"/>
  <c r="C127" i="16"/>
  <c r="AG126" i="16"/>
  <c r="AF126" i="16"/>
  <c r="AE126" i="16"/>
  <c r="AD126" i="16"/>
  <c r="AC126" i="16"/>
  <c r="AB126" i="16"/>
  <c r="AA126" i="16"/>
  <c r="Z126" i="16"/>
  <c r="Y126" i="16"/>
  <c r="X126" i="16"/>
  <c r="S126" i="16"/>
  <c r="R126" i="16"/>
  <c r="P126" i="16"/>
  <c r="O126" i="16"/>
  <c r="N126" i="16"/>
  <c r="C126" i="16"/>
  <c r="AG125" i="16"/>
  <c r="AF125" i="16"/>
  <c r="AE125" i="16"/>
  <c r="AD125" i="16"/>
  <c r="AC125" i="16"/>
  <c r="AB125" i="16"/>
  <c r="AA125" i="16"/>
  <c r="Z125" i="16"/>
  <c r="Y125" i="16"/>
  <c r="X125" i="16"/>
  <c r="S125" i="16"/>
  <c r="R125" i="16"/>
  <c r="P125" i="16"/>
  <c r="O125" i="16"/>
  <c r="N125" i="16"/>
  <c r="C125" i="16"/>
  <c r="AG124" i="16"/>
  <c r="AF124" i="16"/>
  <c r="AE124" i="16"/>
  <c r="AD124" i="16"/>
  <c r="AC124" i="16"/>
  <c r="AB124" i="16"/>
  <c r="AA124" i="16"/>
  <c r="Z124" i="16"/>
  <c r="Y124" i="16"/>
  <c r="X124" i="16"/>
  <c r="S124" i="16"/>
  <c r="R124" i="16"/>
  <c r="P124" i="16"/>
  <c r="O124" i="16"/>
  <c r="N124" i="16"/>
  <c r="C124" i="16"/>
  <c r="AG123" i="16"/>
  <c r="AF123" i="16"/>
  <c r="AE123" i="16"/>
  <c r="AD123" i="16"/>
  <c r="AC123" i="16"/>
  <c r="AB123" i="16"/>
  <c r="AA123" i="16"/>
  <c r="Z123" i="16"/>
  <c r="Y123" i="16"/>
  <c r="X123" i="16"/>
  <c r="S123" i="16"/>
  <c r="R123" i="16"/>
  <c r="P123" i="16"/>
  <c r="O123" i="16"/>
  <c r="N123" i="16"/>
  <c r="C123" i="16"/>
  <c r="AG122" i="16"/>
  <c r="AF122" i="16"/>
  <c r="AE122" i="16"/>
  <c r="AD122" i="16"/>
  <c r="AC122" i="16"/>
  <c r="AB122" i="16"/>
  <c r="AA122" i="16"/>
  <c r="Z122" i="16"/>
  <c r="Y122" i="16"/>
  <c r="X122" i="16"/>
  <c r="S122" i="16"/>
  <c r="R122" i="16"/>
  <c r="P122" i="16"/>
  <c r="O122" i="16"/>
  <c r="N122" i="16"/>
  <c r="C122" i="16"/>
  <c r="AG121" i="16"/>
  <c r="AF121" i="16"/>
  <c r="AE121" i="16"/>
  <c r="AD121" i="16"/>
  <c r="AC121" i="16"/>
  <c r="AB121" i="16"/>
  <c r="AA121" i="16"/>
  <c r="Z121" i="16"/>
  <c r="Y121" i="16"/>
  <c r="X121" i="16"/>
  <c r="S121" i="16"/>
  <c r="R121" i="16"/>
  <c r="P121" i="16"/>
  <c r="O121" i="16"/>
  <c r="N121" i="16"/>
  <c r="C121" i="16"/>
  <c r="AG120" i="16"/>
  <c r="AF120" i="16"/>
  <c r="AE120" i="16"/>
  <c r="AD120" i="16"/>
  <c r="AC120" i="16"/>
  <c r="AB120" i="16"/>
  <c r="AA120" i="16"/>
  <c r="Z120" i="16"/>
  <c r="Y120" i="16"/>
  <c r="X120" i="16"/>
  <c r="S120" i="16"/>
  <c r="R120" i="16"/>
  <c r="P120" i="16"/>
  <c r="O120" i="16"/>
  <c r="N120" i="16"/>
  <c r="C120" i="16"/>
  <c r="AG119" i="16"/>
  <c r="AF119" i="16"/>
  <c r="AE119" i="16"/>
  <c r="AD119" i="16"/>
  <c r="AC119" i="16"/>
  <c r="AB119" i="16"/>
  <c r="AA119" i="16"/>
  <c r="Z119" i="16"/>
  <c r="Y119" i="16"/>
  <c r="X119" i="16"/>
  <c r="S119" i="16"/>
  <c r="R119" i="16"/>
  <c r="P119" i="16"/>
  <c r="O119" i="16"/>
  <c r="N119" i="16"/>
  <c r="C119" i="16"/>
  <c r="AG118" i="16"/>
  <c r="AF118" i="16"/>
  <c r="AE118" i="16"/>
  <c r="AD118" i="16"/>
  <c r="AC118" i="16"/>
  <c r="AB118" i="16"/>
  <c r="AA118" i="16"/>
  <c r="Z118" i="16"/>
  <c r="Y118" i="16"/>
  <c r="X118" i="16"/>
  <c r="S118" i="16"/>
  <c r="R118" i="16"/>
  <c r="P118" i="16"/>
  <c r="O118" i="16"/>
  <c r="N118" i="16"/>
  <c r="AG117" i="16"/>
  <c r="AF117" i="16"/>
  <c r="AE117" i="16"/>
  <c r="AD117" i="16"/>
  <c r="AC117" i="16"/>
  <c r="AB117" i="16"/>
  <c r="AA117" i="16"/>
  <c r="Z117" i="16"/>
  <c r="Y117" i="16"/>
  <c r="X117" i="16"/>
  <c r="S117" i="16"/>
  <c r="R117" i="16"/>
  <c r="P117" i="16"/>
  <c r="O117" i="16"/>
  <c r="N117" i="16"/>
  <c r="C117" i="16"/>
  <c r="AG116" i="16"/>
  <c r="AF116" i="16"/>
  <c r="AE116" i="16"/>
  <c r="AD116" i="16"/>
  <c r="AC116" i="16"/>
  <c r="AB116" i="16"/>
  <c r="AA116" i="16"/>
  <c r="Z116" i="16"/>
  <c r="Y116" i="16"/>
  <c r="X116" i="16"/>
  <c r="S116" i="16"/>
  <c r="R116" i="16"/>
  <c r="P116" i="16"/>
  <c r="O116" i="16"/>
  <c r="N116" i="16"/>
  <c r="C116" i="16"/>
  <c r="AG115" i="16"/>
  <c r="AF115" i="16"/>
  <c r="AE115" i="16"/>
  <c r="AD115" i="16"/>
  <c r="AC115" i="16"/>
  <c r="AB115" i="16"/>
  <c r="AA115" i="16"/>
  <c r="Z115" i="16"/>
  <c r="Y115" i="16"/>
  <c r="X115" i="16"/>
  <c r="S115" i="16"/>
  <c r="R115" i="16"/>
  <c r="P115" i="16"/>
  <c r="O115" i="16"/>
  <c r="N115" i="16"/>
  <c r="C115" i="16"/>
  <c r="AG114" i="16"/>
  <c r="AF114" i="16"/>
  <c r="AE114" i="16"/>
  <c r="AD114" i="16"/>
  <c r="AC114" i="16"/>
  <c r="AB114" i="16"/>
  <c r="AA114" i="16"/>
  <c r="Z114" i="16"/>
  <c r="Y114" i="16"/>
  <c r="X114" i="16"/>
  <c r="S114" i="16"/>
  <c r="R114" i="16"/>
  <c r="P114" i="16"/>
  <c r="O114" i="16"/>
  <c r="N114" i="16"/>
  <c r="C114" i="16"/>
  <c r="AG113" i="16"/>
  <c r="AF113" i="16"/>
  <c r="AE113" i="16"/>
  <c r="AD113" i="16"/>
  <c r="AC113" i="16"/>
  <c r="AB113" i="16"/>
  <c r="AA113" i="16"/>
  <c r="Z113" i="16"/>
  <c r="Y113" i="16"/>
  <c r="X113" i="16"/>
  <c r="S113" i="16"/>
  <c r="R113" i="16"/>
  <c r="P113" i="16"/>
  <c r="O113" i="16"/>
  <c r="N113" i="16"/>
  <c r="C113" i="16"/>
  <c r="AG112" i="16"/>
  <c r="AF112" i="16"/>
  <c r="AE112" i="16"/>
  <c r="AD112" i="16"/>
  <c r="AC112" i="16"/>
  <c r="AB112" i="16"/>
  <c r="AA112" i="16"/>
  <c r="Z112" i="16"/>
  <c r="Y112" i="16"/>
  <c r="X112" i="16"/>
  <c r="S112" i="16"/>
  <c r="R112" i="16"/>
  <c r="P112" i="16"/>
  <c r="O112" i="16"/>
  <c r="N112" i="16"/>
  <c r="C112" i="16"/>
  <c r="AG111" i="16"/>
  <c r="AF111" i="16"/>
  <c r="AE111" i="16"/>
  <c r="AD111" i="16"/>
  <c r="AC111" i="16"/>
  <c r="AB111" i="16"/>
  <c r="AA111" i="16"/>
  <c r="Z111" i="16"/>
  <c r="Y111" i="16"/>
  <c r="X111" i="16"/>
  <c r="S111" i="16"/>
  <c r="R111" i="16"/>
  <c r="P111" i="16"/>
  <c r="O111" i="16"/>
  <c r="N111" i="16"/>
  <c r="C111" i="16"/>
  <c r="AG110" i="16"/>
  <c r="AF110" i="16"/>
  <c r="AE110" i="16"/>
  <c r="AD110" i="16"/>
  <c r="AC110" i="16"/>
  <c r="AB110" i="16"/>
  <c r="AA110" i="16"/>
  <c r="Z110" i="16"/>
  <c r="Y110" i="16"/>
  <c r="X110" i="16"/>
  <c r="S110" i="16"/>
  <c r="R110" i="16"/>
  <c r="P110" i="16"/>
  <c r="O110" i="16"/>
  <c r="N110" i="16"/>
  <c r="AG109" i="16"/>
  <c r="AF109" i="16"/>
  <c r="AE109" i="16"/>
  <c r="AD109" i="16"/>
  <c r="AC109" i="16"/>
  <c r="AB109" i="16"/>
  <c r="AA109" i="16"/>
  <c r="Z109" i="16"/>
  <c r="Y109" i="16"/>
  <c r="X109" i="16"/>
  <c r="S109" i="16"/>
  <c r="R109" i="16"/>
  <c r="P109" i="16"/>
  <c r="O109" i="16"/>
  <c r="N109" i="16"/>
  <c r="C109" i="16"/>
  <c r="AG108" i="16"/>
  <c r="AF108" i="16"/>
  <c r="AE108" i="16"/>
  <c r="AD108" i="16"/>
  <c r="AC108" i="16"/>
  <c r="AB108" i="16"/>
  <c r="AA108" i="16"/>
  <c r="Z108" i="16"/>
  <c r="Y108" i="16"/>
  <c r="X108" i="16"/>
  <c r="S108" i="16"/>
  <c r="R108" i="16"/>
  <c r="P108" i="16"/>
  <c r="O108" i="16"/>
  <c r="N108" i="16"/>
  <c r="C108" i="16"/>
  <c r="AG107" i="16"/>
  <c r="AF107" i="16"/>
  <c r="AE107" i="16"/>
  <c r="AD107" i="16"/>
  <c r="AC107" i="16"/>
  <c r="AB107" i="16"/>
  <c r="AA107" i="16"/>
  <c r="Z107" i="16"/>
  <c r="Y107" i="16"/>
  <c r="X107" i="16"/>
  <c r="S107" i="16"/>
  <c r="R107" i="16"/>
  <c r="P107" i="16"/>
  <c r="O107" i="16"/>
  <c r="N107" i="16"/>
  <c r="C107" i="16"/>
  <c r="AG106" i="16"/>
  <c r="AF106" i="16"/>
  <c r="AE106" i="16"/>
  <c r="AD106" i="16"/>
  <c r="AC106" i="16"/>
  <c r="AB106" i="16"/>
  <c r="AA106" i="16"/>
  <c r="Z106" i="16"/>
  <c r="Y106" i="16"/>
  <c r="X106" i="16"/>
  <c r="S106" i="16"/>
  <c r="R106" i="16"/>
  <c r="P106" i="16"/>
  <c r="O106" i="16"/>
  <c r="N106" i="16"/>
  <c r="C106" i="16"/>
  <c r="AG105" i="16"/>
  <c r="AF105" i="16"/>
  <c r="AE105" i="16"/>
  <c r="AD105" i="16"/>
  <c r="AC105" i="16"/>
  <c r="AB105" i="16"/>
  <c r="AA105" i="16"/>
  <c r="Z105" i="16"/>
  <c r="Y105" i="16"/>
  <c r="X105" i="16"/>
  <c r="S105" i="16"/>
  <c r="R105" i="16"/>
  <c r="P105" i="16"/>
  <c r="O105" i="16"/>
  <c r="N105" i="16"/>
  <c r="C105" i="16"/>
  <c r="AG104" i="16"/>
  <c r="AF104" i="16"/>
  <c r="AE104" i="16"/>
  <c r="AD104" i="16"/>
  <c r="AC104" i="16"/>
  <c r="AB104" i="16"/>
  <c r="AA104" i="16"/>
  <c r="Z104" i="16"/>
  <c r="Y104" i="16"/>
  <c r="X104" i="16"/>
  <c r="S104" i="16"/>
  <c r="R104" i="16"/>
  <c r="P104" i="16"/>
  <c r="O104" i="16"/>
  <c r="N104" i="16"/>
  <c r="C104" i="16"/>
  <c r="AG103" i="16"/>
  <c r="AF103" i="16"/>
  <c r="AE103" i="16"/>
  <c r="AD103" i="16"/>
  <c r="AC103" i="16"/>
  <c r="AB103" i="16"/>
  <c r="AA103" i="16"/>
  <c r="Z103" i="16"/>
  <c r="Y103" i="16"/>
  <c r="X103" i="16"/>
  <c r="S103" i="16"/>
  <c r="R103" i="16"/>
  <c r="P103" i="16"/>
  <c r="O103" i="16"/>
  <c r="N103" i="16"/>
  <c r="C103" i="16"/>
  <c r="AG102" i="16"/>
  <c r="AF102" i="16"/>
  <c r="AE102" i="16"/>
  <c r="AD102" i="16"/>
  <c r="AC102" i="16"/>
  <c r="AB102" i="16"/>
  <c r="AA102" i="16"/>
  <c r="Z102" i="16"/>
  <c r="Y102" i="16"/>
  <c r="X102" i="16"/>
  <c r="S102" i="16"/>
  <c r="R102" i="16"/>
  <c r="P102" i="16"/>
  <c r="O102" i="16"/>
  <c r="N102" i="16"/>
  <c r="C102" i="16"/>
  <c r="AG101" i="16"/>
  <c r="AF101" i="16"/>
  <c r="AE101" i="16"/>
  <c r="AD101" i="16"/>
  <c r="AC101" i="16"/>
  <c r="AB101" i="16"/>
  <c r="AA101" i="16"/>
  <c r="Z101" i="16"/>
  <c r="Y101" i="16"/>
  <c r="X101" i="16"/>
  <c r="S101" i="16"/>
  <c r="R101" i="16"/>
  <c r="P101" i="16"/>
  <c r="O101" i="16"/>
  <c r="N101" i="16"/>
  <c r="AG100" i="16"/>
  <c r="AF100" i="16"/>
  <c r="AE100" i="16"/>
  <c r="AD100" i="16"/>
  <c r="AC100" i="16"/>
  <c r="AB100" i="16"/>
  <c r="AA100" i="16"/>
  <c r="Z100" i="16"/>
  <c r="Y100" i="16"/>
  <c r="X100" i="16"/>
  <c r="S100" i="16"/>
  <c r="R100" i="16"/>
  <c r="P100" i="16"/>
  <c r="O100" i="16"/>
  <c r="N100" i="16"/>
  <c r="C100" i="16"/>
  <c r="AG99" i="16"/>
  <c r="AF99" i="16"/>
  <c r="AE99" i="16"/>
  <c r="AD99" i="16"/>
  <c r="AC99" i="16"/>
  <c r="AB99" i="16"/>
  <c r="AA99" i="16"/>
  <c r="Z99" i="16"/>
  <c r="Y99" i="16"/>
  <c r="X99" i="16"/>
  <c r="S99" i="16"/>
  <c r="R99" i="16"/>
  <c r="P99" i="16"/>
  <c r="O99" i="16"/>
  <c r="N99" i="16"/>
  <c r="C99" i="16"/>
  <c r="AG98" i="16"/>
  <c r="AF98" i="16"/>
  <c r="AE98" i="16"/>
  <c r="AD98" i="16"/>
  <c r="AC98" i="16"/>
  <c r="AB98" i="16"/>
  <c r="AA98" i="16"/>
  <c r="Z98" i="16"/>
  <c r="Y98" i="16"/>
  <c r="X98" i="16"/>
  <c r="S98" i="16"/>
  <c r="R98" i="16"/>
  <c r="P98" i="16"/>
  <c r="O98" i="16"/>
  <c r="N98" i="16"/>
  <c r="C98" i="16"/>
  <c r="AG97" i="16"/>
  <c r="AF97" i="16"/>
  <c r="AE97" i="16"/>
  <c r="AD97" i="16"/>
  <c r="AC97" i="16"/>
  <c r="AB97" i="16"/>
  <c r="AA97" i="16"/>
  <c r="Z97" i="16"/>
  <c r="Y97" i="16"/>
  <c r="X97" i="16"/>
  <c r="S97" i="16"/>
  <c r="R97" i="16"/>
  <c r="P97" i="16"/>
  <c r="O97" i="16"/>
  <c r="N97" i="16"/>
  <c r="C97" i="16"/>
  <c r="AG96" i="16"/>
  <c r="AF96" i="16"/>
  <c r="AE96" i="16"/>
  <c r="AD96" i="16"/>
  <c r="AC96" i="16"/>
  <c r="AB96" i="16"/>
  <c r="AA96" i="16"/>
  <c r="Z96" i="16"/>
  <c r="Y96" i="16"/>
  <c r="X96" i="16"/>
  <c r="S96" i="16"/>
  <c r="R96" i="16"/>
  <c r="P96" i="16"/>
  <c r="O96" i="16"/>
  <c r="N96" i="16"/>
  <c r="C96" i="16"/>
  <c r="AG95" i="16"/>
  <c r="AF95" i="16"/>
  <c r="AE95" i="16"/>
  <c r="AD95" i="16"/>
  <c r="AC95" i="16"/>
  <c r="AB95" i="16"/>
  <c r="AA95" i="16"/>
  <c r="Z95" i="16"/>
  <c r="Y95" i="16"/>
  <c r="X95" i="16"/>
  <c r="S95" i="16"/>
  <c r="R95" i="16"/>
  <c r="P95" i="16"/>
  <c r="O95" i="16"/>
  <c r="N95" i="16"/>
  <c r="C95" i="16"/>
  <c r="AG94" i="16"/>
  <c r="AF94" i="16"/>
  <c r="AE94" i="16"/>
  <c r="AD94" i="16"/>
  <c r="AC94" i="16"/>
  <c r="AB94" i="16"/>
  <c r="AA94" i="16"/>
  <c r="Z94" i="16"/>
  <c r="Y94" i="16"/>
  <c r="X94" i="16"/>
  <c r="S94" i="16"/>
  <c r="R94" i="16"/>
  <c r="P94" i="16"/>
  <c r="O94" i="16"/>
  <c r="N94" i="16"/>
  <c r="C94" i="16"/>
  <c r="AG93" i="16"/>
  <c r="AF93" i="16"/>
  <c r="AE93" i="16"/>
  <c r="AD93" i="16"/>
  <c r="AC93" i="16"/>
  <c r="AB93" i="16"/>
  <c r="AA93" i="16"/>
  <c r="Z93" i="16"/>
  <c r="Y93" i="16"/>
  <c r="X93" i="16"/>
  <c r="S93" i="16"/>
  <c r="R93" i="16"/>
  <c r="P93" i="16"/>
  <c r="O93" i="16"/>
  <c r="N93" i="16"/>
  <c r="C93" i="16"/>
  <c r="AG92" i="16"/>
  <c r="AF92" i="16"/>
  <c r="AE92" i="16"/>
  <c r="AD92" i="16"/>
  <c r="AC92" i="16"/>
  <c r="AB92" i="16"/>
  <c r="AA92" i="16"/>
  <c r="Z92" i="16"/>
  <c r="Y92" i="16"/>
  <c r="X92" i="16"/>
  <c r="S92" i="16"/>
  <c r="R92" i="16"/>
  <c r="P92" i="16"/>
  <c r="O92" i="16"/>
  <c r="N92" i="16"/>
  <c r="AG91" i="16"/>
  <c r="AF91" i="16"/>
  <c r="AE91" i="16"/>
  <c r="AD91" i="16"/>
  <c r="AC91" i="16"/>
  <c r="AB91" i="16"/>
  <c r="AA91" i="16"/>
  <c r="Z91" i="16"/>
  <c r="Y91" i="16"/>
  <c r="X91" i="16"/>
  <c r="S91" i="16"/>
  <c r="R91" i="16"/>
  <c r="P91" i="16"/>
  <c r="O91" i="16"/>
  <c r="N91" i="16"/>
  <c r="C91" i="16"/>
  <c r="AG90" i="16"/>
  <c r="AF90" i="16"/>
  <c r="AE90" i="16"/>
  <c r="AD90" i="16"/>
  <c r="AC90" i="16"/>
  <c r="AB90" i="16"/>
  <c r="AA90" i="16"/>
  <c r="Z90" i="16"/>
  <c r="Y90" i="16"/>
  <c r="X90" i="16"/>
  <c r="S90" i="16"/>
  <c r="R90" i="16"/>
  <c r="P90" i="16"/>
  <c r="O90" i="16"/>
  <c r="N90" i="16"/>
  <c r="C90" i="16"/>
  <c r="AG89" i="16"/>
  <c r="AF89" i="16"/>
  <c r="AE89" i="16"/>
  <c r="AD89" i="16"/>
  <c r="AC89" i="16"/>
  <c r="AB89" i="16"/>
  <c r="AA89" i="16"/>
  <c r="Z89" i="16"/>
  <c r="Y89" i="16"/>
  <c r="X89" i="16"/>
  <c r="S89" i="16"/>
  <c r="R89" i="16"/>
  <c r="P89" i="16"/>
  <c r="O89" i="16"/>
  <c r="N89" i="16"/>
  <c r="C89" i="16"/>
  <c r="AG88" i="16"/>
  <c r="AF88" i="16"/>
  <c r="AE88" i="16"/>
  <c r="AD88" i="16"/>
  <c r="AC88" i="16"/>
  <c r="AB88" i="16"/>
  <c r="AA88" i="16"/>
  <c r="Z88" i="16"/>
  <c r="Y88" i="16"/>
  <c r="X88" i="16"/>
  <c r="S88" i="16"/>
  <c r="R88" i="16"/>
  <c r="P88" i="16"/>
  <c r="O88" i="16"/>
  <c r="N88" i="16"/>
  <c r="C88" i="16"/>
  <c r="AG87" i="16"/>
  <c r="AF87" i="16"/>
  <c r="AE87" i="16"/>
  <c r="AD87" i="16"/>
  <c r="AC87" i="16"/>
  <c r="AB87" i="16"/>
  <c r="AA87" i="16"/>
  <c r="Z87" i="16"/>
  <c r="Y87" i="16"/>
  <c r="X87" i="16"/>
  <c r="S87" i="16"/>
  <c r="R87" i="16"/>
  <c r="P87" i="16"/>
  <c r="O87" i="16"/>
  <c r="N87" i="16"/>
  <c r="AG86" i="16"/>
  <c r="AF86" i="16"/>
  <c r="AE86" i="16"/>
  <c r="AD86" i="16"/>
  <c r="AC86" i="16"/>
  <c r="AB86" i="16"/>
  <c r="AA86" i="16"/>
  <c r="Z86" i="16"/>
  <c r="Y86" i="16"/>
  <c r="X86" i="16"/>
  <c r="S86" i="16"/>
  <c r="R86" i="16"/>
  <c r="P86" i="16"/>
  <c r="O86" i="16"/>
  <c r="N86" i="16"/>
  <c r="C86" i="16"/>
  <c r="AG85" i="16"/>
  <c r="AF85" i="16"/>
  <c r="AE85" i="16"/>
  <c r="AD85" i="16"/>
  <c r="AC85" i="16"/>
  <c r="AB85" i="16"/>
  <c r="AA85" i="16"/>
  <c r="Z85" i="16"/>
  <c r="Y85" i="16"/>
  <c r="X85" i="16"/>
  <c r="S85" i="16"/>
  <c r="R85" i="16"/>
  <c r="P85" i="16"/>
  <c r="O85" i="16"/>
  <c r="N85" i="16"/>
  <c r="C85" i="16"/>
  <c r="AG84" i="16"/>
  <c r="AF84" i="16"/>
  <c r="AE84" i="16"/>
  <c r="AD84" i="16"/>
  <c r="AC84" i="16"/>
  <c r="AB84" i="16"/>
  <c r="AA84" i="16"/>
  <c r="Z84" i="16"/>
  <c r="Y84" i="16"/>
  <c r="X84" i="16"/>
  <c r="S84" i="16"/>
  <c r="R84" i="16"/>
  <c r="P84" i="16"/>
  <c r="O84" i="16"/>
  <c r="N84" i="16"/>
  <c r="C84" i="16"/>
  <c r="AG83" i="16"/>
  <c r="AF83" i="16"/>
  <c r="AE83" i="16"/>
  <c r="AD83" i="16"/>
  <c r="AC83" i="16"/>
  <c r="AB83" i="16"/>
  <c r="AA83" i="16"/>
  <c r="Z83" i="16"/>
  <c r="Y83" i="16"/>
  <c r="X83" i="16"/>
  <c r="S83" i="16"/>
  <c r="R83" i="16"/>
  <c r="P83" i="16"/>
  <c r="O83" i="16"/>
  <c r="N83" i="16"/>
  <c r="C83" i="16"/>
  <c r="AG82" i="16"/>
  <c r="AF82" i="16"/>
  <c r="AE82" i="16"/>
  <c r="AD82" i="16"/>
  <c r="AC82" i="16"/>
  <c r="AB82" i="16"/>
  <c r="AA82" i="16"/>
  <c r="Z82" i="16"/>
  <c r="Y82" i="16"/>
  <c r="X82" i="16"/>
  <c r="S82" i="16"/>
  <c r="R82" i="16"/>
  <c r="P82" i="16"/>
  <c r="O82" i="16"/>
  <c r="N82" i="16"/>
  <c r="AG81" i="16"/>
  <c r="AF81" i="16"/>
  <c r="AE81" i="16"/>
  <c r="AD81" i="16"/>
  <c r="AC81" i="16"/>
  <c r="AB81" i="16"/>
  <c r="AA81" i="16"/>
  <c r="Z81" i="16"/>
  <c r="Y81" i="16"/>
  <c r="X81" i="16"/>
  <c r="S81" i="16"/>
  <c r="R81" i="16"/>
  <c r="P81" i="16"/>
  <c r="O81" i="16"/>
  <c r="N81" i="16"/>
  <c r="C81" i="16"/>
  <c r="AG80" i="16"/>
  <c r="AF80" i="16"/>
  <c r="AE80" i="16"/>
  <c r="AD80" i="16"/>
  <c r="AC80" i="16"/>
  <c r="AB80" i="16"/>
  <c r="AA80" i="16"/>
  <c r="Z80" i="16"/>
  <c r="Y80" i="16"/>
  <c r="X80" i="16"/>
  <c r="S80" i="16"/>
  <c r="R80" i="16"/>
  <c r="P80" i="16"/>
  <c r="O80" i="16"/>
  <c r="N80" i="16"/>
  <c r="C80" i="16"/>
  <c r="AG79" i="16"/>
  <c r="AF79" i="16"/>
  <c r="AE79" i="16"/>
  <c r="AD79" i="16"/>
  <c r="AC79" i="16"/>
  <c r="AB79" i="16"/>
  <c r="AA79" i="16"/>
  <c r="Z79" i="16"/>
  <c r="Y79" i="16"/>
  <c r="X79" i="16"/>
  <c r="S79" i="16"/>
  <c r="R79" i="16"/>
  <c r="P79" i="16"/>
  <c r="O79" i="16"/>
  <c r="N79" i="16"/>
  <c r="C79" i="16"/>
  <c r="AG78" i="16"/>
  <c r="AF78" i="16"/>
  <c r="AE78" i="16"/>
  <c r="AD78" i="16"/>
  <c r="AC78" i="16"/>
  <c r="AB78" i="16"/>
  <c r="AA78" i="16"/>
  <c r="Z78" i="16"/>
  <c r="Y78" i="16"/>
  <c r="X78" i="16"/>
  <c r="S78" i="16"/>
  <c r="R78" i="16"/>
  <c r="P78" i="16"/>
  <c r="O78" i="16"/>
  <c r="N78" i="16"/>
  <c r="C78" i="16"/>
  <c r="AG77" i="16"/>
  <c r="AF77" i="16"/>
  <c r="AE77" i="16"/>
  <c r="AD77" i="16"/>
  <c r="AC77" i="16"/>
  <c r="AB77" i="16"/>
  <c r="AA77" i="16"/>
  <c r="Z77" i="16"/>
  <c r="Y77" i="16"/>
  <c r="X77" i="16"/>
  <c r="S77" i="16"/>
  <c r="R77" i="16"/>
  <c r="P77" i="16"/>
  <c r="O77" i="16"/>
  <c r="N77" i="16"/>
  <c r="C77" i="16"/>
  <c r="AG76" i="16"/>
  <c r="AF76" i="16"/>
  <c r="AE76" i="16"/>
  <c r="AD76" i="16"/>
  <c r="AC76" i="16"/>
  <c r="AB76" i="16"/>
  <c r="AA76" i="16"/>
  <c r="Z76" i="16"/>
  <c r="Y76" i="16"/>
  <c r="X76" i="16"/>
  <c r="S76" i="16"/>
  <c r="R76" i="16"/>
  <c r="P76" i="16"/>
  <c r="O76" i="16"/>
  <c r="N76" i="16"/>
  <c r="C76" i="16"/>
  <c r="AG75" i="16"/>
  <c r="AF75" i="16"/>
  <c r="AE75" i="16"/>
  <c r="AD75" i="16"/>
  <c r="AC75" i="16"/>
  <c r="AB75" i="16"/>
  <c r="AA75" i="16"/>
  <c r="Z75" i="16"/>
  <c r="Y75" i="16"/>
  <c r="X75" i="16"/>
  <c r="S75" i="16"/>
  <c r="R75" i="16"/>
  <c r="P75" i="16"/>
  <c r="O75" i="16"/>
  <c r="N75" i="16"/>
  <c r="C75" i="16"/>
  <c r="AG74" i="16"/>
  <c r="AF74" i="16"/>
  <c r="AE74" i="16"/>
  <c r="AD74" i="16"/>
  <c r="AC74" i="16"/>
  <c r="AB74" i="16"/>
  <c r="AA74" i="16"/>
  <c r="Z74" i="16"/>
  <c r="Y74" i="16"/>
  <c r="X74" i="16"/>
  <c r="S74" i="16"/>
  <c r="R74" i="16"/>
  <c r="P74" i="16"/>
  <c r="O74" i="16"/>
  <c r="N74" i="16"/>
  <c r="AG73" i="16"/>
  <c r="AF73" i="16"/>
  <c r="AE73" i="16"/>
  <c r="AD73" i="16"/>
  <c r="AC73" i="16"/>
  <c r="AB73" i="16"/>
  <c r="AA73" i="16"/>
  <c r="Z73" i="16"/>
  <c r="Y73" i="16"/>
  <c r="X73" i="16"/>
  <c r="S73" i="16"/>
  <c r="R73" i="16"/>
  <c r="P73" i="16"/>
  <c r="O73" i="16"/>
  <c r="N73" i="16"/>
  <c r="C73" i="16"/>
  <c r="AG72" i="16"/>
  <c r="AF72" i="16"/>
  <c r="AE72" i="16"/>
  <c r="AD72" i="16"/>
  <c r="AC72" i="16"/>
  <c r="AB72" i="16"/>
  <c r="AA72" i="16"/>
  <c r="Z72" i="16"/>
  <c r="Y72" i="16"/>
  <c r="X72" i="16"/>
  <c r="S72" i="16"/>
  <c r="R72" i="16"/>
  <c r="P72" i="16"/>
  <c r="O72" i="16"/>
  <c r="N72" i="16"/>
  <c r="C72" i="16"/>
  <c r="AG71" i="16"/>
  <c r="AF71" i="16"/>
  <c r="AE71" i="16"/>
  <c r="AD71" i="16"/>
  <c r="AC71" i="16"/>
  <c r="AB71" i="16"/>
  <c r="AA71" i="16"/>
  <c r="Z71" i="16"/>
  <c r="Y71" i="16"/>
  <c r="X71" i="16"/>
  <c r="S71" i="16"/>
  <c r="R71" i="16"/>
  <c r="P71" i="16"/>
  <c r="O71" i="16"/>
  <c r="N71" i="16"/>
  <c r="C71" i="16"/>
  <c r="AG70" i="16"/>
  <c r="AF70" i="16"/>
  <c r="AE70" i="16"/>
  <c r="AD70" i="16"/>
  <c r="AC70" i="16"/>
  <c r="AB70" i="16"/>
  <c r="AA70" i="16"/>
  <c r="Z70" i="16"/>
  <c r="Y70" i="16"/>
  <c r="X70" i="16"/>
  <c r="S70" i="16"/>
  <c r="R70" i="16"/>
  <c r="P70" i="16"/>
  <c r="O70" i="16"/>
  <c r="N70" i="16"/>
  <c r="C70" i="16"/>
  <c r="AG69" i="16"/>
  <c r="AF69" i="16"/>
  <c r="AE69" i="16"/>
  <c r="AD69" i="16"/>
  <c r="AC69" i="16"/>
  <c r="AB69" i="16"/>
  <c r="AA69" i="16"/>
  <c r="Z69" i="16"/>
  <c r="Y69" i="16"/>
  <c r="X69" i="16"/>
  <c r="S69" i="16"/>
  <c r="R69" i="16"/>
  <c r="P69" i="16"/>
  <c r="O69" i="16"/>
  <c r="N69" i="16"/>
  <c r="C69" i="16"/>
  <c r="AG68" i="16"/>
  <c r="AF68" i="16"/>
  <c r="AE68" i="16"/>
  <c r="AD68" i="16"/>
  <c r="AC68" i="16"/>
  <c r="AB68" i="16"/>
  <c r="AA68" i="16"/>
  <c r="Z68" i="16"/>
  <c r="Y68" i="16"/>
  <c r="X68" i="16"/>
  <c r="S68" i="16"/>
  <c r="R68" i="16"/>
  <c r="P68" i="16"/>
  <c r="O68" i="16"/>
  <c r="N68" i="16"/>
  <c r="C68" i="16"/>
  <c r="AG67" i="16"/>
  <c r="AF67" i="16"/>
  <c r="AE67" i="16"/>
  <c r="AD67" i="16"/>
  <c r="AC67" i="16"/>
  <c r="AB67" i="16"/>
  <c r="AA67" i="16"/>
  <c r="Z67" i="16"/>
  <c r="Y67" i="16"/>
  <c r="X67" i="16"/>
  <c r="S67" i="16"/>
  <c r="R67" i="16"/>
  <c r="P67" i="16"/>
  <c r="O67" i="16"/>
  <c r="N67" i="16"/>
  <c r="C67" i="16"/>
  <c r="AG66" i="16"/>
  <c r="AF66" i="16"/>
  <c r="AE66" i="16"/>
  <c r="AD66" i="16"/>
  <c r="AC66" i="16"/>
  <c r="AB66" i="16"/>
  <c r="AA66" i="16"/>
  <c r="Z66" i="16"/>
  <c r="Y66" i="16"/>
  <c r="X66" i="16"/>
  <c r="S66" i="16"/>
  <c r="R66" i="16"/>
  <c r="P66" i="16"/>
  <c r="O66" i="16"/>
  <c r="N66" i="16"/>
  <c r="AG65" i="16"/>
  <c r="AF65" i="16"/>
  <c r="AE65" i="16"/>
  <c r="AD65" i="16"/>
  <c r="AC65" i="16"/>
  <c r="AB65" i="16"/>
  <c r="AA65" i="16"/>
  <c r="Z65" i="16"/>
  <c r="Y65" i="16"/>
  <c r="X65" i="16"/>
  <c r="S65" i="16"/>
  <c r="R65" i="16"/>
  <c r="P65" i="16"/>
  <c r="O65" i="16"/>
  <c r="N65" i="16"/>
  <c r="C65" i="16"/>
  <c r="AG64" i="16"/>
  <c r="AF64" i="16"/>
  <c r="AE64" i="16"/>
  <c r="AD64" i="16"/>
  <c r="AC64" i="16"/>
  <c r="AB64" i="16"/>
  <c r="AA64" i="16"/>
  <c r="Z64" i="16"/>
  <c r="Y64" i="16"/>
  <c r="X64" i="16"/>
  <c r="S64" i="16"/>
  <c r="R64" i="16"/>
  <c r="P64" i="16"/>
  <c r="O64" i="16"/>
  <c r="N64" i="16"/>
  <c r="C64" i="16"/>
  <c r="AG63" i="16"/>
  <c r="AF63" i="16"/>
  <c r="AE63" i="16"/>
  <c r="AD63" i="16"/>
  <c r="AC63" i="16"/>
  <c r="AB63" i="16"/>
  <c r="AA63" i="16"/>
  <c r="Z63" i="16"/>
  <c r="Y63" i="16"/>
  <c r="X63" i="16"/>
  <c r="S63" i="16"/>
  <c r="R63" i="16"/>
  <c r="P63" i="16"/>
  <c r="O63" i="16"/>
  <c r="N63" i="16"/>
  <c r="C63" i="16"/>
  <c r="AG62" i="16"/>
  <c r="AF62" i="16"/>
  <c r="AE62" i="16"/>
  <c r="AD62" i="16"/>
  <c r="AC62" i="16"/>
  <c r="AB62" i="16"/>
  <c r="AA62" i="16"/>
  <c r="Z62" i="16"/>
  <c r="Y62" i="16"/>
  <c r="X62" i="16"/>
  <c r="S62" i="16"/>
  <c r="R62" i="16"/>
  <c r="P62" i="16"/>
  <c r="O62" i="16"/>
  <c r="N62" i="16"/>
  <c r="C62" i="16"/>
  <c r="AG61" i="16"/>
  <c r="AF61" i="16"/>
  <c r="AE61" i="16"/>
  <c r="AD61" i="16"/>
  <c r="AC61" i="16"/>
  <c r="AB61" i="16"/>
  <c r="AA61" i="16"/>
  <c r="Z61" i="16"/>
  <c r="Y61" i="16"/>
  <c r="X61" i="16"/>
  <c r="S61" i="16"/>
  <c r="R61" i="16"/>
  <c r="P61" i="16"/>
  <c r="O61" i="16"/>
  <c r="N61" i="16"/>
  <c r="C61" i="16"/>
  <c r="AG60" i="16"/>
  <c r="AF60" i="16"/>
  <c r="AE60" i="16"/>
  <c r="AD60" i="16"/>
  <c r="AC60" i="16"/>
  <c r="AB60" i="16"/>
  <c r="AA60" i="16"/>
  <c r="Z60" i="16"/>
  <c r="Y60" i="16"/>
  <c r="X60" i="16"/>
  <c r="S60" i="16"/>
  <c r="R60" i="16"/>
  <c r="P60" i="16"/>
  <c r="O60" i="16"/>
  <c r="N60" i="16"/>
  <c r="C60" i="16"/>
  <c r="AG59" i="16"/>
  <c r="AF59" i="16"/>
  <c r="AE59" i="16"/>
  <c r="AD59" i="16"/>
  <c r="AC59" i="16"/>
  <c r="AB59" i="16"/>
  <c r="AA59" i="16"/>
  <c r="Z59" i="16"/>
  <c r="Y59" i="16"/>
  <c r="X59" i="16"/>
  <c r="S59" i="16"/>
  <c r="R59" i="16"/>
  <c r="P59" i="16"/>
  <c r="O59" i="16"/>
  <c r="N59" i="16"/>
  <c r="C59" i="16"/>
  <c r="AG58" i="16"/>
  <c r="AF58" i="16"/>
  <c r="AE58" i="16"/>
  <c r="AD58" i="16"/>
  <c r="AC58" i="16"/>
  <c r="AB58" i="16"/>
  <c r="AA58" i="16"/>
  <c r="Z58" i="16"/>
  <c r="Y58" i="16"/>
  <c r="X58" i="16"/>
  <c r="S58" i="16"/>
  <c r="R58" i="16"/>
  <c r="P58" i="16"/>
  <c r="O58" i="16"/>
  <c r="N58" i="16"/>
  <c r="AG57" i="16"/>
  <c r="AF57" i="16"/>
  <c r="AE57" i="16"/>
  <c r="AD57" i="16"/>
  <c r="AC57" i="16"/>
  <c r="AB57" i="16"/>
  <c r="AA57" i="16"/>
  <c r="Z57" i="16"/>
  <c r="Y57" i="16"/>
  <c r="X57" i="16"/>
  <c r="S57" i="16"/>
  <c r="R57" i="16"/>
  <c r="P57" i="16"/>
  <c r="O57" i="16"/>
  <c r="N57" i="16"/>
  <c r="C57" i="16"/>
  <c r="AG56" i="16"/>
  <c r="AF56" i="16"/>
  <c r="AE56" i="16"/>
  <c r="AD56" i="16"/>
  <c r="AC56" i="16"/>
  <c r="AB56" i="16"/>
  <c r="AA56" i="16"/>
  <c r="Z56" i="16"/>
  <c r="Y56" i="16"/>
  <c r="X56" i="16"/>
  <c r="S56" i="16"/>
  <c r="R56" i="16"/>
  <c r="P56" i="16"/>
  <c r="O56" i="16"/>
  <c r="N56" i="16"/>
  <c r="C56" i="16"/>
  <c r="AG55" i="16"/>
  <c r="AF55" i="16"/>
  <c r="AE55" i="16"/>
  <c r="AD55" i="16"/>
  <c r="AC55" i="16"/>
  <c r="AB55" i="16"/>
  <c r="AA55" i="16"/>
  <c r="Z55" i="16"/>
  <c r="Y55" i="16"/>
  <c r="X55" i="16"/>
  <c r="S55" i="16"/>
  <c r="R55" i="16"/>
  <c r="P55" i="16"/>
  <c r="O55" i="16"/>
  <c r="N55" i="16"/>
  <c r="C55" i="16"/>
  <c r="AG54" i="16"/>
  <c r="AF54" i="16"/>
  <c r="AE54" i="16"/>
  <c r="AD54" i="16"/>
  <c r="AC54" i="16"/>
  <c r="AB54" i="16"/>
  <c r="AA54" i="16"/>
  <c r="Z54" i="16"/>
  <c r="Y54" i="16"/>
  <c r="X54" i="16"/>
  <c r="S54" i="16"/>
  <c r="R54" i="16"/>
  <c r="P54" i="16"/>
  <c r="O54" i="16"/>
  <c r="N54" i="16"/>
  <c r="C54" i="16"/>
  <c r="AG53" i="16"/>
  <c r="AF53" i="16"/>
  <c r="AE53" i="16"/>
  <c r="AD53" i="16"/>
  <c r="AC53" i="16"/>
  <c r="AB53" i="16"/>
  <c r="AA53" i="16"/>
  <c r="Z53" i="16"/>
  <c r="Y53" i="16"/>
  <c r="X53" i="16"/>
  <c r="S53" i="16"/>
  <c r="R53" i="16"/>
  <c r="P53" i="16"/>
  <c r="O53" i="16"/>
  <c r="N53" i="16"/>
  <c r="C53" i="16"/>
  <c r="AG52" i="16"/>
  <c r="AF52" i="16"/>
  <c r="AE52" i="16"/>
  <c r="AD52" i="16"/>
  <c r="AC52" i="16"/>
  <c r="AB52" i="16"/>
  <c r="AA52" i="16"/>
  <c r="Z52" i="16"/>
  <c r="Y52" i="16"/>
  <c r="X52" i="16"/>
  <c r="S52" i="16"/>
  <c r="R52" i="16"/>
  <c r="P52" i="16"/>
  <c r="O52" i="16"/>
  <c r="N52" i="16"/>
  <c r="C52" i="16"/>
  <c r="AG51" i="16"/>
  <c r="AF51" i="16"/>
  <c r="AE51" i="16"/>
  <c r="AD51" i="16"/>
  <c r="AC51" i="16"/>
  <c r="AB51" i="16"/>
  <c r="AA51" i="16"/>
  <c r="Z51" i="16"/>
  <c r="Y51" i="16"/>
  <c r="X51" i="16"/>
  <c r="S51" i="16"/>
  <c r="R51" i="16"/>
  <c r="P51" i="16"/>
  <c r="O51" i="16"/>
  <c r="N51" i="16"/>
  <c r="C51" i="16"/>
  <c r="AG50" i="16"/>
  <c r="AF50" i="16"/>
  <c r="AE50" i="16"/>
  <c r="AD50" i="16"/>
  <c r="AC50" i="16"/>
  <c r="AB50" i="16"/>
  <c r="AA50" i="16"/>
  <c r="Z50" i="16"/>
  <c r="Y50" i="16"/>
  <c r="X50" i="16"/>
  <c r="S50" i="16"/>
  <c r="R50" i="16"/>
  <c r="P50" i="16"/>
  <c r="O50" i="16"/>
  <c r="N50" i="16"/>
  <c r="AG49" i="16"/>
  <c r="AF49" i="16"/>
  <c r="AE49" i="16"/>
  <c r="AD49" i="16"/>
  <c r="AC49" i="16"/>
  <c r="AB49" i="16"/>
  <c r="AA49" i="16"/>
  <c r="Z49" i="16"/>
  <c r="Y49" i="16"/>
  <c r="X49" i="16"/>
  <c r="S49" i="16"/>
  <c r="R49" i="16"/>
  <c r="P49" i="16"/>
  <c r="O49" i="16"/>
  <c r="N49" i="16"/>
  <c r="C49" i="16"/>
  <c r="AG48" i="16"/>
  <c r="AF48" i="16"/>
  <c r="AE48" i="16"/>
  <c r="AD48" i="16"/>
  <c r="AC48" i="16"/>
  <c r="AB48" i="16"/>
  <c r="AA48" i="16"/>
  <c r="Z48" i="16"/>
  <c r="Y48" i="16"/>
  <c r="X48" i="16"/>
  <c r="S48" i="16"/>
  <c r="R48" i="16"/>
  <c r="P48" i="16"/>
  <c r="O48" i="16"/>
  <c r="N48" i="16"/>
  <c r="C48" i="16"/>
  <c r="AG47" i="16"/>
  <c r="AF47" i="16"/>
  <c r="AE47" i="16"/>
  <c r="AD47" i="16"/>
  <c r="AC47" i="16"/>
  <c r="AB47" i="16"/>
  <c r="AA47" i="16"/>
  <c r="Z47" i="16"/>
  <c r="Y47" i="16"/>
  <c r="X47" i="16"/>
  <c r="S47" i="16"/>
  <c r="R47" i="16"/>
  <c r="P47" i="16"/>
  <c r="O47" i="16"/>
  <c r="N47" i="16"/>
  <c r="C47" i="16"/>
  <c r="AG46" i="16"/>
  <c r="AF46" i="16"/>
  <c r="AE46" i="16"/>
  <c r="AD46" i="16"/>
  <c r="AC46" i="16"/>
  <c r="AB46" i="16"/>
  <c r="AA46" i="16"/>
  <c r="Z46" i="16"/>
  <c r="Y46" i="16"/>
  <c r="X46" i="16"/>
  <c r="S46" i="16"/>
  <c r="R46" i="16"/>
  <c r="P46" i="16"/>
  <c r="O46" i="16"/>
  <c r="N46" i="16"/>
  <c r="C46" i="16"/>
  <c r="AG45" i="16"/>
  <c r="AF45" i="16"/>
  <c r="AE45" i="16"/>
  <c r="AD45" i="16"/>
  <c r="AC45" i="16"/>
  <c r="AB45" i="16"/>
  <c r="AA45" i="16"/>
  <c r="Z45" i="16"/>
  <c r="Y45" i="16"/>
  <c r="X45" i="16"/>
  <c r="S45" i="16"/>
  <c r="R45" i="16"/>
  <c r="P45" i="16"/>
  <c r="O45" i="16"/>
  <c r="N45" i="16"/>
  <c r="C45" i="16"/>
  <c r="AG44" i="16"/>
  <c r="AF44" i="16"/>
  <c r="AE44" i="16"/>
  <c r="AD44" i="16"/>
  <c r="AC44" i="16"/>
  <c r="AB44" i="16"/>
  <c r="AA44" i="16"/>
  <c r="Z44" i="16"/>
  <c r="Y44" i="16"/>
  <c r="X44" i="16"/>
  <c r="S44" i="16"/>
  <c r="R44" i="16"/>
  <c r="P44" i="16"/>
  <c r="O44" i="16"/>
  <c r="N44" i="16"/>
  <c r="AG43" i="16"/>
  <c r="AF43" i="16"/>
  <c r="AE43" i="16"/>
  <c r="AD43" i="16"/>
  <c r="AC43" i="16"/>
  <c r="AB43" i="16"/>
  <c r="AA43" i="16"/>
  <c r="Z43" i="16"/>
  <c r="Y43" i="16"/>
  <c r="X43" i="16"/>
  <c r="S43" i="16"/>
  <c r="R43" i="16"/>
  <c r="P43" i="16"/>
  <c r="O43" i="16"/>
  <c r="N43" i="16"/>
  <c r="C43" i="16"/>
  <c r="AG42" i="16"/>
  <c r="AF42" i="16"/>
  <c r="AE42" i="16"/>
  <c r="AD42" i="16"/>
  <c r="AC42" i="16"/>
  <c r="AB42" i="16"/>
  <c r="AA42" i="16"/>
  <c r="Z42" i="16"/>
  <c r="Y42" i="16"/>
  <c r="X42" i="16"/>
  <c r="S42" i="16"/>
  <c r="R42" i="16"/>
  <c r="P42" i="16"/>
  <c r="O42" i="16"/>
  <c r="N42" i="16"/>
  <c r="C42" i="16"/>
  <c r="AG41" i="16"/>
  <c r="AF41" i="16"/>
  <c r="AE41" i="16"/>
  <c r="AD41" i="16"/>
  <c r="AC41" i="16"/>
  <c r="AB41" i="16"/>
  <c r="AA41" i="16"/>
  <c r="Z41" i="16"/>
  <c r="Y41" i="16"/>
  <c r="X41" i="16"/>
  <c r="S41" i="16"/>
  <c r="R41" i="16"/>
  <c r="P41" i="16"/>
  <c r="O41" i="16"/>
  <c r="N41" i="16"/>
  <c r="C41" i="16"/>
  <c r="AG40" i="16"/>
  <c r="AF40" i="16"/>
  <c r="AE40" i="16"/>
  <c r="AD40" i="16"/>
  <c r="AC40" i="16"/>
  <c r="AB40" i="16"/>
  <c r="AA40" i="16"/>
  <c r="Z40" i="16"/>
  <c r="Y40" i="16"/>
  <c r="X40" i="16"/>
  <c r="S40" i="16"/>
  <c r="R40" i="16"/>
  <c r="P40" i="16"/>
  <c r="O40" i="16"/>
  <c r="N40" i="16"/>
  <c r="C40" i="16"/>
  <c r="AG39" i="16"/>
  <c r="AF39" i="16"/>
  <c r="AE39" i="16"/>
  <c r="AD39" i="16"/>
  <c r="AC39" i="16"/>
  <c r="AB39" i="16"/>
  <c r="AA39" i="16"/>
  <c r="Z39" i="16"/>
  <c r="Y39" i="16"/>
  <c r="X39" i="16"/>
  <c r="S39" i="16"/>
  <c r="R39" i="16"/>
  <c r="P39" i="16"/>
  <c r="O39" i="16"/>
  <c r="N39" i="16"/>
  <c r="C39" i="16"/>
  <c r="AG38" i="16"/>
  <c r="AF38" i="16"/>
  <c r="AE38" i="16"/>
  <c r="AD38" i="16"/>
  <c r="AC38" i="16"/>
  <c r="AB38" i="16"/>
  <c r="AA38" i="16"/>
  <c r="Z38" i="16"/>
  <c r="Y38" i="16"/>
  <c r="X38" i="16"/>
  <c r="S38" i="16"/>
  <c r="R38" i="16"/>
  <c r="P38" i="16"/>
  <c r="O38" i="16"/>
  <c r="N38" i="16"/>
  <c r="C38" i="16"/>
  <c r="AG37" i="16"/>
  <c r="AF37" i="16"/>
  <c r="AE37" i="16"/>
  <c r="AD37" i="16"/>
  <c r="AC37" i="16"/>
  <c r="AB37" i="16"/>
  <c r="AA37" i="16"/>
  <c r="Z37" i="16"/>
  <c r="Y37" i="16"/>
  <c r="X37" i="16"/>
  <c r="S37" i="16"/>
  <c r="R37" i="16"/>
  <c r="P37" i="16"/>
  <c r="O37" i="16"/>
  <c r="N37" i="16"/>
  <c r="C37" i="16"/>
  <c r="AG36" i="16"/>
  <c r="AF36" i="16"/>
  <c r="AE36" i="16"/>
  <c r="AD36" i="16"/>
  <c r="AC36" i="16"/>
  <c r="AB36" i="16"/>
  <c r="AA36" i="16"/>
  <c r="Z36" i="16"/>
  <c r="Y36" i="16"/>
  <c r="X36" i="16"/>
  <c r="S36" i="16"/>
  <c r="R36" i="16"/>
  <c r="P36" i="16"/>
  <c r="O36" i="16"/>
  <c r="N36" i="16"/>
  <c r="C36" i="16"/>
  <c r="AG35" i="16"/>
  <c r="AF35" i="16"/>
  <c r="AE35" i="16"/>
  <c r="AD35" i="16"/>
  <c r="AC35" i="16"/>
  <c r="AB35" i="16"/>
  <c r="AA35" i="16"/>
  <c r="Z35" i="16"/>
  <c r="Y35" i="16"/>
  <c r="X35" i="16"/>
  <c r="S35" i="16"/>
  <c r="R35" i="16"/>
  <c r="P35" i="16"/>
  <c r="O35" i="16"/>
  <c r="N35" i="16"/>
  <c r="C35" i="16"/>
  <c r="AG34" i="16"/>
  <c r="AF34" i="16"/>
  <c r="AE34" i="16"/>
  <c r="AD34" i="16"/>
  <c r="AC34" i="16"/>
  <c r="AB34" i="16"/>
  <c r="AA34" i="16"/>
  <c r="Z34" i="16"/>
  <c r="Y34" i="16"/>
  <c r="X34" i="16"/>
  <c r="S34" i="16"/>
  <c r="R34" i="16"/>
  <c r="P34" i="16"/>
  <c r="O34" i="16"/>
  <c r="N34" i="16"/>
  <c r="C34" i="16"/>
  <c r="AG33" i="16"/>
  <c r="AF33" i="16"/>
  <c r="AE33" i="16"/>
  <c r="AD33" i="16"/>
  <c r="AC33" i="16"/>
  <c r="AB33" i="16"/>
  <c r="AA33" i="16"/>
  <c r="Z33" i="16"/>
  <c r="Y33" i="16"/>
  <c r="X33" i="16"/>
  <c r="S33" i="16"/>
  <c r="R33" i="16"/>
  <c r="P33" i="16"/>
  <c r="O33" i="16"/>
  <c r="N33" i="16"/>
  <c r="C33" i="16"/>
  <c r="AG32" i="16"/>
  <c r="AF32" i="16"/>
  <c r="AE32" i="16"/>
  <c r="AD32" i="16"/>
  <c r="AC32" i="16"/>
  <c r="AB32" i="16"/>
  <c r="AA32" i="16"/>
  <c r="Z32" i="16"/>
  <c r="Y32" i="16"/>
  <c r="X32" i="16"/>
  <c r="S32" i="16"/>
  <c r="R32" i="16"/>
  <c r="P32" i="16"/>
  <c r="O32" i="16"/>
  <c r="N32" i="16"/>
  <c r="AG31" i="16"/>
  <c r="AF31" i="16"/>
  <c r="AE31" i="16"/>
  <c r="AD31" i="16"/>
  <c r="AC31" i="16"/>
  <c r="AB31" i="16"/>
  <c r="AA31" i="16"/>
  <c r="Z31" i="16"/>
  <c r="Y31" i="16"/>
  <c r="X31" i="16"/>
  <c r="S31" i="16"/>
  <c r="R31" i="16"/>
  <c r="P31" i="16"/>
  <c r="O31" i="16"/>
  <c r="N31" i="16"/>
  <c r="C31" i="16"/>
  <c r="AG30" i="16"/>
  <c r="AF30" i="16"/>
  <c r="AE30" i="16"/>
  <c r="AD30" i="16"/>
  <c r="AC30" i="16"/>
  <c r="AB30" i="16"/>
  <c r="AA30" i="16"/>
  <c r="Z30" i="16"/>
  <c r="Y30" i="16"/>
  <c r="X30" i="16"/>
  <c r="S30" i="16"/>
  <c r="R30" i="16"/>
  <c r="P30" i="16"/>
  <c r="O30" i="16"/>
  <c r="N30" i="16"/>
  <c r="C30" i="16"/>
  <c r="AG29" i="16"/>
  <c r="AF29" i="16"/>
  <c r="AE29" i="16"/>
  <c r="AD29" i="16"/>
  <c r="AC29" i="16"/>
  <c r="AB29" i="16"/>
  <c r="AA29" i="16"/>
  <c r="Z29" i="16"/>
  <c r="Y29" i="16"/>
  <c r="X29" i="16"/>
  <c r="S29" i="16"/>
  <c r="R29" i="16"/>
  <c r="P29" i="16"/>
  <c r="O29" i="16"/>
  <c r="N29" i="16"/>
  <c r="C29" i="16"/>
  <c r="AG28" i="16"/>
  <c r="AF28" i="16"/>
  <c r="AE28" i="16"/>
  <c r="AD28" i="16"/>
  <c r="AC28" i="16"/>
  <c r="AB28" i="16"/>
  <c r="AA28" i="16"/>
  <c r="Z28" i="16"/>
  <c r="Y28" i="16"/>
  <c r="X28" i="16"/>
  <c r="S28" i="16"/>
  <c r="R28" i="16"/>
  <c r="P28" i="16"/>
  <c r="O28" i="16"/>
  <c r="N28" i="16"/>
  <c r="C28" i="16"/>
  <c r="AG27" i="16"/>
  <c r="AF27" i="16"/>
  <c r="AE27" i="16"/>
  <c r="AD27" i="16"/>
  <c r="AC27" i="16"/>
  <c r="AB27" i="16"/>
  <c r="AA27" i="16"/>
  <c r="Z27" i="16"/>
  <c r="Y27" i="16"/>
  <c r="X27" i="16"/>
  <c r="S27" i="16"/>
  <c r="R27" i="16"/>
  <c r="P27" i="16"/>
  <c r="O27" i="16"/>
  <c r="N27" i="16"/>
  <c r="C27" i="16"/>
  <c r="AG26" i="16"/>
  <c r="AF26" i="16"/>
  <c r="AE26" i="16"/>
  <c r="AD26" i="16"/>
  <c r="AC26" i="16"/>
  <c r="AB26" i="16"/>
  <c r="AA26" i="16"/>
  <c r="Z26" i="16"/>
  <c r="Y26" i="16"/>
  <c r="X26" i="16"/>
  <c r="S26" i="16"/>
  <c r="R26" i="16"/>
  <c r="P26" i="16"/>
  <c r="O26" i="16"/>
  <c r="N26" i="16"/>
  <c r="C26" i="16"/>
  <c r="AG25" i="16"/>
  <c r="AF25" i="16"/>
  <c r="AE25" i="16"/>
  <c r="AD25" i="16"/>
  <c r="AC25" i="16"/>
  <c r="AB25" i="16"/>
  <c r="AA25" i="16"/>
  <c r="Z25" i="16"/>
  <c r="Y25" i="16"/>
  <c r="X25" i="16"/>
  <c r="S25" i="16"/>
  <c r="R25" i="16"/>
  <c r="P25" i="16"/>
  <c r="O25" i="16"/>
  <c r="N25" i="16"/>
  <c r="C25" i="16"/>
  <c r="AG24" i="16"/>
  <c r="AF24" i="16"/>
  <c r="AE24" i="16"/>
  <c r="AD24" i="16"/>
  <c r="AC24" i="16"/>
  <c r="AB24" i="16"/>
  <c r="AA24" i="16"/>
  <c r="Z24" i="16"/>
  <c r="Y24" i="16"/>
  <c r="X24" i="16"/>
  <c r="S24" i="16"/>
  <c r="R24" i="16"/>
  <c r="P24" i="16"/>
  <c r="O24" i="16"/>
  <c r="N24" i="16"/>
  <c r="C24" i="16"/>
  <c r="AG23" i="16"/>
  <c r="AF23" i="16"/>
  <c r="AE23" i="16"/>
  <c r="AD23" i="16"/>
  <c r="AC23" i="16"/>
  <c r="AB23" i="16"/>
  <c r="AA23" i="16"/>
  <c r="Z23" i="16"/>
  <c r="Y23" i="16"/>
  <c r="X23" i="16"/>
  <c r="S23" i="16"/>
  <c r="R23" i="16"/>
  <c r="P23" i="16"/>
  <c r="O23" i="16"/>
  <c r="N23" i="16"/>
  <c r="AG22" i="16"/>
  <c r="AF22" i="16"/>
  <c r="AE22" i="16"/>
  <c r="AD22" i="16"/>
  <c r="AC22" i="16"/>
  <c r="AB22" i="16"/>
  <c r="AA22" i="16"/>
  <c r="Z22" i="16"/>
  <c r="Y22" i="16"/>
  <c r="X22" i="16"/>
  <c r="S22" i="16"/>
  <c r="R22" i="16"/>
  <c r="P22" i="16"/>
  <c r="O22" i="16"/>
  <c r="N22" i="16"/>
  <c r="C22" i="16"/>
  <c r="AG21" i="16"/>
  <c r="AF21" i="16"/>
  <c r="AE21" i="16"/>
  <c r="AD21" i="16"/>
  <c r="AC21" i="16"/>
  <c r="AB21" i="16"/>
  <c r="AA21" i="16"/>
  <c r="Z21" i="16"/>
  <c r="Y21" i="16"/>
  <c r="X21" i="16"/>
  <c r="S21" i="16"/>
  <c r="R21" i="16"/>
  <c r="P21" i="16"/>
  <c r="O21" i="16"/>
  <c r="N21" i="16"/>
  <c r="C21" i="16"/>
  <c r="AG20" i="16"/>
  <c r="AF20" i="16"/>
  <c r="AE20" i="16"/>
  <c r="AD20" i="16"/>
  <c r="AC20" i="16"/>
  <c r="AB20" i="16"/>
  <c r="AA20" i="16"/>
  <c r="Z20" i="16"/>
  <c r="Y20" i="16"/>
  <c r="X20" i="16"/>
  <c r="S20" i="16"/>
  <c r="R20" i="16"/>
  <c r="P20" i="16"/>
  <c r="O20" i="16"/>
  <c r="N20" i="16"/>
  <c r="C20" i="16"/>
  <c r="AG19" i="16"/>
  <c r="AF19" i="16"/>
  <c r="AE19" i="16"/>
  <c r="AD19" i="16"/>
  <c r="AC19" i="16"/>
  <c r="AB19" i="16"/>
  <c r="AA19" i="16"/>
  <c r="Z19" i="16"/>
  <c r="Y19" i="16"/>
  <c r="X19" i="16"/>
  <c r="S19" i="16"/>
  <c r="R19" i="16"/>
  <c r="P19" i="16"/>
  <c r="O19" i="16"/>
  <c r="N19" i="16"/>
  <c r="C19" i="16"/>
  <c r="AG18" i="16"/>
  <c r="AF18" i="16"/>
  <c r="AE18" i="16"/>
  <c r="AD18" i="16"/>
  <c r="AC18" i="16"/>
  <c r="AB18" i="16"/>
  <c r="AA18" i="16"/>
  <c r="Z18" i="16"/>
  <c r="Y18" i="16"/>
  <c r="X18" i="16"/>
  <c r="S18" i="16"/>
  <c r="R18" i="16"/>
  <c r="P18" i="16"/>
  <c r="O18" i="16"/>
  <c r="N18" i="16"/>
  <c r="C18" i="16"/>
  <c r="AG17" i="16"/>
  <c r="AF17" i="16"/>
  <c r="AE17" i="16"/>
  <c r="AD17" i="16"/>
  <c r="AC17" i="16"/>
  <c r="AB17" i="16"/>
  <c r="AA17" i="16"/>
  <c r="Z17" i="16"/>
  <c r="Y17" i="16"/>
  <c r="X17" i="16"/>
  <c r="S17" i="16"/>
  <c r="R17" i="16"/>
  <c r="P17" i="16"/>
  <c r="O17" i="16"/>
  <c r="N17" i="16"/>
  <c r="C17" i="16"/>
  <c r="AG16" i="16"/>
  <c r="AF16" i="16"/>
  <c r="AE16" i="16"/>
  <c r="AD16" i="16"/>
  <c r="AC16" i="16"/>
  <c r="AB16" i="16"/>
  <c r="AA16" i="16"/>
  <c r="Z16" i="16"/>
  <c r="Y16" i="16"/>
  <c r="X16" i="16"/>
  <c r="S16" i="16"/>
  <c r="R16" i="16"/>
  <c r="P16" i="16"/>
  <c r="O16" i="16"/>
  <c r="N16" i="16"/>
  <c r="C16" i="16"/>
  <c r="AG15" i="16"/>
  <c r="AF15" i="16"/>
  <c r="AE15" i="16"/>
  <c r="AD15" i="16"/>
  <c r="AC15" i="16"/>
  <c r="AB15" i="16"/>
  <c r="AA15" i="16"/>
  <c r="Z15" i="16"/>
  <c r="Y15" i="16"/>
  <c r="X15" i="16"/>
  <c r="S15" i="16"/>
  <c r="R15" i="16"/>
  <c r="P15" i="16"/>
  <c r="O15" i="16"/>
  <c r="N15" i="16"/>
  <c r="C15" i="16"/>
  <c r="AG14" i="16"/>
  <c r="AF14" i="16"/>
  <c r="AE14" i="16"/>
  <c r="AD14" i="16"/>
  <c r="AC14" i="16"/>
  <c r="AB14" i="16"/>
  <c r="AA14" i="16"/>
  <c r="Z14" i="16"/>
  <c r="Y14" i="16"/>
  <c r="X14" i="16"/>
  <c r="S14" i="16"/>
  <c r="R14" i="16"/>
  <c r="P14" i="16"/>
  <c r="O14" i="16"/>
  <c r="N14" i="16"/>
  <c r="AG13" i="16"/>
  <c r="AF13" i="16"/>
  <c r="AE13" i="16"/>
  <c r="AD13" i="16"/>
  <c r="AC13" i="16"/>
  <c r="AB13" i="16"/>
  <c r="AA13" i="16"/>
  <c r="Z13" i="16"/>
  <c r="Y13" i="16"/>
  <c r="X13" i="16"/>
  <c r="S13" i="16"/>
  <c r="R13" i="16"/>
  <c r="P13" i="16"/>
  <c r="O13" i="16"/>
  <c r="N13" i="16"/>
  <c r="C13" i="16"/>
  <c r="AG12" i="16"/>
  <c r="AF12" i="16"/>
  <c r="AE12" i="16"/>
  <c r="AD12" i="16"/>
  <c r="AC12" i="16"/>
  <c r="AB12" i="16"/>
  <c r="AA12" i="16"/>
  <c r="Z12" i="16"/>
  <c r="Y12" i="16"/>
  <c r="X12" i="16"/>
  <c r="S12" i="16"/>
  <c r="R12" i="16"/>
  <c r="P12" i="16"/>
  <c r="O12" i="16"/>
  <c r="N12" i="16"/>
  <c r="C12" i="16"/>
  <c r="AG11" i="16"/>
  <c r="AF11" i="16"/>
  <c r="AE11" i="16"/>
  <c r="AD11" i="16"/>
  <c r="AC11" i="16"/>
  <c r="AB11" i="16"/>
  <c r="AA11" i="16"/>
  <c r="Z11" i="16"/>
  <c r="Y11" i="16"/>
  <c r="X11" i="16"/>
  <c r="S11" i="16"/>
  <c r="R11" i="16"/>
  <c r="P11" i="16"/>
  <c r="O11" i="16"/>
  <c r="N11" i="16"/>
  <c r="C11" i="16"/>
  <c r="AG10" i="16"/>
  <c r="AF10" i="16"/>
  <c r="AE10" i="16"/>
  <c r="AD10" i="16"/>
  <c r="AC10" i="16"/>
  <c r="AB10" i="16"/>
  <c r="AA10" i="16"/>
  <c r="Z10" i="16"/>
  <c r="Y10" i="16"/>
  <c r="X10" i="16"/>
  <c r="S10" i="16"/>
  <c r="R10" i="16"/>
  <c r="P10" i="16"/>
  <c r="O10" i="16"/>
  <c r="N10" i="16"/>
  <c r="C10" i="16"/>
  <c r="AG9" i="16"/>
  <c r="AF9" i="16"/>
  <c r="AE9" i="16"/>
  <c r="AD9" i="16"/>
  <c r="AC9" i="16"/>
  <c r="AB9" i="16"/>
  <c r="AA9" i="16"/>
  <c r="Z9" i="16"/>
  <c r="Y9" i="16"/>
  <c r="X9" i="16"/>
  <c r="S9" i="16"/>
  <c r="R9" i="16"/>
  <c r="P9" i="16"/>
  <c r="O9" i="16"/>
  <c r="N9" i="16"/>
  <c r="C9" i="16"/>
  <c r="AG8" i="16"/>
  <c r="AF8" i="16"/>
  <c r="AE8" i="16"/>
  <c r="AD8" i="16"/>
  <c r="AC8" i="16"/>
  <c r="AB8" i="16"/>
  <c r="AA8" i="16"/>
  <c r="Z8" i="16"/>
  <c r="Y8" i="16"/>
  <c r="X8" i="16"/>
  <c r="S8" i="16"/>
  <c r="R8" i="16"/>
  <c r="P8" i="16"/>
  <c r="O8" i="16"/>
  <c r="N8" i="16"/>
  <c r="C8" i="16"/>
  <c r="M7" i="16"/>
  <c r="L7" i="16"/>
  <c r="K7" i="16"/>
  <c r="J7" i="16"/>
  <c r="I7" i="16"/>
  <c r="H7" i="16"/>
  <c r="G7" i="16"/>
  <c r="F7" i="16"/>
  <c r="E7" i="16"/>
  <c r="D7" i="16"/>
  <c r="M6" i="16"/>
  <c r="L6" i="16"/>
  <c r="K6" i="16"/>
  <c r="J6" i="16"/>
  <c r="I6" i="16"/>
  <c r="H6" i="16"/>
  <c r="G6" i="16"/>
  <c r="F6" i="16"/>
  <c r="E6" i="16"/>
  <c r="D6" i="16"/>
  <c r="C6" i="16"/>
  <c r="O4" i="16"/>
  <c r="O3" i="16"/>
  <c r="N297" i="15"/>
  <c r="R296" i="15"/>
  <c r="P296" i="15"/>
  <c r="O296" i="15"/>
  <c r="N296" i="15"/>
  <c r="M296" i="15"/>
  <c r="L296" i="15"/>
  <c r="K296" i="15"/>
  <c r="J296" i="15"/>
  <c r="I296" i="15"/>
  <c r="H296" i="15"/>
  <c r="G296" i="15"/>
  <c r="F296" i="15"/>
  <c r="E296" i="15"/>
  <c r="D296" i="15"/>
  <c r="AF295" i="15"/>
  <c r="AE295" i="15"/>
  <c r="AD295" i="15"/>
  <c r="AC295" i="15"/>
  <c r="AB295" i="15"/>
  <c r="AA295" i="15"/>
  <c r="Z295" i="15"/>
  <c r="Y295" i="15"/>
  <c r="X295" i="15"/>
  <c r="W295" i="15"/>
  <c r="R295" i="15"/>
  <c r="P295" i="15"/>
  <c r="O295" i="15"/>
  <c r="M295" i="15"/>
  <c r="L295" i="15"/>
  <c r="K295" i="15"/>
  <c r="J295" i="15"/>
  <c r="I295" i="15"/>
  <c r="H295" i="15"/>
  <c r="G295" i="15"/>
  <c r="F295" i="15"/>
  <c r="E295" i="15"/>
  <c r="D295" i="15"/>
  <c r="AF294" i="15"/>
  <c r="AE294" i="15"/>
  <c r="AD294" i="15"/>
  <c r="AC294" i="15"/>
  <c r="AB294" i="15"/>
  <c r="AA294" i="15"/>
  <c r="Z294" i="15"/>
  <c r="Y294" i="15"/>
  <c r="X294" i="15"/>
  <c r="W294" i="15"/>
  <c r="R294" i="15"/>
  <c r="P294" i="15"/>
  <c r="O294" i="15"/>
  <c r="N294" i="15"/>
  <c r="AF293" i="15"/>
  <c r="AE293" i="15"/>
  <c r="AD293" i="15"/>
  <c r="AC293" i="15"/>
  <c r="AB293" i="15"/>
  <c r="AA293" i="15"/>
  <c r="Z293" i="15"/>
  <c r="Y293" i="15"/>
  <c r="X293" i="15"/>
  <c r="W293" i="15"/>
  <c r="R293" i="15"/>
  <c r="P293" i="15"/>
  <c r="O293" i="15"/>
  <c r="N293" i="15"/>
  <c r="AF292" i="15"/>
  <c r="AE292" i="15"/>
  <c r="AD292" i="15"/>
  <c r="AC292" i="15"/>
  <c r="AB292" i="15"/>
  <c r="AA292" i="15"/>
  <c r="Z292" i="15"/>
  <c r="Y292" i="15"/>
  <c r="X292" i="15"/>
  <c r="W292" i="15"/>
  <c r="R292" i="15"/>
  <c r="P292" i="15"/>
  <c r="O292" i="15"/>
  <c r="N292" i="15"/>
  <c r="AF291" i="15"/>
  <c r="AE291" i="15"/>
  <c r="AD291" i="15"/>
  <c r="AC291" i="15"/>
  <c r="AB291" i="15"/>
  <c r="AA291" i="15"/>
  <c r="Z291" i="15"/>
  <c r="Y291" i="15"/>
  <c r="X291" i="15"/>
  <c r="W291" i="15"/>
  <c r="R291" i="15"/>
  <c r="P291" i="15"/>
  <c r="O291" i="15"/>
  <c r="N291" i="15"/>
  <c r="AF290" i="15"/>
  <c r="AE290" i="15"/>
  <c r="AD290" i="15"/>
  <c r="AC290" i="15"/>
  <c r="AB290" i="15"/>
  <c r="AA290" i="15"/>
  <c r="Z290" i="15"/>
  <c r="Y290" i="15"/>
  <c r="X290" i="15"/>
  <c r="W290" i="15"/>
  <c r="R290" i="15"/>
  <c r="P290" i="15"/>
  <c r="O290" i="15"/>
  <c r="N290" i="15"/>
  <c r="AF289" i="15"/>
  <c r="AE289" i="15"/>
  <c r="AD289" i="15"/>
  <c r="AC289" i="15"/>
  <c r="AB289" i="15"/>
  <c r="AA289" i="15"/>
  <c r="Z289" i="15"/>
  <c r="Y289" i="15"/>
  <c r="X289" i="15"/>
  <c r="W289" i="15"/>
  <c r="R289" i="15"/>
  <c r="P289" i="15"/>
  <c r="O289" i="15"/>
  <c r="N289" i="15"/>
  <c r="AF288" i="15"/>
  <c r="AE288" i="15"/>
  <c r="AD288" i="15"/>
  <c r="AC288" i="15"/>
  <c r="AB288" i="15"/>
  <c r="AA288" i="15"/>
  <c r="Z288" i="15"/>
  <c r="Y288" i="15"/>
  <c r="X288" i="15"/>
  <c r="W288" i="15"/>
  <c r="R288" i="15"/>
  <c r="P288" i="15"/>
  <c r="O288" i="15"/>
  <c r="N288" i="15"/>
  <c r="AF287" i="15"/>
  <c r="AE287" i="15"/>
  <c r="AD287" i="15"/>
  <c r="AC287" i="15"/>
  <c r="AB287" i="15"/>
  <c r="AA287" i="15"/>
  <c r="Z287" i="15"/>
  <c r="Y287" i="15"/>
  <c r="X287" i="15"/>
  <c r="W287" i="15"/>
  <c r="R287" i="15"/>
  <c r="P287" i="15"/>
  <c r="O287" i="15"/>
  <c r="N287" i="15"/>
  <c r="AF286" i="15"/>
  <c r="AE286" i="15"/>
  <c r="AD286" i="15"/>
  <c r="AC286" i="15"/>
  <c r="AB286" i="15"/>
  <c r="AA286" i="15"/>
  <c r="Z286" i="15"/>
  <c r="Y286" i="15"/>
  <c r="X286" i="15"/>
  <c r="W286" i="15"/>
  <c r="R286" i="15"/>
  <c r="P286" i="15"/>
  <c r="O286" i="15"/>
  <c r="N286" i="15"/>
  <c r="AF285" i="15"/>
  <c r="AE285" i="15"/>
  <c r="AD285" i="15"/>
  <c r="AC285" i="15"/>
  <c r="AB285" i="15"/>
  <c r="AA285" i="15"/>
  <c r="Z285" i="15"/>
  <c r="Y285" i="15"/>
  <c r="X285" i="15"/>
  <c r="W285" i="15"/>
  <c r="R285" i="15"/>
  <c r="P285" i="15"/>
  <c r="O285" i="15"/>
  <c r="N285" i="15"/>
  <c r="AF284" i="15"/>
  <c r="AE284" i="15"/>
  <c r="AD284" i="15"/>
  <c r="AC284" i="15"/>
  <c r="AB284" i="15"/>
  <c r="AA284" i="15"/>
  <c r="Z284" i="15"/>
  <c r="Y284" i="15"/>
  <c r="X284" i="15"/>
  <c r="W284" i="15"/>
  <c r="R284" i="15"/>
  <c r="P284" i="15"/>
  <c r="O284" i="15"/>
  <c r="N284" i="15"/>
  <c r="AF283" i="15"/>
  <c r="AE283" i="15"/>
  <c r="AD283" i="15"/>
  <c r="AC283" i="15"/>
  <c r="AB283" i="15"/>
  <c r="AA283" i="15"/>
  <c r="Z283" i="15"/>
  <c r="Y283" i="15"/>
  <c r="X283" i="15"/>
  <c r="W283" i="15"/>
  <c r="R283" i="15"/>
  <c r="P283" i="15"/>
  <c r="O283" i="15"/>
  <c r="N283" i="15"/>
  <c r="AF282" i="15"/>
  <c r="AE282" i="15"/>
  <c r="AD282" i="15"/>
  <c r="AC282" i="15"/>
  <c r="AB282" i="15"/>
  <c r="AA282" i="15"/>
  <c r="Z282" i="15"/>
  <c r="Y282" i="15"/>
  <c r="X282" i="15"/>
  <c r="W282" i="15"/>
  <c r="R282" i="15"/>
  <c r="P282" i="15"/>
  <c r="O282" i="15"/>
  <c r="N282" i="15"/>
  <c r="AF281" i="15"/>
  <c r="AE281" i="15"/>
  <c r="AD281" i="15"/>
  <c r="AC281" i="15"/>
  <c r="AB281" i="15"/>
  <c r="AA281" i="15"/>
  <c r="Z281" i="15"/>
  <c r="Y281" i="15"/>
  <c r="X281" i="15"/>
  <c r="W281" i="15"/>
  <c r="R281" i="15"/>
  <c r="P281" i="15"/>
  <c r="O281" i="15"/>
  <c r="N281" i="15"/>
  <c r="AF280" i="15"/>
  <c r="AE280" i="15"/>
  <c r="AD280" i="15"/>
  <c r="AC280" i="15"/>
  <c r="AB280" i="15"/>
  <c r="AA280" i="15"/>
  <c r="Z280" i="15"/>
  <c r="Y280" i="15"/>
  <c r="X280" i="15"/>
  <c r="W280" i="15"/>
  <c r="R280" i="15"/>
  <c r="P280" i="15"/>
  <c r="O280" i="15"/>
  <c r="N280" i="15"/>
  <c r="AF279" i="15"/>
  <c r="AE279" i="15"/>
  <c r="AD279" i="15"/>
  <c r="AC279" i="15"/>
  <c r="AB279" i="15"/>
  <c r="AA279" i="15"/>
  <c r="Z279" i="15"/>
  <c r="Y279" i="15"/>
  <c r="X279" i="15"/>
  <c r="W279" i="15"/>
  <c r="R279" i="15"/>
  <c r="P279" i="15"/>
  <c r="O279" i="15"/>
  <c r="N279" i="15"/>
  <c r="AF278" i="15"/>
  <c r="AE278" i="15"/>
  <c r="AD278" i="15"/>
  <c r="AC278" i="15"/>
  <c r="AB278" i="15"/>
  <c r="AA278" i="15"/>
  <c r="Z278" i="15"/>
  <c r="Y278" i="15"/>
  <c r="X278" i="15"/>
  <c r="W278" i="15"/>
  <c r="R278" i="15"/>
  <c r="P278" i="15"/>
  <c r="O278" i="15"/>
  <c r="N278" i="15"/>
  <c r="AF277" i="15"/>
  <c r="AE277" i="15"/>
  <c r="AD277" i="15"/>
  <c r="AC277" i="15"/>
  <c r="AB277" i="15"/>
  <c r="AA277" i="15"/>
  <c r="Z277" i="15"/>
  <c r="Y277" i="15"/>
  <c r="X277" i="15"/>
  <c r="W277" i="15"/>
  <c r="R277" i="15"/>
  <c r="P277" i="15"/>
  <c r="O277" i="15"/>
  <c r="N277" i="15"/>
  <c r="AF276" i="15"/>
  <c r="AE276" i="15"/>
  <c r="AD276" i="15"/>
  <c r="AC276" i="15"/>
  <c r="AB276" i="15"/>
  <c r="AA276" i="15"/>
  <c r="Z276" i="15"/>
  <c r="Y276" i="15"/>
  <c r="X276" i="15"/>
  <c r="W276" i="15"/>
  <c r="R276" i="15"/>
  <c r="P276" i="15"/>
  <c r="O276" i="15"/>
  <c r="N276" i="15"/>
  <c r="AF275" i="15"/>
  <c r="AE275" i="15"/>
  <c r="AD275" i="15"/>
  <c r="AC275" i="15"/>
  <c r="AB275" i="15"/>
  <c r="AA275" i="15"/>
  <c r="Z275" i="15"/>
  <c r="Y275" i="15"/>
  <c r="X275" i="15"/>
  <c r="W275" i="15"/>
  <c r="R275" i="15"/>
  <c r="P275" i="15"/>
  <c r="O275" i="15"/>
  <c r="N275" i="15"/>
  <c r="AF274" i="15"/>
  <c r="AE274" i="15"/>
  <c r="AD274" i="15"/>
  <c r="AC274" i="15"/>
  <c r="AB274" i="15"/>
  <c r="AA274" i="15"/>
  <c r="Z274" i="15"/>
  <c r="Y274" i="15"/>
  <c r="X274" i="15"/>
  <c r="W274" i="15"/>
  <c r="R274" i="15"/>
  <c r="P274" i="15"/>
  <c r="O274" i="15"/>
  <c r="N274" i="15"/>
  <c r="AF273" i="15"/>
  <c r="AE273" i="15"/>
  <c r="AD273" i="15"/>
  <c r="AC273" i="15"/>
  <c r="AB273" i="15"/>
  <c r="AA273" i="15"/>
  <c r="Z273" i="15"/>
  <c r="Y273" i="15"/>
  <c r="X273" i="15"/>
  <c r="W273" i="15"/>
  <c r="R273" i="15"/>
  <c r="P273" i="15"/>
  <c r="O273" i="15"/>
  <c r="N273" i="15"/>
  <c r="AF272" i="15"/>
  <c r="AE272" i="15"/>
  <c r="AD272" i="15"/>
  <c r="AC272" i="15"/>
  <c r="AB272" i="15"/>
  <c r="AA272" i="15"/>
  <c r="Z272" i="15"/>
  <c r="Y272" i="15"/>
  <c r="X272" i="15"/>
  <c r="W272" i="15"/>
  <c r="R272" i="15"/>
  <c r="P272" i="15"/>
  <c r="O272" i="15"/>
  <c r="N272" i="15"/>
  <c r="AF271" i="15"/>
  <c r="AE271" i="15"/>
  <c r="AD271" i="15"/>
  <c r="AC271" i="15"/>
  <c r="AB271" i="15"/>
  <c r="AA271" i="15"/>
  <c r="Z271" i="15"/>
  <c r="Y271" i="15"/>
  <c r="X271" i="15"/>
  <c r="W271" i="15"/>
  <c r="R271" i="15"/>
  <c r="P271" i="15"/>
  <c r="O271" i="15"/>
  <c r="N271" i="15"/>
  <c r="AF270" i="15"/>
  <c r="AE270" i="15"/>
  <c r="AD270" i="15"/>
  <c r="AC270" i="15"/>
  <c r="AB270" i="15"/>
  <c r="AA270" i="15"/>
  <c r="Z270" i="15"/>
  <c r="Y270" i="15"/>
  <c r="X270" i="15"/>
  <c r="W270" i="15"/>
  <c r="R270" i="15"/>
  <c r="P270" i="15"/>
  <c r="O270" i="15"/>
  <c r="N270" i="15"/>
  <c r="AF269" i="15"/>
  <c r="AE269" i="15"/>
  <c r="AD269" i="15"/>
  <c r="AC269" i="15"/>
  <c r="AB269" i="15"/>
  <c r="AA269" i="15"/>
  <c r="Z269" i="15"/>
  <c r="Y269" i="15"/>
  <c r="X269" i="15"/>
  <c r="W269" i="15"/>
  <c r="R269" i="15"/>
  <c r="P269" i="15"/>
  <c r="O269" i="15"/>
  <c r="N269" i="15"/>
  <c r="AF268" i="15"/>
  <c r="AE268" i="15"/>
  <c r="AD268" i="15"/>
  <c r="AC268" i="15"/>
  <c r="AB268" i="15"/>
  <c r="AA268" i="15"/>
  <c r="Z268" i="15"/>
  <c r="Y268" i="15"/>
  <c r="X268" i="15"/>
  <c r="W268" i="15"/>
  <c r="R268" i="15"/>
  <c r="P268" i="15"/>
  <c r="O268" i="15"/>
  <c r="N268" i="15"/>
  <c r="AF267" i="15"/>
  <c r="AE267" i="15"/>
  <c r="AD267" i="15"/>
  <c r="AC267" i="15"/>
  <c r="AB267" i="15"/>
  <c r="AA267" i="15"/>
  <c r="Z267" i="15"/>
  <c r="Y267" i="15"/>
  <c r="X267" i="15"/>
  <c r="W267" i="15"/>
  <c r="R267" i="15"/>
  <c r="P267" i="15"/>
  <c r="O267" i="15"/>
  <c r="N267" i="15"/>
  <c r="AF266" i="15"/>
  <c r="AE266" i="15"/>
  <c r="AD266" i="15"/>
  <c r="AC266" i="15"/>
  <c r="AB266" i="15"/>
  <c r="AA266" i="15"/>
  <c r="Z266" i="15"/>
  <c r="Y266" i="15"/>
  <c r="X266" i="15"/>
  <c r="W266" i="15"/>
  <c r="R266" i="15"/>
  <c r="P266" i="15"/>
  <c r="O266" i="15"/>
  <c r="N266" i="15"/>
  <c r="AF265" i="15"/>
  <c r="AE265" i="15"/>
  <c r="AD265" i="15"/>
  <c r="AC265" i="15"/>
  <c r="AB265" i="15"/>
  <c r="AA265" i="15"/>
  <c r="Z265" i="15"/>
  <c r="Y265" i="15"/>
  <c r="X265" i="15"/>
  <c r="W265" i="15"/>
  <c r="R265" i="15"/>
  <c r="P265" i="15"/>
  <c r="O265" i="15"/>
  <c r="N265" i="15"/>
  <c r="AF264" i="15"/>
  <c r="AE264" i="15"/>
  <c r="AD264" i="15"/>
  <c r="AC264" i="15"/>
  <c r="AB264" i="15"/>
  <c r="AA264" i="15"/>
  <c r="Z264" i="15"/>
  <c r="Y264" i="15"/>
  <c r="X264" i="15"/>
  <c r="W264" i="15"/>
  <c r="R264" i="15"/>
  <c r="P264" i="15"/>
  <c r="O264" i="15"/>
  <c r="N264" i="15"/>
  <c r="AF263" i="15"/>
  <c r="AE263" i="15"/>
  <c r="AD263" i="15"/>
  <c r="AC263" i="15"/>
  <c r="AB263" i="15"/>
  <c r="AA263" i="15"/>
  <c r="Z263" i="15"/>
  <c r="Y263" i="15"/>
  <c r="X263" i="15"/>
  <c r="W263" i="15"/>
  <c r="R263" i="15"/>
  <c r="P263" i="15"/>
  <c r="O263" i="15"/>
  <c r="N263" i="15"/>
  <c r="AF262" i="15"/>
  <c r="AE262" i="15"/>
  <c r="AD262" i="15"/>
  <c r="AC262" i="15"/>
  <c r="AB262" i="15"/>
  <c r="AA262" i="15"/>
  <c r="Z262" i="15"/>
  <c r="Y262" i="15"/>
  <c r="X262" i="15"/>
  <c r="W262" i="15"/>
  <c r="R262" i="15"/>
  <c r="P262" i="15"/>
  <c r="O262" i="15"/>
  <c r="N262" i="15"/>
  <c r="AF261" i="15"/>
  <c r="AE261" i="15"/>
  <c r="AD261" i="15"/>
  <c r="AC261" i="15"/>
  <c r="AB261" i="15"/>
  <c r="AA261" i="15"/>
  <c r="Z261" i="15"/>
  <c r="Y261" i="15"/>
  <c r="X261" i="15"/>
  <c r="W261" i="15"/>
  <c r="R261" i="15"/>
  <c r="P261" i="15"/>
  <c r="O261" i="15"/>
  <c r="N261" i="15"/>
  <c r="AF260" i="15"/>
  <c r="AE260" i="15"/>
  <c r="AD260" i="15"/>
  <c r="AC260" i="15"/>
  <c r="AB260" i="15"/>
  <c r="AA260" i="15"/>
  <c r="Z260" i="15"/>
  <c r="Y260" i="15"/>
  <c r="X260" i="15"/>
  <c r="W260" i="15"/>
  <c r="R260" i="15"/>
  <c r="P260" i="15"/>
  <c r="O260" i="15"/>
  <c r="N260" i="15"/>
  <c r="AF259" i="15"/>
  <c r="AE259" i="15"/>
  <c r="AD259" i="15"/>
  <c r="AC259" i="15"/>
  <c r="AB259" i="15"/>
  <c r="AA259" i="15"/>
  <c r="Z259" i="15"/>
  <c r="Y259" i="15"/>
  <c r="X259" i="15"/>
  <c r="W259" i="15"/>
  <c r="R259" i="15"/>
  <c r="P259" i="15"/>
  <c r="O259" i="15"/>
  <c r="N259" i="15"/>
  <c r="AF258" i="15"/>
  <c r="AE258" i="15"/>
  <c r="AD258" i="15"/>
  <c r="AC258" i="15"/>
  <c r="AB258" i="15"/>
  <c r="AA258" i="15"/>
  <c r="Z258" i="15"/>
  <c r="Y258" i="15"/>
  <c r="X258" i="15"/>
  <c r="W258" i="15"/>
  <c r="R258" i="15"/>
  <c r="P258" i="15"/>
  <c r="O258" i="15"/>
  <c r="N258" i="15"/>
  <c r="AF257" i="15"/>
  <c r="AE257" i="15"/>
  <c r="AD257" i="15"/>
  <c r="AC257" i="15"/>
  <c r="AB257" i="15"/>
  <c r="AA257" i="15"/>
  <c r="Z257" i="15"/>
  <c r="Y257" i="15"/>
  <c r="X257" i="15"/>
  <c r="W257" i="15"/>
  <c r="R257" i="15"/>
  <c r="P257" i="15"/>
  <c r="O257" i="15"/>
  <c r="N257" i="15"/>
  <c r="AF256" i="15"/>
  <c r="AE256" i="15"/>
  <c r="AD256" i="15"/>
  <c r="AC256" i="15"/>
  <c r="AB256" i="15"/>
  <c r="AA256" i="15"/>
  <c r="Z256" i="15"/>
  <c r="Y256" i="15"/>
  <c r="X256" i="15"/>
  <c r="W256" i="15"/>
  <c r="R256" i="15"/>
  <c r="P256" i="15"/>
  <c r="O256" i="15"/>
  <c r="N256" i="15"/>
  <c r="AF255" i="15"/>
  <c r="AE255" i="15"/>
  <c r="AD255" i="15"/>
  <c r="AC255" i="15"/>
  <c r="AB255" i="15"/>
  <c r="AA255" i="15"/>
  <c r="Z255" i="15"/>
  <c r="Y255" i="15"/>
  <c r="X255" i="15"/>
  <c r="W255" i="15"/>
  <c r="R255" i="15"/>
  <c r="P255" i="15"/>
  <c r="O255" i="15"/>
  <c r="N255" i="15"/>
  <c r="AF254" i="15"/>
  <c r="AE254" i="15"/>
  <c r="AD254" i="15"/>
  <c r="AC254" i="15"/>
  <c r="AB254" i="15"/>
  <c r="AA254" i="15"/>
  <c r="Z254" i="15"/>
  <c r="Y254" i="15"/>
  <c r="X254" i="15"/>
  <c r="W254" i="15"/>
  <c r="R254" i="15"/>
  <c r="P254" i="15"/>
  <c r="O254" i="15"/>
  <c r="N254" i="15"/>
  <c r="AF253" i="15"/>
  <c r="AE253" i="15"/>
  <c r="AD253" i="15"/>
  <c r="AC253" i="15"/>
  <c r="AB253" i="15"/>
  <c r="AA253" i="15"/>
  <c r="Z253" i="15"/>
  <c r="Y253" i="15"/>
  <c r="X253" i="15"/>
  <c r="W253" i="15"/>
  <c r="R253" i="15"/>
  <c r="P253" i="15"/>
  <c r="O253" i="15"/>
  <c r="N253" i="15"/>
  <c r="AF252" i="15"/>
  <c r="AE252" i="15"/>
  <c r="AD252" i="15"/>
  <c r="AC252" i="15"/>
  <c r="AB252" i="15"/>
  <c r="AA252" i="15"/>
  <c r="Z252" i="15"/>
  <c r="Y252" i="15"/>
  <c r="X252" i="15"/>
  <c r="W252" i="15"/>
  <c r="R252" i="15"/>
  <c r="P252" i="15"/>
  <c r="O252" i="15"/>
  <c r="N252" i="15"/>
  <c r="AF251" i="15"/>
  <c r="AE251" i="15"/>
  <c r="AD251" i="15"/>
  <c r="AC251" i="15"/>
  <c r="AB251" i="15"/>
  <c r="AA251" i="15"/>
  <c r="Z251" i="15"/>
  <c r="Y251" i="15"/>
  <c r="X251" i="15"/>
  <c r="W251" i="15"/>
  <c r="R251" i="15"/>
  <c r="P251" i="15"/>
  <c r="O251" i="15"/>
  <c r="N251" i="15"/>
  <c r="AF250" i="15"/>
  <c r="AE250" i="15"/>
  <c r="AD250" i="15"/>
  <c r="AC250" i="15"/>
  <c r="AB250" i="15"/>
  <c r="AA250" i="15"/>
  <c r="Z250" i="15"/>
  <c r="Y250" i="15"/>
  <c r="X250" i="15"/>
  <c r="W250" i="15"/>
  <c r="R250" i="15"/>
  <c r="P250" i="15"/>
  <c r="O250" i="15"/>
  <c r="N250" i="15"/>
  <c r="AF249" i="15"/>
  <c r="AE249" i="15"/>
  <c r="AD249" i="15"/>
  <c r="AC249" i="15"/>
  <c r="AB249" i="15"/>
  <c r="AA249" i="15"/>
  <c r="Z249" i="15"/>
  <c r="Y249" i="15"/>
  <c r="X249" i="15"/>
  <c r="W249" i="15"/>
  <c r="R249" i="15"/>
  <c r="P249" i="15"/>
  <c r="O249" i="15"/>
  <c r="N249" i="15"/>
  <c r="AF248" i="15"/>
  <c r="AE248" i="15"/>
  <c r="AD248" i="15"/>
  <c r="AC248" i="15"/>
  <c r="AB248" i="15"/>
  <c r="AA248" i="15"/>
  <c r="Z248" i="15"/>
  <c r="Y248" i="15"/>
  <c r="X248" i="15"/>
  <c r="W248" i="15"/>
  <c r="R248" i="15"/>
  <c r="P248" i="15"/>
  <c r="O248" i="15"/>
  <c r="N248" i="15"/>
  <c r="AF247" i="15"/>
  <c r="AE247" i="15"/>
  <c r="AD247" i="15"/>
  <c r="AC247" i="15"/>
  <c r="AB247" i="15"/>
  <c r="AA247" i="15"/>
  <c r="Z247" i="15"/>
  <c r="Y247" i="15"/>
  <c r="X247" i="15"/>
  <c r="W247" i="15"/>
  <c r="R247" i="15"/>
  <c r="P247" i="15"/>
  <c r="O247" i="15"/>
  <c r="N247" i="15"/>
  <c r="AF246" i="15"/>
  <c r="AE246" i="15"/>
  <c r="AD246" i="15"/>
  <c r="AC246" i="15"/>
  <c r="AB246" i="15"/>
  <c r="AA246" i="15"/>
  <c r="Z246" i="15"/>
  <c r="Y246" i="15"/>
  <c r="X246" i="15"/>
  <c r="W246" i="15"/>
  <c r="R246" i="15"/>
  <c r="P246" i="15"/>
  <c r="O246" i="15"/>
  <c r="N246" i="15"/>
  <c r="AF245" i="15"/>
  <c r="AE245" i="15"/>
  <c r="AD245" i="15"/>
  <c r="AC245" i="15"/>
  <c r="AB245" i="15"/>
  <c r="AA245" i="15"/>
  <c r="Z245" i="15"/>
  <c r="Y245" i="15"/>
  <c r="X245" i="15"/>
  <c r="W245" i="15"/>
  <c r="R245" i="15"/>
  <c r="P245" i="15"/>
  <c r="O245" i="15"/>
  <c r="N245" i="15"/>
  <c r="AF244" i="15"/>
  <c r="AE244" i="15"/>
  <c r="AD244" i="15"/>
  <c r="AC244" i="15"/>
  <c r="AB244" i="15"/>
  <c r="AA244" i="15"/>
  <c r="Z244" i="15"/>
  <c r="Y244" i="15"/>
  <c r="X244" i="15"/>
  <c r="W244" i="15"/>
  <c r="R244" i="15"/>
  <c r="P244" i="15"/>
  <c r="O244" i="15"/>
  <c r="N244" i="15"/>
  <c r="AF243" i="15"/>
  <c r="AE243" i="15"/>
  <c r="AD243" i="15"/>
  <c r="AC243" i="15"/>
  <c r="AB243" i="15"/>
  <c r="AA243" i="15"/>
  <c r="Z243" i="15"/>
  <c r="Y243" i="15"/>
  <c r="X243" i="15"/>
  <c r="W243" i="15"/>
  <c r="R243" i="15"/>
  <c r="P243" i="15"/>
  <c r="O243" i="15"/>
  <c r="N243" i="15"/>
  <c r="AF242" i="15"/>
  <c r="AE242" i="15"/>
  <c r="AD242" i="15"/>
  <c r="AC242" i="15"/>
  <c r="AB242" i="15"/>
  <c r="AA242" i="15"/>
  <c r="Z242" i="15"/>
  <c r="Y242" i="15"/>
  <c r="X242" i="15"/>
  <c r="W242" i="15"/>
  <c r="R242" i="15"/>
  <c r="P242" i="15"/>
  <c r="O242" i="15"/>
  <c r="N242" i="15"/>
  <c r="AF241" i="15"/>
  <c r="AE241" i="15"/>
  <c r="AD241" i="15"/>
  <c r="AC241" i="15"/>
  <c r="AB241" i="15"/>
  <c r="AA241" i="15"/>
  <c r="Z241" i="15"/>
  <c r="Y241" i="15"/>
  <c r="X241" i="15"/>
  <c r="W241" i="15"/>
  <c r="R241" i="15"/>
  <c r="P241" i="15"/>
  <c r="O241" i="15"/>
  <c r="N241" i="15"/>
  <c r="M240" i="15"/>
  <c r="L240" i="15"/>
  <c r="K240" i="15"/>
  <c r="J240" i="15"/>
  <c r="I240" i="15"/>
  <c r="H240" i="15"/>
  <c r="G240" i="15"/>
  <c r="F240" i="15"/>
  <c r="E240" i="15"/>
  <c r="D240" i="15"/>
  <c r="C240" i="15"/>
  <c r="AF238" i="15"/>
  <c r="AE238" i="15"/>
  <c r="AD238" i="15"/>
  <c r="AC238" i="15"/>
  <c r="AB238" i="15"/>
  <c r="AA238" i="15"/>
  <c r="Z238" i="15"/>
  <c r="Y238" i="15"/>
  <c r="X238" i="15"/>
  <c r="W238" i="15"/>
  <c r="R238" i="15"/>
  <c r="P238" i="15"/>
  <c r="O238" i="15"/>
  <c r="M238" i="15"/>
  <c r="L238" i="15"/>
  <c r="K238" i="15"/>
  <c r="J238" i="15"/>
  <c r="I238" i="15"/>
  <c r="H238" i="15"/>
  <c r="G238" i="15"/>
  <c r="F238" i="15"/>
  <c r="E238" i="15"/>
  <c r="D238" i="15"/>
  <c r="AF237" i="15"/>
  <c r="AE237" i="15"/>
  <c r="AD237" i="15"/>
  <c r="AC237" i="15"/>
  <c r="AB237" i="15"/>
  <c r="AA237" i="15"/>
  <c r="Z237" i="15"/>
  <c r="Y237" i="15"/>
  <c r="X237" i="15"/>
  <c r="W237" i="15"/>
  <c r="R237" i="15"/>
  <c r="P237" i="15"/>
  <c r="O237" i="15"/>
  <c r="N237" i="15"/>
  <c r="AF236" i="15"/>
  <c r="AE236" i="15"/>
  <c r="AD236" i="15"/>
  <c r="AC236" i="15"/>
  <c r="AB236" i="15"/>
  <c r="AA236" i="15"/>
  <c r="Z236" i="15"/>
  <c r="Y236" i="15"/>
  <c r="X236" i="15"/>
  <c r="W236" i="15"/>
  <c r="R236" i="15"/>
  <c r="P236" i="15"/>
  <c r="O236" i="15"/>
  <c r="N236" i="15"/>
  <c r="AF235" i="15"/>
  <c r="AE235" i="15"/>
  <c r="AD235" i="15"/>
  <c r="AC235" i="15"/>
  <c r="AB235" i="15"/>
  <c r="AA235" i="15"/>
  <c r="Z235" i="15"/>
  <c r="Y235" i="15"/>
  <c r="X235" i="15"/>
  <c r="W235" i="15"/>
  <c r="R235" i="15"/>
  <c r="P235" i="15"/>
  <c r="O235" i="15"/>
  <c r="N235" i="15"/>
  <c r="AF234" i="15"/>
  <c r="AE234" i="15"/>
  <c r="AD234" i="15"/>
  <c r="AC234" i="15"/>
  <c r="AB234" i="15"/>
  <c r="AA234" i="15"/>
  <c r="Z234" i="15"/>
  <c r="Y234" i="15"/>
  <c r="X234" i="15"/>
  <c r="W234" i="15"/>
  <c r="R234" i="15"/>
  <c r="P234" i="15"/>
  <c r="O234" i="15"/>
  <c r="N234" i="15"/>
  <c r="AF233" i="15"/>
  <c r="AE233" i="15"/>
  <c r="AD233" i="15"/>
  <c r="AC233" i="15"/>
  <c r="AB233" i="15"/>
  <c r="AA233" i="15"/>
  <c r="Z233" i="15"/>
  <c r="Y233" i="15"/>
  <c r="X233" i="15"/>
  <c r="W233" i="15"/>
  <c r="R233" i="15"/>
  <c r="P233" i="15"/>
  <c r="O233" i="15"/>
  <c r="N233" i="15"/>
  <c r="AF232" i="15"/>
  <c r="AE232" i="15"/>
  <c r="AD232" i="15"/>
  <c r="AC232" i="15"/>
  <c r="AB232" i="15"/>
  <c r="AA232" i="15"/>
  <c r="Z232" i="15"/>
  <c r="Y232" i="15"/>
  <c r="X232" i="15"/>
  <c r="W232" i="15"/>
  <c r="R232" i="15"/>
  <c r="P232" i="15"/>
  <c r="O232" i="15"/>
  <c r="N232" i="15"/>
  <c r="AF231" i="15"/>
  <c r="AE231" i="15"/>
  <c r="AD231" i="15"/>
  <c r="AC231" i="15"/>
  <c r="AB231" i="15"/>
  <c r="AA231" i="15"/>
  <c r="Z231" i="15"/>
  <c r="Y231" i="15"/>
  <c r="X231" i="15"/>
  <c r="W231" i="15"/>
  <c r="R231" i="15"/>
  <c r="P231" i="15"/>
  <c r="O231" i="15"/>
  <c r="N231" i="15"/>
  <c r="AF230" i="15"/>
  <c r="AE230" i="15"/>
  <c r="AD230" i="15"/>
  <c r="AC230" i="15"/>
  <c r="AB230" i="15"/>
  <c r="AA230" i="15"/>
  <c r="Z230" i="15"/>
  <c r="Y230" i="15"/>
  <c r="X230" i="15"/>
  <c r="W230" i="15"/>
  <c r="R230" i="15"/>
  <c r="P230" i="15"/>
  <c r="O230" i="15"/>
  <c r="N230" i="15"/>
  <c r="AF229" i="15"/>
  <c r="AE229" i="15"/>
  <c r="AD229" i="15"/>
  <c r="AC229" i="15"/>
  <c r="AB229" i="15"/>
  <c r="AA229" i="15"/>
  <c r="Z229" i="15"/>
  <c r="Y229" i="15"/>
  <c r="X229" i="15"/>
  <c r="W229" i="15"/>
  <c r="R229" i="15"/>
  <c r="P229" i="15"/>
  <c r="O229" i="15"/>
  <c r="N229" i="15"/>
  <c r="AF228" i="15"/>
  <c r="AE228" i="15"/>
  <c r="AD228" i="15"/>
  <c r="AC228" i="15"/>
  <c r="AB228" i="15"/>
  <c r="AA228" i="15"/>
  <c r="Z228" i="15"/>
  <c r="Y228" i="15"/>
  <c r="X228" i="15"/>
  <c r="W228" i="15"/>
  <c r="R228" i="15"/>
  <c r="P228" i="15"/>
  <c r="O228" i="15"/>
  <c r="N228" i="15"/>
  <c r="AF227" i="15"/>
  <c r="AE227" i="15"/>
  <c r="AD227" i="15"/>
  <c r="AC227" i="15"/>
  <c r="AB227" i="15"/>
  <c r="AA227" i="15"/>
  <c r="Z227" i="15"/>
  <c r="Y227" i="15"/>
  <c r="X227" i="15"/>
  <c r="W227" i="15"/>
  <c r="R227" i="15"/>
  <c r="P227" i="15"/>
  <c r="O227" i="15"/>
  <c r="N227" i="15"/>
  <c r="AF226" i="15"/>
  <c r="AE226" i="15"/>
  <c r="AD226" i="15"/>
  <c r="AC226" i="15"/>
  <c r="AB226" i="15"/>
  <c r="AA226" i="15"/>
  <c r="Z226" i="15"/>
  <c r="Y226" i="15"/>
  <c r="X226" i="15"/>
  <c r="W226" i="15"/>
  <c r="R226" i="15"/>
  <c r="P226" i="15"/>
  <c r="O226" i="15"/>
  <c r="N226" i="15"/>
  <c r="AF225" i="15"/>
  <c r="AE225" i="15"/>
  <c r="AD225" i="15"/>
  <c r="AC225" i="15"/>
  <c r="AB225" i="15"/>
  <c r="AA225" i="15"/>
  <c r="Z225" i="15"/>
  <c r="Y225" i="15"/>
  <c r="X225" i="15"/>
  <c r="W225" i="15"/>
  <c r="R225" i="15"/>
  <c r="P225" i="15"/>
  <c r="O225" i="15"/>
  <c r="N225" i="15"/>
  <c r="AF224" i="15"/>
  <c r="AE224" i="15"/>
  <c r="AD224" i="15"/>
  <c r="AC224" i="15"/>
  <c r="AB224" i="15"/>
  <c r="AA224" i="15"/>
  <c r="Z224" i="15"/>
  <c r="Y224" i="15"/>
  <c r="X224" i="15"/>
  <c r="W224" i="15"/>
  <c r="R224" i="15"/>
  <c r="P224" i="15"/>
  <c r="O224" i="15"/>
  <c r="N224" i="15"/>
  <c r="AF223" i="15"/>
  <c r="AE223" i="15"/>
  <c r="AD223" i="15"/>
  <c r="AC223" i="15"/>
  <c r="AB223" i="15"/>
  <c r="AA223" i="15"/>
  <c r="Z223" i="15"/>
  <c r="Y223" i="15"/>
  <c r="X223" i="15"/>
  <c r="W223" i="15"/>
  <c r="R223" i="15"/>
  <c r="P223" i="15"/>
  <c r="O223" i="15"/>
  <c r="N223" i="15"/>
  <c r="AF222" i="15"/>
  <c r="AE222" i="15"/>
  <c r="AD222" i="15"/>
  <c r="AC222" i="15"/>
  <c r="AB222" i="15"/>
  <c r="AA222" i="15"/>
  <c r="Z222" i="15"/>
  <c r="Y222" i="15"/>
  <c r="X222" i="15"/>
  <c r="W222" i="15"/>
  <c r="R222" i="15"/>
  <c r="P222" i="15"/>
  <c r="O222" i="15"/>
  <c r="N222" i="15"/>
  <c r="AF221" i="15"/>
  <c r="AE221" i="15"/>
  <c r="AD221" i="15"/>
  <c r="AC221" i="15"/>
  <c r="AB221" i="15"/>
  <c r="AA221" i="15"/>
  <c r="Z221" i="15"/>
  <c r="Y221" i="15"/>
  <c r="X221" i="15"/>
  <c r="W221" i="15"/>
  <c r="R221" i="15"/>
  <c r="P221" i="15"/>
  <c r="O221" i="15"/>
  <c r="N221" i="15"/>
  <c r="AF220" i="15"/>
  <c r="AE220" i="15"/>
  <c r="AD220" i="15"/>
  <c r="AC220" i="15"/>
  <c r="AB220" i="15"/>
  <c r="AA220" i="15"/>
  <c r="Z220" i="15"/>
  <c r="Y220" i="15"/>
  <c r="X220" i="15"/>
  <c r="W220" i="15"/>
  <c r="R220" i="15"/>
  <c r="P220" i="15"/>
  <c r="O220" i="15"/>
  <c r="N220" i="15"/>
  <c r="AF219" i="15"/>
  <c r="AE219" i="15"/>
  <c r="AD219" i="15"/>
  <c r="AC219" i="15"/>
  <c r="AB219" i="15"/>
  <c r="AA219" i="15"/>
  <c r="Z219" i="15"/>
  <c r="Y219" i="15"/>
  <c r="X219" i="15"/>
  <c r="W219" i="15"/>
  <c r="R219" i="15"/>
  <c r="P219" i="15"/>
  <c r="O219" i="15"/>
  <c r="N219" i="15"/>
  <c r="AF218" i="15"/>
  <c r="AE218" i="15"/>
  <c r="AD218" i="15"/>
  <c r="AC218" i="15"/>
  <c r="AB218" i="15"/>
  <c r="AA218" i="15"/>
  <c r="Z218" i="15"/>
  <c r="Y218" i="15"/>
  <c r="X218" i="15"/>
  <c r="W218" i="15"/>
  <c r="R218" i="15"/>
  <c r="P218" i="15"/>
  <c r="O218" i="15"/>
  <c r="N218" i="15"/>
  <c r="AF217" i="15"/>
  <c r="AE217" i="15"/>
  <c r="AD217" i="15"/>
  <c r="AC217" i="15"/>
  <c r="AB217" i="15"/>
  <c r="AA217" i="15"/>
  <c r="Z217" i="15"/>
  <c r="Y217" i="15"/>
  <c r="X217" i="15"/>
  <c r="W217" i="15"/>
  <c r="R217" i="15"/>
  <c r="P217" i="15"/>
  <c r="O217" i="15"/>
  <c r="N217" i="15"/>
  <c r="AF216" i="15"/>
  <c r="AE216" i="15"/>
  <c r="AD216" i="15"/>
  <c r="AC216" i="15"/>
  <c r="AB216" i="15"/>
  <c r="AA216" i="15"/>
  <c r="Z216" i="15"/>
  <c r="Y216" i="15"/>
  <c r="X216" i="15"/>
  <c r="W216" i="15"/>
  <c r="R216" i="15"/>
  <c r="P216" i="15"/>
  <c r="O216" i="15"/>
  <c r="N216" i="15"/>
  <c r="AF215" i="15"/>
  <c r="AE215" i="15"/>
  <c r="AD215" i="15"/>
  <c r="AC215" i="15"/>
  <c r="AB215" i="15"/>
  <c r="AA215" i="15"/>
  <c r="Z215" i="15"/>
  <c r="Y215" i="15"/>
  <c r="X215" i="15"/>
  <c r="W215" i="15"/>
  <c r="R215" i="15"/>
  <c r="P215" i="15"/>
  <c r="O215" i="15"/>
  <c r="N215" i="15"/>
  <c r="AF214" i="15"/>
  <c r="AE214" i="15"/>
  <c r="AD214" i="15"/>
  <c r="AC214" i="15"/>
  <c r="AB214" i="15"/>
  <c r="AA214" i="15"/>
  <c r="Z214" i="15"/>
  <c r="Y214" i="15"/>
  <c r="X214" i="15"/>
  <c r="W214" i="15"/>
  <c r="R214" i="15"/>
  <c r="P214" i="15"/>
  <c r="O214" i="15"/>
  <c r="N214" i="15"/>
  <c r="AF213" i="15"/>
  <c r="AE213" i="15"/>
  <c r="AD213" i="15"/>
  <c r="AC213" i="15"/>
  <c r="AB213" i="15"/>
  <c r="AA213" i="15"/>
  <c r="Z213" i="15"/>
  <c r="Y213" i="15"/>
  <c r="X213" i="15"/>
  <c r="W213" i="15"/>
  <c r="R213" i="15"/>
  <c r="P213" i="15"/>
  <c r="O213" i="15"/>
  <c r="N213" i="15"/>
  <c r="AF212" i="15"/>
  <c r="AE212" i="15"/>
  <c r="AD212" i="15"/>
  <c r="AC212" i="15"/>
  <c r="AB212" i="15"/>
  <c r="AA212" i="15"/>
  <c r="Z212" i="15"/>
  <c r="Y212" i="15"/>
  <c r="X212" i="15"/>
  <c r="W212" i="15"/>
  <c r="R212" i="15"/>
  <c r="P212" i="15"/>
  <c r="O212" i="15"/>
  <c r="N212" i="15"/>
  <c r="AF211" i="15"/>
  <c r="AE211" i="15"/>
  <c r="AD211" i="15"/>
  <c r="AC211" i="15"/>
  <c r="AB211" i="15"/>
  <c r="AA211" i="15"/>
  <c r="Z211" i="15"/>
  <c r="Y211" i="15"/>
  <c r="X211" i="15"/>
  <c r="W211" i="15"/>
  <c r="R211" i="15"/>
  <c r="P211" i="15"/>
  <c r="O211" i="15"/>
  <c r="N211" i="15"/>
  <c r="AF210" i="15"/>
  <c r="AE210" i="15"/>
  <c r="AD210" i="15"/>
  <c r="AC210" i="15"/>
  <c r="AB210" i="15"/>
  <c r="AA210" i="15"/>
  <c r="Z210" i="15"/>
  <c r="Y210" i="15"/>
  <c r="X210" i="15"/>
  <c r="W210" i="15"/>
  <c r="R210" i="15"/>
  <c r="P210" i="15"/>
  <c r="O210" i="15"/>
  <c r="N210" i="15"/>
  <c r="AF209" i="15"/>
  <c r="AE209" i="15"/>
  <c r="AD209" i="15"/>
  <c r="AC209" i="15"/>
  <c r="AB209" i="15"/>
  <c r="AA209" i="15"/>
  <c r="Z209" i="15"/>
  <c r="Y209" i="15"/>
  <c r="X209" i="15"/>
  <c r="W209" i="15"/>
  <c r="R209" i="15"/>
  <c r="P209" i="15"/>
  <c r="O209" i="15"/>
  <c r="N209" i="15"/>
  <c r="AF208" i="15"/>
  <c r="AE208" i="15"/>
  <c r="AD208" i="15"/>
  <c r="AC208" i="15"/>
  <c r="AB208" i="15"/>
  <c r="AA208" i="15"/>
  <c r="Z208" i="15"/>
  <c r="Y208" i="15"/>
  <c r="X208" i="15"/>
  <c r="W208" i="15"/>
  <c r="R208" i="15"/>
  <c r="P208" i="15"/>
  <c r="O208" i="15"/>
  <c r="N208" i="15"/>
  <c r="AF207" i="15"/>
  <c r="AE207" i="15"/>
  <c r="AD207" i="15"/>
  <c r="AC207" i="15"/>
  <c r="AB207" i="15"/>
  <c r="AA207" i="15"/>
  <c r="Z207" i="15"/>
  <c r="Y207" i="15"/>
  <c r="X207" i="15"/>
  <c r="W207" i="15"/>
  <c r="R207" i="15"/>
  <c r="P207" i="15"/>
  <c r="O207" i="15"/>
  <c r="N207" i="15"/>
  <c r="AF206" i="15"/>
  <c r="AE206" i="15"/>
  <c r="AD206" i="15"/>
  <c r="AC206" i="15"/>
  <c r="AB206" i="15"/>
  <c r="AA206" i="15"/>
  <c r="Z206" i="15"/>
  <c r="Y206" i="15"/>
  <c r="X206" i="15"/>
  <c r="W206" i="15"/>
  <c r="R206" i="15"/>
  <c r="P206" i="15"/>
  <c r="O206" i="15"/>
  <c r="N206" i="15"/>
  <c r="AF205" i="15"/>
  <c r="AE205" i="15"/>
  <c r="AD205" i="15"/>
  <c r="AC205" i="15"/>
  <c r="AB205" i="15"/>
  <c r="AA205" i="15"/>
  <c r="Z205" i="15"/>
  <c r="Y205" i="15"/>
  <c r="X205" i="15"/>
  <c r="W205" i="15"/>
  <c r="R205" i="15"/>
  <c r="P205" i="15"/>
  <c r="O205" i="15"/>
  <c r="N205" i="15"/>
  <c r="AF204" i="15"/>
  <c r="AE204" i="15"/>
  <c r="AD204" i="15"/>
  <c r="AC204" i="15"/>
  <c r="AB204" i="15"/>
  <c r="AA204" i="15"/>
  <c r="Z204" i="15"/>
  <c r="Y204" i="15"/>
  <c r="X204" i="15"/>
  <c r="W204" i="15"/>
  <c r="R204" i="15"/>
  <c r="P204" i="15"/>
  <c r="O204" i="15"/>
  <c r="N204" i="15"/>
  <c r="AF203" i="15"/>
  <c r="AE203" i="15"/>
  <c r="AD203" i="15"/>
  <c r="AC203" i="15"/>
  <c r="AB203" i="15"/>
  <c r="AA203" i="15"/>
  <c r="Z203" i="15"/>
  <c r="Y203" i="15"/>
  <c r="X203" i="15"/>
  <c r="W203" i="15"/>
  <c r="R203" i="15"/>
  <c r="P203" i="15"/>
  <c r="O203" i="15"/>
  <c r="N203" i="15"/>
  <c r="AF202" i="15"/>
  <c r="AE202" i="15"/>
  <c r="AD202" i="15"/>
  <c r="AC202" i="15"/>
  <c r="AB202" i="15"/>
  <c r="AA202" i="15"/>
  <c r="Z202" i="15"/>
  <c r="Y202" i="15"/>
  <c r="X202" i="15"/>
  <c r="W202" i="15"/>
  <c r="R202" i="15"/>
  <c r="P202" i="15"/>
  <c r="O202" i="15"/>
  <c r="N202" i="15"/>
  <c r="AF201" i="15"/>
  <c r="AE201" i="15"/>
  <c r="AD201" i="15"/>
  <c r="AC201" i="15"/>
  <c r="AB201" i="15"/>
  <c r="AA201" i="15"/>
  <c r="Z201" i="15"/>
  <c r="Y201" i="15"/>
  <c r="X201" i="15"/>
  <c r="W201" i="15"/>
  <c r="R201" i="15"/>
  <c r="P201" i="15"/>
  <c r="O201" i="15"/>
  <c r="N201" i="15"/>
  <c r="AF200" i="15"/>
  <c r="AE200" i="15"/>
  <c r="AD200" i="15"/>
  <c r="AC200" i="15"/>
  <c r="AB200" i="15"/>
  <c r="AA200" i="15"/>
  <c r="Z200" i="15"/>
  <c r="Y200" i="15"/>
  <c r="X200" i="15"/>
  <c r="W200" i="15"/>
  <c r="R200" i="15"/>
  <c r="P200" i="15"/>
  <c r="O200" i="15"/>
  <c r="N200" i="15"/>
  <c r="AF199" i="15"/>
  <c r="AE199" i="15"/>
  <c r="AD199" i="15"/>
  <c r="AC199" i="15"/>
  <c r="AB199" i="15"/>
  <c r="AA199" i="15"/>
  <c r="Z199" i="15"/>
  <c r="Y199" i="15"/>
  <c r="X199" i="15"/>
  <c r="W199" i="15"/>
  <c r="R199" i="15"/>
  <c r="P199" i="15"/>
  <c r="O199" i="15"/>
  <c r="N199" i="15"/>
  <c r="AF198" i="15"/>
  <c r="AE198" i="15"/>
  <c r="AD198" i="15"/>
  <c r="AC198" i="15"/>
  <c r="AB198" i="15"/>
  <c r="AA198" i="15"/>
  <c r="Z198" i="15"/>
  <c r="Y198" i="15"/>
  <c r="X198" i="15"/>
  <c r="W198" i="15"/>
  <c r="R198" i="15"/>
  <c r="P198" i="15"/>
  <c r="O198" i="15"/>
  <c r="N198" i="15"/>
  <c r="AF197" i="15"/>
  <c r="AE197" i="15"/>
  <c r="AD197" i="15"/>
  <c r="AC197" i="15"/>
  <c r="AB197" i="15"/>
  <c r="AA197" i="15"/>
  <c r="Z197" i="15"/>
  <c r="Y197" i="15"/>
  <c r="X197" i="15"/>
  <c r="W197" i="15"/>
  <c r="R197" i="15"/>
  <c r="P197" i="15"/>
  <c r="O197" i="15"/>
  <c r="N197" i="15"/>
  <c r="AF196" i="15"/>
  <c r="AE196" i="15"/>
  <c r="AD196" i="15"/>
  <c r="AC196" i="15"/>
  <c r="AB196" i="15"/>
  <c r="AA196" i="15"/>
  <c r="Z196" i="15"/>
  <c r="Y196" i="15"/>
  <c r="X196" i="15"/>
  <c r="W196" i="15"/>
  <c r="R196" i="15"/>
  <c r="P196" i="15"/>
  <c r="O196" i="15"/>
  <c r="N196" i="15"/>
  <c r="AF195" i="15"/>
  <c r="AE195" i="15"/>
  <c r="AD195" i="15"/>
  <c r="AC195" i="15"/>
  <c r="AB195" i="15"/>
  <c r="AA195" i="15"/>
  <c r="Z195" i="15"/>
  <c r="Y195" i="15"/>
  <c r="X195" i="15"/>
  <c r="W195" i="15"/>
  <c r="R195" i="15"/>
  <c r="P195" i="15"/>
  <c r="O195" i="15"/>
  <c r="N195" i="15"/>
  <c r="AF194" i="15"/>
  <c r="AE194" i="15"/>
  <c r="AD194" i="15"/>
  <c r="AC194" i="15"/>
  <c r="AB194" i="15"/>
  <c r="AA194" i="15"/>
  <c r="Z194" i="15"/>
  <c r="Y194" i="15"/>
  <c r="X194" i="15"/>
  <c r="W194" i="15"/>
  <c r="R194" i="15"/>
  <c r="P194" i="15"/>
  <c r="O194" i="15"/>
  <c r="N194" i="15"/>
  <c r="AF193" i="15"/>
  <c r="AE193" i="15"/>
  <c r="AD193" i="15"/>
  <c r="AC193" i="15"/>
  <c r="AB193" i="15"/>
  <c r="AA193" i="15"/>
  <c r="Z193" i="15"/>
  <c r="Y193" i="15"/>
  <c r="X193" i="15"/>
  <c r="W193" i="15"/>
  <c r="R193" i="15"/>
  <c r="P193" i="15"/>
  <c r="O193" i="15"/>
  <c r="N193" i="15"/>
  <c r="AF192" i="15"/>
  <c r="AE192" i="15"/>
  <c r="AD192" i="15"/>
  <c r="AC192" i="15"/>
  <c r="AB192" i="15"/>
  <c r="AA192" i="15"/>
  <c r="Z192" i="15"/>
  <c r="Y192" i="15"/>
  <c r="X192" i="15"/>
  <c r="W192" i="15"/>
  <c r="R192" i="15"/>
  <c r="P192" i="15"/>
  <c r="O192" i="15"/>
  <c r="N192" i="15"/>
  <c r="AF191" i="15"/>
  <c r="AE191" i="15"/>
  <c r="AD191" i="15"/>
  <c r="AC191" i="15"/>
  <c r="AB191" i="15"/>
  <c r="AA191" i="15"/>
  <c r="Z191" i="15"/>
  <c r="Y191" i="15"/>
  <c r="X191" i="15"/>
  <c r="W191" i="15"/>
  <c r="R191" i="15"/>
  <c r="P191" i="15"/>
  <c r="O191" i="15"/>
  <c r="N191" i="15"/>
  <c r="AF190" i="15"/>
  <c r="AE190" i="15"/>
  <c r="AD190" i="15"/>
  <c r="AC190" i="15"/>
  <c r="AB190" i="15"/>
  <c r="AA190" i="15"/>
  <c r="Z190" i="15"/>
  <c r="Y190" i="15"/>
  <c r="X190" i="15"/>
  <c r="W190" i="15"/>
  <c r="R190" i="15"/>
  <c r="P190" i="15"/>
  <c r="O190" i="15"/>
  <c r="N190" i="15"/>
  <c r="AF189" i="15"/>
  <c r="AE189" i="15"/>
  <c r="AD189" i="15"/>
  <c r="AC189" i="15"/>
  <c r="AB189" i="15"/>
  <c r="AA189" i="15"/>
  <c r="Z189" i="15"/>
  <c r="Y189" i="15"/>
  <c r="X189" i="15"/>
  <c r="W189" i="15"/>
  <c r="R189" i="15"/>
  <c r="P189" i="15"/>
  <c r="O189" i="15"/>
  <c r="N189" i="15"/>
  <c r="AF188" i="15"/>
  <c r="AE188" i="15"/>
  <c r="AD188" i="15"/>
  <c r="AC188" i="15"/>
  <c r="AB188" i="15"/>
  <c r="AA188" i="15"/>
  <c r="Z188" i="15"/>
  <c r="Y188" i="15"/>
  <c r="X188" i="15"/>
  <c r="W188" i="15"/>
  <c r="R188" i="15"/>
  <c r="P188" i="15"/>
  <c r="O188" i="15"/>
  <c r="N188" i="15"/>
  <c r="AF187" i="15"/>
  <c r="AE187" i="15"/>
  <c r="AD187" i="15"/>
  <c r="AC187" i="15"/>
  <c r="AB187" i="15"/>
  <c r="AA187" i="15"/>
  <c r="Z187" i="15"/>
  <c r="Y187" i="15"/>
  <c r="X187" i="15"/>
  <c r="W187" i="15"/>
  <c r="R187" i="15"/>
  <c r="P187" i="15"/>
  <c r="O187" i="15"/>
  <c r="N187" i="15"/>
  <c r="AF186" i="15"/>
  <c r="AE186" i="15"/>
  <c r="AD186" i="15"/>
  <c r="AC186" i="15"/>
  <c r="AB186" i="15"/>
  <c r="AA186" i="15"/>
  <c r="Z186" i="15"/>
  <c r="Y186" i="15"/>
  <c r="X186" i="15"/>
  <c r="W186" i="15"/>
  <c r="R186" i="15"/>
  <c r="P186" i="15"/>
  <c r="O186" i="15"/>
  <c r="N186" i="15"/>
  <c r="AF185" i="15"/>
  <c r="AE185" i="15"/>
  <c r="AD185" i="15"/>
  <c r="AC185" i="15"/>
  <c r="AB185" i="15"/>
  <c r="AA185" i="15"/>
  <c r="Z185" i="15"/>
  <c r="Y185" i="15"/>
  <c r="X185" i="15"/>
  <c r="W185" i="15"/>
  <c r="R185" i="15"/>
  <c r="P185" i="15"/>
  <c r="O185" i="15"/>
  <c r="N185" i="15"/>
  <c r="AF184" i="15"/>
  <c r="AE184" i="15"/>
  <c r="AD184" i="15"/>
  <c r="AC184" i="15"/>
  <c r="AB184" i="15"/>
  <c r="AA184" i="15"/>
  <c r="Z184" i="15"/>
  <c r="Y184" i="15"/>
  <c r="X184" i="15"/>
  <c r="W184" i="15"/>
  <c r="R184" i="15"/>
  <c r="P184" i="15"/>
  <c r="O184" i="15"/>
  <c r="N184" i="15"/>
  <c r="AF183" i="15"/>
  <c r="AE183" i="15"/>
  <c r="AD183" i="15"/>
  <c r="AC183" i="15"/>
  <c r="AB183" i="15"/>
  <c r="AA183" i="15"/>
  <c r="Z183" i="15"/>
  <c r="Y183" i="15"/>
  <c r="X183" i="15"/>
  <c r="W183" i="15"/>
  <c r="R183" i="15"/>
  <c r="P183" i="15"/>
  <c r="O183" i="15"/>
  <c r="N183" i="15"/>
  <c r="AF182" i="15"/>
  <c r="AE182" i="15"/>
  <c r="AD182" i="15"/>
  <c r="AC182" i="15"/>
  <c r="AB182" i="15"/>
  <c r="AA182" i="15"/>
  <c r="Z182" i="15"/>
  <c r="Y182" i="15"/>
  <c r="X182" i="15"/>
  <c r="W182" i="15"/>
  <c r="R182" i="15"/>
  <c r="P182" i="15"/>
  <c r="O182" i="15"/>
  <c r="N182" i="15"/>
  <c r="AF181" i="15"/>
  <c r="AE181" i="15"/>
  <c r="AD181" i="15"/>
  <c r="AC181" i="15"/>
  <c r="AB181" i="15"/>
  <c r="AA181" i="15"/>
  <c r="Z181" i="15"/>
  <c r="Y181" i="15"/>
  <c r="X181" i="15"/>
  <c r="W181" i="15"/>
  <c r="R181" i="15"/>
  <c r="P181" i="15"/>
  <c r="O181" i="15"/>
  <c r="N181" i="15"/>
  <c r="AF180" i="15"/>
  <c r="AE180" i="15"/>
  <c r="AD180" i="15"/>
  <c r="AC180" i="15"/>
  <c r="AB180" i="15"/>
  <c r="AA180" i="15"/>
  <c r="Z180" i="15"/>
  <c r="Y180" i="15"/>
  <c r="X180" i="15"/>
  <c r="W180" i="15"/>
  <c r="R180" i="15"/>
  <c r="P180" i="15"/>
  <c r="O180" i="15"/>
  <c r="N180" i="15"/>
  <c r="AF179" i="15"/>
  <c r="AE179" i="15"/>
  <c r="AD179" i="15"/>
  <c r="AC179" i="15"/>
  <c r="AB179" i="15"/>
  <c r="AA179" i="15"/>
  <c r="Z179" i="15"/>
  <c r="Y179" i="15"/>
  <c r="X179" i="15"/>
  <c r="W179" i="15"/>
  <c r="R179" i="15"/>
  <c r="P179" i="15"/>
  <c r="O179" i="15"/>
  <c r="N179" i="15"/>
  <c r="AF178" i="15"/>
  <c r="AE178" i="15"/>
  <c r="AD178" i="15"/>
  <c r="AC178" i="15"/>
  <c r="AB178" i="15"/>
  <c r="AA178" i="15"/>
  <c r="Z178" i="15"/>
  <c r="Y178" i="15"/>
  <c r="X178" i="15"/>
  <c r="W178" i="15"/>
  <c r="R178" i="15"/>
  <c r="P178" i="15"/>
  <c r="O178" i="15"/>
  <c r="N178" i="15"/>
  <c r="AF177" i="15"/>
  <c r="AE177" i="15"/>
  <c r="AD177" i="15"/>
  <c r="AC177" i="15"/>
  <c r="AB177" i="15"/>
  <c r="AA177" i="15"/>
  <c r="Z177" i="15"/>
  <c r="Y177" i="15"/>
  <c r="X177" i="15"/>
  <c r="W177" i="15"/>
  <c r="R177" i="15"/>
  <c r="P177" i="15"/>
  <c r="O177" i="15"/>
  <c r="N177" i="15"/>
  <c r="AF176" i="15"/>
  <c r="AE176" i="15"/>
  <c r="AD176" i="15"/>
  <c r="AC176" i="15"/>
  <c r="AB176" i="15"/>
  <c r="AA176" i="15"/>
  <c r="Z176" i="15"/>
  <c r="Y176" i="15"/>
  <c r="X176" i="15"/>
  <c r="W176" i="15"/>
  <c r="R176" i="15"/>
  <c r="P176" i="15"/>
  <c r="O176" i="15"/>
  <c r="N176" i="15"/>
  <c r="AF175" i="15"/>
  <c r="AE175" i="15"/>
  <c r="AD175" i="15"/>
  <c r="AC175" i="15"/>
  <c r="AB175" i="15"/>
  <c r="AA175" i="15"/>
  <c r="Z175" i="15"/>
  <c r="Y175" i="15"/>
  <c r="X175" i="15"/>
  <c r="W175" i="15"/>
  <c r="R175" i="15"/>
  <c r="P175" i="15"/>
  <c r="O175" i="15"/>
  <c r="N175" i="15"/>
  <c r="AF174" i="15"/>
  <c r="AE174" i="15"/>
  <c r="AD174" i="15"/>
  <c r="AC174" i="15"/>
  <c r="AB174" i="15"/>
  <c r="AA174" i="15"/>
  <c r="Z174" i="15"/>
  <c r="Y174" i="15"/>
  <c r="X174" i="15"/>
  <c r="W174" i="15"/>
  <c r="R174" i="15"/>
  <c r="P174" i="15"/>
  <c r="O174" i="15"/>
  <c r="N174" i="15"/>
  <c r="AF173" i="15"/>
  <c r="AE173" i="15"/>
  <c r="AD173" i="15"/>
  <c r="AC173" i="15"/>
  <c r="AB173" i="15"/>
  <c r="AA173" i="15"/>
  <c r="Z173" i="15"/>
  <c r="Y173" i="15"/>
  <c r="X173" i="15"/>
  <c r="W173" i="15"/>
  <c r="R173" i="15"/>
  <c r="P173" i="15"/>
  <c r="O173" i="15"/>
  <c r="N173" i="15"/>
  <c r="AF172" i="15"/>
  <c r="AE172" i="15"/>
  <c r="AD172" i="15"/>
  <c r="AC172" i="15"/>
  <c r="AB172" i="15"/>
  <c r="AA172" i="15"/>
  <c r="Z172" i="15"/>
  <c r="Y172" i="15"/>
  <c r="X172" i="15"/>
  <c r="W172" i="15"/>
  <c r="R172" i="15"/>
  <c r="P172" i="15"/>
  <c r="O172" i="15"/>
  <c r="N172" i="15"/>
  <c r="AF171" i="15"/>
  <c r="AE171" i="15"/>
  <c r="AD171" i="15"/>
  <c r="AC171" i="15"/>
  <c r="AB171" i="15"/>
  <c r="AA171" i="15"/>
  <c r="Z171" i="15"/>
  <c r="Y171" i="15"/>
  <c r="X171" i="15"/>
  <c r="W171" i="15"/>
  <c r="R171" i="15"/>
  <c r="P171" i="15"/>
  <c r="O171" i="15"/>
  <c r="N171" i="15"/>
  <c r="AF170" i="15"/>
  <c r="AE170" i="15"/>
  <c r="AD170" i="15"/>
  <c r="AC170" i="15"/>
  <c r="AB170" i="15"/>
  <c r="AA170" i="15"/>
  <c r="Z170" i="15"/>
  <c r="Y170" i="15"/>
  <c r="X170" i="15"/>
  <c r="W170" i="15"/>
  <c r="R170" i="15"/>
  <c r="P170" i="15"/>
  <c r="O170" i="15"/>
  <c r="N170" i="15"/>
  <c r="AF169" i="15"/>
  <c r="AE169" i="15"/>
  <c r="AD169" i="15"/>
  <c r="AC169" i="15"/>
  <c r="AB169" i="15"/>
  <c r="AA169" i="15"/>
  <c r="Z169" i="15"/>
  <c r="Y169" i="15"/>
  <c r="X169" i="15"/>
  <c r="W169" i="15"/>
  <c r="R169" i="15"/>
  <c r="P169" i="15"/>
  <c r="O169" i="15"/>
  <c r="N169" i="15"/>
  <c r="AF168" i="15"/>
  <c r="AE168" i="15"/>
  <c r="AD168" i="15"/>
  <c r="AC168" i="15"/>
  <c r="AB168" i="15"/>
  <c r="AA168" i="15"/>
  <c r="Z168" i="15"/>
  <c r="Y168" i="15"/>
  <c r="X168" i="15"/>
  <c r="W168" i="15"/>
  <c r="R168" i="15"/>
  <c r="P168" i="15"/>
  <c r="O168" i="15"/>
  <c r="N168" i="15"/>
  <c r="AF167" i="15"/>
  <c r="AE167" i="15"/>
  <c r="AD167" i="15"/>
  <c r="AC167" i="15"/>
  <c r="AB167" i="15"/>
  <c r="AA167" i="15"/>
  <c r="Z167" i="15"/>
  <c r="Y167" i="15"/>
  <c r="X167" i="15"/>
  <c r="W167" i="15"/>
  <c r="R167" i="15"/>
  <c r="P167" i="15"/>
  <c r="O167" i="15"/>
  <c r="N167" i="15"/>
  <c r="AF166" i="15"/>
  <c r="AE166" i="15"/>
  <c r="AD166" i="15"/>
  <c r="AC166" i="15"/>
  <c r="AB166" i="15"/>
  <c r="AA166" i="15"/>
  <c r="Z166" i="15"/>
  <c r="Y166" i="15"/>
  <c r="X166" i="15"/>
  <c r="W166" i="15"/>
  <c r="R166" i="15"/>
  <c r="P166" i="15"/>
  <c r="O166" i="15"/>
  <c r="N166" i="15"/>
  <c r="AF165" i="15"/>
  <c r="AE165" i="15"/>
  <c r="AD165" i="15"/>
  <c r="AC165" i="15"/>
  <c r="AB165" i="15"/>
  <c r="AA165" i="15"/>
  <c r="Z165" i="15"/>
  <c r="Y165" i="15"/>
  <c r="X165" i="15"/>
  <c r="W165" i="15"/>
  <c r="R165" i="15"/>
  <c r="P165" i="15"/>
  <c r="O165" i="15"/>
  <c r="N165" i="15"/>
  <c r="AF164" i="15"/>
  <c r="AE164" i="15"/>
  <c r="AD164" i="15"/>
  <c r="AC164" i="15"/>
  <c r="AB164" i="15"/>
  <c r="AA164" i="15"/>
  <c r="Z164" i="15"/>
  <c r="Y164" i="15"/>
  <c r="X164" i="15"/>
  <c r="W164" i="15"/>
  <c r="R164" i="15"/>
  <c r="P164" i="15"/>
  <c r="O164" i="15"/>
  <c r="N164" i="15"/>
  <c r="AF163" i="15"/>
  <c r="AE163" i="15"/>
  <c r="AD163" i="15"/>
  <c r="AC163" i="15"/>
  <c r="AB163" i="15"/>
  <c r="AA163" i="15"/>
  <c r="Z163" i="15"/>
  <c r="Y163" i="15"/>
  <c r="X163" i="15"/>
  <c r="W163" i="15"/>
  <c r="R163" i="15"/>
  <c r="P163" i="15"/>
  <c r="O163" i="15"/>
  <c r="N163" i="15"/>
  <c r="AF162" i="15"/>
  <c r="AE162" i="15"/>
  <c r="AD162" i="15"/>
  <c r="AC162" i="15"/>
  <c r="AB162" i="15"/>
  <c r="AA162" i="15"/>
  <c r="Z162" i="15"/>
  <c r="Y162" i="15"/>
  <c r="X162" i="15"/>
  <c r="W162" i="15"/>
  <c r="R162" i="15"/>
  <c r="P162" i="15"/>
  <c r="O162" i="15"/>
  <c r="N162" i="15"/>
  <c r="AF161" i="15"/>
  <c r="AE161" i="15"/>
  <c r="AD161" i="15"/>
  <c r="AC161" i="15"/>
  <c r="AB161" i="15"/>
  <c r="AA161" i="15"/>
  <c r="Z161" i="15"/>
  <c r="Y161" i="15"/>
  <c r="X161" i="15"/>
  <c r="W161" i="15"/>
  <c r="R161" i="15"/>
  <c r="P161" i="15"/>
  <c r="O161" i="15"/>
  <c r="N161" i="15"/>
  <c r="AF160" i="15"/>
  <c r="AE160" i="15"/>
  <c r="AD160" i="15"/>
  <c r="AC160" i="15"/>
  <c r="AB160" i="15"/>
  <c r="AA160" i="15"/>
  <c r="Z160" i="15"/>
  <c r="Y160" i="15"/>
  <c r="X160" i="15"/>
  <c r="W160" i="15"/>
  <c r="R160" i="15"/>
  <c r="P160" i="15"/>
  <c r="O160" i="15"/>
  <c r="N160" i="15"/>
  <c r="AF159" i="15"/>
  <c r="AE159" i="15"/>
  <c r="AD159" i="15"/>
  <c r="AC159" i="15"/>
  <c r="AB159" i="15"/>
  <c r="AA159" i="15"/>
  <c r="Z159" i="15"/>
  <c r="Y159" i="15"/>
  <c r="X159" i="15"/>
  <c r="W159" i="15"/>
  <c r="R159" i="15"/>
  <c r="P159" i="15"/>
  <c r="O159" i="15"/>
  <c r="N159" i="15"/>
  <c r="AF158" i="15"/>
  <c r="AE158" i="15"/>
  <c r="AD158" i="15"/>
  <c r="AC158" i="15"/>
  <c r="AB158" i="15"/>
  <c r="AA158" i="15"/>
  <c r="Z158" i="15"/>
  <c r="Y158" i="15"/>
  <c r="X158" i="15"/>
  <c r="W158" i="15"/>
  <c r="R158" i="15"/>
  <c r="P158" i="15"/>
  <c r="O158" i="15"/>
  <c r="N158" i="15"/>
  <c r="AF157" i="15"/>
  <c r="AE157" i="15"/>
  <c r="AD157" i="15"/>
  <c r="AC157" i="15"/>
  <c r="AB157" i="15"/>
  <c r="AA157" i="15"/>
  <c r="Z157" i="15"/>
  <c r="Y157" i="15"/>
  <c r="X157" i="15"/>
  <c r="W157" i="15"/>
  <c r="R157" i="15"/>
  <c r="P157" i="15"/>
  <c r="O157" i="15"/>
  <c r="N157" i="15"/>
  <c r="AF156" i="15"/>
  <c r="AE156" i="15"/>
  <c r="AD156" i="15"/>
  <c r="AC156" i="15"/>
  <c r="AB156" i="15"/>
  <c r="AA156" i="15"/>
  <c r="Z156" i="15"/>
  <c r="Y156" i="15"/>
  <c r="X156" i="15"/>
  <c r="W156" i="15"/>
  <c r="R156" i="15"/>
  <c r="P156" i="15"/>
  <c r="O156" i="15"/>
  <c r="N156" i="15"/>
  <c r="AF155" i="15"/>
  <c r="AE155" i="15"/>
  <c r="AD155" i="15"/>
  <c r="AC155" i="15"/>
  <c r="AB155" i="15"/>
  <c r="AA155" i="15"/>
  <c r="Z155" i="15"/>
  <c r="Y155" i="15"/>
  <c r="X155" i="15"/>
  <c r="W155" i="15"/>
  <c r="R155" i="15"/>
  <c r="P155" i="15"/>
  <c r="O155" i="15"/>
  <c r="N155" i="15"/>
  <c r="AF154" i="15"/>
  <c r="AE154" i="15"/>
  <c r="AD154" i="15"/>
  <c r="AC154" i="15"/>
  <c r="AB154" i="15"/>
  <c r="AA154" i="15"/>
  <c r="Z154" i="15"/>
  <c r="Y154" i="15"/>
  <c r="X154" i="15"/>
  <c r="W154" i="15"/>
  <c r="R154" i="15"/>
  <c r="P154" i="15"/>
  <c r="O154" i="15"/>
  <c r="N154" i="15"/>
  <c r="AF153" i="15"/>
  <c r="AE153" i="15"/>
  <c r="AD153" i="15"/>
  <c r="AC153" i="15"/>
  <c r="AB153" i="15"/>
  <c r="AA153" i="15"/>
  <c r="Z153" i="15"/>
  <c r="Y153" i="15"/>
  <c r="X153" i="15"/>
  <c r="W153" i="15"/>
  <c r="R153" i="15"/>
  <c r="P153" i="15"/>
  <c r="O153" i="15"/>
  <c r="N153" i="15"/>
  <c r="AF152" i="15"/>
  <c r="AE152" i="15"/>
  <c r="AD152" i="15"/>
  <c r="AC152" i="15"/>
  <c r="AB152" i="15"/>
  <c r="AA152" i="15"/>
  <c r="Z152" i="15"/>
  <c r="Y152" i="15"/>
  <c r="X152" i="15"/>
  <c r="W152" i="15"/>
  <c r="R152" i="15"/>
  <c r="P152" i="15"/>
  <c r="O152" i="15"/>
  <c r="N152" i="15"/>
  <c r="AF151" i="15"/>
  <c r="AE151" i="15"/>
  <c r="AD151" i="15"/>
  <c r="AC151" i="15"/>
  <c r="AB151" i="15"/>
  <c r="AA151" i="15"/>
  <c r="Z151" i="15"/>
  <c r="Y151" i="15"/>
  <c r="X151" i="15"/>
  <c r="W151" i="15"/>
  <c r="R151" i="15"/>
  <c r="P151" i="15"/>
  <c r="O151" i="15"/>
  <c r="N151" i="15"/>
  <c r="AF150" i="15"/>
  <c r="AE150" i="15"/>
  <c r="AD150" i="15"/>
  <c r="AC150" i="15"/>
  <c r="AB150" i="15"/>
  <c r="AA150" i="15"/>
  <c r="Z150" i="15"/>
  <c r="Y150" i="15"/>
  <c r="X150" i="15"/>
  <c r="W150" i="15"/>
  <c r="R150" i="15"/>
  <c r="P150" i="15"/>
  <c r="O150" i="15"/>
  <c r="N150" i="15"/>
  <c r="AF149" i="15"/>
  <c r="AE149" i="15"/>
  <c r="AD149" i="15"/>
  <c r="AC149" i="15"/>
  <c r="AB149" i="15"/>
  <c r="AA149" i="15"/>
  <c r="Z149" i="15"/>
  <c r="Y149" i="15"/>
  <c r="X149" i="15"/>
  <c r="W149" i="15"/>
  <c r="R149" i="15"/>
  <c r="P149" i="15"/>
  <c r="O149" i="15"/>
  <c r="N149" i="15"/>
  <c r="AF148" i="15"/>
  <c r="AE148" i="15"/>
  <c r="AD148" i="15"/>
  <c r="AC148" i="15"/>
  <c r="AB148" i="15"/>
  <c r="AA148" i="15"/>
  <c r="Z148" i="15"/>
  <c r="Y148" i="15"/>
  <c r="X148" i="15"/>
  <c r="W148" i="15"/>
  <c r="R148" i="15"/>
  <c r="P148" i="15"/>
  <c r="O148" i="15"/>
  <c r="N148" i="15"/>
  <c r="AF147" i="15"/>
  <c r="AE147" i="15"/>
  <c r="AD147" i="15"/>
  <c r="AC147" i="15"/>
  <c r="AB147" i="15"/>
  <c r="AA147" i="15"/>
  <c r="Z147" i="15"/>
  <c r="Y147" i="15"/>
  <c r="X147" i="15"/>
  <c r="W147" i="15"/>
  <c r="R147" i="15"/>
  <c r="P147" i="15"/>
  <c r="O147" i="15"/>
  <c r="N147" i="15"/>
  <c r="AF146" i="15"/>
  <c r="AE146" i="15"/>
  <c r="AD146" i="15"/>
  <c r="AC146" i="15"/>
  <c r="AB146" i="15"/>
  <c r="AA146" i="15"/>
  <c r="Z146" i="15"/>
  <c r="Y146" i="15"/>
  <c r="X146" i="15"/>
  <c r="W146" i="15"/>
  <c r="R146" i="15"/>
  <c r="P146" i="15"/>
  <c r="O146" i="15"/>
  <c r="N146" i="15"/>
  <c r="AF145" i="15"/>
  <c r="AE145" i="15"/>
  <c r="AD145" i="15"/>
  <c r="AC145" i="15"/>
  <c r="AB145" i="15"/>
  <c r="AA145" i="15"/>
  <c r="Z145" i="15"/>
  <c r="Y145" i="15"/>
  <c r="X145" i="15"/>
  <c r="W145" i="15"/>
  <c r="R145" i="15"/>
  <c r="P145" i="15"/>
  <c r="O145" i="15"/>
  <c r="N145" i="15"/>
  <c r="AF144" i="15"/>
  <c r="AE144" i="15"/>
  <c r="AD144" i="15"/>
  <c r="AC144" i="15"/>
  <c r="AB144" i="15"/>
  <c r="AA144" i="15"/>
  <c r="Z144" i="15"/>
  <c r="Y144" i="15"/>
  <c r="X144" i="15"/>
  <c r="W144" i="15"/>
  <c r="R144" i="15"/>
  <c r="P144" i="15"/>
  <c r="O144" i="15"/>
  <c r="N144" i="15"/>
  <c r="AF143" i="15"/>
  <c r="AE143" i="15"/>
  <c r="AD143" i="15"/>
  <c r="AC143" i="15"/>
  <c r="AB143" i="15"/>
  <c r="AA143" i="15"/>
  <c r="Z143" i="15"/>
  <c r="Y143" i="15"/>
  <c r="X143" i="15"/>
  <c r="W143" i="15"/>
  <c r="R143" i="15"/>
  <c r="P143" i="15"/>
  <c r="O143" i="15"/>
  <c r="N143" i="15"/>
  <c r="AF142" i="15"/>
  <c r="AE142" i="15"/>
  <c r="AD142" i="15"/>
  <c r="AC142" i="15"/>
  <c r="AB142" i="15"/>
  <c r="AA142" i="15"/>
  <c r="Z142" i="15"/>
  <c r="Y142" i="15"/>
  <c r="X142" i="15"/>
  <c r="W142" i="15"/>
  <c r="R142" i="15"/>
  <c r="P142" i="15"/>
  <c r="O142" i="15"/>
  <c r="N142" i="15"/>
  <c r="AF141" i="15"/>
  <c r="AE141" i="15"/>
  <c r="AD141" i="15"/>
  <c r="AC141" i="15"/>
  <c r="AB141" i="15"/>
  <c r="AA141" i="15"/>
  <c r="Z141" i="15"/>
  <c r="Y141" i="15"/>
  <c r="X141" i="15"/>
  <c r="W141" i="15"/>
  <c r="R141" i="15"/>
  <c r="P141" i="15"/>
  <c r="O141" i="15"/>
  <c r="N141" i="15"/>
  <c r="AF140" i="15"/>
  <c r="AE140" i="15"/>
  <c r="AD140" i="15"/>
  <c r="AC140" i="15"/>
  <c r="AB140" i="15"/>
  <c r="AA140" i="15"/>
  <c r="Z140" i="15"/>
  <c r="Y140" i="15"/>
  <c r="X140" i="15"/>
  <c r="W140" i="15"/>
  <c r="R140" i="15"/>
  <c r="P140" i="15"/>
  <c r="O140" i="15"/>
  <c r="N140" i="15"/>
  <c r="AF139" i="15"/>
  <c r="AE139" i="15"/>
  <c r="AD139" i="15"/>
  <c r="AC139" i="15"/>
  <c r="AB139" i="15"/>
  <c r="AA139" i="15"/>
  <c r="Z139" i="15"/>
  <c r="Y139" i="15"/>
  <c r="X139" i="15"/>
  <c r="W139" i="15"/>
  <c r="R139" i="15"/>
  <c r="P139" i="15"/>
  <c r="O139" i="15"/>
  <c r="N139" i="15"/>
  <c r="AF138" i="15"/>
  <c r="AE138" i="15"/>
  <c r="AD138" i="15"/>
  <c r="AC138" i="15"/>
  <c r="AB138" i="15"/>
  <c r="AA138" i="15"/>
  <c r="Z138" i="15"/>
  <c r="Y138" i="15"/>
  <c r="X138" i="15"/>
  <c r="W138" i="15"/>
  <c r="R138" i="15"/>
  <c r="P138" i="15"/>
  <c r="O138" i="15"/>
  <c r="N138" i="15"/>
  <c r="AF137" i="15"/>
  <c r="AE137" i="15"/>
  <c r="AD137" i="15"/>
  <c r="AC137" i="15"/>
  <c r="AB137" i="15"/>
  <c r="AA137" i="15"/>
  <c r="Z137" i="15"/>
  <c r="Y137" i="15"/>
  <c r="X137" i="15"/>
  <c r="W137" i="15"/>
  <c r="R137" i="15"/>
  <c r="P137" i="15"/>
  <c r="O137" i="15"/>
  <c r="N137" i="15"/>
  <c r="AF136" i="15"/>
  <c r="AE136" i="15"/>
  <c r="AD136" i="15"/>
  <c r="AC136" i="15"/>
  <c r="AB136" i="15"/>
  <c r="AA136" i="15"/>
  <c r="Z136" i="15"/>
  <c r="Y136" i="15"/>
  <c r="X136" i="15"/>
  <c r="W136" i="15"/>
  <c r="R136" i="15"/>
  <c r="P136" i="15"/>
  <c r="O136" i="15"/>
  <c r="N136" i="15"/>
  <c r="AF135" i="15"/>
  <c r="AE135" i="15"/>
  <c r="AD135" i="15"/>
  <c r="AC135" i="15"/>
  <c r="AB135" i="15"/>
  <c r="AA135" i="15"/>
  <c r="Z135" i="15"/>
  <c r="Y135" i="15"/>
  <c r="X135" i="15"/>
  <c r="W135" i="15"/>
  <c r="R135" i="15"/>
  <c r="P135" i="15"/>
  <c r="O135" i="15"/>
  <c r="N135" i="15"/>
  <c r="AF134" i="15"/>
  <c r="AE134" i="15"/>
  <c r="AD134" i="15"/>
  <c r="AC134" i="15"/>
  <c r="AB134" i="15"/>
  <c r="AA134" i="15"/>
  <c r="Z134" i="15"/>
  <c r="Y134" i="15"/>
  <c r="X134" i="15"/>
  <c r="W134" i="15"/>
  <c r="R134" i="15"/>
  <c r="P134" i="15"/>
  <c r="O134" i="15"/>
  <c r="N134" i="15"/>
  <c r="AF133" i="15"/>
  <c r="AE133" i="15"/>
  <c r="AD133" i="15"/>
  <c r="AC133" i="15"/>
  <c r="AB133" i="15"/>
  <c r="AA133" i="15"/>
  <c r="Z133" i="15"/>
  <c r="Y133" i="15"/>
  <c r="X133" i="15"/>
  <c r="W133" i="15"/>
  <c r="R133" i="15"/>
  <c r="P133" i="15"/>
  <c r="O133" i="15"/>
  <c r="N133" i="15"/>
  <c r="AF132" i="15"/>
  <c r="AE132" i="15"/>
  <c r="AD132" i="15"/>
  <c r="AC132" i="15"/>
  <c r="AB132" i="15"/>
  <c r="AA132" i="15"/>
  <c r="Z132" i="15"/>
  <c r="Y132" i="15"/>
  <c r="X132" i="15"/>
  <c r="W132" i="15"/>
  <c r="R132" i="15"/>
  <c r="P132" i="15"/>
  <c r="O132" i="15"/>
  <c r="N132" i="15"/>
  <c r="AF131" i="15"/>
  <c r="AE131" i="15"/>
  <c r="AD131" i="15"/>
  <c r="AC131" i="15"/>
  <c r="AB131" i="15"/>
  <c r="AA131" i="15"/>
  <c r="Z131" i="15"/>
  <c r="Y131" i="15"/>
  <c r="X131" i="15"/>
  <c r="W131" i="15"/>
  <c r="R131" i="15"/>
  <c r="P131" i="15"/>
  <c r="O131" i="15"/>
  <c r="N131" i="15"/>
  <c r="AF130" i="15"/>
  <c r="AE130" i="15"/>
  <c r="AD130" i="15"/>
  <c r="AC130" i="15"/>
  <c r="AB130" i="15"/>
  <c r="AA130" i="15"/>
  <c r="Z130" i="15"/>
  <c r="Y130" i="15"/>
  <c r="X130" i="15"/>
  <c r="W130" i="15"/>
  <c r="R130" i="15"/>
  <c r="P130" i="15"/>
  <c r="O130" i="15"/>
  <c r="N130" i="15"/>
  <c r="AF129" i="15"/>
  <c r="AE129" i="15"/>
  <c r="AD129" i="15"/>
  <c r="AC129" i="15"/>
  <c r="AB129" i="15"/>
  <c r="AA129" i="15"/>
  <c r="Z129" i="15"/>
  <c r="Y129" i="15"/>
  <c r="X129" i="15"/>
  <c r="W129" i="15"/>
  <c r="R129" i="15"/>
  <c r="P129" i="15"/>
  <c r="O129" i="15"/>
  <c r="N129" i="15"/>
  <c r="AF128" i="15"/>
  <c r="AE128" i="15"/>
  <c r="AD128" i="15"/>
  <c r="AC128" i="15"/>
  <c r="AB128" i="15"/>
  <c r="AA128" i="15"/>
  <c r="Z128" i="15"/>
  <c r="Y128" i="15"/>
  <c r="X128" i="15"/>
  <c r="W128" i="15"/>
  <c r="R128" i="15"/>
  <c r="P128" i="15"/>
  <c r="O128" i="15"/>
  <c r="N128" i="15"/>
  <c r="AF127" i="15"/>
  <c r="AE127" i="15"/>
  <c r="AD127" i="15"/>
  <c r="AC127" i="15"/>
  <c r="AB127" i="15"/>
  <c r="AA127" i="15"/>
  <c r="Z127" i="15"/>
  <c r="Y127" i="15"/>
  <c r="X127" i="15"/>
  <c r="W127" i="15"/>
  <c r="R127" i="15"/>
  <c r="P127" i="15"/>
  <c r="O127" i="15"/>
  <c r="N127" i="15"/>
  <c r="AF126" i="15"/>
  <c r="AE126" i="15"/>
  <c r="AD126" i="15"/>
  <c r="AC126" i="15"/>
  <c r="AB126" i="15"/>
  <c r="AA126" i="15"/>
  <c r="Z126" i="15"/>
  <c r="Y126" i="15"/>
  <c r="X126" i="15"/>
  <c r="W126" i="15"/>
  <c r="R126" i="15"/>
  <c r="P126" i="15"/>
  <c r="O126" i="15"/>
  <c r="N126" i="15"/>
  <c r="AF125" i="15"/>
  <c r="AE125" i="15"/>
  <c r="AD125" i="15"/>
  <c r="AC125" i="15"/>
  <c r="AB125" i="15"/>
  <c r="AA125" i="15"/>
  <c r="Z125" i="15"/>
  <c r="Y125" i="15"/>
  <c r="X125" i="15"/>
  <c r="W125" i="15"/>
  <c r="R125" i="15"/>
  <c r="P125" i="15"/>
  <c r="O125" i="15"/>
  <c r="N125" i="15"/>
  <c r="AF124" i="15"/>
  <c r="AE124" i="15"/>
  <c r="AD124" i="15"/>
  <c r="AC124" i="15"/>
  <c r="AB124" i="15"/>
  <c r="AA124" i="15"/>
  <c r="Z124" i="15"/>
  <c r="Y124" i="15"/>
  <c r="X124" i="15"/>
  <c r="W124" i="15"/>
  <c r="R124" i="15"/>
  <c r="P124" i="15"/>
  <c r="O124" i="15"/>
  <c r="N124" i="15"/>
  <c r="AF123" i="15"/>
  <c r="AE123" i="15"/>
  <c r="AD123" i="15"/>
  <c r="AC123" i="15"/>
  <c r="AB123" i="15"/>
  <c r="AA123" i="15"/>
  <c r="Z123" i="15"/>
  <c r="Y123" i="15"/>
  <c r="X123" i="15"/>
  <c r="W123" i="15"/>
  <c r="R123" i="15"/>
  <c r="P123" i="15"/>
  <c r="O123" i="15"/>
  <c r="N123" i="15"/>
  <c r="AF122" i="15"/>
  <c r="AE122" i="15"/>
  <c r="AD122" i="15"/>
  <c r="AC122" i="15"/>
  <c r="AB122" i="15"/>
  <c r="AA122" i="15"/>
  <c r="Z122" i="15"/>
  <c r="Y122" i="15"/>
  <c r="X122" i="15"/>
  <c r="W122" i="15"/>
  <c r="R122" i="15"/>
  <c r="P122" i="15"/>
  <c r="O122" i="15"/>
  <c r="N122" i="15"/>
  <c r="AF121" i="15"/>
  <c r="AE121" i="15"/>
  <c r="AD121" i="15"/>
  <c r="AC121" i="15"/>
  <c r="AB121" i="15"/>
  <c r="AA121" i="15"/>
  <c r="Z121" i="15"/>
  <c r="Y121" i="15"/>
  <c r="X121" i="15"/>
  <c r="W121" i="15"/>
  <c r="R121" i="15"/>
  <c r="P121" i="15"/>
  <c r="O121" i="15"/>
  <c r="N121" i="15"/>
  <c r="AF120" i="15"/>
  <c r="AE120" i="15"/>
  <c r="AD120" i="15"/>
  <c r="AC120" i="15"/>
  <c r="AB120" i="15"/>
  <c r="AA120" i="15"/>
  <c r="Z120" i="15"/>
  <c r="Y120" i="15"/>
  <c r="X120" i="15"/>
  <c r="W120" i="15"/>
  <c r="R120" i="15"/>
  <c r="P120" i="15"/>
  <c r="O120" i="15"/>
  <c r="N120" i="15"/>
  <c r="AF119" i="15"/>
  <c r="AE119" i="15"/>
  <c r="AD119" i="15"/>
  <c r="AC119" i="15"/>
  <c r="AB119" i="15"/>
  <c r="AA119" i="15"/>
  <c r="Z119" i="15"/>
  <c r="Y119" i="15"/>
  <c r="X119" i="15"/>
  <c r="W119" i="15"/>
  <c r="R119" i="15"/>
  <c r="P119" i="15"/>
  <c r="O119" i="15"/>
  <c r="N119" i="15"/>
  <c r="AF118" i="15"/>
  <c r="AE118" i="15"/>
  <c r="AD118" i="15"/>
  <c r="AC118" i="15"/>
  <c r="AB118" i="15"/>
  <c r="AA118" i="15"/>
  <c r="Z118" i="15"/>
  <c r="Y118" i="15"/>
  <c r="X118" i="15"/>
  <c r="W118" i="15"/>
  <c r="R118" i="15"/>
  <c r="P118" i="15"/>
  <c r="O118" i="15"/>
  <c r="N118" i="15"/>
  <c r="AF117" i="15"/>
  <c r="AE117" i="15"/>
  <c r="AD117" i="15"/>
  <c r="AC117" i="15"/>
  <c r="AB117" i="15"/>
  <c r="AA117" i="15"/>
  <c r="Z117" i="15"/>
  <c r="Y117" i="15"/>
  <c r="X117" i="15"/>
  <c r="W117" i="15"/>
  <c r="R117" i="15"/>
  <c r="P117" i="15"/>
  <c r="O117" i="15"/>
  <c r="N117" i="15"/>
  <c r="AF116" i="15"/>
  <c r="AE116" i="15"/>
  <c r="AD116" i="15"/>
  <c r="AC116" i="15"/>
  <c r="AB116" i="15"/>
  <c r="AA116" i="15"/>
  <c r="Z116" i="15"/>
  <c r="Y116" i="15"/>
  <c r="X116" i="15"/>
  <c r="W116" i="15"/>
  <c r="R116" i="15"/>
  <c r="P116" i="15"/>
  <c r="O116" i="15"/>
  <c r="N116" i="15"/>
  <c r="AF115" i="15"/>
  <c r="AE115" i="15"/>
  <c r="AD115" i="15"/>
  <c r="AC115" i="15"/>
  <c r="AB115" i="15"/>
  <c r="AA115" i="15"/>
  <c r="Z115" i="15"/>
  <c r="Y115" i="15"/>
  <c r="X115" i="15"/>
  <c r="W115" i="15"/>
  <c r="R115" i="15"/>
  <c r="P115" i="15"/>
  <c r="O115" i="15"/>
  <c r="N115" i="15"/>
  <c r="AF114" i="15"/>
  <c r="AE114" i="15"/>
  <c r="AD114" i="15"/>
  <c r="AC114" i="15"/>
  <c r="AB114" i="15"/>
  <c r="AA114" i="15"/>
  <c r="Z114" i="15"/>
  <c r="Y114" i="15"/>
  <c r="X114" i="15"/>
  <c r="W114" i="15"/>
  <c r="R114" i="15"/>
  <c r="P114" i="15"/>
  <c r="O114" i="15"/>
  <c r="N114" i="15"/>
  <c r="AF113" i="15"/>
  <c r="AE113" i="15"/>
  <c r="AD113" i="15"/>
  <c r="AC113" i="15"/>
  <c r="AB113" i="15"/>
  <c r="AA113" i="15"/>
  <c r="Z113" i="15"/>
  <c r="Y113" i="15"/>
  <c r="X113" i="15"/>
  <c r="W113" i="15"/>
  <c r="R113" i="15"/>
  <c r="P113" i="15"/>
  <c r="O113" i="15"/>
  <c r="N113" i="15"/>
  <c r="AF112" i="15"/>
  <c r="AE112" i="15"/>
  <c r="AD112" i="15"/>
  <c r="AC112" i="15"/>
  <c r="AB112" i="15"/>
  <c r="AA112" i="15"/>
  <c r="Z112" i="15"/>
  <c r="Y112" i="15"/>
  <c r="X112" i="15"/>
  <c r="W112" i="15"/>
  <c r="R112" i="15"/>
  <c r="P112" i="15"/>
  <c r="O112" i="15"/>
  <c r="N112" i="15"/>
  <c r="AF111" i="15"/>
  <c r="AE111" i="15"/>
  <c r="AD111" i="15"/>
  <c r="AC111" i="15"/>
  <c r="AB111" i="15"/>
  <c r="AA111" i="15"/>
  <c r="Z111" i="15"/>
  <c r="Y111" i="15"/>
  <c r="X111" i="15"/>
  <c r="W111" i="15"/>
  <c r="R111" i="15"/>
  <c r="P111" i="15"/>
  <c r="O111" i="15"/>
  <c r="N111" i="15"/>
  <c r="AF110" i="15"/>
  <c r="AE110" i="15"/>
  <c r="AD110" i="15"/>
  <c r="AC110" i="15"/>
  <c r="AB110" i="15"/>
  <c r="AA110" i="15"/>
  <c r="Z110" i="15"/>
  <c r="Y110" i="15"/>
  <c r="X110" i="15"/>
  <c r="W110" i="15"/>
  <c r="R110" i="15"/>
  <c r="P110" i="15"/>
  <c r="O110" i="15"/>
  <c r="N110" i="15"/>
  <c r="AF109" i="15"/>
  <c r="AE109" i="15"/>
  <c r="AD109" i="15"/>
  <c r="AC109" i="15"/>
  <c r="AB109" i="15"/>
  <c r="AA109" i="15"/>
  <c r="Z109" i="15"/>
  <c r="Y109" i="15"/>
  <c r="X109" i="15"/>
  <c r="W109" i="15"/>
  <c r="R109" i="15"/>
  <c r="P109" i="15"/>
  <c r="O109" i="15"/>
  <c r="N109" i="15"/>
  <c r="AF108" i="15"/>
  <c r="AE108" i="15"/>
  <c r="AD108" i="15"/>
  <c r="AC108" i="15"/>
  <c r="AB108" i="15"/>
  <c r="AA108" i="15"/>
  <c r="Z108" i="15"/>
  <c r="Y108" i="15"/>
  <c r="X108" i="15"/>
  <c r="W108" i="15"/>
  <c r="R108" i="15"/>
  <c r="P108" i="15"/>
  <c r="O108" i="15"/>
  <c r="N108" i="15"/>
  <c r="AF107" i="15"/>
  <c r="AE107" i="15"/>
  <c r="AD107" i="15"/>
  <c r="AC107" i="15"/>
  <c r="AB107" i="15"/>
  <c r="AA107" i="15"/>
  <c r="Z107" i="15"/>
  <c r="Y107" i="15"/>
  <c r="X107" i="15"/>
  <c r="W107" i="15"/>
  <c r="R107" i="15"/>
  <c r="P107" i="15"/>
  <c r="O107" i="15"/>
  <c r="N107" i="15"/>
  <c r="AF106" i="15"/>
  <c r="AE106" i="15"/>
  <c r="AD106" i="15"/>
  <c r="AC106" i="15"/>
  <c r="AB106" i="15"/>
  <c r="AA106" i="15"/>
  <c r="Z106" i="15"/>
  <c r="Y106" i="15"/>
  <c r="X106" i="15"/>
  <c r="W106" i="15"/>
  <c r="R106" i="15"/>
  <c r="P106" i="15"/>
  <c r="O106" i="15"/>
  <c r="N106" i="15"/>
  <c r="AF105" i="15"/>
  <c r="AE105" i="15"/>
  <c r="AD105" i="15"/>
  <c r="AC105" i="15"/>
  <c r="AB105" i="15"/>
  <c r="AA105" i="15"/>
  <c r="Z105" i="15"/>
  <c r="Y105" i="15"/>
  <c r="X105" i="15"/>
  <c r="W105" i="15"/>
  <c r="R105" i="15"/>
  <c r="P105" i="15"/>
  <c r="O105" i="15"/>
  <c r="N105" i="15"/>
  <c r="AF104" i="15"/>
  <c r="AE104" i="15"/>
  <c r="AD104" i="15"/>
  <c r="AC104" i="15"/>
  <c r="AB104" i="15"/>
  <c r="AA104" i="15"/>
  <c r="Z104" i="15"/>
  <c r="Y104" i="15"/>
  <c r="X104" i="15"/>
  <c r="W104" i="15"/>
  <c r="R104" i="15"/>
  <c r="P104" i="15"/>
  <c r="O104" i="15"/>
  <c r="N104" i="15"/>
  <c r="AF103" i="15"/>
  <c r="AE103" i="15"/>
  <c r="AD103" i="15"/>
  <c r="AC103" i="15"/>
  <c r="AB103" i="15"/>
  <c r="AA103" i="15"/>
  <c r="Z103" i="15"/>
  <c r="Y103" i="15"/>
  <c r="X103" i="15"/>
  <c r="W103" i="15"/>
  <c r="R103" i="15"/>
  <c r="P103" i="15"/>
  <c r="O103" i="15"/>
  <c r="N103" i="15"/>
  <c r="AF102" i="15"/>
  <c r="AE102" i="15"/>
  <c r="AD102" i="15"/>
  <c r="AC102" i="15"/>
  <c r="AB102" i="15"/>
  <c r="AA102" i="15"/>
  <c r="Z102" i="15"/>
  <c r="Y102" i="15"/>
  <c r="X102" i="15"/>
  <c r="W102" i="15"/>
  <c r="R102" i="15"/>
  <c r="P102" i="15"/>
  <c r="O102" i="15"/>
  <c r="N102" i="15"/>
  <c r="AF101" i="15"/>
  <c r="AE101" i="15"/>
  <c r="AD101" i="15"/>
  <c r="AC101" i="15"/>
  <c r="AB101" i="15"/>
  <c r="AA101" i="15"/>
  <c r="Z101" i="15"/>
  <c r="Y101" i="15"/>
  <c r="X101" i="15"/>
  <c r="W101" i="15"/>
  <c r="R101" i="15"/>
  <c r="P101" i="15"/>
  <c r="O101" i="15"/>
  <c r="N101" i="15"/>
  <c r="AF100" i="15"/>
  <c r="AE100" i="15"/>
  <c r="AD100" i="15"/>
  <c r="AC100" i="15"/>
  <c r="AB100" i="15"/>
  <c r="AA100" i="15"/>
  <c r="Z100" i="15"/>
  <c r="Y100" i="15"/>
  <c r="X100" i="15"/>
  <c r="W100" i="15"/>
  <c r="R100" i="15"/>
  <c r="P100" i="15"/>
  <c r="O100" i="15"/>
  <c r="N100" i="15"/>
  <c r="AF99" i="15"/>
  <c r="AE99" i="15"/>
  <c r="AD99" i="15"/>
  <c r="AC99" i="15"/>
  <c r="AB99" i="15"/>
  <c r="AA99" i="15"/>
  <c r="Z99" i="15"/>
  <c r="Y99" i="15"/>
  <c r="X99" i="15"/>
  <c r="W99" i="15"/>
  <c r="R99" i="15"/>
  <c r="P99" i="15"/>
  <c r="O99" i="15"/>
  <c r="N99" i="15"/>
  <c r="AF98" i="15"/>
  <c r="AE98" i="15"/>
  <c r="AD98" i="15"/>
  <c r="AC98" i="15"/>
  <c r="AB98" i="15"/>
  <c r="AA98" i="15"/>
  <c r="Z98" i="15"/>
  <c r="Y98" i="15"/>
  <c r="X98" i="15"/>
  <c r="W98" i="15"/>
  <c r="R98" i="15"/>
  <c r="P98" i="15"/>
  <c r="O98" i="15"/>
  <c r="N98" i="15"/>
  <c r="AF97" i="15"/>
  <c r="AE97" i="15"/>
  <c r="AD97" i="15"/>
  <c r="AC97" i="15"/>
  <c r="AB97" i="15"/>
  <c r="AA97" i="15"/>
  <c r="Z97" i="15"/>
  <c r="Y97" i="15"/>
  <c r="X97" i="15"/>
  <c r="W97" i="15"/>
  <c r="R97" i="15"/>
  <c r="P97" i="15"/>
  <c r="O97" i="15"/>
  <c r="N97" i="15"/>
  <c r="AF96" i="15"/>
  <c r="AE96" i="15"/>
  <c r="AD96" i="15"/>
  <c r="AC96" i="15"/>
  <c r="AB96" i="15"/>
  <c r="AA96" i="15"/>
  <c r="Z96" i="15"/>
  <c r="Y96" i="15"/>
  <c r="X96" i="15"/>
  <c r="W96" i="15"/>
  <c r="R96" i="15"/>
  <c r="P96" i="15"/>
  <c r="O96" i="15"/>
  <c r="N96" i="15"/>
  <c r="AF95" i="15"/>
  <c r="AE95" i="15"/>
  <c r="AD95" i="15"/>
  <c r="AC95" i="15"/>
  <c r="AB95" i="15"/>
  <c r="AA95" i="15"/>
  <c r="Z95" i="15"/>
  <c r="Y95" i="15"/>
  <c r="X95" i="15"/>
  <c r="W95" i="15"/>
  <c r="R95" i="15"/>
  <c r="P95" i="15"/>
  <c r="O95" i="15"/>
  <c r="N95" i="15"/>
  <c r="AF94" i="15"/>
  <c r="AE94" i="15"/>
  <c r="AD94" i="15"/>
  <c r="AC94" i="15"/>
  <c r="AB94" i="15"/>
  <c r="AA94" i="15"/>
  <c r="Z94" i="15"/>
  <c r="Y94" i="15"/>
  <c r="X94" i="15"/>
  <c r="W94" i="15"/>
  <c r="R94" i="15"/>
  <c r="P94" i="15"/>
  <c r="O94" i="15"/>
  <c r="N94" i="15"/>
  <c r="AF93" i="15"/>
  <c r="AE93" i="15"/>
  <c r="AD93" i="15"/>
  <c r="AC93" i="15"/>
  <c r="AB93" i="15"/>
  <c r="AA93" i="15"/>
  <c r="Z93" i="15"/>
  <c r="Y93" i="15"/>
  <c r="X93" i="15"/>
  <c r="W93" i="15"/>
  <c r="R93" i="15"/>
  <c r="P93" i="15"/>
  <c r="O93" i="15"/>
  <c r="N93" i="15"/>
  <c r="AF92" i="15"/>
  <c r="AE92" i="15"/>
  <c r="AD92" i="15"/>
  <c r="AC92" i="15"/>
  <c r="AB92" i="15"/>
  <c r="AA92" i="15"/>
  <c r="Z92" i="15"/>
  <c r="Y92" i="15"/>
  <c r="X92" i="15"/>
  <c r="W92" i="15"/>
  <c r="R92" i="15"/>
  <c r="P92" i="15"/>
  <c r="O92" i="15"/>
  <c r="N92" i="15"/>
  <c r="AF91" i="15"/>
  <c r="AE91" i="15"/>
  <c r="AD91" i="15"/>
  <c r="AC91" i="15"/>
  <c r="AB91" i="15"/>
  <c r="AA91" i="15"/>
  <c r="Z91" i="15"/>
  <c r="Y91" i="15"/>
  <c r="X91" i="15"/>
  <c r="W91" i="15"/>
  <c r="R91" i="15"/>
  <c r="P91" i="15"/>
  <c r="O91" i="15"/>
  <c r="N91" i="15"/>
  <c r="AF90" i="15"/>
  <c r="AE90" i="15"/>
  <c r="AD90" i="15"/>
  <c r="AC90" i="15"/>
  <c r="AB90" i="15"/>
  <c r="AA90" i="15"/>
  <c r="Z90" i="15"/>
  <c r="Y90" i="15"/>
  <c r="X90" i="15"/>
  <c r="W90" i="15"/>
  <c r="R90" i="15"/>
  <c r="P90" i="15"/>
  <c r="O90" i="15"/>
  <c r="N90" i="15"/>
  <c r="AF89" i="15"/>
  <c r="AE89" i="15"/>
  <c r="AD89" i="15"/>
  <c r="AC89" i="15"/>
  <c r="AB89" i="15"/>
  <c r="AA89" i="15"/>
  <c r="Z89" i="15"/>
  <c r="Y89" i="15"/>
  <c r="X89" i="15"/>
  <c r="W89" i="15"/>
  <c r="R89" i="15"/>
  <c r="P89" i="15"/>
  <c r="O89" i="15"/>
  <c r="N89" i="15"/>
  <c r="AF88" i="15"/>
  <c r="AE88" i="15"/>
  <c r="AD88" i="15"/>
  <c r="AC88" i="15"/>
  <c r="AB88" i="15"/>
  <c r="AA88" i="15"/>
  <c r="Z88" i="15"/>
  <c r="Y88" i="15"/>
  <c r="X88" i="15"/>
  <c r="W88" i="15"/>
  <c r="R88" i="15"/>
  <c r="P88" i="15"/>
  <c r="O88" i="15"/>
  <c r="N88" i="15"/>
  <c r="AF87" i="15"/>
  <c r="AE87" i="15"/>
  <c r="AD87" i="15"/>
  <c r="AC87" i="15"/>
  <c r="AB87" i="15"/>
  <c r="AA87" i="15"/>
  <c r="Z87" i="15"/>
  <c r="Y87" i="15"/>
  <c r="X87" i="15"/>
  <c r="W87" i="15"/>
  <c r="R87" i="15"/>
  <c r="P87" i="15"/>
  <c r="O87" i="15"/>
  <c r="N87" i="15"/>
  <c r="AF86" i="15"/>
  <c r="AE86" i="15"/>
  <c r="AD86" i="15"/>
  <c r="AC86" i="15"/>
  <c r="AB86" i="15"/>
  <c r="AA86" i="15"/>
  <c r="Z86" i="15"/>
  <c r="Y86" i="15"/>
  <c r="X86" i="15"/>
  <c r="W86" i="15"/>
  <c r="R86" i="15"/>
  <c r="P86" i="15"/>
  <c r="O86" i="15"/>
  <c r="N86" i="15"/>
  <c r="AF85" i="15"/>
  <c r="AE85" i="15"/>
  <c r="AD85" i="15"/>
  <c r="AC85" i="15"/>
  <c r="AB85" i="15"/>
  <c r="AA85" i="15"/>
  <c r="Z85" i="15"/>
  <c r="Y85" i="15"/>
  <c r="X85" i="15"/>
  <c r="W85" i="15"/>
  <c r="R85" i="15"/>
  <c r="P85" i="15"/>
  <c r="O85" i="15"/>
  <c r="N85" i="15"/>
  <c r="AF84" i="15"/>
  <c r="AE84" i="15"/>
  <c r="AD84" i="15"/>
  <c r="AC84" i="15"/>
  <c r="AB84" i="15"/>
  <c r="AA84" i="15"/>
  <c r="Z84" i="15"/>
  <c r="Y84" i="15"/>
  <c r="X84" i="15"/>
  <c r="W84" i="15"/>
  <c r="R84" i="15"/>
  <c r="P84" i="15"/>
  <c r="O84" i="15"/>
  <c r="N84" i="15"/>
  <c r="AF83" i="15"/>
  <c r="AE83" i="15"/>
  <c r="AD83" i="15"/>
  <c r="AC83" i="15"/>
  <c r="AB83" i="15"/>
  <c r="AA83" i="15"/>
  <c r="Z83" i="15"/>
  <c r="Y83" i="15"/>
  <c r="X83" i="15"/>
  <c r="W83" i="15"/>
  <c r="R83" i="15"/>
  <c r="P83" i="15"/>
  <c r="O83" i="15"/>
  <c r="N83" i="15"/>
  <c r="AF82" i="15"/>
  <c r="AE82" i="15"/>
  <c r="AD82" i="15"/>
  <c r="AC82" i="15"/>
  <c r="AB82" i="15"/>
  <c r="AA82" i="15"/>
  <c r="Z82" i="15"/>
  <c r="Y82" i="15"/>
  <c r="X82" i="15"/>
  <c r="W82" i="15"/>
  <c r="R82" i="15"/>
  <c r="P82" i="15"/>
  <c r="O82" i="15"/>
  <c r="N82" i="15"/>
  <c r="AF81" i="15"/>
  <c r="AE81" i="15"/>
  <c r="AD81" i="15"/>
  <c r="AC81" i="15"/>
  <c r="AB81" i="15"/>
  <c r="AA81" i="15"/>
  <c r="Z81" i="15"/>
  <c r="Y81" i="15"/>
  <c r="X81" i="15"/>
  <c r="W81" i="15"/>
  <c r="R81" i="15"/>
  <c r="P81" i="15"/>
  <c r="O81" i="15"/>
  <c r="N81" i="15"/>
  <c r="AF80" i="15"/>
  <c r="AE80" i="15"/>
  <c r="AD80" i="15"/>
  <c r="AC80" i="15"/>
  <c r="AB80" i="15"/>
  <c r="AA80" i="15"/>
  <c r="Z80" i="15"/>
  <c r="Y80" i="15"/>
  <c r="X80" i="15"/>
  <c r="W80" i="15"/>
  <c r="R80" i="15"/>
  <c r="P80" i="15"/>
  <c r="O80" i="15"/>
  <c r="N80" i="15"/>
  <c r="AF79" i="15"/>
  <c r="AE79" i="15"/>
  <c r="AD79" i="15"/>
  <c r="AC79" i="15"/>
  <c r="AB79" i="15"/>
  <c r="AA79" i="15"/>
  <c r="Z79" i="15"/>
  <c r="Y79" i="15"/>
  <c r="X79" i="15"/>
  <c r="W79" i="15"/>
  <c r="R79" i="15"/>
  <c r="P79" i="15"/>
  <c r="O79" i="15"/>
  <c r="N79" i="15"/>
  <c r="AF78" i="15"/>
  <c r="AE78" i="15"/>
  <c r="AD78" i="15"/>
  <c r="AC78" i="15"/>
  <c r="AB78" i="15"/>
  <c r="AA78" i="15"/>
  <c r="Z78" i="15"/>
  <c r="Y78" i="15"/>
  <c r="X78" i="15"/>
  <c r="W78" i="15"/>
  <c r="R78" i="15"/>
  <c r="P78" i="15"/>
  <c r="O78" i="15"/>
  <c r="N78" i="15"/>
  <c r="AF77" i="15"/>
  <c r="AE77" i="15"/>
  <c r="AD77" i="15"/>
  <c r="AC77" i="15"/>
  <c r="AB77" i="15"/>
  <c r="AA77" i="15"/>
  <c r="Z77" i="15"/>
  <c r="Y77" i="15"/>
  <c r="X77" i="15"/>
  <c r="W77" i="15"/>
  <c r="R77" i="15"/>
  <c r="P77" i="15"/>
  <c r="O77" i="15"/>
  <c r="N77" i="15"/>
  <c r="AF76" i="15"/>
  <c r="AE76" i="15"/>
  <c r="AD76" i="15"/>
  <c r="AC76" i="15"/>
  <c r="AB76" i="15"/>
  <c r="AA76" i="15"/>
  <c r="Z76" i="15"/>
  <c r="Y76" i="15"/>
  <c r="X76" i="15"/>
  <c r="W76" i="15"/>
  <c r="R76" i="15"/>
  <c r="P76" i="15"/>
  <c r="O76" i="15"/>
  <c r="N76" i="15"/>
  <c r="AF75" i="15"/>
  <c r="AE75" i="15"/>
  <c r="AD75" i="15"/>
  <c r="AC75" i="15"/>
  <c r="AB75" i="15"/>
  <c r="AA75" i="15"/>
  <c r="Z75" i="15"/>
  <c r="Y75" i="15"/>
  <c r="X75" i="15"/>
  <c r="W75" i="15"/>
  <c r="R75" i="15"/>
  <c r="P75" i="15"/>
  <c r="O75" i="15"/>
  <c r="N75" i="15"/>
  <c r="AF74" i="15"/>
  <c r="AE74" i="15"/>
  <c r="AD74" i="15"/>
  <c r="AC74" i="15"/>
  <c r="AB74" i="15"/>
  <c r="AA74" i="15"/>
  <c r="Z74" i="15"/>
  <c r="Y74" i="15"/>
  <c r="X74" i="15"/>
  <c r="W74" i="15"/>
  <c r="R74" i="15"/>
  <c r="P74" i="15"/>
  <c r="O74" i="15"/>
  <c r="N74" i="15"/>
  <c r="AF73" i="15"/>
  <c r="AE73" i="15"/>
  <c r="AD73" i="15"/>
  <c r="AC73" i="15"/>
  <c r="AB73" i="15"/>
  <c r="AA73" i="15"/>
  <c r="Z73" i="15"/>
  <c r="Y73" i="15"/>
  <c r="X73" i="15"/>
  <c r="W73" i="15"/>
  <c r="R73" i="15"/>
  <c r="P73" i="15"/>
  <c r="O73" i="15"/>
  <c r="N73" i="15"/>
  <c r="AF72" i="15"/>
  <c r="AE72" i="15"/>
  <c r="AD72" i="15"/>
  <c r="AC72" i="15"/>
  <c r="AB72" i="15"/>
  <c r="AA72" i="15"/>
  <c r="Z72" i="15"/>
  <c r="Y72" i="15"/>
  <c r="X72" i="15"/>
  <c r="W72" i="15"/>
  <c r="R72" i="15"/>
  <c r="P72" i="15"/>
  <c r="O72" i="15"/>
  <c r="N72" i="15"/>
  <c r="AF71" i="15"/>
  <c r="AE71" i="15"/>
  <c r="AD71" i="15"/>
  <c r="AC71" i="15"/>
  <c r="AB71" i="15"/>
  <c r="AA71" i="15"/>
  <c r="Z71" i="15"/>
  <c r="Y71" i="15"/>
  <c r="X71" i="15"/>
  <c r="W71" i="15"/>
  <c r="R71" i="15"/>
  <c r="P71" i="15"/>
  <c r="O71" i="15"/>
  <c r="N71" i="15"/>
  <c r="AF70" i="15"/>
  <c r="AE70" i="15"/>
  <c r="AD70" i="15"/>
  <c r="AC70" i="15"/>
  <c r="AB70" i="15"/>
  <c r="AA70" i="15"/>
  <c r="Z70" i="15"/>
  <c r="Y70" i="15"/>
  <c r="X70" i="15"/>
  <c r="W70" i="15"/>
  <c r="R70" i="15"/>
  <c r="P70" i="15"/>
  <c r="O70" i="15"/>
  <c r="N70" i="15"/>
  <c r="AF69" i="15"/>
  <c r="AE69" i="15"/>
  <c r="AD69" i="15"/>
  <c r="AC69" i="15"/>
  <c r="AB69" i="15"/>
  <c r="AA69" i="15"/>
  <c r="Z69" i="15"/>
  <c r="Y69" i="15"/>
  <c r="X69" i="15"/>
  <c r="W69" i="15"/>
  <c r="R69" i="15"/>
  <c r="P69" i="15"/>
  <c r="O69" i="15"/>
  <c r="N69" i="15"/>
  <c r="AF68" i="15"/>
  <c r="AE68" i="15"/>
  <c r="AD68" i="15"/>
  <c r="AC68" i="15"/>
  <c r="AB68" i="15"/>
  <c r="AA68" i="15"/>
  <c r="Z68" i="15"/>
  <c r="Y68" i="15"/>
  <c r="X68" i="15"/>
  <c r="W68" i="15"/>
  <c r="R68" i="15"/>
  <c r="P68" i="15"/>
  <c r="O68" i="15"/>
  <c r="N68" i="15"/>
  <c r="AF67" i="15"/>
  <c r="AE67" i="15"/>
  <c r="AD67" i="15"/>
  <c r="AC67" i="15"/>
  <c r="AB67" i="15"/>
  <c r="AA67" i="15"/>
  <c r="Z67" i="15"/>
  <c r="Y67" i="15"/>
  <c r="X67" i="15"/>
  <c r="W67" i="15"/>
  <c r="R67" i="15"/>
  <c r="P67" i="15"/>
  <c r="O67" i="15"/>
  <c r="N67" i="15"/>
  <c r="AF66" i="15"/>
  <c r="AE66" i="15"/>
  <c r="AD66" i="15"/>
  <c r="AC66" i="15"/>
  <c r="AB66" i="15"/>
  <c r="AA66" i="15"/>
  <c r="Z66" i="15"/>
  <c r="Y66" i="15"/>
  <c r="X66" i="15"/>
  <c r="W66" i="15"/>
  <c r="R66" i="15"/>
  <c r="P66" i="15"/>
  <c r="O66" i="15"/>
  <c r="N66" i="15"/>
  <c r="AF65" i="15"/>
  <c r="AE65" i="15"/>
  <c r="AD65" i="15"/>
  <c r="AC65" i="15"/>
  <c r="AB65" i="15"/>
  <c r="AA65" i="15"/>
  <c r="Z65" i="15"/>
  <c r="Y65" i="15"/>
  <c r="X65" i="15"/>
  <c r="W65" i="15"/>
  <c r="R65" i="15"/>
  <c r="P65" i="15"/>
  <c r="O65" i="15"/>
  <c r="N65" i="15"/>
  <c r="AF64" i="15"/>
  <c r="AE64" i="15"/>
  <c r="AD64" i="15"/>
  <c r="AC64" i="15"/>
  <c r="AB64" i="15"/>
  <c r="AA64" i="15"/>
  <c r="Z64" i="15"/>
  <c r="Y64" i="15"/>
  <c r="X64" i="15"/>
  <c r="W64" i="15"/>
  <c r="R64" i="15"/>
  <c r="P64" i="15"/>
  <c r="O64" i="15"/>
  <c r="N64" i="15"/>
  <c r="AF63" i="15"/>
  <c r="AE63" i="15"/>
  <c r="AD63" i="15"/>
  <c r="AC63" i="15"/>
  <c r="AB63" i="15"/>
  <c r="AA63" i="15"/>
  <c r="Z63" i="15"/>
  <c r="Y63" i="15"/>
  <c r="X63" i="15"/>
  <c r="W63" i="15"/>
  <c r="R63" i="15"/>
  <c r="P63" i="15"/>
  <c r="O63" i="15"/>
  <c r="N63" i="15"/>
  <c r="AF62" i="15"/>
  <c r="AE62" i="15"/>
  <c r="AD62" i="15"/>
  <c r="AC62" i="15"/>
  <c r="AB62" i="15"/>
  <c r="AA62" i="15"/>
  <c r="Z62" i="15"/>
  <c r="Y62" i="15"/>
  <c r="X62" i="15"/>
  <c r="W62" i="15"/>
  <c r="R62" i="15"/>
  <c r="P62" i="15"/>
  <c r="O62" i="15"/>
  <c r="N62" i="15"/>
  <c r="AF61" i="15"/>
  <c r="AE61" i="15"/>
  <c r="AD61" i="15"/>
  <c r="AC61" i="15"/>
  <c r="AB61" i="15"/>
  <c r="AA61" i="15"/>
  <c r="Z61" i="15"/>
  <c r="Y61" i="15"/>
  <c r="X61" i="15"/>
  <c r="W61" i="15"/>
  <c r="R61" i="15"/>
  <c r="P61" i="15"/>
  <c r="O61" i="15"/>
  <c r="N61" i="15"/>
  <c r="AF60" i="15"/>
  <c r="AE60" i="15"/>
  <c r="AD60" i="15"/>
  <c r="AC60" i="15"/>
  <c r="AB60" i="15"/>
  <c r="AA60" i="15"/>
  <c r="Z60" i="15"/>
  <c r="Y60" i="15"/>
  <c r="X60" i="15"/>
  <c r="W60" i="15"/>
  <c r="R60" i="15"/>
  <c r="P60" i="15"/>
  <c r="O60" i="15"/>
  <c r="N60" i="15"/>
  <c r="AF59" i="15"/>
  <c r="AE59" i="15"/>
  <c r="AD59" i="15"/>
  <c r="AC59" i="15"/>
  <c r="AB59" i="15"/>
  <c r="AA59" i="15"/>
  <c r="Z59" i="15"/>
  <c r="Y59" i="15"/>
  <c r="X59" i="15"/>
  <c r="W59" i="15"/>
  <c r="R59" i="15"/>
  <c r="P59" i="15"/>
  <c r="O59" i="15"/>
  <c r="N59" i="15"/>
  <c r="AF58" i="15"/>
  <c r="AE58" i="15"/>
  <c r="AD58" i="15"/>
  <c r="AC58" i="15"/>
  <c r="AB58" i="15"/>
  <c r="AA58" i="15"/>
  <c r="Z58" i="15"/>
  <c r="Y58" i="15"/>
  <c r="X58" i="15"/>
  <c r="W58" i="15"/>
  <c r="R58" i="15"/>
  <c r="P58" i="15"/>
  <c r="O58" i="15"/>
  <c r="N58" i="15"/>
  <c r="AF57" i="15"/>
  <c r="AE57" i="15"/>
  <c r="AD57" i="15"/>
  <c r="AC57" i="15"/>
  <c r="AB57" i="15"/>
  <c r="AA57" i="15"/>
  <c r="Z57" i="15"/>
  <c r="Y57" i="15"/>
  <c r="X57" i="15"/>
  <c r="W57" i="15"/>
  <c r="R57" i="15"/>
  <c r="P57" i="15"/>
  <c r="O57" i="15"/>
  <c r="N57" i="15"/>
  <c r="AF56" i="15"/>
  <c r="AE56" i="15"/>
  <c r="AD56" i="15"/>
  <c r="AC56" i="15"/>
  <c r="AB56" i="15"/>
  <c r="AA56" i="15"/>
  <c r="Z56" i="15"/>
  <c r="Y56" i="15"/>
  <c r="X56" i="15"/>
  <c r="W56" i="15"/>
  <c r="R56" i="15"/>
  <c r="P56" i="15"/>
  <c r="O56" i="15"/>
  <c r="N56" i="15"/>
  <c r="AF55" i="15"/>
  <c r="AE55" i="15"/>
  <c r="AD55" i="15"/>
  <c r="AC55" i="15"/>
  <c r="AB55" i="15"/>
  <c r="AA55" i="15"/>
  <c r="Z55" i="15"/>
  <c r="Y55" i="15"/>
  <c r="X55" i="15"/>
  <c r="W55" i="15"/>
  <c r="R55" i="15"/>
  <c r="P55" i="15"/>
  <c r="O55" i="15"/>
  <c r="N55" i="15"/>
  <c r="AF54" i="15"/>
  <c r="AE54" i="15"/>
  <c r="AD54" i="15"/>
  <c r="AC54" i="15"/>
  <c r="AB54" i="15"/>
  <c r="AA54" i="15"/>
  <c r="Z54" i="15"/>
  <c r="Y54" i="15"/>
  <c r="X54" i="15"/>
  <c r="W54" i="15"/>
  <c r="R54" i="15"/>
  <c r="P54" i="15"/>
  <c r="O54" i="15"/>
  <c r="N54" i="15"/>
  <c r="AF53" i="15"/>
  <c r="AE53" i="15"/>
  <c r="AD53" i="15"/>
  <c r="AC53" i="15"/>
  <c r="AB53" i="15"/>
  <c r="AA53" i="15"/>
  <c r="Z53" i="15"/>
  <c r="Y53" i="15"/>
  <c r="X53" i="15"/>
  <c r="W53" i="15"/>
  <c r="R53" i="15"/>
  <c r="P53" i="15"/>
  <c r="O53" i="15"/>
  <c r="N53" i="15"/>
  <c r="AF52" i="15"/>
  <c r="AE52" i="15"/>
  <c r="AD52" i="15"/>
  <c r="AC52" i="15"/>
  <c r="AB52" i="15"/>
  <c r="AA52" i="15"/>
  <c r="Z52" i="15"/>
  <c r="Y52" i="15"/>
  <c r="X52" i="15"/>
  <c r="W52" i="15"/>
  <c r="R52" i="15"/>
  <c r="P52" i="15"/>
  <c r="O52" i="15"/>
  <c r="N52" i="15"/>
  <c r="AF51" i="15"/>
  <c r="AE51" i="15"/>
  <c r="AD51" i="15"/>
  <c r="AC51" i="15"/>
  <c r="AB51" i="15"/>
  <c r="AA51" i="15"/>
  <c r="Z51" i="15"/>
  <c r="Y51" i="15"/>
  <c r="X51" i="15"/>
  <c r="W51" i="15"/>
  <c r="R51" i="15"/>
  <c r="P51" i="15"/>
  <c r="O51" i="15"/>
  <c r="N51" i="15"/>
  <c r="AF50" i="15"/>
  <c r="AE50" i="15"/>
  <c r="AD50" i="15"/>
  <c r="AC50" i="15"/>
  <c r="AB50" i="15"/>
  <c r="AA50" i="15"/>
  <c r="Z50" i="15"/>
  <c r="Y50" i="15"/>
  <c r="X50" i="15"/>
  <c r="W50" i="15"/>
  <c r="R50" i="15"/>
  <c r="P50" i="15"/>
  <c r="O50" i="15"/>
  <c r="N50" i="15"/>
  <c r="AF49" i="15"/>
  <c r="AE49" i="15"/>
  <c r="AD49" i="15"/>
  <c r="AC49" i="15"/>
  <c r="AB49" i="15"/>
  <c r="AA49" i="15"/>
  <c r="Z49" i="15"/>
  <c r="Y49" i="15"/>
  <c r="X49" i="15"/>
  <c r="W49" i="15"/>
  <c r="R49" i="15"/>
  <c r="P49" i="15"/>
  <c r="O49" i="15"/>
  <c r="N49" i="15"/>
  <c r="AF48" i="15"/>
  <c r="AE48" i="15"/>
  <c r="AD48" i="15"/>
  <c r="AC48" i="15"/>
  <c r="AB48" i="15"/>
  <c r="AA48" i="15"/>
  <c r="Z48" i="15"/>
  <c r="Y48" i="15"/>
  <c r="X48" i="15"/>
  <c r="W48" i="15"/>
  <c r="R48" i="15"/>
  <c r="P48" i="15"/>
  <c r="O48" i="15"/>
  <c r="N48" i="15"/>
  <c r="AF47" i="15"/>
  <c r="AE47" i="15"/>
  <c r="AD47" i="15"/>
  <c r="AC47" i="15"/>
  <c r="AB47" i="15"/>
  <c r="AA47" i="15"/>
  <c r="Z47" i="15"/>
  <c r="Y47" i="15"/>
  <c r="X47" i="15"/>
  <c r="W47" i="15"/>
  <c r="R47" i="15"/>
  <c r="P47" i="15"/>
  <c r="O47" i="15"/>
  <c r="N47" i="15"/>
  <c r="AF46" i="15"/>
  <c r="AE46" i="15"/>
  <c r="AD46" i="15"/>
  <c r="AC46" i="15"/>
  <c r="AB46" i="15"/>
  <c r="AA46" i="15"/>
  <c r="Z46" i="15"/>
  <c r="Y46" i="15"/>
  <c r="X46" i="15"/>
  <c r="W46" i="15"/>
  <c r="R46" i="15"/>
  <c r="P46" i="15"/>
  <c r="O46" i="15"/>
  <c r="N46" i="15"/>
  <c r="AF45" i="15"/>
  <c r="AE45" i="15"/>
  <c r="AD45" i="15"/>
  <c r="AC45" i="15"/>
  <c r="AB45" i="15"/>
  <c r="AA45" i="15"/>
  <c r="Z45" i="15"/>
  <c r="Y45" i="15"/>
  <c r="X45" i="15"/>
  <c r="W45" i="15"/>
  <c r="R45" i="15"/>
  <c r="P45" i="15"/>
  <c r="O45" i="15"/>
  <c r="N45" i="15"/>
  <c r="AF44" i="15"/>
  <c r="AE44" i="15"/>
  <c r="AD44" i="15"/>
  <c r="AC44" i="15"/>
  <c r="AB44" i="15"/>
  <c r="AA44" i="15"/>
  <c r="Z44" i="15"/>
  <c r="Y44" i="15"/>
  <c r="X44" i="15"/>
  <c r="W44" i="15"/>
  <c r="R44" i="15"/>
  <c r="P44" i="15"/>
  <c r="O44" i="15"/>
  <c r="N44" i="15"/>
  <c r="AF43" i="15"/>
  <c r="AE43" i="15"/>
  <c r="AD43" i="15"/>
  <c r="AC43" i="15"/>
  <c r="AB43" i="15"/>
  <c r="AA43" i="15"/>
  <c r="Z43" i="15"/>
  <c r="Y43" i="15"/>
  <c r="X43" i="15"/>
  <c r="W43" i="15"/>
  <c r="R43" i="15"/>
  <c r="P43" i="15"/>
  <c r="O43" i="15"/>
  <c r="N43" i="15"/>
  <c r="AF42" i="15"/>
  <c r="AE42" i="15"/>
  <c r="AD42" i="15"/>
  <c r="AC42" i="15"/>
  <c r="AB42" i="15"/>
  <c r="AA42" i="15"/>
  <c r="Z42" i="15"/>
  <c r="Y42" i="15"/>
  <c r="X42" i="15"/>
  <c r="W42" i="15"/>
  <c r="R42" i="15"/>
  <c r="P42" i="15"/>
  <c r="O42" i="15"/>
  <c r="N42" i="15"/>
  <c r="AF41" i="15"/>
  <c r="AE41" i="15"/>
  <c r="AD41" i="15"/>
  <c r="AC41" i="15"/>
  <c r="AB41" i="15"/>
  <c r="AA41" i="15"/>
  <c r="Z41" i="15"/>
  <c r="Y41" i="15"/>
  <c r="X41" i="15"/>
  <c r="W41" i="15"/>
  <c r="R41" i="15"/>
  <c r="P41" i="15"/>
  <c r="O41" i="15"/>
  <c r="N41" i="15"/>
  <c r="AF40" i="15"/>
  <c r="AE40" i="15"/>
  <c r="AD40" i="15"/>
  <c r="AC40" i="15"/>
  <c r="AB40" i="15"/>
  <c r="AA40" i="15"/>
  <c r="Z40" i="15"/>
  <c r="Y40" i="15"/>
  <c r="X40" i="15"/>
  <c r="W40" i="15"/>
  <c r="R40" i="15"/>
  <c r="P40" i="15"/>
  <c r="O40" i="15"/>
  <c r="N40" i="15"/>
  <c r="AF39" i="15"/>
  <c r="AE39" i="15"/>
  <c r="AD39" i="15"/>
  <c r="AC39" i="15"/>
  <c r="AB39" i="15"/>
  <c r="AA39" i="15"/>
  <c r="Z39" i="15"/>
  <c r="Y39" i="15"/>
  <c r="X39" i="15"/>
  <c r="W39" i="15"/>
  <c r="R39" i="15"/>
  <c r="P39" i="15"/>
  <c r="O39" i="15"/>
  <c r="N39" i="15"/>
  <c r="AF38" i="15"/>
  <c r="AE38" i="15"/>
  <c r="AD38" i="15"/>
  <c r="AC38" i="15"/>
  <c r="AB38" i="15"/>
  <c r="AA38" i="15"/>
  <c r="Z38" i="15"/>
  <c r="Y38" i="15"/>
  <c r="X38" i="15"/>
  <c r="W38" i="15"/>
  <c r="R38" i="15"/>
  <c r="P38" i="15"/>
  <c r="O38" i="15"/>
  <c r="N38" i="15"/>
  <c r="AF37" i="15"/>
  <c r="AE37" i="15"/>
  <c r="AD37" i="15"/>
  <c r="AC37" i="15"/>
  <c r="AB37" i="15"/>
  <c r="AA37" i="15"/>
  <c r="Z37" i="15"/>
  <c r="Y37" i="15"/>
  <c r="X37" i="15"/>
  <c r="W37" i="15"/>
  <c r="R37" i="15"/>
  <c r="P37" i="15"/>
  <c r="O37" i="15"/>
  <c r="N37" i="15"/>
  <c r="AF36" i="15"/>
  <c r="AE36" i="15"/>
  <c r="AD36" i="15"/>
  <c r="AC36" i="15"/>
  <c r="AB36" i="15"/>
  <c r="AA36" i="15"/>
  <c r="Z36" i="15"/>
  <c r="Y36" i="15"/>
  <c r="X36" i="15"/>
  <c r="W36" i="15"/>
  <c r="R36" i="15"/>
  <c r="P36" i="15"/>
  <c r="O36" i="15"/>
  <c r="N36" i="15"/>
  <c r="AF35" i="15"/>
  <c r="AE35" i="15"/>
  <c r="AD35" i="15"/>
  <c r="AC35" i="15"/>
  <c r="AB35" i="15"/>
  <c r="AA35" i="15"/>
  <c r="Z35" i="15"/>
  <c r="Y35" i="15"/>
  <c r="X35" i="15"/>
  <c r="W35" i="15"/>
  <c r="R35" i="15"/>
  <c r="P35" i="15"/>
  <c r="O35" i="15"/>
  <c r="N35" i="15"/>
  <c r="AF34" i="15"/>
  <c r="AE34" i="15"/>
  <c r="AD34" i="15"/>
  <c r="AC34" i="15"/>
  <c r="AB34" i="15"/>
  <c r="AA34" i="15"/>
  <c r="Z34" i="15"/>
  <c r="Y34" i="15"/>
  <c r="X34" i="15"/>
  <c r="W34" i="15"/>
  <c r="R34" i="15"/>
  <c r="P34" i="15"/>
  <c r="O34" i="15"/>
  <c r="N34" i="15"/>
  <c r="AF33" i="15"/>
  <c r="AE33" i="15"/>
  <c r="AD33" i="15"/>
  <c r="AC33" i="15"/>
  <c r="AB33" i="15"/>
  <c r="AA33" i="15"/>
  <c r="Z33" i="15"/>
  <c r="Y33" i="15"/>
  <c r="X33" i="15"/>
  <c r="W33" i="15"/>
  <c r="R33" i="15"/>
  <c r="P33" i="15"/>
  <c r="O33" i="15"/>
  <c r="N33" i="15"/>
  <c r="AF32" i="15"/>
  <c r="AE32" i="15"/>
  <c r="AD32" i="15"/>
  <c r="AC32" i="15"/>
  <c r="AB32" i="15"/>
  <c r="AA32" i="15"/>
  <c r="Z32" i="15"/>
  <c r="Y32" i="15"/>
  <c r="X32" i="15"/>
  <c r="W32" i="15"/>
  <c r="R32" i="15"/>
  <c r="P32" i="15"/>
  <c r="O32" i="15"/>
  <c r="N32" i="15"/>
  <c r="AF31" i="15"/>
  <c r="AE31" i="15"/>
  <c r="AD31" i="15"/>
  <c r="AC31" i="15"/>
  <c r="AB31" i="15"/>
  <c r="AA31" i="15"/>
  <c r="Z31" i="15"/>
  <c r="Y31" i="15"/>
  <c r="X31" i="15"/>
  <c r="W31" i="15"/>
  <c r="R31" i="15"/>
  <c r="P31" i="15"/>
  <c r="O31" i="15"/>
  <c r="N31" i="15"/>
  <c r="AF30" i="15"/>
  <c r="AE30" i="15"/>
  <c r="AD30" i="15"/>
  <c r="AC30" i="15"/>
  <c r="AB30" i="15"/>
  <c r="AA30" i="15"/>
  <c r="Z30" i="15"/>
  <c r="Y30" i="15"/>
  <c r="X30" i="15"/>
  <c r="W30" i="15"/>
  <c r="R30" i="15"/>
  <c r="P30" i="15"/>
  <c r="O30" i="15"/>
  <c r="N30" i="15"/>
  <c r="AF29" i="15"/>
  <c r="AE29" i="15"/>
  <c r="AD29" i="15"/>
  <c r="AC29" i="15"/>
  <c r="AB29" i="15"/>
  <c r="AA29" i="15"/>
  <c r="Z29" i="15"/>
  <c r="Y29" i="15"/>
  <c r="X29" i="15"/>
  <c r="W29" i="15"/>
  <c r="R29" i="15"/>
  <c r="P29" i="15"/>
  <c r="O29" i="15"/>
  <c r="N29" i="15"/>
  <c r="AF28" i="15"/>
  <c r="AE28" i="15"/>
  <c r="AD28" i="15"/>
  <c r="AC28" i="15"/>
  <c r="AB28" i="15"/>
  <c r="AA28" i="15"/>
  <c r="Z28" i="15"/>
  <c r="Y28" i="15"/>
  <c r="X28" i="15"/>
  <c r="W28" i="15"/>
  <c r="R28" i="15"/>
  <c r="P28" i="15"/>
  <c r="O28" i="15"/>
  <c r="N28" i="15"/>
  <c r="AF27" i="15"/>
  <c r="AE27" i="15"/>
  <c r="AD27" i="15"/>
  <c r="AC27" i="15"/>
  <c r="AB27" i="15"/>
  <c r="AA27" i="15"/>
  <c r="Z27" i="15"/>
  <c r="Y27" i="15"/>
  <c r="X27" i="15"/>
  <c r="W27" i="15"/>
  <c r="R27" i="15"/>
  <c r="P27" i="15"/>
  <c r="O27" i="15"/>
  <c r="N27" i="15"/>
  <c r="AF26" i="15"/>
  <c r="AE26" i="15"/>
  <c r="AD26" i="15"/>
  <c r="AC26" i="15"/>
  <c r="AB26" i="15"/>
  <c r="AA26" i="15"/>
  <c r="Z26" i="15"/>
  <c r="Y26" i="15"/>
  <c r="X26" i="15"/>
  <c r="W26" i="15"/>
  <c r="R26" i="15"/>
  <c r="P26" i="15"/>
  <c r="O26" i="15"/>
  <c r="N26" i="15"/>
  <c r="AF25" i="15"/>
  <c r="AE25" i="15"/>
  <c r="AD25" i="15"/>
  <c r="AC25" i="15"/>
  <c r="AB25" i="15"/>
  <c r="AA25" i="15"/>
  <c r="Z25" i="15"/>
  <c r="Y25" i="15"/>
  <c r="X25" i="15"/>
  <c r="W25" i="15"/>
  <c r="R25" i="15"/>
  <c r="P25" i="15"/>
  <c r="O25" i="15"/>
  <c r="N25" i="15"/>
  <c r="AF24" i="15"/>
  <c r="AE24" i="15"/>
  <c r="AD24" i="15"/>
  <c r="AC24" i="15"/>
  <c r="AB24" i="15"/>
  <c r="AA24" i="15"/>
  <c r="Z24" i="15"/>
  <c r="Y24" i="15"/>
  <c r="X24" i="15"/>
  <c r="W24" i="15"/>
  <c r="R24" i="15"/>
  <c r="P24" i="15"/>
  <c r="O24" i="15"/>
  <c r="N24" i="15"/>
  <c r="AF23" i="15"/>
  <c r="AE23" i="15"/>
  <c r="AD23" i="15"/>
  <c r="AC23" i="15"/>
  <c r="AB23" i="15"/>
  <c r="AA23" i="15"/>
  <c r="Z23" i="15"/>
  <c r="Y23" i="15"/>
  <c r="X23" i="15"/>
  <c r="W23" i="15"/>
  <c r="R23" i="15"/>
  <c r="P23" i="15"/>
  <c r="O23" i="15"/>
  <c r="N23" i="15"/>
  <c r="AF22" i="15"/>
  <c r="AE22" i="15"/>
  <c r="AD22" i="15"/>
  <c r="AC22" i="15"/>
  <c r="AB22" i="15"/>
  <c r="AA22" i="15"/>
  <c r="Z22" i="15"/>
  <c r="Y22" i="15"/>
  <c r="X22" i="15"/>
  <c r="W22" i="15"/>
  <c r="R22" i="15"/>
  <c r="P22" i="15"/>
  <c r="O22" i="15"/>
  <c r="N22" i="15"/>
  <c r="AF21" i="15"/>
  <c r="AE21" i="15"/>
  <c r="AD21" i="15"/>
  <c r="AC21" i="15"/>
  <c r="AB21" i="15"/>
  <c r="AA21" i="15"/>
  <c r="Z21" i="15"/>
  <c r="Y21" i="15"/>
  <c r="X21" i="15"/>
  <c r="W21" i="15"/>
  <c r="R21" i="15"/>
  <c r="P21" i="15"/>
  <c r="O21" i="15"/>
  <c r="N21" i="15"/>
  <c r="AF20" i="15"/>
  <c r="AE20" i="15"/>
  <c r="AD20" i="15"/>
  <c r="AC20" i="15"/>
  <c r="AB20" i="15"/>
  <c r="AA20" i="15"/>
  <c r="Z20" i="15"/>
  <c r="Y20" i="15"/>
  <c r="X20" i="15"/>
  <c r="W20" i="15"/>
  <c r="R20" i="15"/>
  <c r="P20" i="15"/>
  <c r="O20" i="15"/>
  <c r="N20" i="15"/>
  <c r="AF19" i="15"/>
  <c r="AE19" i="15"/>
  <c r="AD19" i="15"/>
  <c r="AC19" i="15"/>
  <c r="AB19" i="15"/>
  <c r="AA19" i="15"/>
  <c r="Z19" i="15"/>
  <c r="Y19" i="15"/>
  <c r="X19" i="15"/>
  <c r="W19" i="15"/>
  <c r="R19" i="15"/>
  <c r="P19" i="15"/>
  <c r="O19" i="15"/>
  <c r="N19" i="15"/>
  <c r="AF18" i="15"/>
  <c r="AE18" i="15"/>
  <c r="AD18" i="15"/>
  <c r="AC18" i="15"/>
  <c r="AB18" i="15"/>
  <c r="AA18" i="15"/>
  <c r="Z18" i="15"/>
  <c r="Y18" i="15"/>
  <c r="X18" i="15"/>
  <c r="W18" i="15"/>
  <c r="R18" i="15"/>
  <c r="P18" i="15"/>
  <c r="O18" i="15"/>
  <c r="N18" i="15"/>
  <c r="AF17" i="15"/>
  <c r="AE17" i="15"/>
  <c r="AD17" i="15"/>
  <c r="AC17" i="15"/>
  <c r="AB17" i="15"/>
  <c r="AA17" i="15"/>
  <c r="Z17" i="15"/>
  <c r="Y17" i="15"/>
  <c r="X17" i="15"/>
  <c r="W17" i="15"/>
  <c r="R17" i="15"/>
  <c r="P17" i="15"/>
  <c r="O17" i="15"/>
  <c r="N17" i="15"/>
  <c r="AF16" i="15"/>
  <c r="AE16" i="15"/>
  <c r="AD16" i="15"/>
  <c r="AC16" i="15"/>
  <c r="AB16" i="15"/>
  <c r="AA16" i="15"/>
  <c r="Z16" i="15"/>
  <c r="Y16" i="15"/>
  <c r="X16" i="15"/>
  <c r="W16" i="15"/>
  <c r="R16" i="15"/>
  <c r="P16" i="15"/>
  <c r="O16" i="15"/>
  <c r="N16" i="15"/>
  <c r="AF15" i="15"/>
  <c r="AE15" i="15"/>
  <c r="AD15" i="15"/>
  <c r="AC15" i="15"/>
  <c r="AB15" i="15"/>
  <c r="AA15" i="15"/>
  <c r="Z15" i="15"/>
  <c r="Y15" i="15"/>
  <c r="X15" i="15"/>
  <c r="W15" i="15"/>
  <c r="R15" i="15"/>
  <c r="P15" i="15"/>
  <c r="O15" i="15"/>
  <c r="N15" i="15"/>
  <c r="AF14" i="15"/>
  <c r="AE14" i="15"/>
  <c r="AD14" i="15"/>
  <c r="AC14" i="15"/>
  <c r="AB14" i="15"/>
  <c r="AA14" i="15"/>
  <c r="Z14" i="15"/>
  <c r="Y14" i="15"/>
  <c r="X14" i="15"/>
  <c r="W14" i="15"/>
  <c r="R14" i="15"/>
  <c r="P14" i="15"/>
  <c r="O14" i="15"/>
  <c r="N14" i="15"/>
  <c r="AF13" i="15"/>
  <c r="AE13" i="15"/>
  <c r="AD13" i="15"/>
  <c r="AC13" i="15"/>
  <c r="AB13" i="15"/>
  <c r="AA13" i="15"/>
  <c r="Z13" i="15"/>
  <c r="Y13" i="15"/>
  <c r="X13" i="15"/>
  <c r="W13" i="15"/>
  <c r="R13" i="15"/>
  <c r="P13" i="15"/>
  <c r="O13" i="15"/>
  <c r="N13" i="15"/>
  <c r="AF12" i="15"/>
  <c r="AE12" i="15"/>
  <c r="AD12" i="15"/>
  <c r="AC12" i="15"/>
  <c r="AB12" i="15"/>
  <c r="AA12" i="15"/>
  <c r="Z12" i="15"/>
  <c r="Y12" i="15"/>
  <c r="X12" i="15"/>
  <c r="W12" i="15"/>
  <c r="R12" i="15"/>
  <c r="P12" i="15"/>
  <c r="O12" i="15"/>
  <c r="N12" i="15"/>
  <c r="AF11" i="15"/>
  <c r="AE11" i="15"/>
  <c r="AD11" i="15"/>
  <c r="AC11" i="15"/>
  <c r="AB11" i="15"/>
  <c r="AA11" i="15"/>
  <c r="Z11" i="15"/>
  <c r="Y11" i="15"/>
  <c r="X11" i="15"/>
  <c r="W11" i="15"/>
  <c r="R11" i="15"/>
  <c r="P11" i="15"/>
  <c r="O11" i="15"/>
  <c r="N11" i="15"/>
  <c r="AF10" i="15"/>
  <c r="AE10" i="15"/>
  <c r="AD10" i="15"/>
  <c r="AC10" i="15"/>
  <c r="AB10" i="15"/>
  <c r="AA10" i="15"/>
  <c r="Z10" i="15"/>
  <c r="Y10" i="15"/>
  <c r="X10" i="15"/>
  <c r="W10" i="15"/>
  <c r="R10" i="15"/>
  <c r="P10" i="15"/>
  <c r="O10" i="15"/>
  <c r="N10" i="15"/>
  <c r="AF9" i="15"/>
  <c r="AE9" i="15"/>
  <c r="AD9" i="15"/>
  <c r="AC9" i="15"/>
  <c r="AB9" i="15"/>
  <c r="AA9" i="15"/>
  <c r="Z9" i="15"/>
  <c r="Y9" i="15"/>
  <c r="X9" i="15"/>
  <c r="W9" i="15"/>
  <c r="R9" i="15"/>
  <c r="P9" i="15"/>
  <c r="O9" i="15"/>
  <c r="N9" i="15"/>
  <c r="AF8" i="15"/>
  <c r="AE8" i="15"/>
  <c r="AD8" i="15"/>
  <c r="AC8" i="15"/>
  <c r="AB8" i="15"/>
  <c r="AA8" i="15"/>
  <c r="Z8" i="15"/>
  <c r="Y8" i="15"/>
  <c r="X8" i="15"/>
  <c r="W8" i="15"/>
  <c r="R8" i="15"/>
  <c r="P8" i="15"/>
  <c r="O8" i="15"/>
  <c r="N8" i="15"/>
  <c r="M7" i="15"/>
  <c r="L7" i="15"/>
  <c r="K7" i="15"/>
  <c r="J7" i="15"/>
  <c r="I7" i="15"/>
  <c r="H7" i="15"/>
  <c r="G7" i="15"/>
  <c r="F7" i="15"/>
  <c r="E7" i="15"/>
  <c r="D7" i="15"/>
  <c r="M6" i="15"/>
  <c r="L6" i="15"/>
  <c r="K6" i="15"/>
  <c r="J6" i="15"/>
  <c r="I6" i="15"/>
  <c r="H6" i="15"/>
  <c r="G6" i="15"/>
  <c r="F6" i="15"/>
  <c r="E6" i="15"/>
  <c r="D6" i="15"/>
  <c r="C6" i="15"/>
  <c r="O4" i="15"/>
  <c r="O3" i="15"/>
  <c r="M256" i="19"/>
  <c r="M255" i="19"/>
  <c r="M254" i="19"/>
  <c r="N238" i="19"/>
  <c r="R237" i="19"/>
  <c r="P237" i="19"/>
  <c r="O237" i="19"/>
  <c r="M237" i="19"/>
  <c r="L237" i="19"/>
  <c r="K237" i="19"/>
  <c r="J237" i="19"/>
  <c r="I237" i="19"/>
  <c r="H237" i="19"/>
  <c r="G237" i="19"/>
  <c r="F237" i="19"/>
  <c r="E237" i="19"/>
  <c r="D237" i="19"/>
  <c r="AD236" i="19"/>
  <c r="AC236" i="19"/>
  <c r="AB236" i="19"/>
  <c r="AA236" i="19"/>
  <c r="Z236" i="19"/>
  <c r="Y236" i="19"/>
  <c r="X236" i="19"/>
  <c r="W236" i="19"/>
  <c r="V236" i="19"/>
  <c r="U236" i="19"/>
  <c r="R236" i="19"/>
  <c r="P236" i="19"/>
  <c r="O236" i="19"/>
  <c r="M236" i="19"/>
  <c r="L236" i="19"/>
  <c r="K236" i="19"/>
  <c r="J236" i="19"/>
  <c r="I236" i="19"/>
  <c r="H236" i="19"/>
  <c r="G236" i="19"/>
  <c r="F236" i="19"/>
  <c r="E236" i="19"/>
  <c r="D236" i="19"/>
  <c r="AD235" i="19"/>
  <c r="AC235" i="19"/>
  <c r="AB235" i="19"/>
  <c r="AA235" i="19"/>
  <c r="Z235" i="19"/>
  <c r="Y235" i="19"/>
  <c r="X235" i="19"/>
  <c r="W235" i="19"/>
  <c r="V235" i="19"/>
  <c r="U235" i="19"/>
  <c r="R235" i="19"/>
  <c r="P235" i="19"/>
  <c r="O235" i="19"/>
  <c r="N235" i="19"/>
  <c r="AD234" i="19"/>
  <c r="AC234" i="19"/>
  <c r="AB234" i="19"/>
  <c r="AA234" i="19"/>
  <c r="Z234" i="19"/>
  <c r="Y234" i="19"/>
  <c r="X234" i="19"/>
  <c r="W234" i="19"/>
  <c r="V234" i="19"/>
  <c r="U234" i="19"/>
  <c r="R234" i="19"/>
  <c r="P234" i="19"/>
  <c r="O234" i="19"/>
  <c r="N234" i="19"/>
  <c r="AD233" i="19"/>
  <c r="AC233" i="19"/>
  <c r="AB233" i="19"/>
  <c r="AA233" i="19"/>
  <c r="Z233" i="19"/>
  <c r="Y233" i="19"/>
  <c r="X233" i="19"/>
  <c r="W233" i="19"/>
  <c r="V233" i="19"/>
  <c r="U233" i="19"/>
  <c r="R233" i="19"/>
  <c r="P233" i="19"/>
  <c r="O233" i="19"/>
  <c r="N233" i="19"/>
  <c r="AD232" i="19"/>
  <c r="AC232" i="19"/>
  <c r="AB232" i="19"/>
  <c r="AA232" i="19"/>
  <c r="Z232" i="19"/>
  <c r="Y232" i="19"/>
  <c r="X232" i="19"/>
  <c r="W232" i="19"/>
  <c r="V232" i="19"/>
  <c r="U232" i="19"/>
  <c r="R232" i="19"/>
  <c r="P232" i="19"/>
  <c r="O232" i="19"/>
  <c r="N232" i="19"/>
  <c r="AD231" i="19"/>
  <c r="AC231" i="19"/>
  <c r="AB231" i="19"/>
  <c r="AA231" i="19"/>
  <c r="Z231" i="19"/>
  <c r="Y231" i="19"/>
  <c r="X231" i="19"/>
  <c r="W231" i="19"/>
  <c r="V231" i="19"/>
  <c r="U231" i="19"/>
  <c r="R231" i="19"/>
  <c r="P231" i="19"/>
  <c r="O231" i="19"/>
  <c r="N231" i="19"/>
  <c r="AD230" i="19"/>
  <c r="AC230" i="19"/>
  <c r="AB230" i="19"/>
  <c r="AA230" i="19"/>
  <c r="Z230" i="19"/>
  <c r="Y230" i="19"/>
  <c r="X230" i="19"/>
  <c r="W230" i="19"/>
  <c r="V230" i="19"/>
  <c r="U230" i="19"/>
  <c r="R230" i="19"/>
  <c r="P230" i="19"/>
  <c r="O230" i="19"/>
  <c r="N230" i="19"/>
  <c r="AD229" i="19"/>
  <c r="AC229" i="19"/>
  <c r="AB229" i="19"/>
  <c r="AA229" i="19"/>
  <c r="Z229" i="19"/>
  <c r="Y229" i="19"/>
  <c r="X229" i="19"/>
  <c r="W229" i="19"/>
  <c r="V229" i="19"/>
  <c r="U229" i="19"/>
  <c r="R229" i="19"/>
  <c r="P229" i="19"/>
  <c r="O229" i="19"/>
  <c r="N229" i="19"/>
  <c r="AD228" i="19"/>
  <c r="AC228" i="19"/>
  <c r="AB228" i="19"/>
  <c r="AA228" i="19"/>
  <c r="Z228" i="19"/>
  <c r="Y228" i="19"/>
  <c r="X228" i="19"/>
  <c r="W228" i="19"/>
  <c r="V228" i="19"/>
  <c r="U228" i="19"/>
  <c r="R228" i="19"/>
  <c r="P228" i="19"/>
  <c r="O228" i="19"/>
  <c r="N228" i="19"/>
  <c r="AD227" i="19"/>
  <c r="AC227" i="19"/>
  <c r="AB227" i="19"/>
  <c r="AA227" i="19"/>
  <c r="Z227" i="19"/>
  <c r="Y227" i="19"/>
  <c r="X227" i="19"/>
  <c r="W227" i="19"/>
  <c r="V227" i="19"/>
  <c r="U227" i="19"/>
  <c r="R227" i="19"/>
  <c r="P227" i="19"/>
  <c r="O227" i="19"/>
  <c r="N227" i="19"/>
  <c r="AD226" i="19"/>
  <c r="AC226" i="19"/>
  <c r="AB226" i="19"/>
  <c r="AA226" i="19"/>
  <c r="Z226" i="19"/>
  <c r="Y226" i="19"/>
  <c r="X226" i="19"/>
  <c r="W226" i="19"/>
  <c r="V226" i="19"/>
  <c r="U226" i="19"/>
  <c r="R226" i="19"/>
  <c r="P226" i="19"/>
  <c r="O226" i="19"/>
  <c r="N226" i="19"/>
  <c r="AD225" i="19"/>
  <c r="AC225" i="19"/>
  <c r="AB225" i="19"/>
  <c r="AA225" i="19"/>
  <c r="Z225" i="19"/>
  <c r="Y225" i="19"/>
  <c r="X225" i="19"/>
  <c r="W225" i="19"/>
  <c r="V225" i="19"/>
  <c r="U225" i="19"/>
  <c r="R225" i="19"/>
  <c r="P225" i="19"/>
  <c r="O225" i="19"/>
  <c r="N225" i="19"/>
  <c r="AD224" i="19"/>
  <c r="AC224" i="19"/>
  <c r="AB224" i="19"/>
  <c r="AA224" i="19"/>
  <c r="Z224" i="19"/>
  <c r="Y224" i="19"/>
  <c r="X224" i="19"/>
  <c r="W224" i="19"/>
  <c r="V224" i="19"/>
  <c r="U224" i="19"/>
  <c r="R224" i="19"/>
  <c r="P224" i="19"/>
  <c r="O224" i="19"/>
  <c r="N224" i="19"/>
  <c r="AD223" i="19"/>
  <c r="AC223" i="19"/>
  <c r="AB223" i="19"/>
  <c r="AA223" i="19"/>
  <c r="Z223" i="19"/>
  <c r="Y223" i="19"/>
  <c r="X223" i="19"/>
  <c r="W223" i="19"/>
  <c r="V223" i="19"/>
  <c r="U223" i="19"/>
  <c r="R223" i="19"/>
  <c r="P223" i="19"/>
  <c r="O223" i="19"/>
  <c r="N223" i="19"/>
  <c r="AD222" i="19"/>
  <c r="AC222" i="19"/>
  <c r="AB222" i="19"/>
  <c r="AA222" i="19"/>
  <c r="Z222" i="19"/>
  <c r="Y222" i="19"/>
  <c r="X222" i="19"/>
  <c r="W222" i="19"/>
  <c r="V222" i="19"/>
  <c r="U222" i="19"/>
  <c r="R222" i="19"/>
  <c r="P222" i="19"/>
  <c r="O222" i="19"/>
  <c r="N222" i="19"/>
  <c r="C222" i="19"/>
  <c r="AD221" i="19"/>
  <c r="AC221" i="19"/>
  <c r="AB221" i="19"/>
  <c r="AA221" i="19"/>
  <c r="Z221" i="19"/>
  <c r="Y221" i="19"/>
  <c r="X221" i="19"/>
  <c r="W221" i="19"/>
  <c r="V221" i="19"/>
  <c r="U221" i="19"/>
  <c r="R221" i="19"/>
  <c r="P221" i="19"/>
  <c r="O221" i="19"/>
  <c r="N221" i="19"/>
  <c r="C221" i="19"/>
  <c r="AD220" i="19"/>
  <c r="AC220" i="19"/>
  <c r="AB220" i="19"/>
  <c r="AA220" i="19"/>
  <c r="Z220" i="19"/>
  <c r="Y220" i="19"/>
  <c r="X220" i="19"/>
  <c r="W220" i="19"/>
  <c r="V220" i="19"/>
  <c r="U220" i="19"/>
  <c r="R220" i="19"/>
  <c r="P220" i="19"/>
  <c r="O220" i="19"/>
  <c r="N220" i="19"/>
  <c r="C220" i="19"/>
  <c r="AD219" i="19"/>
  <c r="AC219" i="19"/>
  <c r="AB219" i="19"/>
  <c r="AA219" i="19"/>
  <c r="Z219" i="19"/>
  <c r="Y219" i="19"/>
  <c r="X219" i="19"/>
  <c r="W219" i="19"/>
  <c r="V219" i="19"/>
  <c r="U219" i="19"/>
  <c r="R219" i="19"/>
  <c r="P219" i="19"/>
  <c r="O219" i="19"/>
  <c r="N219" i="19"/>
  <c r="AD218" i="19"/>
  <c r="AC218" i="19"/>
  <c r="AB218" i="19"/>
  <c r="AA218" i="19"/>
  <c r="Z218" i="19"/>
  <c r="Y218" i="19"/>
  <c r="X218" i="19"/>
  <c r="W218" i="19"/>
  <c r="V218" i="19"/>
  <c r="U218" i="19"/>
  <c r="R218" i="19"/>
  <c r="P218" i="19"/>
  <c r="O218" i="19"/>
  <c r="N218" i="19"/>
  <c r="C218" i="19"/>
  <c r="AD217" i="19"/>
  <c r="AC217" i="19"/>
  <c r="AB217" i="19"/>
  <c r="AA217" i="19"/>
  <c r="Z217" i="19"/>
  <c r="Y217" i="19"/>
  <c r="X217" i="19"/>
  <c r="W217" i="19"/>
  <c r="V217" i="19"/>
  <c r="U217" i="19"/>
  <c r="R217" i="19"/>
  <c r="P217" i="19"/>
  <c r="O217" i="19"/>
  <c r="N217" i="19"/>
  <c r="C217" i="19"/>
  <c r="AD216" i="19"/>
  <c r="AC216" i="19"/>
  <c r="AB216" i="19"/>
  <c r="AA216" i="19"/>
  <c r="Z216" i="19"/>
  <c r="Y216" i="19"/>
  <c r="X216" i="19"/>
  <c r="W216" i="19"/>
  <c r="V216" i="19"/>
  <c r="U216" i="19"/>
  <c r="R216" i="19"/>
  <c r="P216" i="19"/>
  <c r="O216" i="19"/>
  <c r="N216" i="19"/>
  <c r="C216" i="19"/>
  <c r="AD215" i="19"/>
  <c r="AC215" i="19"/>
  <c r="AB215" i="19"/>
  <c r="AA215" i="19"/>
  <c r="Z215" i="19"/>
  <c r="Y215" i="19"/>
  <c r="X215" i="19"/>
  <c r="W215" i="19"/>
  <c r="V215" i="19"/>
  <c r="U215" i="19"/>
  <c r="R215" i="19"/>
  <c r="P215" i="19"/>
  <c r="O215" i="19"/>
  <c r="N215" i="19"/>
  <c r="AD214" i="19"/>
  <c r="AC214" i="19"/>
  <c r="AB214" i="19"/>
  <c r="AA214" i="19"/>
  <c r="Z214" i="19"/>
  <c r="Y214" i="19"/>
  <c r="X214" i="19"/>
  <c r="W214" i="19"/>
  <c r="V214" i="19"/>
  <c r="U214" i="19"/>
  <c r="R214" i="19"/>
  <c r="P214" i="19"/>
  <c r="O214" i="19"/>
  <c r="N214" i="19"/>
  <c r="C214" i="19"/>
  <c r="AD213" i="19"/>
  <c r="AC213" i="19"/>
  <c r="AB213" i="19"/>
  <c r="AA213" i="19"/>
  <c r="Z213" i="19"/>
  <c r="Y213" i="19"/>
  <c r="X213" i="19"/>
  <c r="W213" i="19"/>
  <c r="V213" i="19"/>
  <c r="U213" i="19"/>
  <c r="R213" i="19"/>
  <c r="P213" i="19"/>
  <c r="O213" i="19"/>
  <c r="N213" i="19"/>
  <c r="C213" i="19"/>
  <c r="AD212" i="19"/>
  <c r="AC212" i="19"/>
  <c r="AB212" i="19"/>
  <c r="AA212" i="19"/>
  <c r="Z212" i="19"/>
  <c r="Y212" i="19"/>
  <c r="X212" i="19"/>
  <c r="W212" i="19"/>
  <c r="V212" i="19"/>
  <c r="U212" i="19"/>
  <c r="R212" i="19"/>
  <c r="P212" i="19"/>
  <c r="O212" i="19"/>
  <c r="N212" i="19"/>
  <c r="AD211" i="19"/>
  <c r="AC211" i="19"/>
  <c r="AB211" i="19"/>
  <c r="AA211" i="19"/>
  <c r="Z211" i="19"/>
  <c r="Y211" i="19"/>
  <c r="X211" i="19"/>
  <c r="W211" i="19"/>
  <c r="V211" i="19"/>
  <c r="U211" i="19"/>
  <c r="R211" i="19"/>
  <c r="P211" i="19"/>
  <c r="O211" i="19"/>
  <c r="N211" i="19"/>
  <c r="C211" i="19"/>
  <c r="AD210" i="19"/>
  <c r="AC210" i="19"/>
  <c r="AB210" i="19"/>
  <c r="AA210" i="19"/>
  <c r="Z210" i="19"/>
  <c r="Y210" i="19"/>
  <c r="X210" i="19"/>
  <c r="W210" i="19"/>
  <c r="V210" i="19"/>
  <c r="U210" i="19"/>
  <c r="R210" i="19"/>
  <c r="P210" i="19"/>
  <c r="O210" i="19"/>
  <c r="N210" i="19"/>
  <c r="C210" i="19"/>
  <c r="AD209" i="19"/>
  <c r="AC209" i="19"/>
  <c r="AB209" i="19"/>
  <c r="AA209" i="19"/>
  <c r="Z209" i="19"/>
  <c r="Y209" i="19"/>
  <c r="X209" i="19"/>
  <c r="W209" i="19"/>
  <c r="V209" i="19"/>
  <c r="U209" i="19"/>
  <c r="R209" i="19"/>
  <c r="P209" i="19"/>
  <c r="O209" i="19"/>
  <c r="N209" i="19"/>
  <c r="C209" i="19"/>
  <c r="AD208" i="19"/>
  <c r="AC208" i="19"/>
  <c r="AB208" i="19"/>
  <c r="AA208" i="19"/>
  <c r="Z208" i="19"/>
  <c r="Y208" i="19"/>
  <c r="X208" i="19"/>
  <c r="W208" i="19"/>
  <c r="V208" i="19"/>
  <c r="U208" i="19"/>
  <c r="R208" i="19"/>
  <c r="P208" i="19"/>
  <c r="O208" i="19"/>
  <c r="N208" i="19"/>
  <c r="AD207" i="19"/>
  <c r="AC207" i="19"/>
  <c r="AB207" i="19"/>
  <c r="AA207" i="19"/>
  <c r="Z207" i="19"/>
  <c r="Y207" i="19"/>
  <c r="X207" i="19"/>
  <c r="W207" i="19"/>
  <c r="V207" i="19"/>
  <c r="U207" i="19"/>
  <c r="R207" i="19"/>
  <c r="P207" i="19"/>
  <c r="O207" i="19"/>
  <c r="N207" i="19"/>
  <c r="C207" i="19"/>
  <c r="AD206" i="19"/>
  <c r="AC206" i="19"/>
  <c r="AB206" i="19"/>
  <c r="AA206" i="19"/>
  <c r="Z206" i="19"/>
  <c r="Y206" i="19"/>
  <c r="X206" i="19"/>
  <c r="W206" i="19"/>
  <c r="V206" i="19"/>
  <c r="U206" i="19"/>
  <c r="R206" i="19"/>
  <c r="P206" i="19"/>
  <c r="O206" i="19"/>
  <c r="N206" i="19"/>
  <c r="C206" i="19"/>
  <c r="AD205" i="19"/>
  <c r="AC205" i="19"/>
  <c r="AB205" i="19"/>
  <c r="AA205" i="19"/>
  <c r="Z205" i="19"/>
  <c r="Y205" i="19"/>
  <c r="X205" i="19"/>
  <c r="W205" i="19"/>
  <c r="V205" i="19"/>
  <c r="U205" i="19"/>
  <c r="R205" i="19"/>
  <c r="P205" i="19"/>
  <c r="O205" i="19"/>
  <c r="N205" i="19"/>
  <c r="C205" i="19"/>
  <c r="AD204" i="19"/>
  <c r="AC204" i="19"/>
  <c r="AB204" i="19"/>
  <c r="AA204" i="19"/>
  <c r="Z204" i="19"/>
  <c r="Y204" i="19"/>
  <c r="X204" i="19"/>
  <c r="W204" i="19"/>
  <c r="V204" i="19"/>
  <c r="U204" i="19"/>
  <c r="R204" i="19"/>
  <c r="P204" i="19"/>
  <c r="O204" i="19"/>
  <c r="N204" i="19"/>
  <c r="C204" i="19"/>
  <c r="AD203" i="19"/>
  <c r="AC203" i="19"/>
  <c r="AB203" i="19"/>
  <c r="AA203" i="19"/>
  <c r="Z203" i="19"/>
  <c r="Y203" i="19"/>
  <c r="X203" i="19"/>
  <c r="W203" i="19"/>
  <c r="V203" i="19"/>
  <c r="U203" i="19"/>
  <c r="R203" i="19"/>
  <c r="P203" i="19"/>
  <c r="O203" i="19"/>
  <c r="N203" i="19"/>
  <c r="AD202" i="19"/>
  <c r="AC202" i="19"/>
  <c r="AB202" i="19"/>
  <c r="AA202" i="19"/>
  <c r="Z202" i="19"/>
  <c r="Y202" i="19"/>
  <c r="X202" i="19"/>
  <c r="W202" i="19"/>
  <c r="V202" i="19"/>
  <c r="U202" i="19"/>
  <c r="R202" i="19"/>
  <c r="P202" i="19"/>
  <c r="O202" i="19"/>
  <c r="N202" i="19"/>
  <c r="C202" i="19"/>
  <c r="AD201" i="19"/>
  <c r="AC201" i="19"/>
  <c r="AB201" i="19"/>
  <c r="AA201" i="19"/>
  <c r="Z201" i="19"/>
  <c r="Y201" i="19"/>
  <c r="X201" i="19"/>
  <c r="W201" i="19"/>
  <c r="V201" i="19"/>
  <c r="U201" i="19"/>
  <c r="R201" i="19"/>
  <c r="P201" i="19"/>
  <c r="O201" i="19"/>
  <c r="N201" i="19"/>
  <c r="C201" i="19"/>
  <c r="AD200" i="19"/>
  <c r="AC200" i="19"/>
  <c r="AB200" i="19"/>
  <c r="AA200" i="19"/>
  <c r="Z200" i="19"/>
  <c r="Y200" i="19"/>
  <c r="X200" i="19"/>
  <c r="W200" i="19"/>
  <c r="V200" i="19"/>
  <c r="U200" i="19"/>
  <c r="R200" i="19"/>
  <c r="P200" i="19"/>
  <c r="O200" i="19"/>
  <c r="N200" i="19"/>
  <c r="C200" i="19"/>
  <c r="AD199" i="19"/>
  <c r="AC199" i="19"/>
  <c r="AB199" i="19"/>
  <c r="AA199" i="19"/>
  <c r="Z199" i="19"/>
  <c r="Y199" i="19"/>
  <c r="X199" i="19"/>
  <c r="W199" i="19"/>
  <c r="V199" i="19"/>
  <c r="U199" i="19"/>
  <c r="R199" i="19"/>
  <c r="P199" i="19"/>
  <c r="O199" i="19"/>
  <c r="N199" i="19"/>
  <c r="C199" i="19"/>
  <c r="AD198" i="19"/>
  <c r="AC198" i="19"/>
  <c r="AB198" i="19"/>
  <c r="AA198" i="19"/>
  <c r="Z198" i="19"/>
  <c r="Y198" i="19"/>
  <c r="X198" i="19"/>
  <c r="W198" i="19"/>
  <c r="V198" i="19"/>
  <c r="U198" i="19"/>
  <c r="R198" i="19"/>
  <c r="P198" i="19"/>
  <c r="O198" i="19"/>
  <c r="N198" i="19"/>
  <c r="C198" i="19"/>
  <c r="AD197" i="19"/>
  <c r="AC197" i="19"/>
  <c r="AB197" i="19"/>
  <c r="AA197" i="19"/>
  <c r="Z197" i="19"/>
  <c r="Y197" i="19"/>
  <c r="X197" i="19"/>
  <c r="W197" i="19"/>
  <c r="V197" i="19"/>
  <c r="U197" i="19"/>
  <c r="R197" i="19"/>
  <c r="P197" i="19"/>
  <c r="O197" i="19"/>
  <c r="N197" i="19"/>
  <c r="C197" i="19"/>
  <c r="AD196" i="19"/>
  <c r="AC196" i="19"/>
  <c r="AB196" i="19"/>
  <c r="AA196" i="19"/>
  <c r="Z196" i="19"/>
  <c r="Y196" i="19"/>
  <c r="X196" i="19"/>
  <c r="W196" i="19"/>
  <c r="V196" i="19"/>
  <c r="U196" i="19"/>
  <c r="R196" i="19"/>
  <c r="P196" i="19"/>
  <c r="O196" i="19"/>
  <c r="N196" i="19"/>
  <c r="C196" i="19"/>
  <c r="AD195" i="19"/>
  <c r="AC195" i="19"/>
  <c r="AB195" i="19"/>
  <c r="AA195" i="19"/>
  <c r="Z195" i="19"/>
  <c r="Y195" i="19"/>
  <c r="X195" i="19"/>
  <c r="W195" i="19"/>
  <c r="V195" i="19"/>
  <c r="U195" i="19"/>
  <c r="R195" i="19"/>
  <c r="P195" i="19"/>
  <c r="O195" i="19"/>
  <c r="N195" i="19"/>
  <c r="C195" i="19"/>
  <c r="AD194" i="19"/>
  <c r="AC194" i="19"/>
  <c r="AB194" i="19"/>
  <c r="AA194" i="19"/>
  <c r="Z194" i="19"/>
  <c r="Y194" i="19"/>
  <c r="X194" i="19"/>
  <c r="W194" i="19"/>
  <c r="V194" i="19"/>
  <c r="U194" i="19"/>
  <c r="R194" i="19"/>
  <c r="P194" i="19"/>
  <c r="O194" i="19"/>
  <c r="N194" i="19"/>
  <c r="C194" i="19"/>
  <c r="AD193" i="19"/>
  <c r="AC193" i="19"/>
  <c r="AB193" i="19"/>
  <c r="AA193" i="19"/>
  <c r="Z193" i="19"/>
  <c r="Y193" i="19"/>
  <c r="X193" i="19"/>
  <c r="W193" i="19"/>
  <c r="V193" i="19"/>
  <c r="U193" i="19"/>
  <c r="R193" i="19"/>
  <c r="P193" i="19"/>
  <c r="O193" i="19"/>
  <c r="N193" i="19"/>
  <c r="C193" i="19"/>
  <c r="AD192" i="19"/>
  <c r="AC192" i="19"/>
  <c r="AB192" i="19"/>
  <c r="AA192" i="19"/>
  <c r="Z192" i="19"/>
  <c r="Y192" i="19"/>
  <c r="X192" i="19"/>
  <c r="W192" i="19"/>
  <c r="V192" i="19"/>
  <c r="U192" i="19"/>
  <c r="R192" i="19"/>
  <c r="P192" i="19"/>
  <c r="O192" i="19"/>
  <c r="N192" i="19"/>
  <c r="C192" i="19"/>
  <c r="AD191" i="19"/>
  <c r="AC191" i="19"/>
  <c r="AB191" i="19"/>
  <c r="AA191" i="19"/>
  <c r="Z191" i="19"/>
  <c r="Y191" i="19"/>
  <c r="X191" i="19"/>
  <c r="W191" i="19"/>
  <c r="V191" i="19"/>
  <c r="U191" i="19"/>
  <c r="R191" i="19"/>
  <c r="P191" i="19"/>
  <c r="O191" i="19"/>
  <c r="N191" i="19"/>
  <c r="C191" i="19"/>
  <c r="AD190" i="19"/>
  <c r="AC190" i="19"/>
  <c r="AB190" i="19"/>
  <c r="AA190" i="19"/>
  <c r="Z190" i="19"/>
  <c r="Y190" i="19"/>
  <c r="X190" i="19"/>
  <c r="W190" i="19"/>
  <c r="V190" i="19"/>
  <c r="U190" i="19"/>
  <c r="R190" i="19"/>
  <c r="P190" i="19"/>
  <c r="O190" i="19"/>
  <c r="N190" i="19"/>
  <c r="AD189" i="19"/>
  <c r="AC189" i="19"/>
  <c r="AB189" i="19"/>
  <c r="AA189" i="19"/>
  <c r="Z189" i="19"/>
  <c r="Y189" i="19"/>
  <c r="X189" i="19"/>
  <c r="W189" i="19"/>
  <c r="V189" i="19"/>
  <c r="U189" i="19"/>
  <c r="R189" i="19"/>
  <c r="P189" i="19"/>
  <c r="O189" i="19"/>
  <c r="N189" i="19"/>
  <c r="C189" i="19"/>
  <c r="AD188" i="19"/>
  <c r="AC188" i="19"/>
  <c r="AB188" i="19"/>
  <c r="AA188" i="19"/>
  <c r="Z188" i="19"/>
  <c r="Y188" i="19"/>
  <c r="X188" i="19"/>
  <c r="W188" i="19"/>
  <c r="V188" i="19"/>
  <c r="U188" i="19"/>
  <c r="R188" i="19"/>
  <c r="P188" i="19"/>
  <c r="O188" i="19"/>
  <c r="N188" i="19"/>
  <c r="C188" i="19"/>
  <c r="AD187" i="19"/>
  <c r="AC187" i="19"/>
  <c r="AB187" i="19"/>
  <c r="AA187" i="19"/>
  <c r="Z187" i="19"/>
  <c r="Y187" i="19"/>
  <c r="X187" i="19"/>
  <c r="W187" i="19"/>
  <c r="V187" i="19"/>
  <c r="U187" i="19"/>
  <c r="R187" i="19"/>
  <c r="P187" i="19"/>
  <c r="O187" i="19"/>
  <c r="N187" i="19"/>
  <c r="C187" i="19"/>
  <c r="AD186" i="19"/>
  <c r="AC186" i="19"/>
  <c r="AB186" i="19"/>
  <c r="AA186" i="19"/>
  <c r="Z186" i="19"/>
  <c r="Y186" i="19"/>
  <c r="X186" i="19"/>
  <c r="W186" i="19"/>
  <c r="V186" i="19"/>
  <c r="U186" i="19"/>
  <c r="R186" i="19"/>
  <c r="P186" i="19"/>
  <c r="O186" i="19"/>
  <c r="N186" i="19"/>
  <c r="C186" i="19"/>
  <c r="AD185" i="19"/>
  <c r="AC185" i="19"/>
  <c r="AB185" i="19"/>
  <c r="AA185" i="19"/>
  <c r="Z185" i="19"/>
  <c r="Y185" i="19"/>
  <c r="X185" i="19"/>
  <c r="W185" i="19"/>
  <c r="V185" i="19"/>
  <c r="U185" i="19"/>
  <c r="R185" i="19"/>
  <c r="P185" i="19"/>
  <c r="O185" i="19"/>
  <c r="N185" i="19"/>
  <c r="C185" i="19"/>
  <c r="AD184" i="19"/>
  <c r="AC184" i="19"/>
  <c r="AB184" i="19"/>
  <c r="AA184" i="19"/>
  <c r="Z184" i="19"/>
  <c r="Y184" i="19"/>
  <c r="X184" i="19"/>
  <c r="W184" i="19"/>
  <c r="V184" i="19"/>
  <c r="U184" i="19"/>
  <c r="R184" i="19"/>
  <c r="P184" i="19"/>
  <c r="O184" i="19"/>
  <c r="N184" i="19"/>
  <c r="C184" i="19"/>
  <c r="AD183" i="19"/>
  <c r="AC183" i="19"/>
  <c r="AB183" i="19"/>
  <c r="AA183" i="19"/>
  <c r="Z183" i="19"/>
  <c r="Y183" i="19"/>
  <c r="X183" i="19"/>
  <c r="W183" i="19"/>
  <c r="V183" i="19"/>
  <c r="U183" i="19"/>
  <c r="R183" i="19"/>
  <c r="P183" i="19"/>
  <c r="O183" i="19"/>
  <c r="N183" i="19"/>
  <c r="C183" i="19"/>
  <c r="AD182" i="19"/>
  <c r="AC182" i="19"/>
  <c r="AB182" i="19"/>
  <c r="AA182" i="19"/>
  <c r="Z182" i="19"/>
  <c r="Y182" i="19"/>
  <c r="X182" i="19"/>
  <c r="W182" i="19"/>
  <c r="V182" i="19"/>
  <c r="U182" i="19"/>
  <c r="R182" i="19"/>
  <c r="P182" i="19"/>
  <c r="O182" i="19"/>
  <c r="N182" i="19"/>
  <c r="C182" i="19"/>
  <c r="AD181" i="19"/>
  <c r="AC181" i="19"/>
  <c r="AB181" i="19"/>
  <c r="AA181" i="19"/>
  <c r="Z181" i="19"/>
  <c r="Y181" i="19"/>
  <c r="X181" i="19"/>
  <c r="W181" i="19"/>
  <c r="V181" i="19"/>
  <c r="U181" i="19"/>
  <c r="R181" i="19"/>
  <c r="P181" i="19"/>
  <c r="O181" i="19"/>
  <c r="N181" i="19"/>
  <c r="C181" i="19"/>
  <c r="M180" i="19"/>
  <c r="L180" i="19"/>
  <c r="K180" i="19"/>
  <c r="J180" i="19"/>
  <c r="I180" i="19"/>
  <c r="H180" i="19"/>
  <c r="G180" i="19"/>
  <c r="F180" i="19"/>
  <c r="E180" i="19"/>
  <c r="D180" i="19"/>
  <c r="C180" i="19"/>
  <c r="AD178" i="19"/>
  <c r="AC178" i="19"/>
  <c r="AB178" i="19"/>
  <c r="AA178" i="19"/>
  <c r="Z178" i="19"/>
  <c r="Y178" i="19"/>
  <c r="X178" i="19"/>
  <c r="W178" i="19"/>
  <c r="V178" i="19"/>
  <c r="U178" i="19"/>
  <c r="R178" i="19"/>
  <c r="P178" i="19"/>
  <c r="O178" i="19"/>
  <c r="M178" i="19"/>
  <c r="L178" i="19"/>
  <c r="K178" i="19"/>
  <c r="J178" i="19"/>
  <c r="I178" i="19"/>
  <c r="H178" i="19"/>
  <c r="G178" i="19"/>
  <c r="F178" i="19"/>
  <c r="E178" i="19"/>
  <c r="D178" i="19"/>
  <c r="AD177" i="19"/>
  <c r="AC177" i="19"/>
  <c r="AB177" i="19"/>
  <c r="AA177" i="19"/>
  <c r="Z177" i="19"/>
  <c r="Y177" i="19"/>
  <c r="X177" i="19"/>
  <c r="W177" i="19"/>
  <c r="V177" i="19"/>
  <c r="U177" i="19"/>
  <c r="R177" i="19"/>
  <c r="P177" i="19"/>
  <c r="O177" i="19"/>
  <c r="N177" i="19"/>
  <c r="AD176" i="19"/>
  <c r="AC176" i="19"/>
  <c r="AB176" i="19"/>
  <c r="AA176" i="19"/>
  <c r="Z176" i="19"/>
  <c r="Y176" i="19"/>
  <c r="X176" i="19"/>
  <c r="W176" i="19"/>
  <c r="V176" i="19"/>
  <c r="U176" i="19"/>
  <c r="R176" i="19"/>
  <c r="P176" i="19"/>
  <c r="O176" i="19"/>
  <c r="N176" i="19"/>
  <c r="AD175" i="19"/>
  <c r="AC175" i="19"/>
  <c r="AB175" i="19"/>
  <c r="AA175" i="19"/>
  <c r="Z175" i="19"/>
  <c r="Y175" i="19"/>
  <c r="X175" i="19"/>
  <c r="W175" i="19"/>
  <c r="V175" i="19"/>
  <c r="U175" i="19"/>
  <c r="R175" i="19"/>
  <c r="P175" i="19"/>
  <c r="O175" i="19"/>
  <c r="N175" i="19"/>
  <c r="AD174" i="19"/>
  <c r="AC174" i="19"/>
  <c r="AB174" i="19"/>
  <c r="AA174" i="19"/>
  <c r="Z174" i="19"/>
  <c r="Y174" i="19"/>
  <c r="X174" i="19"/>
  <c r="W174" i="19"/>
  <c r="V174" i="19"/>
  <c r="U174" i="19"/>
  <c r="R174" i="19"/>
  <c r="P174" i="19"/>
  <c r="O174" i="19"/>
  <c r="N174" i="19"/>
  <c r="AD173" i="19"/>
  <c r="AC173" i="19"/>
  <c r="AB173" i="19"/>
  <c r="AA173" i="19"/>
  <c r="Z173" i="19"/>
  <c r="Y173" i="19"/>
  <c r="X173" i="19"/>
  <c r="W173" i="19"/>
  <c r="V173" i="19"/>
  <c r="U173" i="19"/>
  <c r="R173" i="19"/>
  <c r="P173" i="19"/>
  <c r="O173" i="19"/>
  <c r="N173" i="19"/>
  <c r="AD172" i="19"/>
  <c r="AC172" i="19"/>
  <c r="AB172" i="19"/>
  <c r="AA172" i="19"/>
  <c r="Z172" i="19"/>
  <c r="Y172" i="19"/>
  <c r="X172" i="19"/>
  <c r="W172" i="19"/>
  <c r="V172" i="19"/>
  <c r="U172" i="19"/>
  <c r="R172" i="19"/>
  <c r="P172" i="19"/>
  <c r="O172" i="19"/>
  <c r="N172" i="19"/>
  <c r="AD171" i="19"/>
  <c r="AC171" i="19"/>
  <c r="AB171" i="19"/>
  <c r="AA171" i="19"/>
  <c r="Z171" i="19"/>
  <c r="Y171" i="19"/>
  <c r="X171" i="19"/>
  <c r="W171" i="19"/>
  <c r="V171" i="19"/>
  <c r="U171" i="19"/>
  <c r="R171" i="19"/>
  <c r="P171" i="19"/>
  <c r="O171" i="19"/>
  <c r="N171" i="19"/>
  <c r="AD170" i="19"/>
  <c r="AC170" i="19"/>
  <c r="AB170" i="19"/>
  <c r="AA170" i="19"/>
  <c r="Z170" i="19"/>
  <c r="Y170" i="19"/>
  <c r="X170" i="19"/>
  <c r="W170" i="19"/>
  <c r="V170" i="19"/>
  <c r="U170" i="19"/>
  <c r="R170" i="19"/>
  <c r="P170" i="19"/>
  <c r="O170" i="19"/>
  <c r="N170" i="19"/>
  <c r="AD169" i="19"/>
  <c r="AC169" i="19"/>
  <c r="AB169" i="19"/>
  <c r="AA169" i="19"/>
  <c r="Z169" i="19"/>
  <c r="Y169" i="19"/>
  <c r="X169" i="19"/>
  <c r="W169" i="19"/>
  <c r="V169" i="19"/>
  <c r="U169" i="19"/>
  <c r="R169" i="19"/>
  <c r="P169" i="19"/>
  <c r="O169" i="19"/>
  <c r="N169" i="19"/>
  <c r="AD168" i="19"/>
  <c r="AC168" i="19"/>
  <c r="AB168" i="19"/>
  <c r="AA168" i="19"/>
  <c r="Z168" i="19"/>
  <c r="Y168" i="19"/>
  <c r="X168" i="19"/>
  <c r="W168" i="19"/>
  <c r="V168" i="19"/>
  <c r="U168" i="19"/>
  <c r="R168" i="19"/>
  <c r="P168" i="19"/>
  <c r="O168" i="19"/>
  <c r="N168" i="19"/>
  <c r="AD167" i="19"/>
  <c r="AC167" i="19"/>
  <c r="AB167" i="19"/>
  <c r="AA167" i="19"/>
  <c r="Z167" i="19"/>
  <c r="Y167" i="19"/>
  <c r="X167" i="19"/>
  <c r="W167" i="19"/>
  <c r="V167" i="19"/>
  <c r="U167" i="19"/>
  <c r="R167" i="19"/>
  <c r="P167" i="19"/>
  <c r="O167" i="19"/>
  <c r="N167" i="19"/>
  <c r="AD166" i="19"/>
  <c r="AC166" i="19"/>
  <c r="AB166" i="19"/>
  <c r="AA166" i="19"/>
  <c r="Z166" i="19"/>
  <c r="Y166" i="19"/>
  <c r="X166" i="19"/>
  <c r="W166" i="19"/>
  <c r="V166" i="19"/>
  <c r="U166" i="19"/>
  <c r="R166" i="19"/>
  <c r="P166" i="19"/>
  <c r="O166" i="19"/>
  <c r="N166" i="19"/>
  <c r="AD165" i="19"/>
  <c r="AC165" i="19"/>
  <c r="AB165" i="19"/>
  <c r="AA165" i="19"/>
  <c r="Z165" i="19"/>
  <c r="Y165" i="19"/>
  <c r="X165" i="19"/>
  <c r="W165" i="19"/>
  <c r="V165" i="19"/>
  <c r="U165" i="19"/>
  <c r="R165" i="19"/>
  <c r="P165" i="19"/>
  <c r="O165" i="19"/>
  <c r="N165" i="19"/>
  <c r="AD164" i="19"/>
  <c r="AC164" i="19"/>
  <c r="AB164" i="19"/>
  <c r="AA164" i="19"/>
  <c r="Z164" i="19"/>
  <c r="Y164" i="19"/>
  <c r="X164" i="19"/>
  <c r="W164" i="19"/>
  <c r="V164" i="19"/>
  <c r="U164" i="19"/>
  <c r="R164" i="19"/>
  <c r="P164" i="19"/>
  <c r="O164" i="19"/>
  <c r="N164" i="19"/>
  <c r="AD163" i="19"/>
  <c r="AC163" i="19"/>
  <c r="AB163" i="19"/>
  <c r="AA163" i="19"/>
  <c r="Z163" i="19"/>
  <c r="Y163" i="19"/>
  <c r="X163" i="19"/>
  <c r="W163" i="19"/>
  <c r="V163" i="19"/>
  <c r="U163" i="19"/>
  <c r="R163" i="19"/>
  <c r="P163" i="19"/>
  <c r="O163" i="19"/>
  <c r="N163" i="19"/>
  <c r="AD162" i="19"/>
  <c r="AC162" i="19"/>
  <c r="AB162" i="19"/>
  <c r="AA162" i="19"/>
  <c r="Z162" i="19"/>
  <c r="Y162" i="19"/>
  <c r="X162" i="19"/>
  <c r="W162" i="19"/>
  <c r="V162" i="19"/>
  <c r="U162" i="19"/>
  <c r="R162" i="19"/>
  <c r="P162" i="19"/>
  <c r="O162" i="19"/>
  <c r="N162" i="19"/>
  <c r="AD161" i="19"/>
  <c r="AC161" i="19"/>
  <c r="AB161" i="19"/>
  <c r="AA161" i="19"/>
  <c r="Z161" i="19"/>
  <c r="Y161" i="19"/>
  <c r="X161" i="19"/>
  <c r="W161" i="19"/>
  <c r="V161" i="19"/>
  <c r="U161" i="19"/>
  <c r="R161" i="19"/>
  <c r="P161" i="19"/>
  <c r="O161" i="19"/>
  <c r="N161" i="19"/>
  <c r="AD160" i="19"/>
  <c r="AC160" i="19"/>
  <c r="AB160" i="19"/>
  <c r="AA160" i="19"/>
  <c r="Z160" i="19"/>
  <c r="Y160" i="19"/>
  <c r="X160" i="19"/>
  <c r="W160" i="19"/>
  <c r="V160" i="19"/>
  <c r="U160" i="19"/>
  <c r="R160" i="19"/>
  <c r="P160" i="19"/>
  <c r="O160" i="19"/>
  <c r="N160" i="19"/>
  <c r="AD159" i="19"/>
  <c r="AC159" i="19"/>
  <c r="AB159" i="19"/>
  <c r="AA159" i="19"/>
  <c r="Z159" i="19"/>
  <c r="Y159" i="19"/>
  <c r="X159" i="19"/>
  <c r="W159" i="19"/>
  <c r="V159" i="19"/>
  <c r="U159" i="19"/>
  <c r="R159" i="19"/>
  <c r="P159" i="19"/>
  <c r="O159" i="19"/>
  <c r="N159" i="19"/>
  <c r="AD158" i="19"/>
  <c r="AC158" i="19"/>
  <c r="AB158" i="19"/>
  <c r="AA158" i="19"/>
  <c r="Z158" i="19"/>
  <c r="Y158" i="19"/>
  <c r="X158" i="19"/>
  <c r="W158" i="19"/>
  <c r="V158" i="19"/>
  <c r="U158" i="19"/>
  <c r="R158" i="19"/>
  <c r="P158" i="19"/>
  <c r="O158" i="19"/>
  <c r="N158" i="19"/>
  <c r="AD157" i="19"/>
  <c r="AC157" i="19"/>
  <c r="AB157" i="19"/>
  <c r="AA157" i="19"/>
  <c r="Z157" i="19"/>
  <c r="Y157" i="19"/>
  <c r="X157" i="19"/>
  <c r="W157" i="19"/>
  <c r="V157" i="19"/>
  <c r="U157" i="19"/>
  <c r="R157" i="19"/>
  <c r="P157" i="19"/>
  <c r="O157" i="19"/>
  <c r="N157" i="19"/>
  <c r="AD156" i="19"/>
  <c r="AC156" i="19"/>
  <c r="AB156" i="19"/>
  <c r="AA156" i="19"/>
  <c r="Z156" i="19"/>
  <c r="Y156" i="19"/>
  <c r="X156" i="19"/>
  <c r="W156" i="19"/>
  <c r="V156" i="19"/>
  <c r="U156" i="19"/>
  <c r="R156" i="19"/>
  <c r="P156" i="19"/>
  <c r="O156" i="19"/>
  <c r="N156" i="19"/>
  <c r="AD155" i="19"/>
  <c r="AC155" i="19"/>
  <c r="AB155" i="19"/>
  <c r="AA155" i="19"/>
  <c r="Z155" i="19"/>
  <c r="Y155" i="19"/>
  <c r="X155" i="19"/>
  <c r="W155" i="19"/>
  <c r="V155" i="19"/>
  <c r="U155" i="19"/>
  <c r="R155" i="19"/>
  <c r="P155" i="19"/>
  <c r="O155" i="19"/>
  <c r="N155" i="19"/>
  <c r="AD154" i="19"/>
  <c r="AC154" i="19"/>
  <c r="AB154" i="19"/>
  <c r="AA154" i="19"/>
  <c r="Z154" i="19"/>
  <c r="Y154" i="19"/>
  <c r="X154" i="19"/>
  <c r="W154" i="19"/>
  <c r="V154" i="19"/>
  <c r="U154" i="19"/>
  <c r="R154" i="19"/>
  <c r="P154" i="19"/>
  <c r="O154" i="19"/>
  <c r="N154" i="19"/>
  <c r="AD153" i="19"/>
  <c r="AC153" i="19"/>
  <c r="AB153" i="19"/>
  <c r="AA153" i="19"/>
  <c r="Z153" i="19"/>
  <c r="Y153" i="19"/>
  <c r="X153" i="19"/>
  <c r="W153" i="19"/>
  <c r="V153" i="19"/>
  <c r="U153" i="19"/>
  <c r="R153" i="19"/>
  <c r="P153" i="19"/>
  <c r="O153" i="19"/>
  <c r="N153" i="19"/>
  <c r="AD152" i="19"/>
  <c r="AC152" i="19"/>
  <c r="AB152" i="19"/>
  <c r="AA152" i="19"/>
  <c r="Z152" i="19"/>
  <c r="Y152" i="19"/>
  <c r="X152" i="19"/>
  <c r="W152" i="19"/>
  <c r="V152" i="19"/>
  <c r="U152" i="19"/>
  <c r="R152" i="19"/>
  <c r="P152" i="19"/>
  <c r="O152" i="19"/>
  <c r="N152" i="19"/>
  <c r="AD151" i="19"/>
  <c r="AC151" i="19"/>
  <c r="AB151" i="19"/>
  <c r="AA151" i="19"/>
  <c r="Z151" i="19"/>
  <c r="Y151" i="19"/>
  <c r="X151" i="19"/>
  <c r="W151" i="19"/>
  <c r="V151" i="19"/>
  <c r="U151" i="19"/>
  <c r="R151" i="19"/>
  <c r="P151" i="19"/>
  <c r="O151" i="19"/>
  <c r="N151" i="19"/>
  <c r="AD150" i="19"/>
  <c r="AC150" i="19"/>
  <c r="AB150" i="19"/>
  <c r="AA150" i="19"/>
  <c r="Z150" i="19"/>
  <c r="Y150" i="19"/>
  <c r="X150" i="19"/>
  <c r="W150" i="19"/>
  <c r="V150" i="19"/>
  <c r="U150" i="19"/>
  <c r="R150" i="19"/>
  <c r="P150" i="19"/>
  <c r="O150" i="19"/>
  <c r="N150" i="19"/>
  <c r="AD149" i="19"/>
  <c r="AC149" i="19"/>
  <c r="AB149" i="19"/>
  <c r="AA149" i="19"/>
  <c r="Z149" i="19"/>
  <c r="Y149" i="19"/>
  <c r="X149" i="19"/>
  <c r="W149" i="19"/>
  <c r="V149" i="19"/>
  <c r="U149" i="19"/>
  <c r="R149" i="19"/>
  <c r="P149" i="19"/>
  <c r="O149" i="19"/>
  <c r="N149" i="19"/>
  <c r="AD148" i="19"/>
  <c r="AC148" i="19"/>
  <c r="AB148" i="19"/>
  <c r="AA148" i="19"/>
  <c r="Z148" i="19"/>
  <c r="Y148" i="19"/>
  <c r="X148" i="19"/>
  <c r="W148" i="19"/>
  <c r="V148" i="19"/>
  <c r="U148" i="19"/>
  <c r="R148" i="19"/>
  <c r="P148" i="19"/>
  <c r="O148" i="19"/>
  <c r="N148" i="19"/>
  <c r="C148" i="19"/>
  <c r="AD147" i="19"/>
  <c r="AC147" i="19"/>
  <c r="AB147" i="19"/>
  <c r="AA147" i="19"/>
  <c r="Z147" i="19"/>
  <c r="Y147" i="19"/>
  <c r="X147" i="19"/>
  <c r="W147" i="19"/>
  <c r="V147" i="19"/>
  <c r="U147" i="19"/>
  <c r="R147" i="19"/>
  <c r="P147" i="19"/>
  <c r="O147" i="19"/>
  <c r="N147" i="19"/>
  <c r="C147" i="19"/>
  <c r="AD146" i="19"/>
  <c r="AC146" i="19"/>
  <c r="AB146" i="19"/>
  <c r="AA146" i="19"/>
  <c r="Z146" i="19"/>
  <c r="Y146" i="19"/>
  <c r="X146" i="19"/>
  <c r="W146" i="19"/>
  <c r="V146" i="19"/>
  <c r="U146" i="19"/>
  <c r="R146" i="19"/>
  <c r="P146" i="19"/>
  <c r="O146" i="19"/>
  <c r="N146" i="19"/>
  <c r="AD145" i="19"/>
  <c r="AC145" i="19"/>
  <c r="AB145" i="19"/>
  <c r="AA145" i="19"/>
  <c r="Z145" i="19"/>
  <c r="Y145" i="19"/>
  <c r="X145" i="19"/>
  <c r="W145" i="19"/>
  <c r="V145" i="19"/>
  <c r="U145" i="19"/>
  <c r="R145" i="19"/>
  <c r="P145" i="19"/>
  <c r="O145" i="19"/>
  <c r="N145" i="19"/>
  <c r="C145" i="19"/>
  <c r="AD144" i="19"/>
  <c r="AC144" i="19"/>
  <c r="AB144" i="19"/>
  <c r="AA144" i="19"/>
  <c r="Z144" i="19"/>
  <c r="Y144" i="19"/>
  <c r="X144" i="19"/>
  <c r="W144" i="19"/>
  <c r="V144" i="19"/>
  <c r="U144" i="19"/>
  <c r="R144" i="19"/>
  <c r="P144" i="19"/>
  <c r="O144" i="19"/>
  <c r="N144" i="19"/>
  <c r="C144" i="19"/>
  <c r="AD143" i="19"/>
  <c r="AC143" i="19"/>
  <c r="AB143" i="19"/>
  <c r="AA143" i="19"/>
  <c r="Z143" i="19"/>
  <c r="Y143" i="19"/>
  <c r="X143" i="19"/>
  <c r="W143" i="19"/>
  <c r="V143" i="19"/>
  <c r="U143" i="19"/>
  <c r="R143" i="19"/>
  <c r="P143" i="19"/>
  <c r="O143" i="19"/>
  <c r="N143" i="19"/>
  <c r="C143" i="19"/>
  <c r="AD142" i="19"/>
  <c r="AC142" i="19"/>
  <c r="AB142" i="19"/>
  <c r="AA142" i="19"/>
  <c r="Z142" i="19"/>
  <c r="Y142" i="19"/>
  <c r="X142" i="19"/>
  <c r="W142" i="19"/>
  <c r="V142" i="19"/>
  <c r="U142" i="19"/>
  <c r="R142" i="19"/>
  <c r="P142" i="19"/>
  <c r="O142" i="19"/>
  <c r="N142" i="19"/>
  <c r="AD141" i="19"/>
  <c r="AC141" i="19"/>
  <c r="AB141" i="19"/>
  <c r="AA141" i="19"/>
  <c r="Z141" i="19"/>
  <c r="Y141" i="19"/>
  <c r="X141" i="19"/>
  <c r="W141" i="19"/>
  <c r="V141" i="19"/>
  <c r="U141" i="19"/>
  <c r="R141" i="19"/>
  <c r="P141" i="19"/>
  <c r="O141" i="19"/>
  <c r="N141" i="19"/>
  <c r="C141" i="19"/>
  <c r="AD140" i="19"/>
  <c r="AC140" i="19"/>
  <c r="AB140" i="19"/>
  <c r="AA140" i="19"/>
  <c r="Z140" i="19"/>
  <c r="Y140" i="19"/>
  <c r="X140" i="19"/>
  <c r="W140" i="19"/>
  <c r="V140" i="19"/>
  <c r="U140" i="19"/>
  <c r="R140" i="19"/>
  <c r="P140" i="19"/>
  <c r="O140" i="19"/>
  <c r="N140" i="19"/>
  <c r="C140" i="19"/>
  <c r="AD139" i="19"/>
  <c r="AC139" i="19"/>
  <c r="AB139" i="19"/>
  <c r="AA139" i="19"/>
  <c r="Z139" i="19"/>
  <c r="Y139" i="19"/>
  <c r="X139" i="19"/>
  <c r="W139" i="19"/>
  <c r="V139" i="19"/>
  <c r="U139" i="19"/>
  <c r="R139" i="19"/>
  <c r="P139" i="19"/>
  <c r="O139" i="19"/>
  <c r="N139" i="19"/>
  <c r="AD138" i="19"/>
  <c r="AC138" i="19"/>
  <c r="AB138" i="19"/>
  <c r="AA138" i="19"/>
  <c r="Z138" i="19"/>
  <c r="Y138" i="19"/>
  <c r="X138" i="19"/>
  <c r="W138" i="19"/>
  <c r="V138" i="19"/>
  <c r="U138" i="19"/>
  <c r="R138" i="19"/>
  <c r="P138" i="19"/>
  <c r="O138" i="19"/>
  <c r="N138" i="19"/>
  <c r="C138" i="19"/>
  <c r="AD137" i="19"/>
  <c r="AC137" i="19"/>
  <c r="AB137" i="19"/>
  <c r="AA137" i="19"/>
  <c r="Z137" i="19"/>
  <c r="Y137" i="19"/>
  <c r="X137" i="19"/>
  <c r="W137" i="19"/>
  <c r="V137" i="19"/>
  <c r="U137" i="19"/>
  <c r="R137" i="19"/>
  <c r="P137" i="19"/>
  <c r="O137" i="19"/>
  <c r="N137" i="19"/>
  <c r="C137" i="19"/>
  <c r="AD136" i="19"/>
  <c r="AC136" i="19"/>
  <c r="AB136" i="19"/>
  <c r="AA136" i="19"/>
  <c r="Z136" i="19"/>
  <c r="Y136" i="19"/>
  <c r="X136" i="19"/>
  <c r="W136" i="19"/>
  <c r="V136" i="19"/>
  <c r="U136" i="19"/>
  <c r="R136" i="19"/>
  <c r="P136" i="19"/>
  <c r="O136" i="19"/>
  <c r="N136" i="19"/>
  <c r="C136" i="19"/>
  <c r="AD135" i="19"/>
  <c r="AC135" i="19"/>
  <c r="AB135" i="19"/>
  <c r="AA135" i="19"/>
  <c r="Z135" i="19"/>
  <c r="Y135" i="19"/>
  <c r="X135" i="19"/>
  <c r="W135" i="19"/>
  <c r="V135" i="19"/>
  <c r="U135" i="19"/>
  <c r="R135" i="19"/>
  <c r="P135" i="19"/>
  <c r="O135" i="19"/>
  <c r="N135" i="19"/>
  <c r="C135" i="19"/>
  <c r="AD134" i="19"/>
  <c r="AC134" i="19"/>
  <c r="AB134" i="19"/>
  <c r="AA134" i="19"/>
  <c r="Z134" i="19"/>
  <c r="Y134" i="19"/>
  <c r="X134" i="19"/>
  <c r="W134" i="19"/>
  <c r="V134" i="19"/>
  <c r="U134" i="19"/>
  <c r="R134" i="19"/>
  <c r="P134" i="19"/>
  <c r="O134" i="19"/>
  <c r="N134" i="19"/>
  <c r="C134" i="19"/>
  <c r="AD133" i="19"/>
  <c r="AC133" i="19"/>
  <c r="AB133" i="19"/>
  <c r="AA133" i="19"/>
  <c r="Z133" i="19"/>
  <c r="Y133" i="19"/>
  <c r="X133" i="19"/>
  <c r="W133" i="19"/>
  <c r="V133" i="19"/>
  <c r="U133" i="19"/>
  <c r="R133" i="19"/>
  <c r="P133" i="19"/>
  <c r="O133" i="19"/>
  <c r="N133" i="19"/>
  <c r="AD132" i="19"/>
  <c r="AC132" i="19"/>
  <c r="AB132" i="19"/>
  <c r="AA132" i="19"/>
  <c r="Z132" i="19"/>
  <c r="Y132" i="19"/>
  <c r="X132" i="19"/>
  <c r="W132" i="19"/>
  <c r="V132" i="19"/>
  <c r="U132" i="19"/>
  <c r="R132" i="19"/>
  <c r="P132" i="19"/>
  <c r="O132" i="19"/>
  <c r="N132" i="19"/>
  <c r="C132" i="19"/>
  <c r="AD131" i="19"/>
  <c r="AC131" i="19"/>
  <c r="AB131" i="19"/>
  <c r="AA131" i="19"/>
  <c r="Z131" i="19"/>
  <c r="Y131" i="19"/>
  <c r="X131" i="19"/>
  <c r="W131" i="19"/>
  <c r="V131" i="19"/>
  <c r="U131" i="19"/>
  <c r="R131" i="19"/>
  <c r="P131" i="19"/>
  <c r="O131" i="19"/>
  <c r="N131" i="19"/>
  <c r="C131" i="19"/>
  <c r="AD130" i="19"/>
  <c r="AC130" i="19"/>
  <c r="AB130" i="19"/>
  <c r="AA130" i="19"/>
  <c r="Z130" i="19"/>
  <c r="Y130" i="19"/>
  <c r="X130" i="19"/>
  <c r="W130" i="19"/>
  <c r="V130" i="19"/>
  <c r="U130" i="19"/>
  <c r="R130" i="19"/>
  <c r="P130" i="19"/>
  <c r="O130" i="19"/>
  <c r="N130" i="19"/>
  <c r="C130" i="19"/>
  <c r="AD129" i="19"/>
  <c r="AC129" i="19"/>
  <c r="AB129" i="19"/>
  <c r="AA129" i="19"/>
  <c r="Z129" i="19"/>
  <c r="Y129" i="19"/>
  <c r="X129" i="19"/>
  <c r="W129" i="19"/>
  <c r="V129" i="19"/>
  <c r="U129" i="19"/>
  <c r="R129" i="19"/>
  <c r="P129" i="19"/>
  <c r="O129" i="19"/>
  <c r="N129" i="19"/>
  <c r="C129" i="19"/>
  <c r="AD128" i="19"/>
  <c r="AC128" i="19"/>
  <c r="AB128" i="19"/>
  <c r="AA128" i="19"/>
  <c r="Z128" i="19"/>
  <c r="Y128" i="19"/>
  <c r="X128" i="19"/>
  <c r="W128" i="19"/>
  <c r="V128" i="19"/>
  <c r="U128" i="19"/>
  <c r="R128" i="19"/>
  <c r="P128" i="19"/>
  <c r="O128" i="19"/>
  <c r="N128" i="19"/>
  <c r="AD127" i="19"/>
  <c r="AC127" i="19"/>
  <c r="AB127" i="19"/>
  <c r="AA127" i="19"/>
  <c r="Z127" i="19"/>
  <c r="Y127" i="19"/>
  <c r="X127" i="19"/>
  <c r="W127" i="19"/>
  <c r="V127" i="19"/>
  <c r="U127" i="19"/>
  <c r="R127" i="19"/>
  <c r="P127" i="19"/>
  <c r="O127" i="19"/>
  <c r="N127" i="19"/>
  <c r="C127" i="19"/>
  <c r="AD126" i="19"/>
  <c r="AC126" i="19"/>
  <c r="AB126" i="19"/>
  <c r="AA126" i="19"/>
  <c r="Z126" i="19"/>
  <c r="Y126" i="19"/>
  <c r="X126" i="19"/>
  <c r="W126" i="19"/>
  <c r="V126" i="19"/>
  <c r="U126" i="19"/>
  <c r="R126" i="19"/>
  <c r="P126" i="19"/>
  <c r="O126" i="19"/>
  <c r="N126" i="19"/>
  <c r="C126" i="19"/>
  <c r="AD125" i="19"/>
  <c r="AC125" i="19"/>
  <c r="AB125" i="19"/>
  <c r="AA125" i="19"/>
  <c r="Z125" i="19"/>
  <c r="Y125" i="19"/>
  <c r="X125" i="19"/>
  <c r="W125" i="19"/>
  <c r="V125" i="19"/>
  <c r="U125" i="19"/>
  <c r="R125" i="19"/>
  <c r="P125" i="19"/>
  <c r="O125" i="19"/>
  <c r="N125" i="19"/>
  <c r="C125" i="19"/>
  <c r="AD124" i="19"/>
  <c r="AC124" i="19"/>
  <c r="AB124" i="19"/>
  <c r="AA124" i="19"/>
  <c r="Z124" i="19"/>
  <c r="Y124" i="19"/>
  <c r="X124" i="19"/>
  <c r="W124" i="19"/>
  <c r="V124" i="19"/>
  <c r="U124" i="19"/>
  <c r="R124" i="19"/>
  <c r="P124" i="19"/>
  <c r="O124" i="19"/>
  <c r="N124" i="19"/>
  <c r="C124" i="19"/>
  <c r="AD123" i="19"/>
  <c r="AC123" i="19"/>
  <c r="AB123" i="19"/>
  <c r="AA123" i="19"/>
  <c r="Z123" i="19"/>
  <c r="Y123" i="19"/>
  <c r="X123" i="19"/>
  <c r="W123" i="19"/>
  <c r="V123" i="19"/>
  <c r="U123" i="19"/>
  <c r="R123" i="19"/>
  <c r="P123" i="19"/>
  <c r="O123" i="19"/>
  <c r="N123" i="19"/>
  <c r="C123" i="19"/>
  <c r="AD122" i="19"/>
  <c r="AC122" i="19"/>
  <c r="AB122" i="19"/>
  <c r="AA122" i="19"/>
  <c r="Z122" i="19"/>
  <c r="Y122" i="19"/>
  <c r="X122" i="19"/>
  <c r="W122" i="19"/>
  <c r="V122" i="19"/>
  <c r="U122" i="19"/>
  <c r="R122" i="19"/>
  <c r="P122" i="19"/>
  <c r="O122" i="19"/>
  <c r="N122" i="19"/>
  <c r="C122" i="19"/>
  <c r="AD121" i="19"/>
  <c r="AC121" i="19"/>
  <c r="AB121" i="19"/>
  <c r="AA121" i="19"/>
  <c r="Z121" i="19"/>
  <c r="Y121" i="19"/>
  <c r="X121" i="19"/>
  <c r="W121" i="19"/>
  <c r="V121" i="19"/>
  <c r="U121" i="19"/>
  <c r="R121" i="19"/>
  <c r="P121" i="19"/>
  <c r="O121" i="19"/>
  <c r="N121" i="19"/>
  <c r="C121" i="19"/>
  <c r="AD120" i="19"/>
  <c r="AC120" i="19"/>
  <c r="AB120" i="19"/>
  <c r="AA120" i="19"/>
  <c r="Z120" i="19"/>
  <c r="Y120" i="19"/>
  <c r="X120" i="19"/>
  <c r="W120" i="19"/>
  <c r="V120" i="19"/>
  <c r="U120" i="19"/>
  <c r="R120" i="19"/>
  <c r="P120" i="19"/>
  <c r="O120" i="19"/>
  <c r="N120" i="19"/>
  <c r="C120" i="19"/>
  <c r="AD119" i="19"/>
  <c r="AC119" i="19"/>
  <c r="AB119" i="19"/>
  <c r="AA119" i="19"/>
  <c r="Z119" i="19"/>
  <c r="Y119" i="19"/>
  <c r="X119" i="19"/>
  <c r="W119" i="19"/>
  <c r="V119" i="19"/>
  <c r="U119" i="19"/>
  <c r="R119" i="19"/>
  <c r="P119" i="19"/>
  <c r="O119" i="19"/>
  <c r="N119" i="19"/>
  <c r="C119" i="19"/>
  <c r="AD118" i="19"/>
  <c r="AC118" i="19"/>
  <c r="AB118" i="19"/>
  <c r="AA118" i="19"/>
  <c r="Z118" i="19"/>
  <c r="Y118" i="19"/>
  <c r="X118" i="19"/>
  <c r="W118" i="19"/>
  <c r="V118" i="19"/>
  <c r="U118" i="19"/>
  <c r="R118" i="19"/>
  <c r="P118" i="19"/>
  <c r="O118" i="19"/>
  <c r="N118" i="19"/>
  <c r="AD117" i="19"/>
  <c r="AC117" i="19"/>
  <c r="AB117" i="19"/>
  <c r="AA117" i="19"/>
  <c r="Z117" i="19"/>
  <c r="Y117" i="19"/>
  <c r="X117" i="19"/>
  <c r="W117" i="19"/>
  <c r="V117" i="19"/>
  <c r="U117" i="19"/>
  <c r="R117" i="19"/>
  <c r="P117" i="19"/>
  <c r="O117" i="19"/>
  <c r="N117" i="19"/>
  <c r="C117" i="19"/>
  <c r="AD116" i="19"/>
  <c r="AC116" i="19"/>
  <c r="AB116" i="19"/>
  <c r="AA116" i="19"/>
  <c r="Z116" i="19"/>
  <c r="Y116" i="19"/>
  <c r="X116" i="19"/>
  <c r="W116" i="19"/>
  <c r="V116" i="19"/>
  <c r="U116" i="19"/>
  <c r="R116" i="19"/>
  <c r="P116" i="19"/>
  <c r="O116" i="19"/>
  <c r="N116" i="19"/>
  <c r="C116" i="19"/>
  <c r="AD115" i="19"/>
  <c r="AC115" i="19"/>
  <c r="AB115" i="19"/>
  <c r="AA115" i="19"/>
  <c r="Z115" i="19"/>
  <c r="Y115" i="19"/>
  <c r="X115" i="19"/>
  <c r="W115" i="19"/>
  <c r="V115" i="19"/>
  <c r="U115" i="19"/>
  <c r="R115" i="19"/>
  <c r="P115" i="19"/>
  <c r="O115" i="19"/>
  <c r="N115" i="19"/>
  <c r="C115" i="19"/>
  <c r="AD114" i="19"/>
  <c r="AC114" i="19"/>
  <c r="AB114" i="19"/>
  <c r="AA114" i="19"/>
  <c r="Z114" i="19"/>
  <c r="Y114" i="19"/>
  <c r="X114" i="19"/>
  <c r="W114" i="19"/>
  <c r="V114" i="19"/>
  <c r="U114" i="19"/>
  <c r="R114" i="19"/>
  <c r="P114" i="19"/>
  <c r="O114" i="19"/>
  <c r="N114" i="19"/>
  <c r="C114" i="19"/>
  <c r="AD113" i="19"/>
  <c r="AC113" i="19"/>
  <c r="AB113" i="19"/>
  <c r="AA113" i="19"/>
  <c r="Z113" i="19"/>
  <c r="Y113" i="19"/>
  <c r="X113" i="19"/>
  <c r="W113" i="19"/>
  <c r="V113" i="19"/>
  <c r="U113" i="19"/>
  <c r="R113" i="19"/>
  <c r="P113" i="19"/>
  <c r="O113" i="19"/>
  <c r="N113" i="19"/>
  <c r="C113" i="19"/>
  <c r="AD112" i="19"/>
  <c r="AC112" i="19"/>
  <c r="AB112" i="19"/>
  <c r="AA112" i="19"/>
  <c r="Z112" i="19"/>
  <c r="Y112" i="19"/>
  <c r="X112" i="19"/>
  <c r="W112" i="19"/>
  <c r="V112" i="19"/>
  <c r="U112" i="19"/>
  <c r="R112" i="19"/>
  <c r="P112" i="19"/>
  <c r="O112" i="19"/>
  <c r="N112" i="19"/>
  <c r="C112" i="19"/>
  <c r="AD111" i="19"/>
  <c r="AC111" i="19"/>
  <c r="AB111" i="19"/>
  <c r="AA111" i="19"/>
  <c r="Z111" i="19"/>
  <c r="Y111" i="19"/>
  <c r="X111" i="19"/>
  <c r="W111" i="19"/>
  <c r="V111" i="19"/>
  <c r="U111" i="19"/>
  <c r="R111" i="19"/>
  <c r="P111" i="19"/>
  <c r="O111" i="19"/>
  <c r="N111" i="19"/>
  <c r="C111" i="19"/>
  <c r="AD110" i="19"/>
  <c r="AC110" i="19"/>
  <c r="AB110" i="19"/>
  <c r="AA110" i="19"/>
  <c r="Z110" i="19"/>
  <c r="Y110" i="19"/>
  <c r="X110" i="19"/>
  <c r="W110" i="19"/>
  <c r="V110" i="19"/>
  <c r="U110" i="19"/>
  <c r="R110" i="19"/>
  <c r="P110" i="19"/>
  <c r="O110" i="19"/>
  <c r="N110" i="19"/>
  <c r="AD109" i="19"/>
  <c r="AC109" i="19"/>
  <c r="AB109" i="19"/>
  <c r="AA109" i="19"/>
  <c r="Z109" i="19"/>
  <c r="Y109" i="19"/>
  <c r="X109" i="19"/>
  <c r="W109" i="19"/>
  <c r="V109" i="19"/>
  <c r="U109" i="19"/>
  <c r="R109" i="19"/>
  <c r="P109" i="19"/>
  <c r="O109" i="19"/>
  <c r="N109" i="19"/>
  <c r="C109" i="19"/>
  <c r="AD108" i="19"/>
  <c r="AC108" i="19"/>
  <c r="AB108" i="19"/>
  <c r="AA108" i="19"/>
  <c r="Z108" i="19"/>
  <c r="Y108" i="19"/>
  <c r="X108" i="19"/>
  <c r="W108" i="19"/>
  <c r="V108" i="19"/>
  <c r="U108" i="19"/>
  <c r="R108" i="19"/>
  <c r="P108" i="19"/>
  <c r="O108" i="19"/>
  <c r="N108" i="19"/>
  <c r="C108" i="19"/>
  <c r="AD107" i="19"/>
  <c r="AC107" i="19"/>
  <c r="AB107" i="19"/>
  <c r="AA107" i="19"/>
  <c r="Z107" i="19"/>
  <c r="Y107" i="19"/>
  <c r="X107" i="19"/>
  <c r="W107" i="19"/>
  <c r="V107" i="19"/>
  <c r="U107" i="19"/>
  <c r="R107" i="19"/>
  <c r="P107" i="19"/>
  <c r="O107" i="19"/>
  <c r="N107" i="19"/>
  <c r="C107" i="19"/>
  <c r="AD106" i="19"/>
  <c r="AC106" i="19"/>
  <c r="AB106" i="19"/>
  <c r="AA106" i="19"/>
  <c r="Z106" i="19"/>
  <c r="Y106" i="19"/>
  <c r="X106" i="19"/>
  <c r="W106" i="19"/>
  <c r="V106" i="19"/>
  <c r="U106" i="19"/>
  <c r="R106" i="19"/>
  <c r="P106" i="19"/>
  <c r="O106" i="19"/>
  <c r="N106" i="19"/>
  <c r="C106" i="19"/>
  <c r="AD105" i="19"/>
  <c r="AC105" i="19"/>
  <c r="AB105" i="19"/>
  <c r="AA105" i="19"/>
  <c r="Z105" i="19"/>
  <c r="Y105" i="19"/>
  <c r="X105" i="19"/>
  <c r="W105" i="19"/>
  <c r="V105" i="19"/>
  <c r="U105" i="19"/>
  <c r="R105" i="19"/>
  <c r="P105" i="19"/>
  <c r="O105" i="19"/>
  <c r="N105" i="19"/>
  <c r="C105" i="19"/>
  <c r="AD104" i="19"/>
  <c r="AC104" i="19"/>
  <c r="AB104" i="19"/>
  <c r="AA104" i="19"/>
  <c r="Z104" i="19"/>
  <c r="Y104" i="19"/>
  <c r="X104" i="19"/>
  <c r="W104" i="19"/>
  <c r="V104" i="19"/>
  <c r="U104" i="19"/>
  <c r="R104" i="19"/>
  <c r="P104" i="19"/>
  <c r="O104" i="19"/>
  <c r="N104" i="19"/>
  <c r="C104" i="19"/>
  <c r="AD103" i="19"/>
  <c r="AC103" i="19"/>
  <c r="AB103" i="19"/>
  <c r="AA103" i="19"/>
  <c r="Z103" i="19"/>
  <c r="Y103" i="19"/>
  <c r="X103" i="19"/>
  <c r="W103" i="19"/>
  <c r="V103" i="19"/>
  <c r="U103" i="19"/>
  <c r="R103" i="19"/>
  <c r="P103" i="19"/>
  <c r="O103" i="19"/>
  <c r="N103" i="19"/>
  <c r="C103" i="19"/>
  <c r="AD102" i="19"/>
  <c r="AC102" i="19"/>
  <c r="AB102" i="19"/>
  <c r="AA102" i="19"/>
  <c r="Z102" i="19"/>
  <c r="Y102" i="19"/>
  <c r="X102" i="19"/>
  <c r="W102" i="19"/>
  <c r="V102" i="19"/>
  <c r="U102" i="19"/>
  <c r="R102" i="19"/>
  <c r="P102" i="19"/>
  <c r="O102" i="19"/>
  <c r="N102" i="19"/>
  <c r="C102" i="19"/>
  <c r="AD101" i="19"/>
  <c r="AC101" i="19"/>
  <c r="AB101" i="19"/>
  <c r="AA101" i="19"/>
  <c r="Z101" i="19"/>
  <c r="Y101" i="19"/>
  <c r="X101" i="19"/>
  <c r="W101" i="19"/>
  <c r="V101" i="19"/>
  <c r="U101" i="19"/>
  <c r="R101" i="19"/>
  <c r="P101" i="19"/>
  <c r="O101" i="19"/>
  <c r="N101" i="19"/>
  <c r="AD100" i="19"/>
  <c r="AC100" i="19"/>
  <c r="AB100" i="19"/>
  <c r="AA100" i="19"/>
  <c r="Z100" i="19"/>
  <c r="Y100" i="19"/>
  <c r="X100" i="19"/>
  <c r="W100" i="19"/>
  <c r="V100" i="19"/>
  <c r="U100" i="19"/>
  <c r="R100" i="19"/>
  <c r="P100" i="19"/>
  <c r="O100" i="19"/>
  <c r="N100" i="19"/>
  <c r="C100" i="19"/>
  <c r="AD99" i="19"/>
  <c r="AC99" i="19"/>
  <c r="AB99" i="19"/>
  <c r="AA99" i="19"/>
  <c r="Z99" i="19"/>
  <c r="Y99" i="19"/>
  <c r="X99" i="19"/>
  <c r="W99" i="19"/>
  <c r="V99" i="19"/>
  <c r="U99" i="19"/>
  <c r="R99" i="19"/>
  <c r="P99" i="19"/>
  <c r="O99" i="19"/>
  <c r="N99" i="19"/>
  <c r="C99" i="19"/>
  <c r="AD98" i="19"/>
  <c r="AC98" i="19"/>
  <c r="AB98" i="19"/>
  <c r="AA98" i="19"/>
  <c r="Z98" i="19"/>
  <c r="Y98" i="19"/>
  <c r="X98" i="19"/>
  <c r="W98" i="19"/>
  <c r="V98" i="19"/>
  <c r="U98" i="19"/>
  <c r="R98" i="19"/>
  <c r="P98" i="19"/>
  <c r="O98" i="19"/>
  <c r="N98" i="19"/>
  <c r="C98" i="19"/>
  <c r="AD97" i="19"/>
  <c r="AC97" i="19"/>
  <c r="AB97" i="19"/>
  <c r="AA97" i="19"/>
  <c r="Z97" i="19"/>
  <c r="Y97" i="19"/>
  <c r="X97" i="19"/>
  <c r="W97" i="19"/>
  <c r="V97" i="19"/>
  <c r="U97" i="19"/>
  <c r="R97" i="19"/>
  <c r="P97" i="19"/>
  <c r="O97" i="19"/>
  <c r="N97" i="19"/>
  <c r="C97" i="19"/>
  <c r="AD96" i="19"/>
  <c r="AC96" i="19"/>
  <c r="AB96" i="19"/>
  <c r="AA96" i="19"/>
  <c r="Z96" i="19"/>
  <c r="Y96" i="19"/>
  <c r="X96" i="19"/>
  <c r="W96" i="19"/>
  <c r="V96" i="19"/>
  <c r="U96" i="19"/>
  <c r="R96" i="19"/>
  <c r="P96" i="19"/>
  <c r="O96" i="19"/>
  <c r="N96" i="19"/>
  <c r="C96" i="19"/>
  <c r="AD95" i="19"/>
  <c r="AC95" i="19"/>
  <c r="AB95" i="19"/>
  <c r="AA95" i="19"/>
  <c r="Z95" i="19"/>
  <c r="Y95" i="19"/>
  <c r="X95" i="19"/>
  <c r="W95" i="19"/>
  <c r="V95" i="19"/>
  <c r="U95" i="19"/>
  <c r="R95" i="19"/>
  <c r="P95" i="19"/>
  <c r="O95" i="19"/>
  <c r="N95" i="19"/>
  <c r="C95" i="19"/>
  <c r="AD94" i="19"/>
  <c r="AC94" i="19"/>
  <c r="AB94" i="19"/>
  <c r="AA94" i="19"/>
  <c r="Z94" i="19"/>
  <c r="Y94" i="19"/>
  <c r="X94" i="19"/>
  <c r="W94" i="19"/>
  <c r="V94" i="19"/>
  <c r="U94" i="19"/>
  <c r="R94" i="19"/>
  <c r="P94" i="19"/>
  <c r="O94" i="19"/>
  <c r="N94" i="19"/>
  <c r="C94" i="19"/>
  <c r="AD93" i="19"/>
  <c r="AC93" i="19"/>
  <c r="AB93" i="19"/>
  <c r="AA93" i="19"/>
  <c r="Z93" i="19"/>
  <c r="Y93" i="19"/>
  <c r="X93" i="19"/>
  <c r="W93" i="19"/>
  <c r="V93" i="19"/>
  <c r="U93" i="19"/>
  <c r="R93" i="19"/>
  <c r="P93" i="19"/>
  <c r="O93" i="19"/>
  <c r="N93" i="19"/>
  <c r="C93" i="19"/>
  <c r="AD92" i="19"/>
  <c r="AC92" i="19"/>
  <c r="AB92" i="19"/>
  <c r="AA92" i="19"/>
  <c r="Z92" i="19"/>
  <c r="Y92" i="19"/>
  <c r="X92" i="19"/>
  <c r="W92" i="19"/>
  <c r="V92" i="19"/>
  <c r="U92" i="19"/>
  <c r="R92" i="19"/>
  <c r="P92" i="19"/>
  <c r="O92" i="19"/>
  <c r="N92" i="19"/>
  <c r="AD91" i="19"/>
  <c r="AC91" i="19"/>
  <c r="AB91" i="19"/>
  <c r="AA91" i="19"/>
  <c r="Z91" i="19"/>
  <c r="Y91" i="19"/>
  <c r="X91" i="19"/>
  <c r="W91" i="19"/>
  <c r="V91" i="19"/>
  <c r="U91" i="19"/>
  <c r="R91" i="19"/>
  <c r="P91" i="19"/>
  <c r="O91" i="19"/>
  <c r="N91" i="19"/>
  <c r="C91" i="19"/>
  <c r="AD90" i="19"/>
  <c r="AC90" i="19"/>
  <c r="AB90" i="19"/>
  <c r="AA90" i="19"/>
  <c r="Z90" i="19"/>
  <c r="Y90" i="19"/>
  <c r="X90" i="19"/>
  <c r="W90" i="19"/>
  <c r="V90" i="19"/>
  <c r="U90" i="19"/>
  <c r="R90" i="19"/>
  <c r="P90" i="19"/>
  <c r="O90" i="19"/>
  <c r="N90" i="19"/>
  <c r="C90" i="19"/>
  <c r="AD89" i="19"/>
  <c r="AC89" i="19"/>
  <c r="AB89" i="19"/>
  <c r="AA89" i="19"/>
  <c r="Z89" i="19"/>
  <c r="Y89" i="19"/>
  <c r="X89" i="19"/>
  <c r="W89" i="19"/>
  <c r="V89" i="19"/>
  <c r="U89" i="19"/>
  <c r="R89" i="19"/>
  <c r="P89" i="19"/>
  <c r="O89" i="19"/>
  <c r="N89" i="19"/>
  <c r="C89" i="19"/>
  <c r="AD88" i="19"/>
  <c r="AC88" i="19"/>
  <c r="AB88" i="19"/>
  <c r="AA88" i="19"/>
  <c r="Z88" i="19"/>
  <c r="Y88" i="19"/>
  <c r="X88" i="19"/>
  <c r="W88" i="19"/>
  <c r="V88" i="19"/>
  <c r="U88" i="19"/>
  <c r="R88" i="19"/>
  <c r="P88" i="19"/>
  <c r="O88" i="19"/>
  <c r="N88" i="19"/>
  <c r="C88" i="19"/>
  <c r="AD87" i="19"/>
  <c r="AC87" i="19"/>
  <c r="AB87" i="19"/>
  <c r="AA87" i="19"/>
  <c r="Z87" i="19"/>
  <c r="Y87" i="19"/>
  <c r="X87" i="19"/>
  <c r="W87" i="19"/>
  <c r="V87" i="19"/>
  <c r="U87" i="19"/>
  <c r="R87" i="19"/>
  <c r="P87" i="19"/>
  <c r="O87" i="19"/>
  <c r="N87" i="19"/>
  <c r="AD86" i="19"/>
  <c r="AC86" i="19"/>
  <c r="AB86" i="19"/>
  <c r="AA86" i="19"/>
  <c r="Z86" i="19"/>
  <c r="Y86" i="19"/>
  <c r="X86" i="19"/>
  <c r="W86" i="19"/>
  <c r="V86" i="19"/>
  <c r="U86" i="19"/>
  <c r="R86" i="19"/>
  <c r="P86" i="19"/>
  <c r="O86" i="19"/>
  <c r="N86" i="19"/>
  <c r="C86" i="19"/>
  <c r="AD85" i="19"/>
  <c r="AC85" i="19"/>
  <c r="AB85" i="19"/>
  <c r="AA85" i="19"/>
  <c r="Z85" i="19"/>
  <c r="Y85" i="19"/>
  <c r="X85" i="19"/>
  <c r="W85" i="19"/>
  <c r="V85" i="19"/>
  <c r="U85" i="19"/>
  <c r="R85" i="19"/>
  <c r="P85" i="19"/>
  <c r="O85" i="19"/>
  <c r="N85" i="19"/>
  <c r="C85" i="19"/>
  <c r="AD84" i="19"/>
  <c r="AC84" i="19"/>
  <c r="AB84" i="19"/>
  <c r="AA84" i="19"/>
  <c r="Z84" i="19"/>
  <c r="Y84" i="19"/>
  <c r="X84" i="19"/>
  <c r="W84" i="19"/>
  <c r="V84" i="19"/>
  <c r="U84" i="19"/>
  <c r="R84" i="19"/>
  <c r="P84" i="19"/>
  <c r="O84" i="19"/>
  <c r="N84" i="19"/>
  <c r="C84" i="19"/>
  <c r="AD83" i="19"/>
  <c r="AC83" i="19"/>
  <c r="AB83" i="19"/>
  <c r="AA83" i="19"/>
  <c r="Z83" i="19"/>
  <c r="Y83" i="19"/>
  <c r="X83" i="19"/>
  <c r="W83" i="19"/>
  <c r="V83" i="19"/>
  <c r="U83" i="19"/>
  <c r="R83" i="19"/>
  <c r="P83" i="19"/>
  <c r="O83" i="19"/>
  <c r="N83" i="19"/>
  <c r="C83" i="19"/>
  <c r="AD82" i="19"/>
  <c r="AC82" i="19"/>
  <c r="AB82" i="19"/>
  <c r="AA82" i="19"/>
  <c r="Z82" i="19"/>
  <c r="Y82" i="19"/>
  <c r="X82" i="19"/>
  <c r="W82" i="19"/>
  <c r="V82" i="19"/>
  <c r="U82" i="19"/>
  <c r="R82" i="19"/>
  <c r="P82" i="19"/>
  <c r="O82" i="19"/>
  <c r="N82" i="19"/>
  <c r="AD81" i="19"/>
  <c r="AC81" i="19"/>
  <c r="AB81" i="19"/>
  <c r="AA81" i="19"/>
  <c r="Z81" i="19"/>
  <c r="Y81" i="19"/>
  <c r="X81" i="19"/>
  <c r="W81" i="19"/>
  <c r="V81" i="19"/>
  <c r="U81" i="19"/>
  <c r="R81" i="19"/>
  <c r="P81" i="19"/>
  <c r="O81" i="19"/>
  <c r="N81" i="19"/>
  <c r="C81" i="19"/>
  <c r="AD80" i="19"/>
  <c r="AC80" i="19"/>
  <c r="AB80" i="19"/>
  <c r="AA80" i="19"/>
  <c r="Z80" i="19"/>
  <c r="Y80" i="19"/>
  <c r="X80" i="19"/>
  <c r="W80" i="19"/>
  <c r="V80" i="19"/>
  <c r="U80" i="19"/>
  <c r="R80" i="19"/>
  <c r="P80" i="19"/>
  <c r="O80" i="19"/>
  <c r="N80" i="19"/>
  <c r="C80" i="19"/>
  <c r="AD79" i="19"/>
  <c r="AC79" i="19"/>
  <c r="AB79" i="19"/>
  <c r="AA79" i="19"/>
  <c r="Z79" i="19"/>
  <c r="Y79" i="19"/>
  <c r="X79" i="19"/>
  <c r="W79" i="19"/>
  <c r="V79" i="19"/>
  <c r="U79" i="19"/>
  <c r="R79" i="19"/>
  <c r="P79" i="19"/>
  <c r="O79" i="19"/>
  <c r="N79" i="19"/>
  <c r="C79" i="19"/>
  <c r="AD78" i="19"/>
  <c r="AC78" i="19"/>
  <c r="AB78" i="19"/>
  <c r="AA78" i="19"/>
  <c r="Z78" i="19"/>
  <c r="Y78" i="19"/>
  <c r="X78" i="19"/>
  <c r="W78" i="19"/>
  <c r="V78" i="19"/>
  <c r="U78" i="19"/>
  <c r="R78" i="19"/>
  <c r="P78" i="19"/>
  <c r="O78" i="19"/>
  <c r="N78" i="19"/>
  <c r="C78" i="19"/>
  <c r="AD77" i="19"/>
  <c r="AC77" i="19"/>
  <c r="AB77" i="19"/>
  <c r="AA77" i="19"/>
  <c r="Z77" i="19"/>
  <c r="Y77" i="19"/>
  <c r="X77" i="19"/>
  <c r="W77" i="19"/>
  <c r="V77" i="19"/>
  <c r="U77" i="19"/>
  <c r="R77" i="19"/>
  <c r="P77" i="19"/>
  <c r="O77" i="19"/>
  <c r="N77" i="19"/>
  <c r="C77" i="19"/>
  <c r="AD76" i="19"/>
  <c r="AC76" i="19"/>
  <c r="AB76" i="19"/>
  <c r="AA76" i="19"/>
  <c r="Z76" i="19"/>
  <c r="Y76" i="19"/>
  <c r="X76" i="19"/>
  <c r="W76" i="19"/>
  <c r="V76" i="19"/>
  <c r="U76" i="19"/>
  <c r="R76" i="19"/>
  <c r="P76" i="19"/>
  <c r="O76" i="19"/>
  <c r="N76" i="19"/>
  <c r="C76" i="19"/>
  <c r="AD75" i="19"/>
  <c r="AC75" i="19"/>
  <c r="AB75" i="19"/>
  <c r="AA75" i="19"/>
  <c r="Z75" i="19"/>
  <c r="Y75" i="19"/>
  <c r="X75" i="19"/>
  <c r="W75" i="19"/>
  <c r="V75" i="19"/>
  <c r="U75" i="19"/>
  <c r="R75" i="19"/>
  <c r="P75" i="19"/>
  <c r="O75" i="19"/>
  <c r="N75" i="19"/>
  <c r="C75" i="19"/>
  <c r="AD74" i="19"/>
  <c r="AC74" i="19"/>
  <c r="AB74" i="19"/>
  <c r="AA74" i="19"/>
  <c r="Z74" i="19"/>
  <c r="Y74" i="19"/>
  <c r="X74" i="19"/>
  <c r="W74" i="19"/>
  <c r="V74" i="19"/>
  <c r="U74" i="19"/>
  <c r="R74" i="19"/>
  <c r="P74" i="19"/>
  <c r="O74" i="19"/>
  <c r="N74" i="19"/>
  <c r="AD73" i="19"/>
  <c r="AC73" i="19"/>
  <c r="AB73" i="19"/>
  <c r="AA73" i="19"/>
  <c r="Z73" i="19"/>
  <c r="Y73" i="19"/>
  <c r="X73" i="19"/>
  <c r="W73" i="19"/>
  <c r="V73" i="19"/>
  <c r="U73" i="19"/>
  <c r="R73" i="19"/>
  <c r="P73" i="19"/>
  <c r="O73" i="19"/>
  <c r="N73" i="19"/>
  <c r="C73" i="19"/>
  <c r="AD72" i="19"/>
  <c r="AC72" i="19"/>
  <c r="AB72" i="19"/>
  <c r="AA72" i="19"/>
  <c r="Z72" i="19"/>
  <c r="Y72" i="19"/>
  <c r="X72" i="19"/>
  <c r="W72" i="19"/>
  <c r="V72" i="19"/>
  <c r="U72" i="19"/>
  <c r="R72" i="19"/>
  <c r="P72" i="19"/>
  <c r="O72" i="19"/>
  <c r="N72" i="19"/>
  <c r="C72" i="19"/>
  <c r="AD71" i="19"/>
  <c r="AC71" i="19"/>
  <c r="AB71" i="19"/>
  <c r="AA71" i="19"/>
  <c r="Z71" i="19"/>
  <c r="Y71" i="19"/>
  <c r="X71" i="19"/>
  <c r="W71" i="19"/>
  <c r="V71" i="19"/>
  <c r="U71" i="19"/>
  <c r="R71" i="19"/>
  <c r="P71" i="19"/>
  <c r="O71" i="19"/>
  <c r="N71" i="19"/>
  <c r="C71" i="19"/>
  <c r="AD70" i="19"/>
  <c r="AC70" i="19"/>
  <c r="AB70" i="19"/>
  <c r="AA70" i="19"/>
  <c r="Z70" i="19"/>
  <c r="Y70" i="19"/>
  <c r="X70" i="19"/>
  <c r="W70" i="19"/>
  <c r="V70" i="19"/>
  <c r="U70" i="19"/>
  <c r="R70" i="19"/>
  <c r="P70" i="19"/>
  <c r="O70" i="19"/>
  <c r="N70" i="19"/>
  <c r="C70" i="19"/>
  <c r="AD69" i="19"/>
  <c r="AC69" i="19"/>
  <c r="AB69" i="19"/>
  <c r="AA69" i="19"/>
  <c r="Z69" i="19"/>
  <c r="Y69" i="19"/>
  <c r="X69" i="19"/>
  <c r="W69" i="19"/>
  <c r="V69" i="19"/>
  <c r="U69" i="19"/>
  <c r="R69" i="19"/>
  <c r="P69" i="19"/>
  <c r="O69" i="19"/>
  <c r="N69" i="19"/>
  <c r="C69" i="19"/>
  <c r="AD68" i="19"/>
  <c r="AC68" i="19"/>
  <c r="AB68" i="19"/>
  <c r="AA68" i="19"/>
  <c r="Z68" i="19"/>
  <c r="Y68" i="19"/>
  <c r="X68" i="19"/>
  <c r="W68" i="19"/>
  <c r="V68" i="19"/>
  <c r="U68" i="19"/>
  <c r="R68" i="19"/>
  <c r="P68" i="19"/>
  <c r="O68" i="19"/>
  <c r="N68" i="19"/>
  <c r="C68" i="19"/>
  <c r="AD67" i="19"/>
  <c r="AC67" i="19"/>
  <c r="AB67" i="19"/>
  <c r="AA67" i="19"/>
  <c r="Z67" i="19"/>
  <c r="Y67" i="19"/>
  <c r="X67" i="19"/>
  <c r="W67" i="19"/>
  <c r="V67" i="19"/>
  <c r="U67" i="19"/>
  <c r="R67" i="19"/>
  <c r="P67" i="19"/>
  <c r="O67" i="19"/>
  <c r="N67" i="19"/>
  <c r="C67" i="19"/>
  <c r="AD66" i="19"/>
  <c r="AC66" i="19"/>
  <c r="AB66" i="19"/>
  <c r="AA66" i="19"/>
  <c r="Z66" i="19"/>
  <c r="Y66" i="19"/>
  <c r="X66" i="19"/>
  <c r="W66" i="19"/>
  <c r="V66" i="19"/>
  <c r="U66" i="19"/>
  <c r="R66" i="19"/>
  <c r="P66" i="19"/>
  <c r="O66" i="19"/>
  <c r="N66" i="19"/>
  <c r="AD65" i="19"/>
  <c r="AC65" i="19"/>
  <c r="AB65" i="19"/>
  <c r="AA65" i="19"/>
  <c r="Z65" i="19"/>
  <c r="Y65" i="19"/>
  <c r="X65" i="19"/>
  <c r="W65" i="19"/>
  <c r="V65" i="19"/>
  <c r="U65" i="19"/>
  <c r="R65" i="19"/>
  <c r="P65" i="19"/>
  <c r="O65" i="19"/>
  <c r="N65" i="19"/>
  <c r="C65" i="19"/>
  <c r="AD64" i="19"/>
  <c r="AC64" i="19"/>
  <c r="AB64" i="19"/>
  <c r="AA64" i="19"/>
  <c r="Z64" i="19"/>
  <c r="Y64" i="19"/>
  <c r="X64" i="19"/>
  <c r="W64" i="19"/>
  <c r="V64" i="19"/>
  <c r="U64" i="19"/>
  <c r="R64" i="19"/>
  <c r="P64" i="19"/>
  <c r="O64" i="19"/>
  <c r="N64" i="19"/>
  <c r="C64" i="19"/>
  <c r="AD63" i="19"/>
  <c r="AC63" i="19"/>
  <c r="AB63" i="19"/>
  <c r="AA63" i="19"/>
  <c r="Z63" i="19"/>
  <c r="Y63" i="19"/>
  <c r="X63" i="19"/>
  <c r="W63" i="19"/>
  <c r="V63" i="19"/>
  <c r="U63" i="19"/>
  <c r="R63" i="19"/>
  <c r="P63" i="19"/>
  <c r="O63" i="19"/>
  <c r="N63" i="19"/>
  <c r="C63" i="19"/>
  <c r="AD62" i="19"/>
  <c r="AC62" i="19"/>
  <c r="AB62" i="19"/>
  <c r="AA62" i="19"/>
  <c r="Z62" i="19"/>
  <c r="Y62" i="19"/>
  <c r="X62" i="19"/>
  <c r="W62" i="19"/>
  <c r="V62" i="19"/>
  <c r="U62" i="19"/>
  <c r="R62" i="19"/>
  <c r="P62" i="19"/>
  <c r="O62" i="19"/>
  <c r="N62" i="19"/>
  <c r="C62" i="19"/>
  <c r="AD61" i="19"/>
  <c r="AC61" i="19"/>
  <c r="AB61" i="19"/>
  <c r="AA61" i="19"/>
  <c r="Z61" i="19"/>
  <c r="Y61" i="19"/>
  <c r="X61" i="19"/>
  <c r="W61" i="19"/>
  <c r="V61" i="19"/>
  <c r="U61" i="19"/>
  <c r="R61" i="19"/>
  <c r="P61" i="19"/>
  <c r="O61" i="19"/>
  <c r="N61" i="19"/>
  <c r="C61" i="19"/>
  <c r="AD60" i="19"/>
  <c r="AC60" i="19"/>
  <c r="AB60" i="19"/>
  <c r="AA60" i="19"/>
  <c r="Z60" i="19"/>
  <c r="Y60" i="19"/>
  <c r="X60" i="19"/>
  <c r="W60" i="19"/>
  <c r="V60" i="19"/>
  <c r="U60" i="19"/>
  <c r="R60" i="19"/>
  <c r="P60" i="19"/>
  <c r="O60" i="19"/>
  <c r="N60" i="19"/>
  <c r="C60" i="19"/>
  <c r="AD59" i="19"/>
  <c r="AC59" i="19"/>
  <c r="AB59" i="19"/>
  <c r="AA59" i="19"/>
  <c r="Z59" i="19"/>
  <c r="Y59" i="19"/>
  <c r="X59" i="19"/>
  <c r="W59" i="19"/>
  <c r="V59" i="19"/>
  <c r="U59" i="19"/>
  <c r="R59" i="19"/>
  <c r="P59" i="19"/>
  <c r="O59" i="19"/>
  <c r="N59" i="19"/>
  <c r="C59" i="19"/>
  <c r="AD58" i="19"/>
  <c r="AC58" i="19"/>
  <c r="AB58" i="19"/>
  <c r="AA58" i="19"/>
  <c r="Z58" i="19"/>
  <c r="Y58" i="19"/>
  <c r="X58" i="19"/>
  <c r="W58" i="19"/>
  <c r="V58" i="19"/>
  <c r="U58" i="19"/>
  <c r="R58" i="19"/>
  <c r="P58" i="19"/>
  <c r="O58" i="19"/>
  <c r="N58" i="19"/>
  <c r="AD57" i="19"/>
  <c r="AC57" i="19"/>
  <c r="AB57" i="19"/>
  <c r="AA57" i="19"/>
  <c r="Z57" i="19"/>
  <c r="Y57" i="19"/>
  <c r="X57" i="19"/>
  <c r="W57" i="19"/>
  <c r="V57" i="19"/>
  <c r="U57" i="19"/>
  <c r="R57" i="19"/>
  <c r="P57" i="19"/>
  <c r="O57" i="19"/>
  <c r="N57" i="19"/>
  <c r="C57" i="19"/>
  <c r="AD56" i="19"/>
  <c r="AC56" i="19"/>
  <c r="AB56" i="19"/>
  <c r="AA56" i="19"/>
  <c r="Z56" i="19"/>
  <c r="Y56" i="19"/>
  <c r="X56" i="19"/>
  <c r="W56" i="19"/>
  <c r="V56" i="19"/>
  <c r="U56" i="19"/>
  <c r="R56" i="19"/>
  <c r="P56" i="19"/>
  <c r="O56" i="19"/>
  <c r="N56" i="19"/>
  <c r="C56" i="19"/>
  <c r="AD55" i="19"/>
  <c r="AC55" i="19"/>
  <c r="AB55" i="19"/>
  <c r="AA55" i="19"/>
  <c r="Z55" i="19"/>
  <c r="Y55" i="19"/>
  <c r="X55" i="19"/>
  <c r="W55" i="19"/>
  <c r="V55" i="19"/>
  <c r="U55" i="19"/>
  <c r="R55" i="19"/>
  <c r="P55" i="19"/>
  <c r="O55" i="19"/>
  <c r="N55" i="19"/>
  <c r="C55" i="19"/>
  <c r="AD54" i="19"/>
  <c r="AC54" i="19"/>
  <c r="AB54" i="19"/>
  <c r="AA54" i="19"/>
  <c r="Z54" i="19"/>
  <c r="Y54" i="19"/>
  <c r="X54" i="19"/>
  <c r="W54" i="19"/>
  <c r="V54" i="19"/>
  <c r="U54" i="19"/>
  <c r="R54" i="19"/>
  <c r="P54" i="19"/>
  <c r="O54" i="19"/>
  <c r="N54" i="19"/>
  <c r="C54" i="19"/>
  <c r="AD53" i="19"/>
  <c r="AC53" i="19"/>
  <c r="AB53" i="19"/>
  <c r="AA53" i="19"/>
  <c r="Z53" i="19"/>
  <c r="Y53" i="19"/>
  <c r="X53" i="19"/>
  <c r="W53" i="19"/>
  <c r="V53" i="19"/>
  <c r="U53" i="19"/>
  <c r="R53" i="19"/>
  <c r="P53" i="19"/>
  <c r="O53" i="19"/>
  <c r="N53" i="19"/>
  <c r="C53" i="19"/>
  <c r="AD52" i="19"/>
  <c r="AC52" i="19"/>
  <c r="AB52" i="19"/>
  <c r="AA52" i="19"/>
  <c r="Z52" i="19"/>
  <c r="Y52" i="19"/>
  <c r="X52" i="19"/>
  <c r="W52" i="19"/>
  <c r="V52" i="19"/>
  <c r="U52" i="19"/>
  <c r="R52" i="19"/>
  <c r="P52" i="19"/>
  <c r="O52" i="19"/>
  <c r="N52" i="19"/>
  <c r="C52" i="19"/>
  <c r="AD51" i="19"/>
  <c r="AC51" i="19"/>
  <c r="AB51" i="19"/>
  <c r="AA51" i="19"/>
  <c r="Z51" i="19"/>
  <c r="Y51" i="19"/>
  <c r="X51" i="19"/>
  <c r="W51" i="19"/>
  <c r="V51" i="19"/>
  <c r="U51" i="19"/>
  <c r="R51" i="19"/>
  <c r="P51" i="19"/>
  <c r="O51" i="19"/>
  <c r="N51" i="19"/>
  <c r="C51" i="19"/>
  <c r="AD50" i="19"/>
  <c r="AC50" i="19"/>
  <c r="AB50" i="19"/>
  <c r="AA50" i="19"/>
  <c r="Z50" i="19"/>
  <c r="Y50" i="19"/>
  <c r="X50" i="19"/>
  <c r="W50" i="19"/>
  <c r="V50" i="19"/>
  <c r="U50" i="19"/>
  <c r="R50" i="19"/>
  <c r="P50" i="19"/>
  <c r="O50" i="19"/>
  <c r="N50" i="19"/>
  <c r="AD49" i="19"/>
  <c r="AC49" i="19"/>
  <c r="AB49" i="19"/>
  <c r="AA49" i="19"/>
  <c r="Z49" i="19"/>
  <c r="Y49" i="19"/>
  <c r="X49" i="19"/>
  <c r="W49" i="19"/>
  <c r="V49" i="19"/>
  <c r="U49" i="19"/>
  <c r="R49" i="19"/>
  <c r="P49" i="19"/>
  <c r="O49" i="19"/>
  <c r="N49" i="19"/>
  <c r="C49" i="19"/>
  <c r="AD48" i="19"/>
  <c r="AC48" i="19"/>
  <c r="AB48" i="19"/>
  <c r="AA48" i="19"/>
  <c r="Z48" i="19"/>
  <c r="Y48" i="19"/>
  <c r="X48" i="19"/>
  <c r="W48" i="19"/>
  <c r="V48" i="19"/>
  <c r="U48" i="19"/>
  <c r="R48" i="19"/>
  <c r="P48" i="19"/>
  <c r="O48" i="19"/>
  <c r="N48" i="19"/>
  <c r="C48" i="19"/>
  <c r="AD47" i="19"/>
  <c r="AC47" i="19"/>
  <c r="AB47" i="19"/>
  <c r="AA47" i="19"/>
  <c r="Z47" i="19"/>
  <c r="Y47" i="19"/>
  <c r="X47" i="19"/>
  <c r="W47" i="19"/>
  <c r="V47" i="19"/>
  <c r="U47" i="19"/>
  <c r="R47" i="19"/>
  <c r="P47" i="19"/>
  <c r="O47" i="19"/>
  <c r="N47" i="19"/>
  <c r="C47" i="19"/>
  <c r="AD46" i="19"/>
  <c r="AC46" i="19"/>
  <c r="AB46" i="19"/>
  <c r="AA46" i="19"/>
  <c r="Z46" i="19"/>
  <c r="Y46" i="19"/>
  <c r="X46" i="19"/>
  <c r="W46" i="19"/>
  <c r="V46" i="19"/>
  <c r="U46" i="19"/>
  <c r="R46" i="19"/>
  <c r="P46" i="19"/>
  <c r="O46" i="19"/>
  <c r="N46" i="19"/>
  <c r="C46" i="19"/>
  <c r="AD45" i="19"/>
  <c r="AC45" i="19"/>
  <c r="AB45" i="19"/>
  <c r="AA45" i="19"/>
  <c r="Z45" i="19"/>
  <c r="Y45" i="19"/>
  <c r="X45" i="19"/>
  <c r="W45" i="19"/>
  <c r="V45" i="19"/>
  <c r="U45" i="19"/>
  <c r="R45" i="19"/>
  <c r="P45" i="19"/>
  <c r="O45" i="19"/>
  <c r="N45" i="19"/>
  <c r="C45" i="19"/>
  <c r="AD44" i="19"/>
  <c r="AC44" i="19"/>
  <c r="AB44" i="19"/>
  <c r="AA44" i="19"/>
  <c r="Z44" i="19"/>
  <c r="Y44" i="19"/>
  <c r="X44" i="19"/>
  <c r="W44" i="19"/>
  <c r="V44" i="19"/>
  <c r="U44" i="19"/>
  <c r="R44" i="19"/>
  <c r="P44" i="19"/>
  <c r="O44" i="19"/>
  <c r="N44" i="19"/>
  <c r="AD43" i="19"/>
  <c r="AC43" i="19"/>
  <c r="AB43" i="19"/>
  <c r="AA43" i="19"/>
  <c r="Z43" i="19"/>
  <c r="Y43" i="19"/>
  <c r="X43" i="19"/>
  <c r="W43" i="19"/>
  <c r="V43" i="19"/>
  <c r="U43" i="19"/>
  <c r="R43" i="19"/>
  <c r="P43" i="19"/>
  <c r="O43" i="19"/>
  <c r="N43" i="19"/>
  <c r="C43" i="19"/>
  <c r="AD42" i="19"/>
  <c r="AC42" i="19"/>
  <c r="AB42" i="19"/>
  <c r="AA42" i="19"/>
  <c r="Z42" i="19"/>
  <c r="Y42" i="19"/>
  <c r="X42" i="19"/>
  <c r="W42" i="19"/>
  <c r="V42" i="19"/>
  <c r="U42" i="19"/>
  <c r="R42" i="19"/>
  <c r="P42" i="19"/>
  <c r="O42" i="19"/>
  <c r="N42" i="19"/>
  <c r="C42" i="19"/>
  <c r="AD41" i="19"/>
  <c r="AC41" i="19"/>
  <c r="AB41" i="19"/>
  <c r="AA41" i="19"/>
  <c r="Z41" i="19"/>
  <c r="Y41" i="19"/>
  <c r="X41" i="19"/>
  <c r="W41" i="19"/>
  <c r="V41" i="19"/>
  <c r="U41" i="19"/>
  <c r="R41" i="19"/>
  <c r="P41" i="19"/>
  <c r="O41" i="19"/>
  <c r="N41" i="19"/>
  <c r="C41" i="19"/>
  <c r="AD40" i="19"/>
  <c r="AC40" i="19"/>
  <c r="AB40" i="19"/>
  <c r="AA40" i="19"/>
  <c r="Z40" i="19"/>
  <c r="Y40" i="19"/>
  <c r="X40" i="19"/>
  <c r="W40" i="19"/>
  <c r="V40" i="19"/>
  <c r="U40" i="19"/>
  <c r="R40" i="19"/>
  <c r="P40" i="19"/>
  <c r="O40" i="19"/>
  <c r="N40" i="19"/>
  <c r="C40" i="19"/>
  <c r="AD39" i="19"/>
  <c r="AC39" i="19"/>
  <c r="AB39" i="19"/>
  <c r="AA39" i="19"/>
  <c r="Z39" i="19"/>
  <c r="Y39" i="19"/>
  <c r="X39" i="19"/>
  <c r="W39" i="19"/>
  <c r="V39" i="19"/>
  <c r="U39" i="19"/>
  <c r="R39" i="19"/>
  <c r="P39" i="19"/>
  <c r="O39" i="19"/>
  <c r="N39" i="19"/>
  <c r="C39" i="19"/>
  <c r="AD38" i="19"/>
  <c r="AC38" i="19"/>
  <c r="AB38" i="19"/>
  <c r="AA38" i="19"/>
  <c r="Z38" i="19"/>
  <c r="Y38" i="19"/>
  <c r="X38" i="19"/>
  <c r="W38" i="19"/>
  <c r="V38" i="19"/>
  <c r="U38" i="19"/>
  <c r="R38" i="19"/>
  <c r="P38" i="19"/>
  <c r="O38" i="19"/>
  <c r="N38" i="19"/>
  <c r="C38" i="19"/>
  <c r="AD37" i="19"/>
  <c r="AC37" i="19"/>
  <c r="AB37" i="19"/>
  <c r="AA37" i="19"/>
  <c r="Z37" i="19"/>
  <c r="Y37" i="19"/>
  <c r="X37" i="19"/>
  <c r="W37" i="19"/>
  <c r="V37" i="19"/>
  <c r="U37" i="19"/>
  <c r="R37" i="19"/>
  <c r="P37" i="19"/>
  <c r="O37" i="19"/>
  <c r="N37" i="19"/>
  <c r="C37" i="19"/>
  <c r="AD36" i="19"/>
  <c r="AC36" i="19"/>
  <c r="AB36" i="19"/>
  <c r="AA36" i="19"/>
  <c r="Z36" i="19"/>
  <c r="Y36" i="19"/>
  <c r="X36" i="19"/>
  <c r="W36" i="19"/>
  <c r="V36" i="19"/>
  <c r="U36" i="19"/>
  <c r="R36" i="19"/>
  <c r="P36" i="19"/>
  <c r="O36" i="19"/>
  <c r="N36" i="19"/>
  <c r="C36" i="19"/>
  <c r="AD35" i="19"/>
  <c r="AC35" i="19"/>
  <c r="AB35" i="19"/>
  <c r="AA35" i="19"/>
  <c r="Z35" i="19"/>
  <c r="Y35" i="19"/>
  <c r="X35" i="19"/>
  <c r="W35" i="19"/>
  <c r="V35" i="19"/>
  <c r="U35" i="19"/>
  <c r="R35" i="19"/>
  <c r="P35" i="19"/>
  <c r="O35" i="19"/>
  <c r="N35" i="19"/>
  <c r="C35" i="19"/>
  <c r="AD34" i="19"/>
  <c r="AC34" i="19"/>
  <c r="AB34" i="19"/>
  <c r="AA34" i="19"/>
  <c r="Z34" i="19"/>
  <c r="Y34" i="19"/>
  <c r="X34" i="19"/>
  <c r="W34" i="19"/>
  <c r="V34" i="19"/>
  <c r="U34" i="19"/>
  <c r="R34" i="19"/>
  <c r="P34" i="19"/>
  <c r="O34" i="19"/>
  <c r="N34" i="19"/>
  <c r="C34" i="19"/>
  <c r="AD33" i="19"/>
  <c r="AC33" i="19"/>
  <c r="AB33" i="19"/>
  <c r="AA33" i="19"/>
  <c r="Z33" i="19"/>
  <c r="Y33" i="19"/>
  <c r="X33" i="19"/>
  <c r="W33" i="19"/>
  <c r="V33" i="19"/>
  <c r="U33" i="19"/>
  <c r="R33" i="19"/>
  <c r="P33" i="19"/>
  <c r="O33" i="19"/>
  <c r="N33" i="19"/>
  <c r="C33" i="19"/>
  <c r="AD32" i="19"/>
  <c r="AC32" i="19"/>
  <c r="AB32" i="19"/>
  <c r="AA32" i="19"/>
  <c r="Z32" i="19"/>
  <c r="Y32" i="19"/>
  <c r="X32" i="19"/>
  <c r="W32" i="19"/>
  <c r="V32" i="19"/>
  <c r="U32" i="19"/>
  <c r="R32" i="19"/>
  <c r="P32" i="19"/>
  <c r="O32" i="19"/>
  <c r="N32" i="19"/>
  <c r="C32" i="19"/>
  <c r="AD31" i="19"/>
  <c r="AC31" i="19"/>
  <c r="AB31" i="19"/>
  <c r="AA31" i="19"/>
  <c r="Z31" i="19"/>
  <c r="Y31" i="19"/>
  <c r="X31" i="19"/>
  <c r="W31" i="19"/>
  <c r="V31" i="19"/>
  <c r="U31" i="19"/>
  <c r="R31" i="19"/>
  <c r="P31" i="19"/>
  <c r="O31" i="19"/>
  <c r="N31" i="19"/>
  <c r="C31" i="19"/>
  <c r="AD30" i="19"/>
  <c r="AC30" i="19"/>
  <c r="AB30" i="19"/>
  <c r="AA30" i="19"/>
  <c r="Z30" i="19"/>
  <c r="Y30" i="19"/>
  <c r="X30" i="19"/>
  <c r="W30" i="19"/>
  <c r="V30" i="19"/>
  <c r="U30" i="19"/>
  <c r="R30" i="19"/>
  <c r="P30" i="19"/>
  <c r="O30" i="19"/>
  <c r="N30" i="19"/>
  <c r="C30" i="19"/>
  <c r="AD29" i="19"/>
  <c r="AC29" i="19"/>
  <c r="AB29" i="19"/>
  <c r="AA29" i="19"/>
  <c r="Z29" i="19"/>
  <c r="Y29" i="19"/>
  <c r="X29" i="19"/>
  <c r="W29" i="19"/>
  <c r="V29" i="19"/>
  <c r="U29" i="19"/>
  <c r="R29" i="19"/>
  <c r="P29" i="19"/>
  <c r="O29" i="19"/>
  <c r="N29" i="19"/>
  <c r="C29" i="19"/>
  <c r="AD28" i="19"/>
  <c r="AC28" i="19"/>
  <c r="AB28" i="19"/>
  <c r="AA28" i="19"/>
  <c r="Z28" i="19"/>
  <c r="Y28" i="19"/>
  <c r="X28" i="19"/>
  <c r="W28" i="19"/>
  <c r="V28" i="19"/>
  <c r="U28" i="19"/>
  <c r="R28" i="19"/>
  <c r="P28" i="19"/>
  <c r="O28" i="19"/>
  <c r="N28" i="19"/>
  <c r="C28" i="19"/>
  <c r="AD27" i="19"/>
  <c r="AC27" i="19"/>
  <c r="AB27" i="19"/>
  <c r="AA27" i="19"/>
  <c r="Z27" i="19"/>
  <c r="Y27" i="19"/>
  <c r="X27" i="19"/>
  <c r="W27" i="19"/>
  <c r="V27" i="19"/>
  <c r="U27" i="19"/>
  <c r="R27" i="19"/>
  <c r="P27" i="19"/>
  <c r="O27" i="19"/>
  <c r="N27" i="19"/>
  <c r="C27" i="19"/>
  <c r="AD26" i="19"/>
  <c r="AC26" i="19"/>
  <c r="AB26" i="19"/>
  <c r="AA26" i="19"/>
  <c r="Z26" i="19"/>
  <c r="Y26" i="19"/>
  <c r="X26" i="19"/>
  <c r="W26" i="19"/>
  <c r="V26" i="19"/>
  <c r="U26" i="19"/>
  <c r="R26" i="19"/>
  <c r="P26" i="19"/>
  <c r="O26" i="19"/>
  <c r="N26" i="19"/>
  <c r="C26" i="19"/>
  <c r="AD25" i="19"/>
  <c r="AC25" i="19"/>
  <c r="AB25" i="19"/>
  <c r="AA25" i="19"/>
  <c r="Z25" i="19"/>
  <c r="Y25" i="19"/>
  <c r="X25" i="19"/>
  <c r="W25" i="19"/>
  <c r="V25" i="19"/>
  <c r="U25" i="19"/>
  <c r="R25" i="19"/>
  <c r="P25" i="19"/>
  <c r="O25" i="19"/>
  <c r="N25" i="19"/>
  <c r="C25" i="19"/>
  <c r="AD24" i="19"/>
  <c r="AC24" i="19"/>
  <c r="AB24" i="19"/>
  <c r="AA24" i="19"/>
  <c r="Z24" i="19"/>
  <c r="Y24" i="19"/>
  <c r="X24" i="19"/>
  <c r="W24" i="19"/>
  <c r="V24" i="19"/>
  <c r="U24" i="19"/>
  <c r="R24" i="19"/>
  <c r="P24" i="19"/>
  <c r="O24" i="19"/>
  <c r="N24" i="19"/>
  <c r="C24" i="19"/>
  <c r="AD23" i="19"/>
  <c r="AC23" i="19"/>
  <c r="AB23" i="19"/>
  <c r="AA23" i="19"/>
  <c r="Z23" i="19"/>
  <c r="Y23" i="19"/>
  <c r="X23" i="19"/>
  <c r="W23" i="19"/>
  <c r="V23" i="19"/>
  <c r="U23" i="19"/>
  <c r="R23" i="19"/>
  <c r="P23" i="19"/>
  <c r="O23" i="19"/>
  <c r="N23" i="19"/>
  <c r="AD22" i="19"/>
  <c r="AC22" i="19"/>
  <c r="AB22" i="19"/>
  <c r="AA22" i="19"/>
  <c r="Z22" i="19"/>
  <c r="Y22" i="19"/>
  <c r="X22" i="19"/>
  <c r="W22" i="19"/>
  <c r="V22" i="19"/>
  <c r="U22" i="19"/>
  <c r="R22" i="19"/>
  <c r="P22" i="19"/>
  <c r="O22" i="19"/>
  <c r="N22" i="19"/>
  <c r="C22" i="19"/>
  <c r="AD21" i="19"/>
  <c r="AC21" i="19"/>
  <c r="AB21" i="19"/>
  <c r="AA21" i="19"/>
  <c r="Z21" i="19"/>
  <c r="Y21" i="19"/>
  <c r="X21" i="19"/>
  <c r="W21" i="19"/>
  <c r="V21" i="19"/>
  <c r="U21" i="19"/>
  <c r="R21" i="19"/>
  <c r="P21" i="19"/>
  <c r="O21" i="19"/>
  <c r="N21" i="19"/>
  <c r="C21" i="19"/>
  <c r="AD20" i="19"/>
  <c r="AC20" i="19"/>
  <c r="AB20" i="19"/>
  <c r="AA20" i="19"/>
  <c r="Z20" i="19"/>
  <c r="Y20" i="19"/>
  <c r="X20" i="19"/>
  <c r="W20" i="19"/>
  <c r="V20" i="19"/>
  <c r="U20" i="19"/>
  <c r="R20" i="19"/>
  <c r="P20" i="19"/>
  <c r="O20" i="19"/>
  <c r="N20" i="19"/>
  <c r="C20" i="19"/>
  <c r="AD19" i="19"/>
  <c r="AC19" i="19"/>
  <c r="AB19" i="19"/>
  <c r="AA19" i="19"/>
  <c r="Z19" i="19"/>
  <c r="Y19" i="19"/>
  <c r="X19" i="19"/>
  <c r="W19" i="19"/>
  <c r="V19" i="19"/>
  <c r="U19" i="19"/>
  <c r="R19" i="19"/>
  <c r="P19" i="19"/>
  <c r="O19" i="19"/>
  <c r="N19" i="19"/>
  <c r="C19" i="19"/>
  <c r="AD18" i="19"/>
  <c r="AC18" i="19"/>
  <c r="AB18" i="19"/>
  <c r="AA18" i="19"/>
  <c r="Z18" i="19"/>
  <c r="Y18" i="19"/>
  <c r="X18" i="19"/>
  <c r="W18" i="19"/>
  <c r="V18" i="19"/>
  <c r="U18" i="19"/>
  <c r="R18" i="19"/>
  <c r="P18" i="19"/>
  <c r="O18" i="19"/>
  <c r="N18" i="19"/>
  <c r="C18" i="19"/>
  <c r="AD17" i="19"/>
  <c r="AC17" i="19"/>
  <c r="AB17" i="19"/>
  <c r="AA17" i="19"/>
  <c r="Z17" i="19"/>
  <c r="Y17" i="19"/>
  <c r="X17" i="19"/>
  <c r="W17" i="19"/>
  <c r="V17" i="19"/>
  <c r="U17" i="19"/>
  <c r="R17" i="19"/>
  <c r="P17" i="19"/>
  <c r="O17" i="19"/>
  <c r="N17" i="19"/>
  <c r="C17" i="19"/>
  <c r="AD16" i="19"/>
  <c r="AC16" i="19"/>
  <c r="AB16" i="19"/>
  <c r="AA16" i="19"/>
  <c r="Z16" i="19"/>
  <c r="Y16" i="19"/>
  <c r="X16" i="19"/>
  <c r="W16" i="19"/>
  <c r="V16" i="19"/>
  <c r="U16" i="19"/>
  <c r="R16" i="19"/>
  <c r="P16" i="19"/>
  <c r="O16" i="19"/>
  <c r="N16" i="19"/>
  <c r="C16" i="19"/>
  <c r="AD15" i="19"/>
  <c r="AC15" i="19"/>
  <c r="AB15" i="19"/>
  <c r="AA15" i="19"/>
  <c r="Z15" i="19"/>
  <c r="Y15" i="19"/>
  <c r="X15" i="19"/>
  <c r="W15" i="19"/>
  <c r="V15" i="19"/>
  <c r="U15" i="19"/>
  <c r="R15" i="19"/>
  <c r="P15" i="19"/>
  <c r="O15" i="19"/>
  <c r="N15" i="19"/>
  <c r="C15" i="19"/>
  <c r="AD14" i="19"/>
  <c r="AC14" i="19"/>
  <c r="AB14" i="19"/>
  <c r="AA14" i="19"/>
  <c r="Z14" i="19"/>
  <c r="Y14" i="19"/>
  <c r="X14" i="19"/>
  <c r="W14" i="19"/>
  <c r="V14" i="19"/>
  <c r="U14" i="19"/>
  <c r="R14" i="19"/>
  <c r="P14" i="19"/>
  <c r="O14" i="19"/>
  <c r="N14" i="19"/>
  <c r="AD13" i="19"/>
  <c r="AC13" i="19"/>
  <c r="AB13" i="19"/>
  <c r="AA13" i="19"/>
  <c r="Z13" i="19"/>
  <c r="Y13" i="19"/>
  <c r="X13" i="19"/>
  <c r="W13" i="19"/>
  <c r="V13" i="19"/>
  <c r="U13" i="19"/>
  <c r="R13" i="19"/>
  <c r="P13" i="19"/>
  <c r="O13" i="19"/>
  <c r="N13" i="19"/>
  <c r="C13" i="19"/>
  <c r="AD12" i="19"/>
  <c r="AC12" i="19"/>
  <c r="AB12" i="19"/>
  <c r="AA12" i="19"/>
  <c r="Z12" i="19"/>
  <c r="Y12" i="19"/>
  <c r="X12" i="19"/>
  <c r="W12" i="19"/>
  <c r="V12" i="19"/>
  <c r="U12" i="19"/>
  <c r="R12" i="19"/>
  <c r="P12" i="19"/>
  <c r="O12" i="19"/>
  <c r="N12" i="19"/>
  <c r="C12" i="19"/>
  <c r="AD11" i="19"/>
  <c r="AC11" i="19"/>
  <c r="AB11" i="19"/>
  <c r="AA11" i="19"/>
  <c r="Z11" i="19"/>
  <c r="Y11" i="19"/>
  <c r="X11" i="19"/>
  <c r="W11" i="19"/>
  <c r="V11" i="19"/>
  <c r="U11" i="19"/>
  <c r="R11" i="19"/>
  <c r="P11" i="19"/>
  <c r="O11" i="19"/>
  <c r="N11" i="19"/>
  <c r="C11" i="19"/>
  <c r="AD10" i="19"/>
  <c r="AC10" i="19"/>
  <c r="AB10" i="19"/>
  <c r="AA10" i="19"/>
  <c r="Z10" i="19"/>
  <c r="Y10" i="19"/>
  <c r="X10" i="19"/>
  <c r="W10" i="19"/>
  <c r="V10" i="19"/>
  <c r="U10" i="19"/>
  <c r="R10" i="19"/>
  <c r="P10" i="19"/>
  <c r="O10" i="19"/>
  <c r="N10" i="19"/>
  <c r="C10" i="19"/>
  <c r="AD9" i="19"/>
  <c r="AC9" i="19"/>
  <c r="AB9" i="19"/>
  <c r="AA9" i="19"/>
  <c r="Z9" i="19"/>
  <c r="Y9" i="19"/>
  <c r="X9" i="19"/>
  <c r="W9" i="19"/>
  <c r="V9" i="19"/>
  <c r="U9" i="19"/>
  <c r="R9" i="19"/>
  <c r="P9" i="19"/>
  <c r="O9" i="19"/>
  <c r="N9" i="19"/>
  <c r="C9" i="19"/>
  <c r="AD8" i="19"/>
  <c r="AC8" i="19"/>
  <c r="AB8" i="19"/>
  <c r="AA8" i="19"/>
  <c r="Z8" i="19"/>
  <c r="Y8" i="19"/>
  <c r="X8" i="19"/>
  <c r="W8" i="19"/>
  <c r="V8" i="19"/>
  <c r="U8" i="19"/>
  <c r="R8" i="19"/>
  <c r="P8" i="19"/>
  <c r="O8" i="19"/>
  <c r="N8" i="19"/>
  <c r="C8" i="19"/>
  <c r="M7" i="19"/>
  <c r="L7" i="19"/>
  <c r="K7" i="19"/>
  <c r="J7" i="19"/>
  <c r="I7" i="19"/>
  <c r="H7" i="19"/>
  <c r="G7" i="19"/>
  <c r="F7" i="19"/>
  <c r="E7" i="19"/>
  <c r="D7" i="19"/>
  <c r="M6" i="19"/>
  <c r="L6" i="19"/>
  <c r="K6" i="19"/>
  <c r="J6" i="19"/>
  <c r="I6" i="19"/>
  <c r="H6" i="19"/>
  <c r="G6" i="19"/>
  <c r="F6" i="19"/>
  <c r="E6" i="19"/>
  <c r="D6" i="19"/>
  <c r="C6" i="19"/>
  <c r="O4" i="19"/>
  <c r="O3" i="19"/>
  <c r="J260" i="18"/>
  <c r="J259" i="18"/>
  <c r="J258" i="18"/>
  <c r="N241" i="18"/>
  <c r="R240" i="18"/>
  <c r="P240" i="18"/>
  <c r="O240" i="18"/>
  <c r="M240" i="18"/>
  <c r="L240" i="18"/>
  <c r="K240" i="18"/>
  <c r="J240" i="18"/>
  <c r="I240" i="18"/>
  <c r="H240" i="18"/>
  <c r="G240" i="18"/>
  <c r="F240" i="18"/>
  <c r="E240" i="18"/>
  <c r="D240" i="18"/>
  <c r="AD239" i="18"/>
  <c r="AC239" i="18"/>
  <c r="AB239" i="18"/>
  <c r="AA239" i="18"/>
  <c r="Z239" i="18"/>
  <c r="Y239" i="18"/>
  <c r="X239" i="18"/>
  <c r="W239" i="18"/>
  <c r="V239" i="18"/>
  <c r="U239" i="18"/>
  <c r="R239" i="18"/>
  <c r="P239" i="18"/>
  <c r="O239" i="18"/>
  <c r="M239" i="18"/>
  <c r="L239" i="18"/>
  <c r="K239" i="18"/>
  <c r="J239" i="18"/>
  <c r="I239" i="18"/>
  <c r="H239" i="18"/>
  <c r="G239" i="18"/>
  <c r="F239" i="18"/>
  <c r="E239" i="18"/>
  <c r="D239" i="18"/>
  <c r="AD238" i="18"/>
  <c r="AC238" i="18"/>
  <c r="AB238" i="18"/>
  <c r="AA238" i="18"/>
  <c r="Z238" i="18"/>
  <c r="Y238" i="18"/>
  <c r="X238" i="18"/>
  <c r="W238" i="18"/>
  <c r="V238" i="18"/>
  <c r="U238" i="18"/>
  <c r="R238" i="18"/>
  <c r="P238" i="18"/>
  <c r="O238" i="18"/>
  <c r="N238" i="18"/>
  <c r="AD237" i="18"/>
  <c r="AC237" i="18"/>
  <c r="AB237" i="18"/>
  <c r="AA237" i="18"/>
  <c r="Z237" i="18"/>
  <c r="Y237" i="18"/>
  <c r="X237" i="18"/>
  <c r="W237" i="18"/>
  <c r="V237" i="18"/>
  <c r="U237" i="18"/>
  <c r="R237" i="18"/>
  <c r="P237" i="18"/>
  <c r="O237" i="18"/>
  <c r="N237" i="18"/>
  <c r="AD236" i="18"/>
  <c r="AC236" i="18"/>
  <c r="AB236" i="18"/>
  <c r="AA236" i="18"/>
  <c r="Z236" i="18"/>
  <c r="Y236" i="18"/>
  <c r="X236" i="18"/>
  <c r="W236" i="18"/>
  <c r="V236" i="18"/>
  <c r="U236" i="18"/>
  <c r="R236" i="18"/>
  <c r="P236" i="18"/>
  <c r="O236" i="18"/>
  <c r="N236" i="18"/>
  <c r="AD235" i="18"/>
  <c r="AC235" i="18"/>
  <c r="AB235" i="18"/>
  <c r="AA235" i="18"/>
  <c r="Z235" i="18"/>
  <c r="Y235" i="18"/>
  <c r="X235" i="18"/>
  <c r="W235" i="18"/>
  <c r="V235" i="18"/>
  <c r="U235" i="18"/>
  <c r="R235" i="18"/>
  <c r="P235" i="18"/>
  <c r="O235" i="18"/>
  <c r="N235" i="18"/>
  <c r="AD234" i="18"/>
  <c r="AC234" i="18"/>
  <c r="AB234" i="18"/>
  <c r="AA234" i="18"/>
  <c r="Z234" i="18"/>
  <c r="Y234" i="18"/>
  <c r="X234" i="18"/>
  <c r="W234" i="18"/>
  <c r="V234" i="18"/>
  <c r="U234" i="18"/>
  <c r="R234" i="18"/>
  <c r="P234" i="18"/>
  <c r="O234" i="18"/>
  <c r="N234" i="18"/>
  <c r="AD233" i="18"/>
  <c r="AC233" i="18"/>
  <c r="AB233" i="18"/>
  <c r="AA233" i="18"/>
  <c r="Z233" i="18"/>
  <c r="Y233" i="18"/>
  <c r="X233" i="18"/>
  <c r="W233" i="18"/>
  <c r="V233" i="18"/>
  <c r="U233" i="18"/>
  <c r="R233" i="18"/>
  <c r="P233" i="18"/>
  <c r="O233" i="18"/>
  <c r="N233" i="18"/>
  <c r="AD232" i="18"/>
  <c r="AC232" i="18"/>
  <c r="AB232" i="18"/>
  <c r="AA232" i="18"/>
  <c r="Z232" i="18"/>
  <c r="Y232" i="18"/>
  <c r="X232" i="18"/>
  <c r="W232" i="18"/>
  <c r="V232" i="18"/>
  <c r="U232" i="18"/>
  <c r="R232" i="18"/>
  <c r="P232" i="18"/>
  <c r="O232" i="18"/>
  <c r="N232" i="18"/>
  <c r="AD231" i="18"/>
  <c r="AC231" i="18"/>
  <c r="AB231" i="18"/>
  <c r="AA231" i="18"/>
  <c r="Z231" i="18"/>
  <c r="Y231" i="18"/>
  <c r="X231" i="18"/>
  <c r="W231" i="18"/>
  <c r="V231" i="18"/>
  <c r="U231" i="18"/>
  <c r="R231" i="18"/>
  <c r="P231" i="18"/>
  <c r="O231" i="18"/>
  <c r="N231" i="18"/>
  <c r="AD230" i="18"/>
  <c r="AC230" i="18"/>
  <c r="AB230" i="18"/>
  <c r="AA230" i="18"/>
  <c r="Z230" i="18"/>
  <c r="Y230" i="18"/>
  <c r="X230" i="18"/>
  <c r="W230" i="18"/>
  <c r="V230" i="18"/>
  <c r="U230" i="18"/>
  <c r="R230" i="18"/>
  <c r="P230" i="18"/>
  <c r="O230" i="18"/>
  <c r="N230" i="18"/>
  <c r="AD229" i="18"/>
  <c r="AC229" i="18"/>
  <c r="AB229" i="18"/>
  <c r="AA229" i="18"/>
  <c r="Z229" i="18"/>
  <c r="Y229" i="18"/>
  <c r="X229" i="18"/>
  <c r="W229" i="18"/>
  <c r="V229" i="18"/>
  <c r="U229" i="18"/>
  <c r="R229" i="18"/>
  <c r="P229" i="18"/>
  <c r="O229" i="18"/>
  <c r="N229" i="18"/>
  <c r="AD228" i="18"/>
  <c r="AC228" i="18"/>
  <c r="AB228" i="18"/>
  <c r="AA228" i="18"/>
  <c r="Z228" i="18"/>
  <c r="Y228" i="18"/>
  <c r="X228" i="18"/>
  <c r="W228" i="18"/>
  <c r="V228" i="18"/>
  <c r="U228" i="18"/>
  <c r="R228" i="18"/>
  <c r="P228" i="18"/>
  <c r="O228" i="18"/>
  <c r="N228" i="18"/>
  <c r="AD227" i="18"/>
  <c r="AC227" i="18"/>
  <c r="AB227" i="18"/>
  <c r="AA227" i="18"/>
  <c r="Z227" i="18"/>
  <c r="Y227" i="18"/>
  <c r="X227" i="18"/>
  <c r="W227" i="18"/>
  <c r="V227" i="18"/>
  <c r="U227" i="18"/>
  <c r="R227" i="18"/>
  <c r="P227" i="18"/>
  <c r="O227" i="18"/>
  <c r="N227" i="18"/>
  <c r="AD226" i="18"/>
  <c r="AC226" i="18"/>
  <c r="AB226" i="18"/>
  <c r="AA226" i="18"/>
  <c r="Z226" i="18"/>
  <c r="Y226" i="18"/>
  <c r="X226" i="18"/>
  <c r="W226" i="18"/>
  <c r="V226" i="18"/>
  <c r="U226" i="18"/>
  <c r="R226" i="18"/>
  <c r="P226" i="18"/>
  <c r="O226" i="18"/>
  <c r="N226" i="18"/>
  <c r="AD225" i="18"/>
  <c r="AC225" i="18"/>
  <c r="AB225" i="18"/>
  <c r="AA225" i="18"/>
  <c r="Z225" i="18"/>
  <c r="Y225" i="18"/>
  <c r="X225" i="18"/>
  <c r="W225" i="18"/>
  <c r="V225" i="18"/>
  <c r="U225" i="18"/>
  <c r="R225" i="18"/>
  <c r="P225" i="18"/>
  <c r="O225" i="18"/>
  <c r="N225" i="18"/>
  <c r="C225" i="18"/>
  <c r="AD224" i="18"/>
  <c r="AC224" i="18"/>
  <c r="AB224" i="18"/>
  <c r="AA224" i="18"/>
  <c r="Z224" i="18"/>
  <c r="Y224" i="18"/>
  <c r="X224" i="18"/>
  <c r="W224" i="18"/>
  <c r="V224" i="18"/>
  <c r="U224" i="18"/>
  <c r="R224" i="18"/>
  <c r="P224" i="18"/>
  <c r="O224" i="18"/>
  <c r="N224" i="18"/>
  <c r="C224" i="18"/>
  <c r="AD223" i="18"/>
  <c r="AC223" i="18"/>
  <c r="AB223" i="18"/>
  <c r="AA223" i="18"/>
  <c r="Z223" i="18"/>
  <c r="Y223" i="18"/>
  <c r="X223" i="18"/>
  <c r="W223" i="18"/>
  <c r="V223" i="18"/>
  <c r="U223" i="18"/>
  <c r="R223" i="18"/>
  <c r="P223" i="18"/>
  <c r="O223" i="18"/>
  <c r="N223" i="18"/>
  <c r="C223" i="18"/>
  <c r="AD222" i="18"/>
  <c r="AC222" i="18"/>
  <c r="AB222" i="18"/>
  <c r="AA222" i="18"/>
  <c r="Z222" i="18"/>
  <c r="Y222" i="18"/>
  <c r="X222" i="18"/>
  <c r="W222" i="18"/>
  <c r="V222" i="18"/>
  <c r="U222" i="18"/>
  <c r="R222" i="18"/>
  <c r="P222" i="18"/>
  <c r="O222" i="18"/>
  <c r="N222" i="18"/>
  <c r="AD221" i="18"/>
  <c r="AC221" i="18"/>
  <c r="AB221" i="18"/>
  <c r="AA221" i="18"/>
  <c r="Z221" i="18"/>
  <c r="Y221" i="18"/>
  <c r="X221" i="18"/>
  <c r="W221" i="18"/>
  <c r="V221" i="18"/>
  <c r="U221" i="18"/>
  <c r="R221" i="18"/>
  <c r="P221" i="18"/>
  <c r="O221" i="18"/>
  <c r="N221" i="18"/>
  <c r="C221" i="18"/>
  <c r="AD220" i="18"/>
  <c r="AC220" i="18"/>
  <c r="AB220" i="18"/>
  <c r="AA220" i="18"/>
  <c r="Z220" i="18"/>
  <c r="Y220" i="18"/>
  <c r="X220" i="18"/>
  <c r="W220" i="18"/>
  <c r="V220" i="18"/>
  <c r="U220" i="18"/>
  <c r="R220" i="18"/>
  <c r="P220" i="18"/>
  <c r="O220" i="18"/>
  <c r="N220" i="18"/>
  <c r="C220" i="18"/>
  <c r="AD219" i="18"/>
  <c r="AC219" i="18"/>
  <c r="AB219" i="18"/>
  <c r="AA219" i="18"/>
  <c r="Z219" i="18"/>
  <c r="Y219" i="18"/>
  <c r="X219" i="18"/>
  <c r="W219" i="18"/>
  <c r="V219" i="18"/>
  <c r="U219" i="18"/>
  <c r="R219" i="18"/>
  <c r="P219" i="18"/>
  <c r="O219" i="18"/>
  <c r="N219" i="18"/>
  <c r="C219" i="18"/>
  <c r="AD218" i="18"/>
  <c r="AC218" i="18"/>
  <c r="AB218" i="18"/>
  <c r="AA218" i="18"/>
  <c r="Z218" i="18"/>
  <c r="Y218" i="18"/>
  <c r="X218" i="18"/>
  <c r="W218" i="18"/>
  <c r="V218" i="18"/>
  <c r="U218" i="18"/>
  <c r="R218" i="18"/>
  <c r="P218" i="18"/>
  <c r="O218" i="18"/>
  <c r="N218" i="18"/>
  <c r="AD217" i="18"/>
  <c r="AC217" i="18"/>
  <c r="AB217" i="18"/>
  <c r="AA217" i="18"/>
  <c r="Z217" i="18"/>
  <c r="Y217" i="18"/>
  <c r="X217" i="18"/>
  <c r="W217" i="18"/>
  <c r="V217" i="18"/>
  <c r="U217" i="18"/>
  <c r="R217" i="18"/>
  <c r="P217" i="18"/>
  <c r="O217" i="18"/>
  <c r="N217" i="18"/>
  <c r="C217" i="18"/>
  <c r="AD216" i="18"/>
  <c r="AC216" i="18"/>
  <c r="AB216" i="18"/>
  <c r="AA216" i="18"/>
  <c r="Z216" i="18"/>
  <c r="Y216" i="18"/>
  <c r="X216" i="18"/>
  <c r="W216" i="18"/>
  <c r="V216" i="18"/>
  <c r="U216" i="18"/>
  <c r="R216" i="18"/>
  <c r="P216" i="18"/>
  <c r="O216" i="18"/>
  <c r="N216" i="18"/>
  <c r="C216" i="18"/>
  <c r="AD215" i="18"/>
  <c r="AC215" i="18"/>
  <c r="AB215" i="18"/>
  <c r="AA215" i="18"/>
  <c r="Z215" i="18"/>
  <c r="Y215" i="18"/>
  <c r="X215" i="18"/>
  <c r="W215" i="18"/>
  <c r="V215" i="18"/>
  <c r="U215" i="18"/>
  <c r="R215" i="18"/>
  <c r="P215" i="18"/>
  <c r="O215" i="18"/>
  <c r="N215" i="18"/>
  <c r="AD214" i="18"/>
  <c r="AC214" i="18"/>
  <c r="AB214" i="18"/>
  <c r="AA214" i="18"/>
  <c r="Z214" i="18"/>
  <c r="Y214" i="18"/>
  <c r="X214" i="18"/>
  <c r="W214" i="18"/>
  <c r="V214" i="18"/>
  <c r="U214" i="18"/>
  <c r="R214" i="18"/>
  <c r="P214" i="18"/>
  <c r="O214" i="18"/>
  <c r="N214" i="18"/>
  <c r="C214" i="18"/>
  <c r="AD213" i="18"/>
  <c r="AC213" i="18"/>
  <c r="AB213" i="18"/>
  <c r="AA213" i="18"/>
  <c r="Z213" i="18"/>
  <c r="Y213" i="18"/>
  <c r="X213" i="18"/>
  <c r="W213" i="18"/>
  <c r="V213" i="18"/>
  <c r="U213" i="18"/>
  <c r="R213" i="18"/>
  <c r="P213" i="18"/>
  <c r="O213" i="18"/>
  <c r="N213" i="18"/>
  <c r="C213" i="18"/>
  <c r="AD212" i="18"/>
  <c r="AC212" i="18"/>
  <c r="AB212" i="18"/>
  <c r="AA212" i="18"/>
  <c r="Z212" i="18"/>
  <c r="Y212" i="18"/>
  <c r="X212" i="18"/>
  <c r="W212" i="18"/>
  <c r="V212" i="18"/>
  <c r="U212" i="18"/>
  <c r="R212" i="18"/>
  <c r="P212" i="18"/>
  <c r="O212" i="18"/>
  <c r="N212" i="18"/>
  <c r="C212" i="18"/>
  <c r="AD211" i="18"/>
  <c r="AC211" i="18"/>
  <c r="AB211" i="18"/>
  <c r="AA211" i="18"/>
  <c r="Z211" i="18"/>
  <c r="Y211" i="18"/>
  <c r="X211" i="18"/>
  <c r="W211" i="18"/>
  <c r="V211" i="18"/>
  <c r="U211" i="18"/>
  <c r="R211" i="18"/>
  <c r="P211" i="18"/>
  <c r="O211" i="18"/>
  <c r="N211" i="18"/>
  <c r="AD210" i="18"/>
  <c r="AC210" i="18"/>
  <c r="AB210" i="18"/>
  <c r="AA210" i="18"/>
  <c r="Z210" i="18"/>
  <c r="Y210" i="18"/>
  <c r="X210" i="18"/>
  <c r="W210" i="18"/>
  <c r="V210" i="18"/>
  <c r="U210" i="18"/>
  <c r="R210" i="18"/>
  <c r="P210" i="18"/>
  <c r="O210" i="18"/>
  <c r="N210" i="18"/>
  <c r="C210" i="18"/>
  <c r="AD209" i="18"/>
  <c r="AC209" i="18"/>
  <c r="AB209" i="18"/>
  <c r="AA209" i="18"/>
  <c r="Z209" i="18"/>
  <c r="Y209" i="18"/>
  <c r="X209" i="18"/>
  <c r="W209" i="18"/>
  <c r="V209" i="18"/>
  <c r="U209" i="18"/>
  <c r="R209" i="18"/>
  <c r="P209" i="18"/>
  <c r="O209" i="18"/>
  <c r="N209" i="18"/>
  <c r="C209" i="18"/>
  <c r="AD208" i="18"/>
  <c r="AC208" i="18"/>
  <c r="AB208" i="18"/>
  <c r="AA208" i="18"/>
  <c r="Z208" i="18"/>
  <c r="Y208" i="18"/>
  <c r="X208" i="18"/>
  <c r="W208" i="18"/>
  <c r="V208" i="18"/>
  <c r="U208" i="18"/>
  <c r="R208" i="18"/>
  <c r="P208" i="18"/>
  <c r="O208" i="18"/>
  <c r="N208" i="18"/>
  <c r="C208" i="18"/>
  <c r="AD207" i="18"/>
  <c r="AC207" i="18"/>
  <c r="AB207" i="18"/>
  <c r="AA207" i="18"/>
  <c r="Z207" i="18"/>
  <c r="Y207" i="18"/>
  <c r="X207" i="18"/>
  <c r="W207" i="18"/>
  <c r="V207" i="18"/>
  <c r="U207" i="18"/>
  <c r="R207" i="18"/>
  <c r="P207" i="18"/>
  <c r="O207" i="18"/>
  <c r="N207" i="18"/>
  <c r="C207" i="18"/>
  <c r="AD206" i="18"/>
  <c r="AC206" i="18"/>
  <c r="AB206" i="18"/>
  <c r="AA206" i="18"/>
  <c r="Z206" i="18"/>
  <c r="Y206" i="18"/>
  <c r="X206" i="18"/>
  <c r="W206" i="18"/>
  <c r="V206" i="18"/>
  <c r="U206" i="18"/>
  <c r="R206" i="18"/>
  <c r="P206" i="18"/>
  <c r="O206" i="18"/>
  <c r="N206" i="18"/>
  <c r="AD205" i="18"/>
  <c r="AC205" i="18"/>
  <c r="AB205" i="18"/>
  <c r="AA205" i="18"/>
  <c r="Z205" i="18"/>
  <c r="Y205" i="18"/>
  <c r="X205" i="18"/>
  <c r="W205" i="18"/>
  <c r="V205" i="18"/>
  <c r="U205" i="18"/>
  <c r="R205" i="18"/>
  <c r="P205" i="18"/>
  <c r="O205" i="18"/>
  <c r="N205" i="18"/>
  <c r="C205" i="18"/>
  <c r="AD204" i="18"/>
  <c r="AC204" i="18"/>
  <c r="AB204" i="18"/>
  <c r="AA204" i="18"/>
  <c r="Z204" i="18"/>
  <c r="Y204" i="18"/>
  <c r="X204" i="18"/>
  <c r="W204" i="18"/>
  <c r="V204" i="18"/>
  <c r="U204" i="18"/>
  <c r="R204" i="18"/>
  <c r="P204" i="18"/>
  <c r="O204" i="18"/>
  <c r="N204" i="18"/>
  <c r="C204" i="18"/>
  <c r="AD203" i="18"/>
  <c r="AC203" i="18"/>
  <c r="AB203" i="18"/>
  <c r="AA203" i="18"/>
  <c r="Z203" i="18"/>
  <c r="Y203" i="18"/>
  <c r="X203" i="18"/>
  <c r="W203" i="18"/>
  <c r="V203" i="18"/>
  <c r="U203" i="18"/>
  <c r="R203" i="18"/>
  <c r="P203" i="18"/>
  <c r="O203" i="18"/>
  <c r="N203" i="18"/>
  <c r="C203" i="18"/>
  <c r="AD202" i="18"/>
  <c r="AC202" i="18"/>
  <c r="AB202" i="18"/>
  <c r="AA202" i="18"/>
  <c r="Z202" i="18"/>
  <c r="Y202" i="18"/>
  <c r="X202" i="18"/>
  <c r="W202" i="18"/>
  <c r="V202" i="18"/>
  <c r="U202" i="18"/>
  <c r="R202" i="18"/>
  <c r="P202" i="18"/>
  <c r="O202" i="18"/>
  <c r="N202" i="18"/>
  <c r="C202" i="18"/>
  <c r="AD201" i="18"/>
  <c r="AC201" i="18"/>
  <c r="AB201" i="18"/>
  <c r="AA201" i="18"/>
  <c r="Z201" i="18"/>
  <c r="Y201" i="18"/>
  <c r="X201" i="18"/>
  <c r="W201" i="18"/>
  <c r="V201" i="18"/>
  <c r="U201" i="18"/>
  <c r="R201" i="18"/>
  <c r="P201" i="18"/>
  <c r="O201" i="18"/>
  <c r="N201" i="18"/>
  <c r="C201" i="18"/>
  <c r="AD200" i="18"/>
  <c r="AC200" i="18"/>
  <c r="AB200" i="18"/>
  <c r="AA200" i="18"/>
  <c r="Z200" i="18"/>
  <c r="Y200" i="18"/>
  <c r="X200" i="18"/>
  <c r="W200" i="18"/>
  <c r="V200" i="18"/>
  <c r="U200" i="18"/>
  <c r="R200" i="18"/>
  <c r="P200" i="18"/>
  <c r="O200" i="18"/>
  <c r="N200" i="18"/>
  <c r="C200" i="18"/>
  <c r="AD199" i="18"/>
  <c r="AC199" i="18"/>
  <c r="AB199" i="18"/>
  <c r="AA199" i="18"/>
  <c r="Z199" i="18"/>
  <c r="Y199" i="18"/>
  <c r="X199" i="18"/>
  <c r="W199" i="18"/>
  <c r="V199" i="18"/>
  <c r="U199" i="18"/>
  <c r="R199" i="18"/>
  <c r="P199" i="18"/>
  <c r="O199" i="18"/>
  <c r="N199" i="18"/>
  <c r="C199" i="18"/>
  <c r="AD198" i="18"/>
  <c r="AC198" i="18"/>
  <c r="AB198" i="18"/>
  <c r="AA198" i="18"/>
  <c r="Z198" i="18"/>
  <c r="Y198" i="18"/>
  <c r="X198" i="18"/>
  <c r="W198" i="18"/>
  <c r="V198" i="18"/>
  <c r="U198" i="18"/>
  <c r="R198" i="18"/>
  <c r="P198" i="18"/>
  <c r="O198" i="18"/>
  <c r="N198" i="18"/>
  <c r="C198" i="18"/>
  <c r="AD197" i="18"/>
  <c r="AC197" i="18"/>
  <c r="AB197" i="18"/>
  <c r="AA197" i="18"/>
  <c r="Z197" i="18"/>
  <c r="Y197" i="18"/>
  <c r="X197" i="18"/>
  <c r="W197" i="18"/>
  <c r="V197" i="18"/>
  <c r="U197" i="18"/>
  <c r="R197" i="18"/>
  <c r="P197" i="18"/>
  <c r="O197" i="18"/>
  <c r="N197" i="18"/>
  <c r="C197" i="18"/>
  <c r="AD196" i="18"/>
  <c r="AC196" i="18"/>
  <c r="AB196" i="18"/>
  <c r="AA196" i="18"/>
  <c r="Z196" i="18"/>
  <c r="Y196" i="18"/>
  <c r="X196" i="18"/>
  <c r="W196" i="18"/>
  <c r="V196" i="18"/>
  <c r="U196" i="18"/>
  <c r="R196" i="18"/>
  <c r="P196" i="18"/>
  <c r="O196" i="18"/>
  <c r="N196" i="18"/>
  <c r="C196" i="18"/>
  <c r="AD195" i="18"/>
  <c r="AC195" i="18"/>
  <c r="AB195" i="18"/>
  <c r="AA195" i="18"/>
  <c r="Z195" i="18"/>
  <c r="Y195" i="18"/>
  <c r="X195" i="18"/>
  <c r="W195" i="18"/>
  <c r="V195" i="18"/>
  <c r="U195" i="18"/>
  <c r="R195" i="18"/>
  <c r="P195" i="18"/>
  <c r="O195" i="18"/>
  <c r="N195" i="18"/>
  <c r="C195" i="18"/>
  <c r="AD194" i="18"/>
  <c r="AC194" i="18"/>
  <c r="AB194" i="18"/>
  <c r="AA194" i="18"/>
  <c r="Z194" i="18"/>
  <c r="Y194" i="18"/>
  <c r="X194" i="18"/>
  <c r="W194" i="18"/>
  <c r="V194" i="18"/>
  <c r="U194" i="18"/>
  <c r="R194" i="18"/>
  <c r="P194" i="18"/>
  <c r="O194" i="18"/>
  <c r="N194" i="18"/>
  <c r="C194" i="18"/>
  <c r="AD193" i="18"/>
  <c r="AC193" i="18"/>
  <c r="AB193" i="18"/>
  <c r="AA193" i="18"/>
  <c r="Z193" i="18"/>
  <c r="Y193" i="18"/>
  <c r="X193" i="18"/>
  <c r="W193" i="18"/>
  <c r="V193" i="18"/>
  <c r="U193" i="18"/>
  <c r="R193" i="18"/>
  <c r="P193" i="18"/>
  <c r="O193" i="18"/>
  <c r="N193" i="18"/>
  <c r="AD192" i="18"/>
  <c r="AC192" i="18"/>
  <c r="AB192" i="18"/>
  <c r="AA192" i="18"/>
  <c r="Z192" i="18"/>
  <c r="Y192" i="18"/>
  <c r="X192" i="18"/>
  <c r="W192" i="18"/>
  <c r="V192" i="18"/>
  <c r="U192" i="18"/>
  <c r="R192" i="18"/>
  <c r="P192" i="18"/>
  <c r="O192" i="18"/>
  <c r="N192" i="18"/>
  <c r="C192" i="18"/>
  <c r="AD191" i="18"/>
  <c r="AC191" i="18"/>
  <c r="AB191" i="18"/>
  <c r="AA191" i="18"/>
  <c r="Z191" i="18"/>
  <c r="Y191" i="18"/>
  <c r="X191" i="18"/>
  <c r="W191" i="18"/>
  <c r="V191" i="18"/>
  <c r="U191" i="18"/>
  <c r="R191" i="18"/>
  <c r="P191" i="18"/>
  <c r="O191" i="18"/>
  <c r="N191" i="18"/>
  <c r="C191" i="18"/>
  <c r="AD190" i="18"/>
  <c r="AC190" i="18"/>
  <c r="AB190" i="18"/>
  <c r="AA190" i="18"/>
  <c r="Z190" i="18"/>
  <c r="Y190" i="18"/>
  <c r="X190" i="18"/>
  <c r="W190" i="18"/>
  <c r="V190" i="18"/>
  <c r="U190" i="18"/>
  <c r="R190" i="18"/>
  <c r="P190" i="18"/>
  <c r="O190" i="18"/>
  <c r="N190" i="18"/>
  <c r="C190" i="18"/>
  <c r="AD189" i="18"/>
  <c r="AC189" i="18"/>
  <c r="AB189" i="18"/>
  <c r="AA189" i="18"/>
  <c r="Z189" i="18"/>
  <c r="Y189" i="18"/>
  <c r="X189" i="18"/>
  <c r="W189" i="18"/>
  <c r="V189" i="18"/>
  <c r="U189" i="18"/>
  <c r="R189" i="18"/>
  <c r="P189" i="18"/>
  <c r="O189" i="18"/>
  <c r="N189" i="18"/>
  <c r="C189" i="18"/>
  <c r="AD188" i="18"/>
  <c r="AC188" i="18"/>
  <c r="AB188" i="18"/>
  <c r="AA188" i="18"/>
  <c r="Z188" i="18"/>
  <c r="Y188" i="18"/>
  <c r="X188" i="18"/>
  <c r="W188" i="18"/>
  <c r="V188" i="18"/>
  <c r="U188" i="18"/>
  <c r="R188" i="18"/>
  <c r="P188" i="18"/>
  <c r="O188" i="18"/>
  <c r="N188" i="18"/>
  <c r="C188" i="18"/>
  <c r="AD187" i="18"/>
  <c r="AC187" i="18"/>
  <c r="AB187" i="18"/>
  <c r="AA187" i="18"/>
  <c r="Z187" i="18"/>
  <c r="Y187" i="18"/>
  <c r="X187" i="18"/>
  <c r="W187" i="18"/>
  <c r="V187" i="18"/>
  <c r="U187" i="18"/>
  <c r="R187" i="18"/>
  <c r="P187" i="18"/>
  <c r="O187" i="18"/>
  <c r="N187" i="18"/>
  <c r="C187" i="18"/>
  <c r="AD186" i="18"/>
  <c r="AC186" i="18"/>
  <c r="AB186" i="18"/>
  <c r="AA186" i="18"/>
  <c r="Z186" i="18"/>
  <c r="Y186" i="18"/>
  <c r="X186" i="18"/>
  <c r="W186" i="18"/>
  <c r="V186" i="18"/>
  <c r="U186" i="18"/>
  <c r="R186" i="18"/>
  <c r="P186" i="18"/>
  <c r="O186" i="18"/>
  <c r="N186" i="18"/>
  <c r="C186" i="18"/>
  <c r="AD185" i="18"/>
  <c r="AC185" i="18"/>
  <c r="AB185" i="18"/>
  <c r="AA185" i="18"/>
  <c r="Z185" i="18"/>
  <c r="Y185" i="18"/>
  <c r="X185" i="18"/>
  <c r="W185" i="18"/>
  <c r="V185" i="18"/>
  <c r="U185" i="18"/>
  <c r="R185" i="18"/>
  <c r="P185" i="18"/>
  <c r="O185" i="18"/>
  <c r="N185" i="18"/>
  <c r="C185" i="18"/>
  <c r="AD184" i="18"/>
  <c r="AC184" i="18"/>
  <c r="AB184" i="18"/>
  <c r="AA184" i="18"/>
  <c r="Z184" i="18"/>
  <c r="Y184" i="18"/>
  <c r="X184" i="18"/>
  <c r="W184" i="18"/>
  <c r="V184" i="18"/>
  <c r="U184" i="18"/>
  <c r="R184" i="18"/>
  <c r="P184" i="18"/>
  <c r="O184" i="18"/>
  <c r="N184" i="18"/>
  <c r="C184" i="18"/>
  <c r="M183" i="18"/>
  <c r="L183" i="18"/>
  <c r="K183" i="18"/>
  <c r="J183" i="18"/>
  <c r="I183" i="18"/>
  <c r="H183" i="18"/>
  <c r="G183" i="18"/>
  <c r="F183" i="18"/>
  <c r="E183" i="18"/>
  <c r="D183" i="18"/>
  <c r="C183" i="18"/>
  <c r="AD181" i="18"/>
  <c r="AC181" i="18"/>
  <c r="AB181" i="18"/>
  <c r="AA181" i="18"/>
  <c r="Z181" i="18"/>
  <c r="Y181" i="18"/>
  <c r="X181" i="18"/>
  <c r="W181" i="18"/>
  <c r="V181" i="18"/>
  <c r="U181" i="18"/>
  <c r="R181" i="18"/>
  <c r="P181" i="18"/>
  <c r="O181" i="18"/>
  <c r="M181" i="18"/>
  <c r="L181" i="18"/>
  <c r="K181" i="18"/>
  <c r="J181" i="18"/>
  <c r="I181" i="18"/>
  <c r="H181" i="18"/>
  <c r="G181" i="18"/>
  <c r="F181" i="18"/>
  <c r="E181" i="18"/>
  <c r="D181" i="18"/>
  <c r="AD180" i="18"/>
  <c r="AC180" i="18"/>
  <c r="AB180" i="18"/>
  <c r="AA180" i="18"/>
  <c r="Z180" i="18"/>
  <c r="Y180" i="18"/>
  <c r="X180" i="18"/>
  <c r="W180" i="18"/>
  <c r="V180" i="18"/>
  <c r="U180" i="18"/>
  <c r="R180" i="18"/>
  <c r="P180" i="18"/>
  <c r="O180" i="18"/>
  <c r="N180" i="18"/>
  <c r="AD179" i="18"/>
  <c r="AC179" i="18"/>
  <c r="AB179" i="18"/>
  <c r="AA179" i="18"/>
  <c r="Z179" i="18"/>
  <c r="Y179" i="18"/>
  <c r="X179" i="18"/>
  <c r="W179" i="18"/>
  <c r="V179" i="18"/>
  <c r="U179" i="18"/>
  <c r="R179" i="18"/>
  <c r="P179" i="18"/>
  <c r="O179" i="18"/>
  <c r="N179" i="18"/>
  <c r="AD178" i="18"/>
  <c r="AC178" i="18"/>
  <c r="AB178" i="18"/>
  <c r="AA178" i="18"/>
  <c r="Z178" i="18"/>
  <c r="Y178" i="18"/>
  <c r="X178" i="18"/>
  <c r="W178" i="18"/>
  <c r="V178" i="18"/>
  <c r="U178" i="18"/>
  <c r="R178" i="18"/>
  <c r="P178" i="18"/>
  <c r="O178" i="18"/>
  <c r="N178" i="18"/>
  <c r="AD177" i="18"/>
  <c r="AC177" i="18"/>
  <c r="AB177" i="18"/>
  <c r="AA177" i="18"/>
  <c r="Z177" i="18"/>
  <c r="Y177" i="18"/>
  <c r="X177" i="18"/>
  <c r="W177" i="18"/>
  <c r="V177" i="18"/>
  <c r="U177" i="18"/>
  <c r="R177" i="18"/>
  <c r="P177" i="18"/>
  <c r="O177" i="18"/>
  <c r="N177" i="18"/>
  <c r="AD176" i="18"/>
  <c r="AC176" i="18"/>
  <c r="AB176" i="18"/>
  <c r="AA176" i="18"/>
  <c r="Z176" i="18"/>
  <c r="Y176" i="18"/>
  <c r="X176" i="18"/>
  <c r="W176" i="18"/>
  <c r="V176" i="18"/>
  <c r="U176" i="18"/>
  <c r="R176" i="18"/>
  <c r="P176" i="18"/>
  <c r="O176" i="18"/>
  <c r="N176" i="18"/>
  <c r="AD175" i="18"/>
  <c r="AC175" i="18"/>
  <c r="AB175" i="18"/>
  <c r="AA175" i="18"/>
  <c r="Z175" i="18"/>
  <c r="Y175" i="18"/>
  <c r="X175" i="18"/>
  <c r="W175" i="18"/>
  <c r="V175" i="18"/>
  <c r="U175" i="18"/>
  <c r="R175" i="18"/>
  <c r="P175" i="18"/>
  <c r="O175" i="18"/>
  <c r="N175" i="18"/>
  <c r="AD174" i="18"/>
  <c r="AC174" i="18"/>
  <c r="AB174" i="18"/>
  <c r="AA174" i="18"/>
  <c r="Z174" i="18"/>
  <c r="Y174" i="18"/>
  <c r="X174" i="18"/>
  <c r="W174" i="18"/>
  <c r="V174" i="18"/>
  <c r="U174" i="18"/>
  <c r="R174" i="18"/>
  <c r="P174" i="18"/>
  <c r="O174" i="18"/>
  <c r="N174" i="18"/>
  <c r="AD173" i="18"/>
  <c r="AC173" i="18"/>
  <c r="AB173" i="18"/>
  <c r="AA173" i="18"/>
  <c r="Z173" i="18"/>
  <c r="Y173" i="18"/>
  <c r="X173" i="18"/>
  <c r="W173" i="18"/>
  <c r="V173" i="18"/>
  <c r="U173" i="18"/>
  <c r="R173" i="18"/>
  <c r="P173" i="18"/>
  <c r="O173" i="18"/>
  <c r="N173" i="18"/>
  <c r="AD172" i="18"/>
  <c r="AC172" i="18"/>
  <c r="AB172" i="18"/>
  <c r="AA172" i="18"/>
  <c r="Z172" i="18"/>
  <c r="Y172" i="18"/>
  <c r="X172" i="18"/>
  <c r="W172" i="18"/>
  <c r="V172" i="18"/>
  <c r="U172" i="18"/>
  <c r="R172" i="18"/>
  <c r="P172" i="18"/>
  <c r="O172" i="18"/>
  <c r="N172" i="18"/>
  <c r="AD171" i="18"/>
  <c r="AC171" i="18"/>
  <c r="AB171" i="18"/>
  <c r="AA171" i="18"/>
  <c r="Z171" i="18"/>
  <c r="Y171" i="18"/>
  <c r="X171" i="18"/>
  <c r="W171" i="18"/>
  <c r="V171" i="18"/>
  <c r="U171" i="18"/>
  <c r="R171" i="18"/>
  <c r="P171" i="18"/>
  <c r="O171" i="18"/>
  <c r="N171" i="18"/>
  <c r="AD170" i="18"/>
  <c r="AC170" i="18"/>
  <c r="AB170" i="18"/>
  <c r="AA170" i="18"/>
  <c r="Z170" i="18"/>
  <c r="Y170" i="18"/>
  <c r="X170" i="18"/>
  <c r="W170" i="18"/>
  <c r="V170" i="18"/>
  <c r="U170" i="18"/>
  <c r="R170" i="18"/>
  <c r="P170" i="18"/>
  <c r="O170" i="18"/>
  <c r="N170" i="18"/>
  <c r="AD169" i="18"/>
  <c r="AC169" i="18"/>
  <c r="AB169" i="18"/>
  <c r="AA169" i="18"/>
  <c r="Z169" i="18"/>
  <c r="Y169" i="18"/>
  <c r="X169" i="18"/>
  <c r="W169" i="18"/>
  <c r="V169" i="18"/>
  <c r="U169" i="18"/>
  <c r="R169" i="18"/>
  <c r="P169" i="18"/>
  <c r="O169" i="18"/>
  <c r="N169" i="18"/>
  <c r="AD168" i="18"/>
  <c r="AC168" i="18"/>
  <c r="AB168" i="18"/>
  <c r="AA168" i="18"/>
  <c r="Z168" i="18"/>
  <c r="Y168" i="18"/>
  <c r="X168" i="18"/>
  <c r="W168" i="18"/>
  <c r="V168" i="18"/>
  <c r="U168" i="18"/>
  <c r="R168" i="18"/>
  <c r="P168" i="18"/>
  <c r="O168" i="18"/>
  <c r="N168" i="18"/>
  <c r="AD167" i="18"/>
  <c r="AC167" i="18"/>
  <c r="AB167" i="18"/>
  <c r="AA167" i="18"/>
  <c r="Z167" i="18"/>
  <c r="Y167" i="18"/>
  <c r="X167" i="18"/>
  <c r="W167" i="18"/>
  <c r="V167" i="18"/>
  <c r="U167" i="18"/>
  <c r="R167" i="18"/>
  <c r="P167" i="18"/>
  <c r="O167" i="18"/>
  <c r="N167" i="18"/>
  <c r="AD166" i="18"/>
  <c r="AC166" i="18"/>
  <c r="AB166" i="18"/>
  <c r="AA166" i="18"/>
  <c r="Z166" i="18"/>
  <c r="Y166" i="18"/>
  <c r="X166" i="18"/>
  <c r="W166" i="18"/>
  <c r="V166" i="18"/>
  <c r="U166" i="18"/>
  <c r="R166" i="18"/>
  <c r="P166" i="18"/>
  <c r="O166" i="18"/>
  <c r="N166" i="18"/>
  <c r="AD165" i="18"/>
  <c r="AC165" i="18"/>
  <c r="AB165" i="18"/>
  <c r="AA165" i="18"/>
  <c r="Z165" i="18"/>
  <c r="Y165" i="18"/>
  <c r="X165" i="18"/>
  <c r="W165" i="18"/>
  <c r="V165" i="18"/>
  <c r="U165" i="18"/>
  <c r="R165" i="18"/>
  <c r="P165" i="18"/>
  <c r="O165" i="18"/>
  <c r="N165" i="18"/>
  <c r="AD164" i="18"/>
  <c r="AC164" i="18"/>
  <c r="AB164" i="18"/>
  <c r="AA164" i="18"/>
  <c r="Z164" i="18"/>
  <c r="Y164" i="18"/>
  <c r="X164" i="18"/>
  <c r="W164" i="18"/>
  <c r="V164" i="18"/>
  <c r="U164" i="18"/>
  <c r="R164" i="18"/>
  <c r="P164" i="18"/>
  <c r="O164" i="18"/>
  <c r="N164" i="18"/>
  <c r="AD163" i="18"/>
  <c r="AC163" i="18"/>
  <c r="AB163" i="18"/>
  <c r="AA163" i="18"/>
  <c r="Z163" i="18"/>
  <c r="Y163" i="18"/>
  <c r="X163" i="18"/>
  <c r="W163" i="18"/>
  <c r="V163" i="18"/>
  <c r="U163" i="18"/>
  <c r="R163" i="18"/>
  <c r="P163" i="18"/>
  <c r="O163" i="18"/>
  <c r="N163" i="18"/>
  <c r="AD162" i="18"/>
  <c r="AC162" i="18"/>
  <c r="AB162" i="18"/>
  <c r="AA162" i="18"/>
  <c r="Z162" i="18"/>
  <c r="Y162" i="18"/>
  <c r="X162" i="18"/>
  <c r="W162" i="18"/>
  <c r="V162" i="18"/>
  <c r="U162" i="18"/>
  <c r="R162" i="18"/>
  <c r="P162" i="18"/>
  <c r="O162" i="18"/>
  <c r="N162" i="18"/>
  <c r="AD161" i="18"/>
  <c r="AC161" i="18"/>
  <c r="AB161" i="18"/>
  <c r="AA161" i="18"/>
  <c r="Z161" i="18"/>
  <c r="Y161" i="18"/>
  <c r="X161" i="18"/>
  <c r="W161" i="18"/>
  <c r="V161" i="18"/>
  <c r="U161" i="18"/>
  <c r="R161" i="18"/>
  <c r="P161" i="18"/>
  <c r="O161" i="18"/>
  <c r="N161" i="18"/>
  <c r="AD160" i="18"/>
  <c r="AC160" i="18"/>
  <c r="AB160" i="18"/>
  <c r="AA160" i="18"/>
  <c r="Z160" i="18"/>
  <c r="Y160" i="18"/>
  <c r="X160" i="18"/>
  <c r="W160" i="18"/>
  <c r="V160" i="18"/>
  <c r="U160" i="18"/>
  <c r="R160" i="18"/>
  <c r="P160" i="18"/>
  <c r="O160" i="18"/>
  <c r="N160" i="18"/>
  <c r="AD159" i="18"/>
  <c r="AC159" i="18"/>
  <c r="AB159" i="18"/>
  <c r="AA159" i="18"/>
  <c r="Z159" i="18"/>
  <c r="Y159" i="18"/>
  <c r="X159" i="18"/>
  <c r="W159" i="18"/>
  <c r="V159" i="18"/>
  <c r="U159" i="18"/>
  <c r="R159" i="18"/>
  <c r="P159" i="18"/>
  <c r="O159" i="18"/>
  <c r="N159" i="18"/>
  <c r="AD158" i="18"/>
  <c r="AC158" i="18"/>
  <c r="AB158" i="18"/>
  <c r="AA158" i="18"/>
  <c r="Z158" i="18"/>
  <c r="Y158" i="18"/>
  <c r="X158" i="18"/>
  <c r="W158" i="18"/>
  <c r="V158" i="18"/>
  <c r="U158" i="18"/>
  <c r="R158" i="18"/>
  <c r="P158" i="18"/>
  <c r="O158" i="18"/>
  <c r="N158" i="18"/>
  <c r="AD157" i="18"/>
  <c r="AC157" i="18"/>
  <c r="AB157" i="18"/>
  <c r="AA157" i="18"/>
  <c r="Z157" i="18"/>
  <c r="Y157" i="18"/>
  <c r="X157" i="18"/>
  <c r="W157" i="18"/>
  <c r="V157" i="18"/>
  <c r="U157" i="18"/>
  <c r="R157" i="18"/>
  <c r="P157" i="18"/>
  <c r="O157" i="18"/>
  <c r="N157" i="18"/>
  <c r="AD156" i="18"/>
  <c r="AC156" i="18"/>
  <c r="AB156" i="18"/>
  <c r="AA156" i="18"/>
  <c r="Z156" i="18"/>
  <c r="Y156" i="18"/>
  <c r="X156" i="18"/>
  <c r="W156" i="18"/>
  <c r="V156" i="18"/>
  <c r="U156" i="18"/>
  <c r="R156" i="18"/>
  <c r="P156" i="18"/>
  <c r="O156" i="18"/>
  <c r="N156" i="18"/>
  <c r="AD155" i="18"/>
  <c r="AC155" i="18"/>
  <c r="AB155" i="18"/>
  <c r="AA155" i="18"/>
  <c r="Z155" i="18"/>
  <c r="Y155" i="18"/>
  <c r="X155" i="18"/>
  <c r="W155" i="18"/>
  <c r="V155" i="18"/>
  <c r="U155" i="18"/>
  <c r="R155" i="18"/>
  <c r="P155" i="18"/>
  <c r="O155" i="18"/>
  <c r="N155" i="18"/>
  <c r="AD154" i="18"/>
  <c r="AC154" i="18"/>
  <c r="AB154" i="18"/>
  <c r="AA154" i="18"/>
  <c r="Z154" i="18"/>
  <c r="Y154" i="18"/>
  <c r="X154" i="18"/>
  <c r="W154" i="18"/>
  <c r="V154" i="18"/>
  <c r="U154" i="18"/>
  <c r="R154" i="18"/>
  <c r="P154" i="18"/>
  <c r="O154" i="18"/>
  <c r="N154" i="18"/>
  <c r="AD153" i="18"/>
  <c r="AC153" i="18"/>
  <c r="AB153" i="18"/>
  <c r="AA153" i="18"/>
  <c r="Z153" i="18"/>
  <c r="Y153" i="18"/>
  <c r="X153" i="18"/>
  <c r="W153" i="18"/>
  <c r="V153" i="18"/>
  <c r="U153" i="18"/>
  <c r="R153" i="18"/>
  <c r="P153" i="18"/>
  <c r="O153" i="18"/>
  <c r="N153" i="18"/>
  <c r="AD152" i="18"/>
  <c r="AC152" i="18"/>
  <c r="AB152" i="18"/>
  <c r="AA152" i="18"/>
  <c r="Z152" i="18"/>
  <c r="Y152" i="18"/>
  <c r="X152" i="18"/>
  <c r="W152" i="18"/>
  <c r="V152" i="18"/>
  <c r="U152" i="18"/>
  <c r="R152" i="18"/>
  <c r="P152" i="18"/>
  <c r="O152" i="18"/>
  <c r="N152" i="18"/>
  <c r="AD151" i="18"/>
  <c r="AC151" i="18"/>
  <c r="AB151" i="18"/>
  <c r="AA151" i="18"/>
  <c r="Z151" i="18"/>
  <c r="Y151" i="18"/>
  <c r="X151" i="18"/>
  <c r="W151" i="18"/>
  <c r="V151" i="18"/>
  <c r="U151" i="18"/>
  <c r="R151" i="18"/>
  <c r="P151" i="18"/>
  <c r="O151" i="18"/>
  <c r="N151" i="18"/>
  <c r="AD150" i="18"/>
  <c r="AC150" i="18"/>
  <c r="AB150" i="18"/>
  <c r="AA150" i="18"/>
  <c r="Z150" i="18"/>
  <c r="Y150" i="18"/>
  <c r="X150" i="18"/>
  <c r="W150" i="18"/>
  <c r="V150" i="18"/>
  <c r="U150" i="18"/>
  <c r="R150" i="18"/>
  <c r="P150" i="18"/>
  <c r="O150" i="18"/>
  <c r="N150" i="18"/>
  <c r="AD149" i="18"/>
  <c r="AC149" i="18"/>
  <c r="AB149" i="18"/>
  <c r="AA149" i="18"/>
  <c r="Z149" i="18"/>
  <c r="Y149" i="18"/>
  <c r="X149" i="18"/>
  <c r="W149" i="18"/>
  <c r="V149" i="18"/>
  <c r="U149" i="18"/>
  <c r="R149" i="18"/>
  <c r="P149" i="18"/>
  <c r="O149" i="18"/>
  <c r="N149" i="18"/>
  <c r="AD148" i="18"/>
  <c r="AC148" i="18"/>
  <c r="AB148" i="18"/>
  <c r="AA148" i="18"/>
  <c r="Z148" i="18"/>
  <c r="Y148" i="18"/>
  <c r="X148" i="18"/>
  <c r="W148" i="18"/>
  <c r="V148" i="18"/>
  <c r="U148" i="18"/>
  <c r="R148" i="18"/>
  <c r="P148" i="18"/>
  <c r="O148" i="18"/>
  <c r="N148" i="18"/>
  <c r="C148" i="18"/>
  <c r="AD147" i="18"/>
  <c r="AC147" i="18"/>
  <c r="AB147" i="18"/>
  <c r="AA147" i="18"/>
  <c r="Z147" i="18"/>
  <c r="Y147" i="18"/>
  <c r="X147" i="18"/>
  <c r="W147" i="18"/>
  <c r="V147" i="18"/>
  <c r="U147" i="18"/>
  <c r="R147" i="18"/>
  <c r="P147" i="18"/>
  <c r="O147" i="18"/>
  <c r="N147" i="18"/>
  <c r="C147" i="18"/>
  <c r="AD146" i="18"/>
  <c r="AC146" i="18"/>
  <c r="AB146" i="18"/>
  <c r="AA146" i="18"/>
  <c r="Z146" i="18"/>
  <c r="Y146" i="18"/>
  <c r="X146" i="18"/>
  <c r="W146" i="18"/>
  <c r="V146" i="18"/>
  <c r="U146" i="18"/>
  <c r="R146" i="18"/>
  <c r="P146" i="18"/>
  <c r="O146" i="18"/>
  <c r="N146" i="18"/>
  <c r="AD145" i="18"/>
  <c r="AC145" i="18"/>
  <c r="AB145" i="18"/>
  <c r="AA145" i="18"/>
  <c r="Z145" i="18"/>
  <c r="Y145" i="18"/>
  <c r="X145" i="18"/>
  <c r="W145" i="18"/>
  <c r="V145" i="18"/>
  <c r="U145" i="18"/>
  <c r="R145" i="18"/>
  <c r="P145" i="18"/>
  <c r="O145" i="18"/>
  <c r="N145" i="18"/>
  <c r="C145" i="18"/>
  <c r="AD144" i="18"/>
  <c r="AC144" i="18"/>
  <c r="AB144" i="18"/>
  <c r="AA144" i="18"/>
  <c r="Z144" i="18"/>
  <c r="Y144" i="18"/>
  <c r="X144" i="18"/>
  <c r="W144" i="18"/>
  <c r="V144" i="18"/>
  <c r="U144" i="18"/>
  <c r="R144" i="18"/>
  <c r="P144" i="18"/>
  <c r="O144" i="18"/>
  <c r="N144" i="18"/>
  <c r="C144" i="18"/>
  <c r="AD143" i="18"/>
  <c r="AC143" i="18"/>
  <c r="AB143" i="18"/>
  <c r="AA143" i="18"/>
  <c r="Z143" i="18"/>
  <c r="Y143" i="18"/>
  <c r="X143" i="18"/>
  <c r="W143" i="18"/>
  <c r="V143" i="18"/>
  <c r="U143" i="18"/>
  <c r="R143" i="18"/>
  <c r="P143" i="18"/>
  <c r="O143" i="18"/>
  <c r="N143" i="18"/>
  <c r="C143" i="18"/>
  <c r="AD142" i="18"/>
  <c r="AC142" i="18"/>
  <c r="AB142" i="18"/>
  <c r="AA142" i="18"/>
  <c r="Z142" i="18"/>
  <c r="Y142" i="18"/>
  <c r="X142" i="18"/>
  <c r="W142" i="18"/>
  <c r="V142" i="18"/>
  <c r="U142" i="18"/>
  <c r="R142" i="18"/>
  <c r="P142" i="18"/>
  <c r="O142" i="18"/>
  <c r="N142" i="18"/>
  <c r="AD141" i="18"/>
  <c r="AC141" i="18"/>
  <c r="AB141" i="18"/>
  <c r="AA141" i="18"/>
  <c r="Z141" i="18"/>
  <c r="Y141" i="18"/>
  <c r="X141" i="18"/>
  <c r="W141" i="18"/>
  <c r="V141" i="18"/>
  <c r="U141" i="18"/>
  <c r="R141" i="18"/>
  <c r="P141" i="18"/>
  <c r="O141" i="18"/>
  <c r="N141" i="18"/>
  <c r="C141" i="18"/>
  <c r="AD140" i="18"/>
  <c r="AC140" i="18"/>
  <c r="AB140" i="18"/>
  <c r="AA140" i="18"/>
  <c r="Z140" i="18"/>
  <c r="Y140" i="18"/>
  <c r="X140" i="18"/>
  <c r="W140" i="18"/>
  <c r="V140" i="18"/>
  <c r="U140" i="18"/>
  <c r="R140" i="18"/>
  <c r="P140" i="18"/>
  <c r="O140" i="18"/>
  <c r="N140" i="18"/>
  <c r="C140" i="18"/>
  <c r="AD139" i="18"/>
  <c r="AC139" i="18"/>
  <c r="AB139" i="18"/>
  <c r="AA139" i="18"/>
  <c r="Z139" i="18"/>
  <c r="Y139" i="18"/>
  <c r="X139" i="18"/>
  <c r="W139" i="18"/>
  <c r="V139" i="18"/>
  <c r="U139" i="18"/>
  <c r="R139" i="18"/>
  <c r="P139" i="18"/>
  <c r="O139" i="18"/>
  <c r="N139" i="18"/>
  <c r="AD138" i="18"/>
  <c r="AC138" i="18"/>
  <c r="AB138" i="18"/>
  <c r="AA138" i="18"/>
  <c r="Z138" i="18"/>
  <c r="Y138" i="18"/>
  <c r="X138" i="18"/>
  <c r="W138" i="18"/>
  <c r="V138" i="18"/>
  <c r="U138" i="18"/>
  <c r="R138" i="18"/>
  <c r="P138" i="18"/>
  <c r="O138" i="18"/>
  <c r="N138" i="18"/>
  <c r="C138" i="18"/>
  <c r="AD137" i="18"/>
  <c r="AC137" i="18"/>
  <c r="AB137" i="18"/>
  <c r="AA137" i="18"/>
  <c r="Z137" i="18"/>
  <c r="Y137" i="18"/>
  <c r="X137" i="18"/>
  <c r="W137" i="18"/>
  <c r="V137" i="18"/>
  <c r="U137" i="18"/>
  <c r="R137" i="18"/>
  <c r="P137" i="18"/>
  <c r="O137" i="18"/>
  <c r="N137" i="18"/>
  <c r="C137" i="18"/>
  <c r="AD136" i="18"/>
  <c r="AC136" i="18"/>
  <c r="AB136" i="18"/>
  <c r="AA136" i="18"/>
  <c r="Z136" i="18"/>
  <c r="Y136" i="18"/>
  <c r="X136" i="18"/>
  <c r="W136" i="18"/>
  <c r="V136" i="18"/>
  <c r="U136" i="18"/>
  <c r="R136" i="18"/>
  <c r="P136" i="18"/>
  <c r="O136" i="18"/>
  <c r="N136" i="18"/>
  <c r="C136" i="18"/>
  <c r="AD135" i="18"/>
  <c r="AC135" i="18"/>
  <c r="AB135" i="18"/>
  <c r="AA135" i="18"/>
  <c r="Z135" i="18"/>
  <c r="Y135" i="18"/>
  <c r="X135" i="18"/>
  <c r="W135" i="18"/>
  <c r="V135" i="18"/>
  <c r="U135" i="18"/>
  <c r="R135" i="18"/>
  <c r="P135" i="18"/>
  <c r="O135" i="18"/>
  <c r="N135" i="18"/>
  <c r="C135" i="18"/>
  <c r="AD134" i="18"/>
  <c r="AC134" i="18"/>
  <c r="AB134" i="18"/>
  <c r="AA134" i="18"/>
  <c r="Z134" i="18"/>
  <c r="Y134" i="18"/>
  <c r="X134" i="18"/>
  <c r="W134" i="18"/>
  <c r="V134" i="18"/>
  <c r="U134" i="18"/>
  <c r="R134" i="18"/>
  <c r="P134" i="18"/>
  <c r="O134" i="18"/>
  <c r="N134" i="18"/>
  <c r="C134" i="18"/>
  <c r="AD133" i="18"/>
  <c r="AC133" i="18"/>
  <c r="AB133" i="18"/>
  <c r="AA133" i="18"/>
  <c r="Z133" i="18"/>
  <c r="Y133" i="18"/>
  <c r="X133" i="18"/>
  <c r="W133" i="18"/>
  <c r="V133" i="18"/>
  <c r="U133" i="18"/>
  <c r="R133" i="18"/>
  <c r="P133" i="18"/>
  <c r="O133" i="18"/>
  <c r="N133" i="18"/>
  <c r="AD132" i="18"/>
  <c r="AC132" i="18"/>
  <c r="AB132" i="18"/>
  <c r="AA132" i="18"/>
  <c r="Z132" i="18"/>
  <c r="Y132" i="18"/>
  <c r="X132" i="18"/>
  <c r="W132" i="18"/>
  <c r="V132" i="18"/>
  <c r="U132" i="18"/>
  <c r="R132" i="18"/>
  <c r="P132" i="18"/>
  <c r="O132" i="18"/>
  <c r="N132" i="18"/>
  <c r="C132" i="18"/>
  <c r="AD131" i="18"/>
  <c r="AC131" i="18"/>
  <c r="AB131" i="18"/>
  <c r="AA131" i="18"/>
  <c r="Z131" i="18"/>
  <c r="Y131" i="18"/>
  <c r="X131" i="18"/>
  <c r="W131" i="18"/>
  <c r="V131" i="18"/>
  <c r="U131" i="18"/>
  <c r="R131" i="18"/>
  <c r="P131" i="18"/>
  <c r="O131" i="18"/>
  <c r="N131" i="18"/>
  <c r="C131" i="18"/>
  <c r="AD130" i="18"/>
  <c r="AC130" i="18"/>
  <c r="AB130" i="18"/>
  <c r="AA130" i="18"/>
  <c r="Z130" i="18"/>
  <c r="Y130" i="18"/>
  <c r="X130" i="18"/>
  <c r="W130" i="18"/>
  <c r="V130" i="18"/>
  <c r="U130" i="18"/>
  <c r="R130" i="18"/>
  <c r="P130" i="18"/>
  <c r="O130" i="18"/>
  <c r="N130" i="18"/>
  <c r="C130" i="18"/>
  <c r="AD129" i="18"/>
  <c r="AC129" i="18"/>
  <c r="AB129" i="18"/>
  <c r="AA129" i="18"/>
  <c r="Z129" i="18"/>
  <c r="Y129" i="18"/>
  <c r="X129" i="18"/>
  <c r="W129" i="18"/>
  <c r="V129" i="18"/>
  <c r="U129" i="18"/>
  <c r="R129" i="18"/>
  <c r="P129" i="18"/>
  <c r="O129" i="18"/>
  <c r="N129" i="18"/>
  <c r="C129" i="18"/>
  <c r="AD128" i="18"/>
  <c r="AC128" i="18"/>
  <c r="AB128" i="18"/>
  <c r="AA128" i="18"/>
  <c r="Z128" i="18"/>
  <c r="Y128" i="18"/>
  <c r="X128" i="18"/>
  <c r="W128" i="18"/>
  <c r="V128" i="18"/>
  <c r="U128" i="18"/>
  <c r="R128" i="18"/>
  <c r="P128" i="18"/>
  <c r="O128" i="18"/>
  <c r="N128" i="18"/>
  <c r="AD127" i="18"/>
  <c r="AC127" i="18"/>
  <c r="AB127" i="18"/>
  <c r="AA127" i="18"/>
  <c r="Z127" i="18"/>
  <c r="Y127" i="18"/>
  <c r="X127" i="18"/>
  <c r="W127" i="18"/>
  <c r="V127" i="18"/>
  <c r="U127" i="18"/>
  <c r="R127" i="18"/>
  <c r="P127" i="18"/>
  <c r="O127" i="18"/>
  <c r="N127" i="18"/>
  <c r="C127" i="18"/>
  <c r="AD126" i="18"/>
  <c r="AC126" i="18"/>
  <c r="AB126" i="18"/>
  <c r="AA126" i="18"/>
  <c r="Z126" i="18"/>
  <c r="Y126" i="18"/>
  <c r="X126" i="18"/>
  <c r="W126" i="18"/>
  <c r="V126" i="18"/>
  <c r="U126" i="18"/>
  <c r="R126" i="18"/>
  <c r="P126" i="18"/>
  <c r="O126" i="18"/>
  <c r="N126" i="18"/>
  <c r="C126" i="18"/>
  <c r="AD125" i="18"/>
  <c r="AC125" i="18"/>
  <c r="AB125" i="18"/>
  <c r="AA125" i="18"/>
  <c r="Z125" i="18"/>
  <c r="Y125" i="18"/>
  <c r="X125" i="18"/>
  <c r="W125" i="18"/>
  <c r="V125" i="18"/>
  <c r="U125" i="18"/>
  <c r="R125" i="18"/>
  <c r="P125" i="18"/>
  <c r="O125" i="18"/>
  <c r="N125" i="18"/>
  <c r="C125" i="18"/>
  <c r="AD124" i="18"/>
  <c r="AC124" i="18"/>
  <c r="AB124" i="18"/>
  <c r="AA124" i="18"/>
  <c r="Z124" i="18"/>
  <c r="Y124" i="18"/>
  <c r="X124" i="18"/>
  <c r="W124" i="18"/>
  <c r="V124" i="18"/>
  <c r="U124" i="18"/>
  <c r="R124" i="18"/>
  <c r="P124" i="18"/>
  <c r="O124" i="18"/>
  <c r="N124" i="18"/>
  <c r="C124" i="18"/>
  <c r="AD123" i="18"/>
  <c r="AC123" i="18"/>
  <c r="AB123" i="18"/>
  <c r="AA123" i="18"/>
  <c r="Z123" i="18"/>
  <c r="Y123" i="18"/>
  <c r="X123" i="18"/>
  <c r="W123" i="18"/>
  <c r="V123" i="18"/>
  <c r="U123" i="18"/>
  <c r="R123" i="18"/>
  <c r="P123" i="18"/>
  <c r="O123" i="18"/>
  <c r="N123" i="18"/>
  <c r="C123" i="18"/>
  <c r="AD122" i="18"/>
  <c r="AC122" i="18"/>
  <c r="AB122" i="18"/>
  <c r="AA122" i="18"/>
  <c r="Z122" i="18"/>
  <c r="Y122" i="18"/>
  <c r="X122" i="18"/>
  <c r="W122" i="18"/>
  <c r="V122" i="18"/>
  <c r="U122" i="18"/>
  <c r="R122" i="18"/>
  <c r="P122" i="18"/>
  <c r="O122" i="18"/>
  <c r="N122" i="18"/>
  <c r="C122" i="18"/>
  <c r="AD121" i="18"/>
  <c r="AC121" i="18"/>
  <c r="AB121" i="18"/>
  <c r="AA121" i="18"/>
  <c r="Z121" i="18"/>
  <c r="Y121" i="18"/>
  <c r="X121" i="18"/>
  <c r="W121" i="18"/>
  <c r="V121" i="18"/>
  <c r="U121" i="18"/>
  <c r="R121" i="18"/>
  <c r="P121" i="18"/>
  <c r="O121" i="18"/>
  <c r="N121" i="18"/>
  <c r="C121" i="18"/>
  <c r="AD120" i="18"/>
  <c r="AC120" i="18"/>
  <c r="AB120" i="18"/>
  <c r="AA120" i="18"/>
  <c r="Z120" i="18"/>
  <c r="Y120" i="18"/>
  <c r="X120" i="18"/>
  <c r="W120" i="18"/>
  <c r="V120" i="18"/>
  <c r="U120" i="18"/>
  <c r="R120" i="18"/>
  <c r="P120" i="18"/>
  <c r="O120" i="18"/>
  <c r="N120" i="18"/>
  <c r="C120" i="18"/>
  <c r="AD119" i="18"/>
  <c r="AC119" i="18"/>
  <c r="AB119" i="18"/>
  <c r="AA119" i="18"/>
  <c r="Z119" i="18"/>
  <c r="Y119" i="18"/>
  <c r="X119" i="18"/>
  <c r="W119" i="18"/>
  <c r="V119" i="18"/>
  <c r="U119" i="18"/>
  <c r="R119" i="18"/>
  <c r="P119" i="18"/>
  <c r="O119" i="18"/>
  <c r="N119" i="18"/>
  <c r="C119" i="18"/>
  <c r="AD118" i="18"/>
  <c r="AC118" i="18"/>
  <c r="AB118" i="18"/>
  <c r="AA118" i="18"/>
  <c r="Z118" i="18"/>
  <c r="Y118" i="18"/>
  <c r="X118" i="18"/>
  <c r="W118" i="18"/>
  <c r="V118" i="18"/>
  <c r="U118" i="18"/>
  <c r="R118" i="18"/>
  <c r="P118" i="18"/>
  <c r="O118" i="18"/>
  <c r="N118" i="18"/>
  <c r="AD117" i="18"/>
  <c r="AC117" i="18"/>
  <c r="AB117" i="18"/>
  <c r="AA117" i="18"/>
  <c r="Z117" i="18"/>
  <c r="Y117" i="18"/>
  <c r="X117" i="18"/>
  <c r="W117" i="18"/>
  <c r="V117" i="18"/>
  <c r="U117" i="18"/>
  <c r="R117" i="18"/>
  <c r="P117" i="18"/>
  <c r="O117" i="18"/>
  <c r="N117" i="18"/>
  <c r="C117" i="18"/>
  <c r="AD116" i="18"/>
  <c r="AC116" i="18"/>
  <c r="AB116" i="18"/>
  <c r="AA116" i="18"/>
  <c r="Z116" i="18"/>
  <c r="Y116" i="18"/>
  <c r="X116" i="18"/>
  <c r="W116" i="18"/>
  <c r="V116" i="18"/>
  <c r="U116" i="18"/>
  <c r="R116" i="18"/>
  <c r="P116" i="18"/>
  <c r="O116" i="18"/>
  <c r="N116" i="18"/>
  <c r="C116" i="18"/>
  <c r="AD115" i="18"/>
  <c r="AC115" i="18"/>
  <c r="AB115" i="18"/>
  <c r="AA115" i="18"/>
  <c r="Z115" i="18"/>
  <c r="Y115" i="18"/>
  <c r="X115" i="18"/>
  <c r="W115" i="18"/>
  <c r="V115" i="18"/>
  <c r="U115" i="18"/>
  <c r="R115" i="18"/>
  <c r="P115" i="18"/>
  <c r="O115" i="18"/>
  <c r="N115" i="18"/>
  <c r="C115" i="18"/>
  <c r="AD114" i="18"/>
  <c r="AC114" i="18"/>
  <c r="AB114" i="18"/>
  <c r="AA114" i="18"/>
  <c r="Z114" i="18"/>
  <c r="Y114" i="18"/>
  <c r="X114" i="18"/>
  <c r="W114" i="18"/>
  <c r="V114" i="18"/>
  <c r="U114" i="18"/>
  <c r="R114" i="18"/>
  <c r="P114" i="18"/>
  <c r="O114" i="18"/>
  <c r="N114" i="18"/>
  <c r="C114" i="18"/>
  <c r="AD113" i="18"/>
  <c r="AC113" i="18"/>
  <c r="AB113" i="18"/>
  <c r="AA113" i="18"/>
  <c r="Z113" i="18"/>
  <c r="Y113" i="18"/>
  <c r="X113" i="18"/>
  <c r="W113" i="18"/>
  <c r="V113" i="18"/>
  <c r="U113" i="18"/>
  <c r="R113" i="18"/>
  <c r="P113" i="18"/>
  <c r="O113" i="18"/>
  <c r="N113" i="18"/>
  <c r="C113" i="18"/>
  <c r="AD112" i="18"/>
  <c r="AC112" i="18"/>
  <c r="AB112" i="18"/>
  <c r="AA112" i="18"/>
  <c r="Z112" i="18"/>
  <c r="Y112" i="18"/>
  <c r="X112" i="18"/>
  <c r="W112" i="18"/>
  <c r="V112" i="18"/>
  <c r="U112" i="18"/>
  <c r="R112" i="18"/>
  <c r="P112" i="18"/>
  <c r="O112" i="18"/>
  <c r="N112" i="18"/>
  <c r="C112" i="18"/>
  <c r="AD111" i="18"/>
  <c r="AC111" i="18"/>
  <c r="AB111" i="18"/>
  <c r="AA111" i="18"/>
  <c r="Z111" i="18"/>
  <c r="Y111" i="18"/>
  <c r="X111" i="18"/>
  <c r="W111" i="18"/>
  <c r="V111" i="18"/>
  <c r="U111" i="18"/>
  <c r="R111" i="18"/>
  <c r="P111" i="18"/>
  <c r="O111" i="18"/>
  <c r="N111" i="18"/>
  <c r="C111" i="18"/>
  <c r="AD110" i="18"/>
  <c r="AC110" i="18"/>
  <c r="AB110" i="18"/>
  <c r="AA110" i="18"/>
  <c r="Z110" i="18"/>
  <c r="Y110" i="18"/>
  <c r="X110" i="18"/>
  <c r="W110" i="18"/>
  <c r="V110" i="18"/>
  <c r="U110" i="18"/>
  <c r="R110" i="18"/>
  <c r="P110" i="18"/>
  <c r="O110" i="18"/>
  <c r="N110" i="18"/>
  <c r="AD109" i="18"/>
  <c r="AC109" i="18"/>
  <c r="AB109" i="18"/>
  <c r="AA109" i="18"/>
  <c r="Z109" i="18"/>
  <c r="Y109" i="18"/>
  <c r="X109" i="18"/>
  <c r="W109" i="18"/>
  <c r="V109" i="18"/>
  <c r="U109" i="18"/>
  <c r="R109" i="18"/>
  <c r="P109" i="18"/>
  <c r="O109" i="18"/>
  <c r="N109" i="18"/>
  <c r="C109" i="18"/>
  <c r="AD108" i="18"/>
  <c r="AC108" i="18"/>
  <c r="AB108" i="18"/>
  <c r="AA108" i="18"/>
  <c r="Z108" i="18"/>
  <c r="Y108" i="18"/>
  <c r="X108" i="18"/>
  <c r="W108" i="18"/>
  <c r="V108" i="18"/>
  <c r="U108" i="18"/>
  <c r="R108" i="18"/>
  <c r="P108" i="18"/>
  <c r="O108" i="18"/>
  <c r="N108" i="18"/>
  <c r="C108" i="18"/>
  <c r="AD107" i="18"/>
  <c r="AC107" i="18"/>
  <c r="AB107" i="18"/>
  <c r="AA107" i="18"/>
  <c r="Z107" i="18"/>
  <c r="Y107" i="18"/>
  <c r="X107" i="18"/>
  <c r="W107" i="18"/>
  <c r="V107" i="18"/>
  <c r="U107" i="18"/>
  <c r="R107" i="18"/>
  <c r="P107" i="18"/>
  <c r="O107" i="18"/>
  <c r="N107" i="18"/>
  <c r="C107" i="18"/>
  <c r="AD106" i="18"/>
  <c r="AC106" i="18"/>
  <c r="AB106" i="18"/>
  <c r="AA106" i="18"/>
  <c r="Z106" i="18"/>
  <c r="Y106" i="18"/>
  <c r="X106" i="18"/>
  <c r="W106" i="18"/>
  <c r="V106" i="18"/>
  <c r="U106" i="18"/>
  <c r="R106" i="18"/>
  <c r="P106" i="18"/>
  <c r="O106" i="18"/>
  <c r="N106" i="18"/>
  <c r="C106" i="18"/>
  <c r="AD105" i="18"/>
  <c r="AC105" i="18"/>
  <c r="AB105" i="18"/>
  <c r="AA105" i="18"/>
  <c r="Z105" i="18"/>
  <c r="Y105" i="18"/>
  <c r="X105" i="18"/>
  <c r="W105" i="18"/>
  <c r="V105" i="18"/>
  <c r="U105" i="18"/>
  <c r="R105" i="18"/>
  <c r="P105" i="18"/>
  <c r="O105" i="18"/>
  <c r="N105" i="18"/>
  <c r="C105" i="18"/>
  <c r="AD104" i="18"/>
  <c r="AC104" i="18"/>
  <c r="AB104" i="18"/>
  <c r="AA104" i="18"/>
  <c r="Z104" i="18"/>
  <c r="Y104" i="18"/>
  <c r="X104" i="18"/>
  <c r="W104" i="18"/>
  <c r="V104" i="18"/>
  <c r="U104" i="18"/>
  <c r="R104" i="18"/>
  <c r="P104" i="18"/>
  <c r="O104" i="18"/>
  <c r="N104" i="18"/>
  <c r="C104" i="18"/>
  <c r="AD103" i="18"/>
  <c r="AC103" i="18"/>
  <c r="AB103" i="18"/>
  <c r="AA103" i="18"/>
  <c r="Z103" i="18"/>
  <c r="Y103" i="18"/>
  <c r="X103" i="18"/>
  <c r="W103" i="18"/>
  <c r="V103" i="18"/>
  <c r="U103" i="18"/>
  <c r="R103" i="18"/>
  <c r="P103" i="18"/>
  <c r="O103" i="18"/>
  <c r="N103" i="18"/>
  <c r="C103" i="18"/>
  <c r="AD102" i="18"/>
  <c r="AC102" i="18"/>
  <c r="AB102" i="18"/>
  <c r="AA102" i="18"/>
  <c r="Z102" i="18"/>
  <c r="Y102" i="18"/>
  <c r="X102" i="18"/>
  <c r="W102" i="18"/>
  <c r="V102" i="18"/>
  <c r="U102" i="18"/>
  <c r="R102" i="18"/>
  <c r="P102" i="18"/>
  <c r="O102" i="18"/>
  <c r="N102" i="18"/>
  <c r="C102" i="18"/>
  <c r="AD101" i="18"/>
  <c r="AC101" i="18"/>
  <c r="AB101" i="18"/>
  <c r="AA101" i="18"/>
  <c r="Z101" i="18"/>
  <c r="Y101" i="18"/>
  <c r="X101" i="18"/>
  <c r="W101" i="18"/>
  <c r="V101" i="18"/>
  <c r="U101" i="18"/>
  <c r="R101" i="18"/>
  <c r="P101" i="18"/>
  <c r="O101" i="18"/>
  <c r="N101" i="18"/>
  <c r="AD100" i="18"/>
  <c r="AC100" i="18"/>
  <c r="AB100" i="18"/>
  <c r="AA100" i="18"/>
  <c r="Z100" i="18"/>
  <c r="Y100" i="18"/>
  <c r="X100" i="18"/>
  <c r="W100" i="18"/>
  <c r="V100" i="18"/>
  <c r="U100" i="18"/>
  <c r="R100" i="18"/>
  <c r="P100" i="18"/>
  <c r="O100" i="18"/>
  <c r="N100" i="18"/>
  <c r="C100" i="18"/>
  <c r="AD99" i="18"/>
  <c r="AC99" i="18"/>
  <c r="AB99" i="18"/>
  <c r="AA99" i="18"/>
  <c r="Z99" i="18"/>
  <c r="Y99" i="18"/>
  <c r="X99" i="18"/>
  <c r="W99" i="18"/>
  <c r="V99" i="18"/>
  <c r="U99" i="18"/>
  <c r="R99" i="18"/>
  <c r="P99" i="18"/>
  <c r="O99" i="18"/>
  <c r="N99" i="18"/>
  <c r="C99" i="18"/>
  <c r="AD98" i="18"/>
  <c r="AC98" i="18"/>
  <c r="AB98" i="18"/>
  <c r="AA98" i="18"/>
  <c r="Z98" i="18"/>
  <c r="Y98" i="18"/>
  <c r="X98" i="18"/>
  <c r="W98" i="18"/>
  <c r="V98" i="18"/>
  <c r="U98" i="18"/>
  <c r="R98" i="18"/>
  <c r="P98" i="18"/>
  <c r="O98" i="18"/>
  <c r="N98" i="18"/>
  <c r="C98" i="18"/>
  <c r="AD97" i="18"/>
  <c r="AC97" i="18"/>
  <c r="AB97" i="18"/>
  <c r="AA97" i="18"/>
  <c r="Z97" i="18"/>
  <c r="Y97" i="18"/>
  <c r="X97" i="18"/>
  <c r="W97" i="18"/>
  <c r="V97" i="18"/>
  <c r="U97" i="18"/>
  <c r="R97" i="18"/>
  <c r="P97" i="18"/>
  <c r="O97" i="18"/>
  <c r="N97" i="18"/>
  <c r="C97" i="18"/>
  <c r="AD96" i="18"/>
  <c r="AC96" i="18"/>
  <c r="AB96" i="18"/>
  <c r="AA96" i="18"/>
  <c r="Z96" i="18"/>
  <c r="Y96" i="18"/>
  <c r="X96" i="18"/>
  <c r="W96" i="18"/>
  <c r="V96" i="18"/>
  <c r="U96" i="18"/>
  <c r="R96" i="18"/>
  <c r="P96" i="18"/>
  <c r="O96" i="18"/>
  <c r="N96" i="18"/>
  <c r="C96" i="18"/>
  <c r="AD95" i="18"/>
  <c r="AC95" i="18"/>
  <c r="AB95" i="18"/>
  <c r="AA95" i="18"/>
  <c r="Z95" i="18"/>
  <c r="Y95" i="18"/>
  <c r="X95" i="18"/>
  <c r="W95" i="18"/>
  <c r="V95" i="18"/>
  <c r="U95" i="18"/>
  <c r="R95" i="18"/>
  <c r="P95" i="18"/>
  <c r="O95" i="18"/>
  <c r="N95" i="18"/>
  <c r="C95" i="18"/>
  <c r="AD94" i="18"/>
  <c r="AC94" i="18"/>
  <c r="AB94" i="18"/>
  <c r="AA94" i="18"/>
  <c r="Z94" i="18"/>
  <c r="Y94" i="18"/>
  <c r="X94" i="18"/>
  <c r="W94" i="18"/>
  <c r="V94" i="18"/>
  <c r="U94" i="18"/>
  <c r="R94" i="18"/>
  <c r="P94" i="18"/>
  <c r="O94" i="18"/>
  <c r="N94" i="18"/>
  <c r="C94" i="18"/>
  <c r="AD93" i="18"/>
  <c r="AC93" i="18"/>
  <c r="AB93" i="18"/>
  <c r="AA93" i="18"/>
  <c r="Z93" i="18"/>
  <c r="Y93" i="18"/>
  <c r="X93" i="18"/>
  <c r="W93" i="18"/>
  <c r="V93" i="18"/>
  <c r="U93" i="18"/>
  <c r="R93" i="18"/>
  <c r="P93" i="18"/>
  <c r="O93" i="18"/>
  <c r="N93" i="18"/>
  <c r="C93" i="18"/>
  <c r="AD92" i="18"/>
  <c r="AC92" i="18"/>
  <c r="AB92" i="18"/>
  <c r="AA92" i="18"/>
  <c r="Z92" i="18"/>
  <c r="Y92" i="18"/>
  <c r="X92" i="18"/>
  <c r="W92" i="18"/>
  <c r="V92" i="18"/>
  <c r="U92" i="18"/>
  <c r="R92" i="18"/>
  <c r="P92" i="18"/>
  <c r="O92" i="18"/>
  <c r="N92" i="18"/>
  <c r="AD91" i="18"/>
  <c r="AC91" i="18"/>
  <c r="AB91" i="18"/>
  <c r="AA91" i="18"/>
  <c r="Z91" i="18"/>
  <c r="Y91" i="18"/>
  <c r="X91" i="18"/>
  <c r="W91" i="18"/>
  <c r="V91" i="18"/>
  <c r="U91" i="18"/>
  <c r="R91" i="18"/>
  <c r="P91" i="18"/>
  <c r="O91" i="18"/>
  <c r="N91" i="18"/>
  <c r="C91" i="18"/>
  <c r="AD90" i="18"/>
  <c r="AC90" i="18"/>
  <c r="AB90" i="18"/>
  <c r="AA90" i="18"/>
  <c r="Z90" i="18"/>
  <c r="Y90" i="18"/>
  <c r="X90" i="18"/>
  <c r="W90" i="18"/>
  <c r="V90" i="18"/>
  <c r="U90" i="18"/>
  <c r="R90" i="18"/>
  <c r="P90" i="18"/>
  <c r="O90" i="18"/>
  <c r="N90" i="18"/>
  <c r="C90" i="18"/>
  <c r="AD89" i="18"/>
  <c r="AC89" i="18"/>
  <c r="AB89" i="18"/>
  <c r="AA89" i="18"/>
  <c r="Z89" i="18"/>
  <c r="Y89" i="18"/>
  <c r="X89" i="18"/>
  <c r="W89" i="18"/>
  <c r="V89" i="18"/>
  <c r="U89" i="18"/>
  <c r="R89" i="18"/>
  <c r="P89" i="18"/>
  <c r="O89" i="18"/>
  <c r="N89" i="18"/>
  <c r="C89" i="18"/>
  <c r="AD88" i="18"/>
  <c r="AC88" i="18"/>
  <c r="AB88" i="18"/>
  <c r="AA88" i="18"/>
  <c r="Z88" i="18"/>
  <c r="Y88" i="18"/>
  <c r="X88" i="18"/>
  <c r="W88" i="18"/>
  <c r="V88" i="18"/>
  <c r="U88" i="18"/>
  <c r="R88" i="18"/>
  <c r="P88" i="18"/>
  <c r="O88" i="18"/>
  <c r="N88" i="18"/>
  <c r="C88" i="18"/>
  <c r="AD87" i="18"/>
  <c r="AC87" i="18"/>
  <c r="AB87" i="18"/>
  <c r="AA87" i="18"/>
  <c r="Z87" i="18"/>
  <c r="Y87" i="18"/>
  <c r="X87" i="18"/>
  <c r="W87" i="18"/>
  <c r="V87" i="18"/>
  <c r="U87" i="18"/>
  <c r="R87" i="18"/>
  <c r="P87" i="18"/>
  <c r="O87" i="18"/>
  <c r="N87" i="18"/>
  <c r="AD86" i="18"/>
  <c r="AC86" i="18"/>
  <c r="AB86" i="18"/>
  <c r="AA86" i="18"/>
  <c r="Z86" i="18"/>
  <c r="Y86" i="18"/>
  <c r="X86" i="18"/>
  <c r="W86" i="18"/>
  <c r="V86" i="18"/>
  <c r="U86" i="18"/>
  <c r="R86" i="18"/>
  <c r="P86" i="18"/>
  <c r="O86" i="18"/>
  <c r="N86" i="18"/>
  <c r="C86" i="18"/>
  <c r="AD85" i="18"/>
  <c r="AC85" i="18"/>
  <c r="AB85" i="18"/>
  <c r="AA85" i="18"/>
  <c r="Z85" i="18"/>
  <c r="Y85" i="18"/>
  <c r="X85" i="18"/>
  <c r="W85" i="18"/>
  <c r="V85" i="18"/>
  <c r="U85" i="18"/>
  <c r="R85" i="18"/>
  <c r="P85" i="18"/>
  <c r="O85" i="18"/>
  <c r="N85" i="18"/>
  <c r="C85" i="18"/>
  <c r="AD84" i="18"/>
  <c r="AC84" i="18"/>
  <c r="AB84" i="18"/>
  <c r="AA84" i="18"/>
  <c r="Z84" i="18"/>
  <c r="Y84" i="18"/>
  <c r="X84" i="18"/>
  <c r="W84" i="18"/>
  <c r="V84" i="18"/>
  <c r="U84" i="18"/>
  <c r="R84" i="18"/>
  <c r="P84" i="18"/>
  <c r="O84" i="18"/>
  <c r="N84" i="18"/>
  <c r="C84" i="18"/>
  <c r="AD83" i="18"/>
  <c r="AC83" i="18"/>
  <c r="AB83" i="18"/>
  <c r="AA83" i="18"/>
  <c r="Z83" i="18"/>
  <c r="Y83" i="18"/>
  <c r="X83" i="18"/>
  <c r="W83" i="18"/>
  <c r="V83" i="18"/>
  <c r="U83" i="18"/>
  <c r="R83" i="18"/>
  <c r="P83" i="18"/>
  <c r="O83" i="18"/>
  <c r="N83" i="18"/>
  <c r="C83" i="18"/>
  <c r="AD82" i="18"/>
  <c r="AC82" i="18"/>
  <c r="AB82" i="18"/>
  <c r="AA82" i="18"/>
  <c r="Z82" i="18"/>
  <c r="Y82" i="18"/>
  <c r="X82" i="18"/>
  <c r="W82" i="18"/>
  <c r="V82" i="18"/>
  <c r="U82" i="18"/>
  <c r="R82" i="18"/>
  <c r="P82" i="18"/>
  <c r="O82" i="18"/>
  <c r="N82" i="18"/>
  <c r="AD81" i="18"/>
  <c r="AC81" i="18"/>
  <c r="AB81" i="18"/>
  <c r="AA81" i="18"/>
  <c r="Z81" i="18"/>
  <c r="Y81" i="18"/>
  <c r="X81" i="18"/>
  <c r="W81" i="18"/>
  <c r="V81" i="18"/>
  <c r="U81" i="18"/>
  <c r="R81" i="18"/>
  <c r="P81" i="18"/>
  <c r="O81" i="18"/>
  <c r="N81" i="18"/>
  <c r="C81" i="18"/>
  <c r="AD80" i="18"/>
  <c r="AC80" i="18"/>
  <c r="AB80" i="18"/>
  <c r="AA80" i="18"/>
  <c r="Z80" i="18"/>
  <c r="Y80" i="18"/>
  <c r="X80" i="18"/>
  <c r="W80" i="18"/>
  <c r="V80" i="18"/>
  <c r="U80" i="18"/>
  <c r="R80" i="18"/>
  <c r="P80" i="18"/>
  <c r="O80" i="18"/>
  <c r="N80" i="18"/>
  <c r="C80" i="18"/>
  <c r="AD79" i="18"/>
  <c r="AC79" i="18"/>
  <c r="AB79" i="18"/>
  <c r="AA79" i="18"/>
  <c r="Z79" i="18"/>
  <c r="Y79" i="18"/>
  <c r="X79" i="18"/>
  <c r="W79" i="18"/>
  <c r="V79" i="18"/>
  <c r="U79" i="18"/>
  <c r="R79" i="18"/>
  <c r="P79" i="18"/>
  <c r="O79" i="18"/>
  <c r="N79" i="18"/>
  <c r="C79" i="18"/>
  <c r="AD78" i="18"/>
  <c r="AC78" i="18"/>
  <c r="AB78" i="18"/>
  <c r="AA78" i="18"/>
  <c r="Z78" i="18"/>
  <c r="Y78" i="18"/>
  <c r="X78" i="18"/>
  <c r="W78" i="18"/>
  <c r="V78" i="18"/>
  <c r="U78" i="18"/>
  <c r="R78" i="18"/>
  <c r="P78" i="18"/>
  <c r="O78" i="18"/>
  <c r="N78" i="18"/>
  <c r="C78" i="18"/>
  <c r="AD77" i="18"/>
  <c r="AC77" i="18"/>
  <c r="AB77" i="18"/>
  <c r="AA77" i="18"/>
  <c r="Z77" i="18"/>
  <c r="Y77" i="18"/>
  <c r="X77" i="18"/>
  <c r="W77" i="18"/>
  <c r="V77" i="18"/>
  <c r="U77" i="18"/>
  <c r="R77" i="18"/>
  <c r="P77" i="18"/>
  <c r="O77" i="18"/>
  <c r="N77" i="18"/>
  <c r="C77" i="18"/>
  <c r="AD76" i="18"/>
  <c r="AC76" i="18"/>
  <c r="AB76" i="18"/>
  <c r="AA76" i="18"/>
  <c r="Z76" i="18"/>
  <c r="Y76" i="18"/>
  <c r="X76" i="18"/>
  <c r="W76" i="18"/>
  <c r="V76" i="18"/>
  <c r="U76" i="18"/>
  <c r="R76" i="18"/>
  <c r="P76" i="18"/>
  <c r="O76" i="18"/>
  <c r="N76" i="18"/>
  <c r="C76" i="18"/>
  <c r="AD75" i="18"/>
  <c r="AC75" i="18"/>
  <c r="AB75" i="18"/>
  <c r="AA75" i="18"/>
  <c r="Z75" i="18"/>
  <c r="Y75" i="18"/>
  <c r="X75" i="18"/>
  <c r="W75" i="18"/>
  <c r="V75" i="18"/>
  <c r="U75" i="18"/>
  <c r="R75" i="18"/>
  <c r="P75" i="18"/>
  <c r="O75" i="18"/>
  <c r="N75" i="18"/>
  <c r="C75" i="18"/>
  <c r="AD74" i="18"/>
  <c r="AC74" i="18"/>
  <c r="AB74" i="18"/>
  <c r="AA74" i="18"/>
  <c r="Z74" i="18"/>
  <c r="Y74" i="18"/>
  <c r="X74" i="18"/>
  <c r="W74" i="18"/>
  <c r="V74" i="18"/>
  <c r="U74" i="18"/>
  <c r="R74" i="18"/>
  <c r="P74" i="18"/>
  <c r="O74" i="18"/>
  <c r="N74" i="18"/>
  <c r="AD73" i="18"/>
  <c r="AC73" i="18"/>
  <c r="AB73" i="18"/>
  <c r="AA73" i="18"/>
  <c r="Z73" i="18"/>
  <c r="Y73" i="18"/>
  <c r="X73" i="18"/>
  <c r="W73" i="18"/>
  <c r="V73" i="18"/>
  <c r="U73" i="18"/>
  <c r="R73" i="18"/>
  <c r="P73" i="18"/>
  <c r="O73" i="18"/>
  <c r="N73" i="18"/>
  <c r="C73" i="18"/>
  <c r="AD72" i="18"/>
  <c r="AC72" i="18"/>
  <c r="AB72" i="18"/>
  <c r="AA72" i="18"/>
  <c r="Z72" i="18"/>
  <c r="Y72" i="18"/>
  <c r="X72" i="18"/>
  <c r="W72" i="18"/>
  <c r="V72" i="18"/>
  <c r="U72" i="18"/>
  <c r="R72" i="18"/>
  <c r="P72" i="18"/>
  <c r="O72" i="18"/>
  <c r="N72" i="18"/>
  <c r="C72" i="18"/>
  <c r="AD71" i="18"/>
  <c r="AC71" i="18"/>
  <c r="AB71" i="18"/>
  <c r="AA71" i="18"/>
  <c r="Z71" i="18"/>
  <c r="Y71" i="18"/>
  <c r="X71" i="18"/>
  <c r="W71" i="18"/>
  <c r="V71" i="18"/>
  <c r="U71" i="18"/>
  <c r="R71" i="18"/>
  <c r="P71" i="18"/>
  <c r="O71" i="18"/>
  <c r="N71" i="18"/>
  <c r="C71" i="18"/>
  <c r="AD70" i="18"/>
  <c r="AC70" i="18"/>
  <c r="AB70" i="18"/>
  <c r="AA70" i="18"/>
  <c r="Z70" i="18"/>
  <c r="Y70" i="18"/>
  <c r="X70" i="18"/>
  <c r="W70" i="18"/>
  <c r="V70" i="18"/>
  <c r="U70" i="18"/>
  <c r="R70" i="18"/>
  <c r="P70" i="18"/>
  <c r="O70" i="18"/>
  <c r="N70" i="18"/>
  <c r="C70" i="18"/>
  <c r="AD69" i="18"/>
  <c r="AC69" i="18"/>
  <c r="AB69" i="18"/>
  <c r="AA69" i="18"/>
  <c r="Z69" i="18"/>
  <c r="Y69" i="18"/>
  <c r="X69" i="18"/>
  <c r="W69" i="18"/>
  <c r="V69" i="18"/>
  <c r="U69" i="18"/>
  <c r="R69" i="18"/>
  <c r="P69" i="18"/>
  <c r="O69" i="18"/>
  <c r="N69" i="18"/>
  <c r="C69" i="18"/>
  <c r="AD68" i="18"/>
  <c r="AC68" i="18"/>
  <c r="AB68" i="18"/>
  <c r="AA68" i="18"/>
  <c r="Z68" i="18"/>
  <c r="Y68" i="18"/>
  <c r="X68" i="18"/>
  <c r="W68" i="18"/>
  <c r="V68" i="18"/>
  <c r="U68" i="18"/>
  <c r="R68" i="18"/>
  <c r="P68" i="18"/>
  <c r="O68" i="18"/>
  <c r="N68" i="18"/>
  <c r="C68" i="18"/>
  <c r="AD67" i="18"/>
  <c r="AC67" i="18"/>
  <c r="AB67" i="18"/>
  <c r="AA67" i="18"/>
  <c r="Z67" i="18"/>
  <c r="Y67" i="18"/>
  <c r="X67" i="18"/>
  <c r="W67" i="18"/>
  <c r="V67" i="18"/>
  <c r="U67" i="18"/>
  <c r="R67" i="18"/>
  <c r="P67" i="18"/>
  <c r="O67" i="18"/>
  <c r="N67" i="18"/>
  <c r="C67" i="18"/>
  <c r="AD66" i="18"/>
  <c r="AC66" i="18"/>
  <c r="AB66" i="18"/>
  <c r="AA66" i="18"/>
  <c r="Z66" i="18"/>
  <c r="Y66" i="18"/>
  <c r="X66" i="18"/>
  <c r="W66" i="18"/>
  <c r="V66" i="18"/>
  <c r="U66" i="18"/>
  <c r="R66" i="18"/>
  <c r="P66" i="18"/>
  <c r="O66" i="18"/>
  <c r="N66" i="18"/>
  <c r="AD65" i="18"/>
  <c r="AC65" i="18"/>
  <c r="AB65" i="18"/>
  <c r="AA65" i="18"/>
  <c r="Z65" i="18"/>
  <c r="Y65" i="18"/>
  <c r="X65" i="18"/>
  <c r="W65" i="18"/>
  <c r="V65" i="18"/>
  <c r="U65" i="18"/>
  <c r="R65" i="18"/>
  <c r="P65" i="18"/>
  <c r="O65" i="18"/>
  <c r="N65" i="18"/>
  <c r="C65" i="18"/>
  <c r="AD64" i="18"/>
  <c r="AC64" i="18"/>
  <c r="AB64" i="18"/>
  <c r="AA64" i="18"/>
  <c r="Z64" i="18"/>
  <c r="Y64" i="18"/>
  <c r="X64" i="18"/>
  <c r="W64" i="18"/>
  <c r="V64" i="18"/>
  <c r="U64" i="18"/>
  <c r="R64" i="18"/>
  <c r="P64" i="18"/>
  <c r="O64" i="18"/>
  <c r="N64" i="18"/>
  <c r="C64" i="18"/>
  <c r="AD63" i="18"/>
  <c r="AC63" i="18"/>
  <c r="AB63" i="18"/>
  <c r="AA63" i="18"/>
  <c r="Z63" i="18"/>
  <c r="Y63" i="18"/>
  <c r="X63" i="18"/>
  <c r="W63" i="18"/>
  <c r="V63" i="18"/>
  <c r="U63" i="18"/>
  <c r="R63" i="18"/>
  <c r="P63" i="18"/>
  <c r="O63" i="18"/>
  <c r="N63" i="18"/>
  <c r="C63" i="18"/>
  <c r="AD62" i="18"/>
  <c r="AC62" i="18"/>
  <c r="AB62" i="18"/>
  <c r="AA62" i="18"/>
  <c r="Z62" i="18"/>
  <c r="Y62" i="18"/>
  <c r="X62" i="18"/>
  <c r="W62" i="18"/>
  <c r="V62" i="18"/>
  <c r="U62" i="18"/>
  <c r="R62" i="18"/>
  <c r="P62" i="18"/>
  <c r="O62" i="18"/>
  <c r="N62" i="18"/>
  <c r="C62" i="18"/>
  <c r="AD61" i="18"/>
  <c r="AC61" i="18"/>
  <c r="AB61" i="18"/>
  <c r="AA61" i="18"/>
  <c r="Z61" i="18"/>
  <c r="Y61" i="18"/>
  <c r="X61" i="18"/>
  <c r="W61" i="18"/>
  <c r="V61" i="18"/>
  <c r="U61" i="18"/>
  <c r="R61" i="18"/>
  <c r="P61" i="18"/>
  <c r="O61" i="18"/>
  <c r="N61" i="18"/>
  <c r="C61" i="18"/>
  <c r="AD60" i="18"/>
  <c r="AC60" i="18"/>
  <c r="AB60" i="18"/>
  <c r="AA60" i="18"/>
  <c r="Z60" i="18"/>
  <c r="Y60" i="18"/>
  <c r="X60" i="18"/>
  <c r="W60" i="18"/>
  <c r="V60" i="18"/>
  <c r="U60" i="18"/>
  <c r="R60" i="18"/>
  <c r="P60" i="18"/>
  <c r="O60" i="18"/>
  <c r="N60" i="18"/>
  <c r="C60" i="18"/>
  <c r="AD59" i="18"/>
  <c r="AC59" i="18"/>
  <c r="AB59" i="18"/>
  <c r="AA59" i="18"/>
  <c r="Z59" i="18"/>
  <c r="Y59" i="18"/>
  <c r="X59" i="18"/>
  <c r="W59" i="18"/>
  <c r="V59" i="18"/>
  <c r="U59" i="18"/>
  <c r="R59" i="18"/>
  <c r="P59" i="18"/>
  <c r="O59" i="18"/>
  <c r="N59" i="18"/>
  <c r="C59" i="18"/>
  <c r="AD58" i="18"/>
  <c r="AC58" i="18"/>
  <c r="AB58" i="18"/>
  <c r="AA58" i="18"/>
  <c r="Z58" i="18"/>
  <c r="Y58" i="18"/>
  <c r="X58" i="18"/>
  <c r="W58" i="18"/>
  <c r="V58" i="18"/>
  <c r="U58" i="18"/>
  <c r="R58" i="18"/>
  <c r="P58" i="18"/>
  <c r="O58" i="18"/>
  <c r="N58" i="18"/>
  <c r="AD57" i="18"/>
  <c r="AC57" i="18"/>
  <c r="AB57" i="18"/>
  <c r="AA57" i="18"/>
  <c r="Z57" i="18"/>
  <c r="Y57" i="18"/>
  <c r="X57" i="18"/>
  <c r="W57" i="18"/>
  <c r="V57" i="18"/>
  <c r="U57" i="18"/>
  <c r="R57" i="18"/>
  <c r="P57" i="18"/>
  <c r="O57" i="18"/>
  <c r="N57" i="18"/>
  <c r="C57" i="18"/>
  <c r="AD56" i="18"/>
  <c r="AC56" i="18"/>
  <c r="AB56" i="18"/>
  <c r="AA56" i="18"/>
  <c r="Z56" i="18"/>
  <c r="Y56" i="18"/>
  <c r="X56" i="18"/>
  <c r="W56" i="18"/>
  <c r="V56" i="18"/>
  <c r="U56" i="18"/>
  <c r="R56" i="18"/>
  <c r="P56" i="18"/>
  <c r="O56" i="18"/>
  <c r="N56" i="18"/>
  <c r="C56" i="18"/>
  <c r="AD55" i="18"/>
  <c r="AC55" i="18"/>
  <c r="AB55" i="18"/>
  <c r="AA55" i="18"/>
  <c r="Z55" i="18"/>
  <c r="Y55" i="18"/>
  <c r="X55" i="18"/>
  <c r="W55" i="18"/>
  <c r="V55" i="18"/>
  <c r="U55" i="18"/>
  <c r="R55" i="18"/>
  <c r="P55" i="18"/>
  <c r="O55" i="18"/>
  <c r="N55" i="18"/>
  <c r="C55" i="18"/>
  <c r="AD54" i="18"/>
  <c r="AC54" i="18"/>
  <c r="AB54" i="18"/>
  <c r="AA54" i="18"/>
  <c r="Z54" i="18"/>
  <c r="Y54" i="18"/>
  <c r="X54" i="18"/>
  <c r="W54" i="18"/>
  <c r="V54" i="18"/>
  <c r="U54" i="18"/>
  <c r="R54" i="18"/>
  <c r="P54" i="18"/>
  <c r="O54" i="18"/>
  <c r="N54" i="18"/>
  <c r="C54" i="18"/>
  <c r="AD53" i="18"/>
  <c r="AC53" i="18"/>
  <c r="AB53" i="18"/>
  <c r="AA53" i="18"/>
  <c r="Z53" i="18"/>
  <c r="Y53" i="18"/>
  <c r="X53" i="18"/>
  <c r="W53" i="18"/>
  <c r="V53" i="18"/>
  <c r="U53" i="18"/>
  <c r="R53" i="18"/>
  <c r="P53" i="18"/>
  <c r="O53" i="18"/>
  <c r="N53" i="18"/>
  <c r="C53" i="18"/>
  <c r="AD52" i="18"/>
  <c r="AC52" i="18"/>
  <c r="AB52" i="18"/>
  <c r="AA52" i="18"/>
  <c r="Z52" i="18"/>
  <c r="Y52" i="18"/>
  <c r="X52" i="18"/>
  <c r="W52" i="18"/>
  <c r="V52" i="18"/>
  <c r="U52" i="18"/>
  <c r="R52" i="18"/>
  <c r="P52" i="18"/>
  <c r="O52" i="18"/>
  <c r="N52" i="18"/>
  <c r="C52" i="18"/>
  <c r="AD51" i="18"/>
  <c r="AC51" i="18"/>
  <c r="AB51" i="18"/>
  <c r="AA51" i="18"/>
  <c r="Z51" i="18"/>
  <c r="Y51" i="18"/>
  <c r="X51" i="18"/>
  <c r="W51" i="18"/>
  <c r="V51" i="18"/>
  <c r="U51" i="18"/>
  <c r="R51" i="18"/>
  <c r="P51" i="18"/>
  <c r="O51" i="18"/>
  <c r="N51" i="18"/>
  <c r="C51" i="18"/>
  <c r="AD50" i="18"/>
  <c r="AC50" i="18"/>
  <c r="AB50" i="18"/>
  <c r="AA50" i="18"/>
  <c r="Z50" i="18"/>
  <c r="Y50" i="18"/>
  <c r="X50" i="18"/>
  <c r="W50" i="18"/>
  <c r="V50" i="18"/>
  <c r="U50" i="18"/>
  <c r="R50" i="18"/>
  <c r="P50" i="18"/>
  <c r="O50" i="18"/>
  <c r="N50" i="18"/>
  <c r="AD49" i="18"/>
  <c r="AC49" i="18"/>
  <c r="AB49" i="18"/>
  <c r="AA49" i="18"/>
  <c r="Z49" i="18"/>
  <c r="Y49" i="18"/>
  <c r="X49" i="18"/>
  <c r="W49" i="18"/>
  <c r="V49" i="18"/>
  <c r="U49" i="18"/>
  <c r="R49" i="18"/>
  <c r="P49" i="18"/>
  <c r="O49" i="18"/>
  <c r="N49" i="18"/>
  <c r="C49" i="18"/>
  <c r="AD48" i="18"/>
  <c r="AC48" i="18"/>
  <c r="AB48" i="18"/>
  <c r="AA48" i="18"/>
  <c r="Z48" i="18"/>
  <c r="Y48" i="18"/>
  <c r="X48" i="18"/>
  <c r="W48" i="18"/>
  <c r="V48" i="18"/>
  <c r="U48" i="18"/>
  <c r="R48" i="18"/>
  <c r="P48" i="18"/>
  <c r="O48" i="18"/>
  <c r="N48" i="18"/>
  <c r="C48" i="18"/>
  <c r="AD47" i="18"/>
  <c r="AC47" i="18"/>
  <c r="AB47" i="18"/>
  <c r="AA47" i="18"/>
  <c r="Z47" i="18"/>
  <c r="Y47" i="18"/>
  <c r="X47" i="18"/>
  <c r="W47" i="18"/>
  <c r="V47" i="18"/>
  <c r="U47" i="18"/>
  <c r="R47" i="18"/>
  <c r="P47" i="18"/>
  <c r="O47" i="18"/>
  <c r="N47" i="18"/>
  <c r="C47" i="18"/>
  <c r="AD46" i="18"/>
  <c r="AC46" i="18"/>
  <c r="AB46" i="18"/>
  <c r="AA46" i="18"/>
  <c r="Z46" i="18"/>
  <c r="Y46" i="18"/>
  <c r="X46" i="18"/>
  <c r="W46" i="18"/>
  <c r="V46" i="18"/>
  <c r="U46" i="18"/>
  <c r="R46" i="18"/>
  <c r="P46" i="18"/>
  <c r="O46" i="18"/>
  <c r="N46" i="18"/>
  <c r="C46" i="18"/>
  <c r="AD45" i="18"/>
  <c r="AC45" i="18"/>
  <c r="AB45" i="18"/>
  <c r="AA45" i="18"/>
  <c r="Z45" i="18"/>
  <c r="Y45" i="18"/>
  <c r="X45" i="18"/>
  <c r="W45" i="18"/>
  <c r="V45" i="18"/>
  <c r="U45" i="18"/>
  <c r="R45" i="18"/>
  <c r="P45" i="18"/>
  <c r="O45" i="18"/>
  <c r="N45" i="18"/>
  <c r="C45" i="18"/>
  <c r="AD44" i="18"/>
  <c r="AC44" i="18"/>
  <c r="AB44" i="18"/>
  <c r="AA44" i="18"/>
  <c r="Z44" i="18"/>
  <c r="Y44" i="18"/>
  <c r="X44" i="18"/>
  <c r="W44" i="18"/>
  <c r="V44" i="18"/>
  <c r="U44" i="18"/>
  <c r="R44" i="18"/>
  <c r="P44" i="18"/>
  <c r="O44" i="18"/>
  <c r="N44" i="18"/>
  <c r="AD43" i="18"/>
  <c r="AC43" i="18"/>
  <c r="AB43" i="18"/>
  <c r="AA43" i="18"/>
  <c r="Z43" i="18"/>
  <c r="Y43" i="18"/>
  <c r="X43" i="18"/>
  <c r="W43" i="18"/>
  <c r="V43" i="18"/>
  <c r="U43" i="18"/>
  <c r="R43" i="18"/>
  <c r="P43" i="18"/>
  <c r="O43" i="18"/>
  <c r="N43" i="18"/>
  <c r="C43" i="18"/>
  <c r="AD42" i="18"/>
  <c r="AC42" i="18"/>
  <c r="AB42" i="18"/>
  <c r="AA42" i="18"/>
  <c r="Z42" i="18"/>
  <c r="Y42" i="18"/>
  <c r="X42" i="18"/>
  <c r="W42" i="18"/>
  <c r="V42" i="18"/>
  <c r="U42" i="18"/>
  <c r="R42" i="18"/>
  <c r="P42" i="18"/>
  <c r="O42" i="18"/>
  <c r="N42" i="18"/>
  <c r="C42" i="18"/>
  <c r="AD41" i="18"/>
  <c r="AC41" i="18"/>
  <c r="AB41" i="18"/>
  <c r="AA41" i="18"/>
  <c r="Z41" i="18"/>
  <c r="Y41" i="18"/>
  <c r="X41" i="18"/>
  <c r="W41" i="18"/>
  <c r="V41" i="18"/>
  <c r="U41" i="18"/>
  <c r="R41" i="18"/>
  <c r="P41" i="18"/>
  <c r="O41" i="18"/>
  <c r="N41" i="18"/>
  <c r="C41" i="18"/>
  <c r="AD40" i="18"/>
  <c r="AC40" i="18"/>
  <c r="AB40" i="18"/>
  <c r="AA40" i="18"/>
  <c r="Z40" i="18"/>
  <c r="Y40" i="18"/>
  <c r="X40" i="18"/>
  <c r="W40" i="18"/>
  <c r="V40" i="18"/>
  <c r="U40" i="18"/>
  <c r="R40" i="18"/>
  <c r="P40" i="18"/>
  <c r="O40" i="18"/>
  <c r="N40" i="18"/>
  <c r="C40" i="18"/>
  <c r="AD39" i="18"/>
  <c r="AC39" i="18"/>
  <c r="AB39" i="18"/>
  <c r="AA39" i="18"/>
  <c r="Z39" i="18"/>
  <c r="Y39" i="18"/>
  <c r="X39" i="18"/>
  <c r="W39" i="18"/>
  <c r="V39" i="18"/>
  <c r="U39" i="18"/>
  <c r="R39" i="18"/>
  <c r="P39" i="18"/>
  <c r="O39" i="18"/>
  <c r="N39" i="18"/>
  <c r="C39" i="18"/>
  <c r="AD38" i="18"/>
  <c r="AC38" i="18"/>
  <c r="AB38" i="18"/>
  <c r="AA38" i="18"/>
  <c r="Z38" i="18"/>
  <c r="Y38" i="18"/>
  <c r="X38" i="18"/>
  <c r="W38" i="18"/>
  <c r="V38" i="18"/>
  <c r="U38" i="18"/>
  <c r="R38" i="18"/>
  <c r="P38" i="18"/>
  <c r="O38" i="18"/>
  <c r="N38" i="18"/>
  <c r="C38" i="18"/>
  <c r="AD37" i="18"/>
  <c r="AC37" i="18"/>
  <c r="AB37" i="18"/>
  <c r="AA37" i="18"/>
  <c r="Z37" i="18"/>
  <c r="Y37" i="18"/>
  <c r="X37" i="18"/>
  <c r="W37" i="18"/>
  <c r="V37" i="18"/>
  <c r="U37" i="18"/>
  <c r="R37" i="18"/>
  <c r="P37" i="18"/>
  <c r="O37" i="18"/>
  <c r="N37" i="18"/>
  <c r="C37" i="18"/>
  <c r="AD36" i="18"/>
  <c r="AC36" i="18"/>
  <c r="AB36" i="18"/>
  <c r="AA36" i="18"/>
  <c r="Z36" i="18"/>
  <c r="Y36" i="18"/>
  <c r="X36" i="18"/>
  <c r="W36" i="18"/>
  <c r="V36" i="18"/>
  <c r="U36" i="18"/>
  <c r="R36" i="18"/>
  <c r="P36" i="18"/>
  <c r="O36" i="18"/>
  <c r="N36" i="18"/>
  <c r="C36" i="18"/>
  <c r="AD35" i="18"/>
  <c r="AC35" i="18"/>
  <c r="AB35" i="18"/>
  <c r="AA35" i="18"/>
  <c r="Z35" i="18"/>
  <c r="Y35" i="18"/>
  <c r="X35" i="18"/>
  <c r="W35" i="18"/>
  <c r="V35" i="18"/>
  <c r="U35" i="18"/>
  <c r="R35" i="18"/>
  <c r="P35" i="18"/>
  <c r="O35" i="18"/>
  <c r="N35" i="18"/>
  <c r="C35" i="18"/>
  <c r="AD34" i="18"/>
  <c r="AC34" i="18"/>
  <c r="AB34" i="18"/>
  <c r="AA34" i="18"/>
  <c r="Z34" i="18"/>
  <c r="Y34" i="18"/>
  <c r="X34" i="18"/>
  <c r="W34" i="18"/>
  <c r="V34" i="18"/>
  <c r="U34" i="18"/>
  <c r="R34" i="18"/>
  <c r="P34" i="18"/>
  <c r="O34" i="18"/>
  <c r="N34" i="18"/>
  <c r="C34" i="18"/>
  <c r="AD33" i="18"/>
  <c r="AC33" i="18"/>
  <c r="AB33" i="18"/>
  <c r="AA33" i="18"/>
  <c r="Z33" i="18"/>
  <c r="Y33" i="18"/>
  <c r="X33" i="18"/>
  <c r="W33" i="18"/>
  <c r="V33" i="18"/>
  <c r="U33" i="18"/>
  <c r="R33" i="18"/>
  <c r="P33" i="18"/>
  <c r="O33" i="18"/>
  <c r="N33" i="18"/>
  <c r="C33" i="18"/>
  <c r="AD32" i="18"/>
  <c r="AC32" i="18"/>
  <c r="AB32" i="18"/>
  <c r="AA32" i="18"/>
  <c r="Z32" i="18"/>
  <c r="Y32" i="18"/>
  <c r="X32" i="18"/>
  <c r="W32" i="18"/>
  <c r="V32" i="18"/>
  <c r="U32" i="18"/>
  <c r="R32" i="18"/>
  <c r="P32" i="18"/>
  <c r="O32" i="18"/>
  <c r="N32" i="18"/>
  <c r="AD31" i="18"/>
  <c r="AC31" i="18"/>
  <c r="AB31" i="18"/>
  <c r="AA31" i="18"/>
  <c r="Z31" i="18"/>
  <c r="Y31" i="18"/>
  <c r="X31" i="18"/>
  <c r="W31" i="18"/>
  <c r="V31" i="18"/>
  <c r="U31" i="18"/>
  <c r="R31" i="18"/>
  <c r="P31" i="18"/>
  <c r="O31" i="18"/>
  <c r="N31" i="18"/>
  <c r="C31" i="18"/>
  <c r="AD30" i="18"/>
  <c r="AC30" i="18"/>
  <c r="AB30" i="18"/>
  <c r="AA30" i="18"/>
  <c r="Z30" i="18"/>
  <c r="Y30" i="18"/>
  <c r="X30" i="18"/>
  <c r="W30" i="18"/>
  <c r="V30" i="18"/>
  <c r="U30" i="18"/>
  <c r="R30" i="18"/>
  <c r="P30" i="18"/>
  <c r="O30" i="18"/>
  <c r="N30" i="18"/>
  <c r="C30" i="18"/>
  <c r="AD29" i="18"/>
  <c r="AC29" i="18"/>
  <c r="AB29" i="18"/>
  <c r="AA29" i="18"/>
  <c r="Z29" i="18"/>
  <c r="Y29" i="18"/>
  <c r="X29" i="18"/>
  <c r="W29" i="18"/>
  <c r="V29" i="18"/>
  <c r="U29" i="18"/>
  <c r="R29" i="18"/>
  <c r="P29" i="18"/>
  <c r="O29" i="18"/>
  <c r="N29" i="18"/>
  <c r="C29" i="18"/>
  <c r="AD28" i="18"/>
  <c r="AC28" i="18"/>
  <c r="AB28" i="18"/>
  <c r="AA28" i="18"/>
  <c r="Z28" i="18"/>
  <c r="Y28" i="18"/>
  <c r="X28" i="18"/>
  <c r="W28" i="18"/>
  <c r="V28" i="18"/>
  <c r="U28" i="18"/>
  <c r="R28" i="18"/>
  <c r="P28" i="18"/>
  <c r="O28" i="18"/>
  <c r="N28" i="18"/>
  <c r="C28" i="18"/>
  <c r="AD27" i="18"/>
  <c r="AC27" i="18"/>
  <c r="AB27" i="18"/>
  <c r="AA27" i="18"/>
  <c r="Z27" i="18"/>
  <c r="Y27" i="18"/>
  <c r="X27" i="18"/>
  <c r="W27" i="18"/>
  <c r="V27" i="18"/>
  <c r="U27" i="18"/>
  <c r="R27" i="18"/>
  <c r="P27" i="18"/>
  <c r="O27" i="18"/>
  <c r="N27" i="18"/>
  <c r="C27" i="18"/>
  <c r="AD26" i="18"/>
  <c r="AC26" i="18"/>
  <c r="AB26" i="18"/>
  <c r="AA26" i="18"/>
  <c r="Z26" i="18"/>
  <c r="Y26" i="18"/>
  <c r="X26" i="18"/>
  <c r="W26" i="18"/>
  <c r="V26" i="18"/>
  <c r="U26" i="18"/>
  <c r="R26" i="18"/>
  <c r="P26" i="18"/>
  <c r="O26" i="18"/>
  <c r="N26" i="18"/>
  <c r="C26" i="18"/>
  <c r="AD25" i="18"/>
  <c r="AC25" i="18"/>
  <c r="AB25" i="18"/>
  <c r="AA25" i="18"/>
  <c r="Z25" i="18"/>
  <c r="Y25" i="18"/>
  <c r="X25" i="18"/>
  <c r="W25" i="18"/>
  <c r="V25" i="18"/>
  <c r="U25" i="18"/>
  <c r="R25" i="18"/>
  <c r="P25" i="18"/>
  <c r="O25" i="18"/>
  <c r="N25" i="18"/>
  <c r="C25" i="18"/>
  <c r="AD24" i="18"/>
  <c r="AC24" i="18"/>
  <c r="AB24" i="18"/>
  <c r="AA24" i="18"/>
  <c r="Z24" i="18"/>
  <c r="Y24" i="18"/>
  <c r="X24" i="18"/>
  <c r="W24" i="18"/>
  <c r="V24" i="18"/>
  <c r="U24" i="18"/>
  <c r="R24" i="18"/>
  <c r="P24" i="18"/>
  <c r="O24" i="18"/>
  <c r="N24" i="18"/>
  <c r="C24" i="18"/>
  <c r="AD23" i="18"/>
  <c r="AC23" i="18"/>
  <c r="AB23" i="18"/>
  <c r="AA23" i="18"/>
  <c r="Z23" i="18"/>
  <c r="Y23" i="18"/>
  <c r="X23" i="18"/>
  <c r="W23" i="18"/>
  <c r="V23" i="18"/>
  <c r="U23" i="18"/>
  <c r="R23" i="18"/>
  <c r="P23" i="18"/>
  <c r="O23" i="18"/>
  <c r="N23" i="18"/>
  <c r="AD22" i="18"/>
  <c r="AC22" i="18"/>
  <c r="AB22" i="18"/>
  <c r="AA22" i="18"/>
  <c r="Z22" i="18"/>
  <c r="Y22" i="18"/>
  <c r="X22" i="18"/>
  <c r="W22" i="18"/>
  <c r="V22" i="18"/>
  <c r="U22" i="18"/>
  <c r="R22" i="18"/>
  <c r="P22" i="18"/>
  <c r="O22" i="18"/>
  <c r="N22" i="18"/>
  <c r="C22" i="18"/>
  <c r="AD21" i="18"/>
  <c r="AC21" i="18"/>
  <c r="AB21" i="18"/>
  <c r="AA21" i="18"/>
  <c r="Z21" i="18"/>
  <c r="Y21" i="18"/>
  <c r="X21" i="18"/>
  <c r="W21" i="18"/>
  <c r="V21" i="18"/>
  <c r="U21" i="18"/>
  <c r="R21" i="18"/>
  <c r="P21" i="18"/>
  <c r="O21" i="18"/>
  <c r="N21" i="18"/>
  <c r="C21" i="18"/>
  <c r="AD20" i="18"/>
  <c r="AC20" i="18"/>
  <c r="AB20" i="18"/>
  <c r="AA20" i="18"/>
  <c r="Z20" i="18"/>
  <c r="Y20" i="18"/>
  <c r="X20" i="18"/>
  <c r="W20" i="18"/>
  <c r="V20" i="18"/>
  <c r="U20" i="18"/>
  <c r="R20" i="18"/>
  <c r="P20" i="18"/>
  <c r="O20" i="18"/>
  <c r="N20" i="18"/>
  <c r="C20" i="18"/>
  <c r="AD19" i="18"/>
  <c r="AC19" i="18"/>
  <c r="AB19" i="18"/>
  <c r="AA19" i="18"/>
  <c r="Z19" i="18"/>
  <c r="Y19" i="18"/>
  <c r="X19" i="18"/>
  <c r="W19" i="18"/>
  <c r="V19" i="18"/>
  <c r="U19" i="18"/>
  <c r="R19" i="18"/>
  <c r="P19" i="18"/>
  <c r="O19" i="18"/>
  <c r="N19" i="18"/>
  <c r="C19" i="18"/>
  <c r="AD18" i="18"/>
  <c r="AC18" i="18"/>
  <c r="AB18" i="18"/>
  <c r="AA18" i="18"/>
  <c r="Z18" i="18"/>
  <c r="Y18" i="18"/>
  <c r="X18" i="18"/>
  <c r="W18" i="18"/>
  <c r="V18" i="18"/>
  <c r="U18" i="18"/>
  <c r="R18" i="18"/>
  <c r="P18" i="18"/>
  <c r="O18" i="18"/>
  <c r="N18" i="18"/>
  <c r="C18" i="18"/>
  <c r="AD17" i="18"/>
  <c r="AC17" i="18"/>
  <c r="AB17" i="18"/>
  <c r="AA17" i="18"/>
  <c r="Z17" i="18"/>
  <c r="Y17" i="18"/>
  <c r="X17" i="18"/>
  <c r="W17" i="18"/>
  <c r="V17" i="18"/>
  <c r="U17" i="18"/>
  <c r="R17" i="18"/>
  <c r="P17" i="18"/>
  <c r="O17" i="18"/>
  <c r="N17" i="18"/>
  <c r="C17" i="18"/>
  <c r="AD16" i="18"/>
  <c r="AC16" i="18"/>
  <c r="AB16" i="18"/>
  <c r="AA16" i="18"/>
  <c r="Z16" i="18"/>
  <c r="Y16" i="18"/>
  <c r="X16" i="18"/>
  <c r="W16" i="18"/>
  <c r="V16" i="18"/>
  <c r="U16" i="18"/>
  <c r="R16" i="18"/>
  <c r="P16" i="18"/>
  <c r="O16" i="18"/>
  <c r="N16" i="18"/>
  <c r="C16" i="18"/>
  <c r="AD15" i="18"/>
  <c r="AC15" i="18"/>
  <c r="AB15" i="18"/>
  <c r="AA15" i="18"/>
  <c r="Z15" i="18"/>
  <c r="Y15" i="18"/>
  <c r="X15" i="18"/>
  <c r="W15" i="18"/>
  <c r="V15" i="18"/>
  <c r="U15" i="18"/>
  <c r="R15" i="18"/>
  <c r="P15" i="18"/>
  <c r="O15" i="18"/>
  <c r="N15" i="18"/>
  <c r="C15" i="18"/>
  <c r="AD14" i="18"/>
  <c r="AC14" i="18"/>
  <c r="AB14" i="18"/>
  <c r="AA14" i="18"/>
  <c r="Z14" i="18"/>
  <c r="Y14" i="18"/>
  <c r="X14" i="18"/>
  <c r="W14" i="18"/>
  <c r="V14" i="18"/>
  <c r="U14" i="18"/>
  <c r="R14" i="18"/>
  <c r="P14" i="18"/>
  <c r="O14" i="18"/>
  <c r="N14" i="18"/>
  <c r="AD13" i="18"/>
  <c r="AC13" i="18"/>
  <c r="AB13" i="18"/>
  <c r="AA13" i="18"/>
  <c r="Z13" i="18"/>
  <c r="Y13" i="18"/>
  <c r="X13" i="18"/>
  <c r="W13" i="18"/>
  <c r="V13" i="18"/>
  <c r="U13" i="18"/>
  <c r="R13" i="18"/>
  <c r="P13" i="18"/>
  <c r="O13" i="18"/>
  <c r="N13" i="18"/>
  <c r="C13" i="18"/>
  <c r="AD12" i="18"/>
  <c r="AC12" i="18"/>
  <c r="AB12" i="18"/>
  <c r="AA12" i="18"/>
  <c r="Z12" i="18"/>
  <c r="Y12" i="18"/>
  <c r="X12" i="18"/>
  <c r="W12" i="18"/>
  <c r="V12" i="18"/>
  <c r="U12" i="18"/>
  <c r="R12" i="18"/>
  <c r="P12" i="18"/>
  <c r="O12" i="18"/>
  <c r="N12" i="18"/>
  <c r="C12" i="18"/>
  <c r="AD11" i="18"/>
  <c r="AC11" i="18"/>
  <c r="AB11" i="18"/>
  <c r="AA11" i="18"/>
  <c r="Z11" i="18"/>
  <c r="Y11" i="18"/>
  <c r="X11" i="18"/>
  <c r="W11" i="18"/>
  <c r="V11" i="18"/>
  <c r="U11" i="18"/>
  <c r="R11" i="18"/>
  <c r="P11" i="18"/>
  <c r="O11" i="18"/>
  <c r="N11" i="18"/>
  <c r="C11" i="18"/>
  <c r="AD10" i="18"/>
  <c r="AC10" i="18"/>
  <c r="AB10" i="18"/>
  <c r="AA10" i="18"/>
  <c r="Z10" i="18"/>
  <c r="Y10" i="18"/>
  <c r="X10" i="18"/>
  <c r="W10" i="18"/>
  <c r="V10" i="18"/>
  <c r="U10" i="18"/>
  <c r="R10" i="18"/>
  <c r="P10" i="18"/>
  <c r="O10" i="18"/>
  <c r="N10" i="18"/>
  <c r="C10" i="18"/>
  <c r="AD9" i="18"/>
  <c r="AC9" i="18"/>
  <c r="AB9" i="18"/>
  <c r="AA9" i="18"/>
  <c r="Z9" i="18"/>
  <c r="Y9" i="18"/>
  <c r="X9" i="18"/>
  <c r="W9" i="18"/>
  <c r="V9" i="18"/>
  <c r="U9" i="18"/>
  <c r="R9" i="18"/>
  <c r="P9" i="18"/>
  <c r="O9" i="18"/>
  <c r="N9" i="18"/>
  <c r="C9" i="18"/>
  <c r="AD8" i="18"/>
  <c r="AC8" i="18"/>
  <c r="AB8" i="18"/>
  <c r="AA8" i="18"/>
  <c r="Z8" i="18"/>
  <c r="Y8" i="18"/>
  <c r="X8" i="18"/>
  <c r="W8" i="18"/>
  <c r="V8" i="18"/>
  <c r="U8" i="18"/>
  <c r="R8" i="18"/>
  <c r="P8" i="18"/>
  <c r="O8" i="18"/>
  <c r="N8" i="18"/>
  <c r="C8" i="18"/>
  <c r="M7" i="18"/>
  <c r="L7" i="18"/>
  <c r="K7" i="18"/>
  <c r="J7" i="18"/>
  <c r="I7" i="18"/>
  <c r="H7" i="18"/>
  <c r="G7" i="18"/>
  <c r="F7" i="18"/>
  <c r="E7" i="18"/>
  <c r="D7" i="18"/>
  <c r="M6" i="18"/>
  <c r="L6" i="18"/>
  <c r="K6" i="18"/>
  <c r="J6" i="18"/>
  <c r="I6" i="18"/>
  <c r="H6" i="18"/>
  <c r="G6" i="18"/>
  <c r="F6" i="18"/>
  <c r="E6" i="18"/>
  <c r="D6" i="18"/>
  <c r="C6" i="18"/>
  <c r="O4" i="18"/>
  <c r="O3" i="18"/>
  <c r="J261" i="17"/>
  <c r="J260" i="17"/>
  <c r="J259" i="17"/>
  <c r="N244" i="17"/>
  <c r="R243" i="17"/>
  <c r="P243" i="17"/>
  <c r="O243" i="17"/>
  <c r="M243" i="17"/>
  <c r="L243" i="17"/>
  <c r="K243" i="17"/>
  <c r="J243" i="17"/>
  <c r="I243" i="17"/>
  <c r="H243" i="17"/>
  <c r="G243" i="17"/>
  <c r="F243" i="17"/>
  <c r="E243" i="17"/>
  <c r="D243" i="17"/>
  <c r="AD242" i="17"/>
  <c r="AC242" i="17"/>
  <c r="AB242" i="17"/>
  <c r="AA242" i="17"/>
  <c r="Z242" i="17"/>
  <c r="Y242" i="17"/>
  <c r="X242" i="17"/>
  <c r="W242" i="17"/>
  <c r="V242" i="17"/>
  <c r="U242" i="17"/>
  <c r="R242" i="17"/>
  <c r="P242" i="17"/>
  <c r="O242" i="17"/>
  <c r="M242" i="17"/>
  <c r="L242" i="17"/>
  <c r="K242" i="17"/>
  <c r="J242" i="17"/>
  <c r="I242" i="17"/>
  <c r="H242" i="17"/>
  <c r="G242" i="17"/>
  <c r="F242" i="17"/>
  <c r="E242" i="17"/>
  <c r="D242" i="17"/>
  <c r="AD241" i="17"/>
  <c r="AC241" i="17"/>
  <c r="AB241" i="17"/>
  <c r="AA241" i="17"/>
  <c r="Z241" i="17"/>
  <c r="Y241" i="17"/>
  <c r="X241" i="17"/>
  <c r="W241" i="17"/>
  <c r="V241" i="17"/>
  <c r="U241" i="17"/>
  <c r="R241" i="17"/>
  <c r="P241" i="17"/>
  <c r="O241" i="17"/>
  <c r="N241" i="17"/>
  <c r="AD240" i="17"/>
  <c r="AC240" i="17"/>
  <c r="AB240" i="17"/>
  <c r="AA240" i="17"/>
  <c r="Z240" i="17"/>
  <c r="Y240" i="17"/>
  <c r="X240" i="17"/>
  <c r="W240" i="17"/>
  <c r="V240" i="17"/>
  <c r="U240" i="17"/>
  <c r="R240" i="17"/>
  <c r="P240" i="17"/>
  <c r="O240" i="17"/>
  <c r="N240" i="17"/>
  <c r="AD239" i="17"/>
  <c r="AC239" i="17"/>
  <c r="AB239" i="17"/>
  <c r="AA239" i="17"/>
  <c r="Z239" i="17"/>
  <c r="Y239" i="17"/>
  <c r="X239" i="17"/>
  <c r="W239" i="17"/>
  <c r="V239" i="17"/>
  <c r="U239" i="17"/>
  <c r="R239" i="17"/>
  <c r="P239" i="17"/>
  <c r="O239" i="17"/>
  <c r="N239" i="17"/>
  <c r="AD238" i="17"/>
  <c r="AC238" i="17"/>
  <c r="AB238" i="17"/>
  <c r="AA238" i="17"/>
  <c r="Z238" i="17"/>
  <c r="Y238" i="17"/>
  <c r="X238" i="17"/>
  <c r="W238" i="17"/>
  <c r="V238" i="17"/>
  <c r="U238" i="17"/>
  <c r="R238" i="17"/>
  <c r="P238" i="17"/>
  <c r="O238" i="17"/>
  <c r="N238" i="17"/>
  <c r="AD237" i="17"/>
  <c r="AC237" i="17"/>
  <c r="AB237" i="17"/>
  <c r="AA237" i="17"/>
  <c r="Z237" i="17"/>
  <c r="Y237" i="17"/>
  <c r="X237" i="17"/>
  <c r="W237" i="17"/>
  <c r="V237" i="17"/>
  <c r="U237" i="17"/>
  <c r="R237" i="17"/>
  <c r="P237" i="17"/>
  <c r="O237" i="17"/>
  <c r="N237" i="17"/>
  <c r="AD236" i="17"/>
  <c r="AC236" i="17"/>
  <c r="AB236" i="17"/>
  <c r="AA236" i="17"/>
  <c r="Z236" i="17"/>
  <c r="Y236" i="17"/>
  <c r="X236" i="17"/>
  <c r="W236" i="17"/>
  <c r="V236" i="17"/>
  <c r="U236" i="17"/>
  <c r="R236" i="17"/>
  <c r="P236" i="17"/>
  <c r="O236" i="17"/>
  <c r="N236" i="17"/>
  <c r="AD235" i="17"/>
  <c r="AC235" i="17"/>
  <c r="AB235" i="17"/>
  <c r="AA235" i="17"/>
  <c r="Z235" i="17"/>
  <c r="Y235" i="17"/>
  <c r="X235" i="17"/>
  <c r="W235" i="17"/>
  <c r="V235" i="17"/>
  <c r="U235" i="17"/>
  <c r="R235" i="17"/>
  <c r="P235" i="17"/>
  <c r="O235" i="17"/>
  <c r="N235" i="17"/>
  <c r="AD234" i="17"/>
  <c r="AC234" i="17"/>
  <c r="AB234" i="17"/>
  <c r="AA234" i="17"/>
  <c r="Z234" i="17"/>
  <c r="Y234" i="17"/>
  <c r="X234" i="17"/>
  <c r="W234" i="17"/>
  <c r="V234" i="17"/>
  <c r="U234" i="17"/>
  <c r="R234" i="17"/>
  <c r="P234" i="17"/>
  <c r="O234" i="17"/>
  <c r="N234" i="17"/>
  <c r="AD233" i="17"/>
  <c r="AC233" i="17"/>
  <c r="AB233" i="17"/>
  <c r="AA233" i="17"/>
  <c r="Z233" i="17"/>
  <c r="Y233" i="17"/>
  <c r="X233" i="17"/>
  <c r="W233" i="17"/>
  <c r="V233" i="17"/>
  <c r="U233" i="17"/>
  <c r="R233" i="17"/>
  <c r="P233" i="17"/>
  <c r="O233" i="17"/>
  <c r="N233" i="17"/>
  <c r="AD232" i="17"/>
  <c r="AC232" i="17"/>
  <c r="AB232" i="17"/>
  <c r="AA232" i="17"/>
  <c r="Z232" i="17"/>
  <c r="Y232" i="17"/>
  <c r="X232" i="17"/>
  <c r="W232" i="17"/>
  <c r="V232" i="17"/>
  <c r="U232" i="17"/>
  <c r="R232" i="17"/>
  <c r="P232" i="17"/>
  <c r="O232" i="17"/>
  <c r="N232" i="17"/>
  <c r="AD231" i="17"/>
  <c r="AC231" i="17"/>
  <c r="AB231" i="17"/>
  <c r="AA231" i="17"/>
  <c r="Z231" i="17"/>
  <c r="Y231" i="17"/>
  <c r="X231" i="17"/>
  <c r="W231" i="17"/>
  <c r="V231" i="17"/>
  <c r="U231" i="17"/>
  <c r="R231" i="17"/>
  <c r="P231" i="17"/>
  <c r="O231" i="17"/>
  <c r="N231" i="17"/>
  <c r="AD230" i="17"/>
  <c r="AC230" i="17"/>
  <c r="AB230" i="17"/>
  <c r="AA230" i="17"/>
  <c r="Z230" i="17"/>
  <c r="Y230" i="17"/>
  <c r="X230" i="17"/>
  <c r="W230" i="17"/>
  <c r="V230" i="17"/>
  <c r="U230" i="17"/>
  <c r="R230" i="17"/>
  <c r="P230" i="17"/>
  <c r="O230" i="17"/>
  <c r="N230" i="17"/>
  <c r="AD229" i="17"/>
  <c r="AC229" i="17"/>
  <c r="AB229" i="17"/>
  <c r="AA229" i="17"/>
  <c r="Z229" i="17"/>
  <c r="Y229" i="17"/>
  <c r="X229" i="17"/>
  <c r="W229" i="17"/>
  <c r="V229" i="17"/>
  <c r="U229" i="17"/>
  <c r="R229" i="17"/>
  <c r="P229" i="17"/>
  <c r="O229" i="17"/>
  <c r="N229" i="17"/>
  <c r="AD228" i="17"/>
  <c r="AC228" i="17"/>
  <c r="AB228" i="17"/>
  <c r="AA228" i="17"/>
  <c r="Z228" i="17"/>
  <c r="Y228" i="17"/>
  <c r="X228" i="17"/>
  <c r="W228" i="17"/>
  <c r="V228" i="17"/>
  <c r="U228" i="17"/>
  <c r="R228" i="17"/>
  <c r="P228" i="17"/>
  <c r="O228" i="17"/>
  <c r="N228" i="17"/>
  <c r="C228" i="17"/>
  <c r="AD227" i="17"/>
  <c r="AC227" i="17"/>
  <c r="AB227" i="17"/>
  <c r="AA227" i="17"/>
  <c r="Z227" i="17"/>
  <c r="Y227" i="17"/>
  <c r="X227" i="17"/>
  <c r="W227" i="17"/>
  <c r="V227" i="17"/>
  <c r="U227" i="17"/>
  <c r="R227" i="17"/>
  <c r="P227" i="17"/>
  <c r="O227" i="17"/>
  <c r="N227" i="17"/>
  <c r="C227" i="17"/>
  <c r="AD226" i="17"/>
  <c r="AC226" i="17"/>
  <c r="AB226" i="17"/>
  <c r="AA226" i="17"/>
  <c r="Z226" i="17"/>
  <c r="Y226" i="17"/>
  <c r="X226" i="17"/>
  <c r="W226" i="17"/>
  <c r="V226" i="17"/>
  <c r="U226" i="17"/>
  <c r="R226" i="17"/>
  <c r="P226" i="17"/>
  <c r="O226" i="17"/>
  <c r="N226" i="17"/>
  <c r="C226" i="17"/>
  <c r="AD225" i="17"/>
  <c r="AC225" i="17"/>
  <c r="AB225" i="17"/>
  <c r="AA225" i="17"/>
  <c r="Z225" i="17"/>
  <c r="Y225" i="17"/>
  <c r="X225" i="17"/>
  <c r="W225" i="17"/>
  <c r="V225" i="17"/>
  <c r="U225" i="17"/>
  <c r="R225" i="17"/>
  <c r="P225" i="17"/>
  <c r="O225" i="17"/>
  <c r="N225" i="17"/>
  <c r="AD224" i="17"/>
  <c r="AC224" i="17"/>
  <c r="AB224" i="17"/>
  <c r="AA224" i="17"/>
  <c r="Z224" i="17"/>
  <c r="Y224" i="17"/>
  <c r="X224" i="17"/>
  <c r="W224" i="17"/>
  <c r="V224" i="17"/>
  <c r="U224" i="17"/>
  <c r="R224" i="17"/>
  <c r="P224" i="17"/>
  <c r="O224" i="17"/>
  <c r="N224" i="17"/>
  <c r="C224" i="17"/>
  <c r="AD223" i="17"/>
  <c r="AC223" i="17"/>
  <c r="AB223" i="17"/>
  <c r="AA223" i="17"/>
  <c r="Z223" i="17"/>
  <c r="Y223" i="17"/>
  <c r="X223" i="17"/>
  <c r="W223" i="17"/>
  <c r="V223" i="17"/>
  <c r="U223" i="17"/>
  <c r="R223" i="17"/>
  <c r="P223" i="17"/>
  <c r="O223" i="17"/>
  <c r="N223" i="17"/>
  <c r="C223" i="17"/>
  <c r="AD222" i="17"/>
  <c r="AC222" i="17"/>
  <c r="AB222" i="17"/>
  <c r="AA222" i="17"/>
  <c r="Z222" i="17"/>
  <c r="Y222" i="17"/>
  <c r="X222" i="17"/>
  <c r="W222" i="17"/>
  <c r="V222" i="17"/>
  <c r="U222" i="17"/>
  <c r="R222" i="17"/>
  <c r="P222" i="17"/>
  <c r="O222" i="17"/>
  <c r="N222" i="17"/>
  <c r="C222" i="17"/>
  <c r="AD221" i="17"/>
  <c r="AC221" i="17"/>
  <c r="AB221" i="17"/>
  <c r="AA221" i="17"/>
  <c r="Z221" i="17"/>
  <c r="Y221" i="17"/>
  <c r="X221" i="17"/>
  <c r="W221" i="17"/>
  <c r="V221" i="17"/>
  <c r="U221" i="17"/>
  <c r="R221" i="17"/>
  <c r="P221" i="17"/>
  <c r="O221" i="17"/>
  <c r="N221" i="17"/>
  <c r="AD220" i="17"/>
  <c r="AC220" i="17"/>
  <c r="AB220" i="17"/>
  <c r="AA220" i="17"/>
  <c r="Z220" i="17"/>
  <c r="Y220" i="17"/>
  <c r="X220" i="17"/>
  <c r="W220" i="17"/>
  <c r="V220" i="17"/>
  <c r="U220" i="17"/>
  <c r="R220" i="17"/>
  <c r="P220" i="17"/>
  <c r="O220" i="17"/>
  <c r="N220" i="17"/>
  <c r="C220" i="17"/>
  <c r="AD219" i="17"/>
  <c r="AC219" i="17"/>
  <c r="AB219" i="17"/>
  <c r="AA219" i="17"/>
  <c r="Z219" i="17"/>
  <c r="Y219" i="17"/>
  <c r="X219" i="17"/>
  <c r="W219" i="17"/>
  <c r="V219" i="17"/>
  <c r="U219" i="17"/>
  <c r="R219" i="17"/>
  <c r="P219" i="17"/>
  <c r="O219" i="17"/>
  <c r="N219" i="17"/>
  <c r="C219" i="17"/>
  <c r="AD218" i="17"/>
  <c r="AC218" i="17"/>
  <c r="AB218" i="17"/>
  <c r="AA218" i="17"/>
  <c r="Z218" i="17"/>
  <c r="Y218" i="17"/>
  <c r="X218" i="17"/>
  <c r="W218" i="17"/>
  <c r="V218" i="17"/>
  <c r="U218" i="17"/>
  <c r="R218" i="17"/>
  <c r="P218" i="17"/>
  <c r="O218" i="17"/>
  <c r="N218" i="17"/>
  <c r="AD217" i="17"/>
  <c r="AC217" i="17"/>
  <c r="AB217" i="17"/>
  <c r="AA217" i="17"/>
  <c r="Z217" i="17"/>
  <c r="Y217" i="17"/>
  <c r="X217" i="17"/>
  <c r="W217" i="17"/>
  <c r="V217" i="17"/>
  <c r="U217" i="17"/>
  <c r="R217" i="17"/>
  <c r="P217" i="17"/>
  <c r="O217" i="17"/>
  <c r="N217" i="17"/>
  <c r="C217" i="17"/>
  <c r="AD216" i="17"/>
  <c r="AC216" i="17"/>
  <c r="AB216" i="17"/>
  <c r="AA216" i="17"/>
  <c r="Z216" i="17"/>
  <c r="Y216" i="17"/>
  <c r="X216" i="17"/>
  <c r="W216" i="17"/>
  <c r="V216" i="17"/>
  <c r="U216" i="17"/>
  <c r="R216" i="17"/>
  <c r="P216" i="17"/>
  <c r="O216" i="17"/>
  <c r="N216" i="17"/>
  <c r="C216" i="17"/>
  <c r="AD215" i="17"/>
  <c r="AC215" i="17"/>
  <c r="AB215" i="17"/>
  <c r="AA215" i="17"/>
  <c r="Z215" i="17"/>
  <c r="Y215" i="17"/>
  <c r="X215" i="17"/>
  <c r="W215" i="17"/>
  <c r="V215" i="17"/>
  <c r="U215" i="17"/>
  <c r="R215" i="17"/>
  <c r="P215" i="17"/>
  <c r="O215" i="17"/>
  <c r="N215" i="17"/>
  <c r="C215" i="17"/>
  <c r="AD214" i="17"/>
  <c r="AC214" i="17"/>
  <c r="AB214" i="17"/>
  <c r="AA214" i="17"/>
  <c r="Z214" i="17"/>
  <c r="Y214" i="17"/>
  <c r="X214" i="17"/>
  <c r="W214" i="17"/>
  <c r="V214" i="17"/>
  <c r="U214" i="17"/>
  <c r="R214" i="17"/>
  <c r="P214" i="17"/>
  <c r="O214" i="17"/>
  <c r="N214" i="17"/>
  <c r="AD213" i="17"/>
  <c r="AC213" i="17"/>
  <c r="AB213" i="17"/>
  <c r="AA213" i="17"/>
  <c r="Z213" i="17"/>
  <c r="Y213" i="17"/>
  <c r="X213" i="17"/>
  <c r="W213" i="17"/>
  <c r="V213" i="17"/>
  <c r="U213" i="17"/>
  <c r="R213" i="17"/>
  <c r="P213" i="17"/>
  <c r="O213" i="17"/>
  <c r="N213" i="17"/>
  <c r="C213" i="17"/>
  <c r="AD212" i="17"/>
  <c r="AC212" i="17"/>
  <c r="AB212" i="17"/>
  <c r="AA212" i="17"/>
  <c r="Z212" i="17"/>
  <c r="Y212" i="17"/>
  <c r="X212" i="17"/>
  <c r="W212" i="17"/>
  <c r="V212" i="17"/>
  <c r="U212" i="17"/>
  <c r="R212" i="17"/>
  <c r="P212" i="17"/>
  <c r="O212" i="17"/>
  <c r="N212" i="17"/>
  <c r="C212" i="17"/>
  <c r="AD211" i="17"/>
  <c r="AC211" i="17"/>
  <c r="AB211" i="17"/>
  <c r="AA211" i="17"/>
  <c r="Z211" i="17"/>
  <c r="Y211" i="17"/>
  <c r="X211" i="17"/>
  <c r="W211" i="17"/>
  <c r="V211" i="17"/>
  <c r="U211" i="17"/>
  <c r="R211" i="17"/>
  <c r="P211" i="17"/>
  <c r="O211" i="17"/>
  <c r="N211" i="17"/>
  <c r="C211" i="17"/>
  <c r="AD210" i="17"/>
  <c r="AC210" i="17"/>
  <c r="AB210" i="17"/>
  <c r="AA210" i="17"/>
  <c r="Z210" i="17"/>
  <c r="Y210" i="17"/>
  <c r="X210" i="17"/>
  <c r="W210" i="17"/>
  <c r="V210" i="17"/>
  <c r="U210" i="17"/>
  <c r="R210" i="17"/>
  <c r="P210" i="17"/>
  <c r="O210" i="17"/>
  <c r="N210" i="17"/>
  <c r="C210" i="17"/>
  <c r="AD209" i="17"/>
  <c r="AC209" i="17"/>
  <c r="AB209" i="17"/>
  <c r="AA209" i="17"/>
  <c r="Z209" i="17"/>
  <c r="Y209" i="17"/>
  <c r="X209" i="17"/>
  <c r="W209" i="17"/>
  <c r="V209" i="17"/>
  <c r="U209" i="17"/>
  <c r="R209" i="17"/>
  <c r="P209" i="17"/>
  <c r="O209" i="17"/>
  <c r="N209" i="17"/>
  <c r="AD208" i="17"/>
  <c r="AC208" i="17"/>
  <c r="AB208" i="17"/>
  <c r="AA208" i="17"/>
  <c r="Z208" i="17"/>
  <c r="Y208" i="17"/>
  <c r="X208" i="17"/>
  <c r="W208" i="17"/>
  <c r="V208" i="17"/>
  <c r="U208" i="17"/>
  <c r="R208" i="17"/>
  <c r="P208" i="17"/>
  <c r="O208" i="17"/>
  <c r="N208" i="17"/>
  <c r="C208" i="17"/>
  <c r="AD207" i="17"/>
  <c r="AC207" i="17"/>
  <c r="AB207" i="17"/>
  <c r="AA207" i="17"/>
  <c r="Z207" i="17"/>
  <c r="Y207" i="17"/>
  <c r="X207" i="17"/>
  <c r="W207" i="17"/>
  <c r="V207" i="17"/>
  <c r="U207" i="17"/>
  <c r="R207" i="17"/>
  <c r="P207" i="17"/>
  <c r="O207" i="17"/>
  <c r="N207" i="17"/>
  <c r="C207" i="17"/>
  <c r="AD206" i="17"/>
  <c r="AC206" i="17"/>
  <c r="AB206" i="17"/>
  <c r="AA206" i="17"/>
  <c r="Z206" i="17"/>
  <c r="Y206" i="17"/>
  <c r="X206" i="17"/>
  <c r="W206" i="17"/>
  <c r="V206" i="17"/>
  <c r="U206" i="17"/>
  <c r="R206" i="17"/>
  <c r="P206" i="17"/>
  <c r="O206" i="17"/>
  <c r="N206" i="17"/>
  <c r="C206" i="17"/>
  <c r="AD205" i="17"/>
  <c r="AC205" i="17"/>
  <c r="AB205" i="17"/>
  <c r="AA205" i="17"/>
  <c r="Z205" i="17"/>
  <c r="Y205" i="17"/>
  <c r="X205" i="17"/>
  <c r="W205" i="17"/>
  <c r="V205" i="17"/>
  <c r="U205" i="17"/>
  <c r="R205" i="17"/>
  <c r="P205" i="17"/>
  <c r="O205" i="17"/>
  <c r="N205" i="17"/>
  <c r="C205" i="17"/>
  <c r="AD204" i="17"/>
  <c r="AC204" i="17"/>
  <c r="AB204" i="17"/>
  <c r="AA204" i="17"/>
  <c r="Z204" i="17"/>
  <c r="Y204" i="17"/>
  <c r="X204" i="17"/>
  <c r="W204" i="17"/>
  <c r="V204" i="17"/>
  <c r="U204" i="17"/>
  <c r="R204" i="17"/>
  <c r="P204" i="17"/>
  <c r="O204" i="17"/>
  <c r="N204" i="17"/>
  <c r="C204" i="17"/>
  <c r="AD203" i="17"/>
  <c r="AC203" i="17"/>
  <c r="AB203" i="17"/>
  <c r="AA203" i="17"/>
  <c r="Z203" i="17"/>
  <c r="Y203" i="17"/>
  <c r="X203" i="17"/>
  <c r="W203" i="17"/>
  <c r="V203" i="17"/>
  <c r="U203" i="17"/>
  <c r="R203" i="17"/>
  <c r="P203" i="17"/>
  <c r="O203" i="17"/>
  <c r="N203" i="17"/>
  <c r="C203" i="17"/>
  <c r="AD202" i="17"/>
  <c r="AC202" i="17"/>
  <c r="AB202" i="17"/>
  <c r="AA202" i="17"/>
  <c r="Z202" i="17"/>
  <c r="Y202" i="17"/>
  <c r="X202" i="17"/>
  <c r="W202" i="17"/>
  <c r="V202" i="17"/>
  <c r="U202" i="17"/>
  <c r="R202" i="17"/>
  <c r="P202" i="17"/>
  <c r="O202" i="17"/>
  <c r="N202" i="17"/>
  <c r="C202" i="17"/>
  <c r="AD201" i="17"/>
  <c r="AC201" i="17"/>
  <c r="AB201" i="17"/>
  <c r="AA201" i="17"/>
  <c r="Z201" i="17"/>
  <c r="Y201" i="17"/>
  <c r="X201" i="17"/>
  <c r="W201" i="17"/>
  <c r="V201" i="17"/>
  <c r="U201" i="17"/>
  <c r="R201" i="17"/>
  <c r="P201" i="17"/>
  <c r="O201" i="17"/>
  <c r="N201" i="17"/>
  <c r="C201" i="17"/>
  <c r="AD200" i="17"/>
  <c r="AC200" i="17"/>
  <c r="AB200" i="17"/>
  <c r="AA200" i="17"/>
  <c r="Z200" i="17"/>
  <c r="Y200" i="17"/>
  <c r="X200" i="17"/>
  <c r="W200" i="17"/>
  <c r="V200" i="17"/>
  <c r="U200" i="17"/>
  <c r="R200" i="17"/>
  <c r="P200" i="17"/>
  <c r="O200" i="17"/>
  <c r="N200" i="17"/>
  <c r="C200" i="17"/>
  <c r="AD199" i="17"/>
  <c r="AC199" i="17"/>
  <c r="AB199" i="17"/>
  <c r="AA199" i="17"/>
  <c r="Z199" i="17"/>
  <c r="Y199" i="17"/>
  <c r="X199" i="17"/>
  <c r="W199" i="17"/>
  <c r="V199" i="17"/>
  <c r="U199" i="17"/>
  <c r="R199" i="17"/>
  <c r="P199" i="17"/>
  <c r="O199" i="17"/>
  <c r="N199" i="17"/>
  <c r="C199" i="17"/>
  <c r="AD198" i="17"/>
  <c r="AC198" i="17"/>
  <c r="AB198" i="17"/>
  <c r="AA198" i="17"/>
  <c r="Z198" i="17"/>
  <c r="Y198" i="17"/>
  <c r="X198" i="17"/>
  <c r="W198" i="17"/>
  <c r="V198" i="17"/>
  <c r="U198" i="17"/>
  <c r="R198" i="17"/>
  <c r="P198" i="17"/>
  <c r="O198" i="17"/>
  <c r="N198" i="17"/>
  <c r="C198" i="17"/>
  <c r="AD197" i="17"/>
  <c r="AC197" i="17"/>
  <c r="AB197" i="17"/>
  <c r="AA197" i="17"/>
  <c r="Z197" i="17"/>
  <c r="Y197" i="17"/>
  <c r="X197" i="17"/>
  <c r="W197" i="17"/>
  <c r="V197" i="17"/>
  <c r="U197" i="17"/>
  <c r="R197" i="17"/>
  <c r="P197" i="17"/>
  <c r="O197" i="17"/>
  <c r="N197" i="17"/>
  <c r="C197" i="17"/>
  <c r="AD196" i="17"/>
  <c r="AC196" i="17"/>
  <c r="AB196" i="17"/>
  <c r="AA196" i="17"/>
  <c r="Z196" i="17"/>
  <c r="Y196" i="17"/>
  <c r="X196" i="17"/>
  <c r="W196" i="17"/>
  <c r="V196" i="17"/>
  <c r="U196" i="17"/>
  <c r="R196" i="17"/>
  <c r="P196" i="17"/>
  <c r="O196" i="17"/>
  <c r="N196" i="17"/>
  <c r="AD195" i="17"/>
  <c r="AC195" i="17"/>
  <c r="AB195" i="17"/>
  <c r="AA195" i="17"/>
  <c r="Z195" i="17"/>
  <c r="Y195" i="17"/>
  <c r="X195" i="17"/>
  <c r="W195" i="17"/>
  <c r="V195" i="17"/>
  <c r="U195" i="17"/>
  <c r="R195" i="17"/>
  <c r="P195" i="17"/>
  <c r="O195" i="17"/>
  <c r="N195" i="17"/>
  <c r="C195" i="17"/>
  <c r="AD194" i="17"/>
  <c r="AC194" i="17"/>
  <c r="AB194" i="17"/>
  <c r="AA194" i="17"/>
  <c r="Z194" i="17"/>
  <c r="Y194" i="17"/>
  <c r="X194" i="17"/>
  <c r="W194" i="17"/>
  <c r="V194" i="17"/>
  <c r="U194" i="17"/>
  <c r="R194" i="17"/>
  <c r="P194" i="17"/>
  <c r="O194" i="17"/>
  <c r="N194" i="17"/>
  <c r="C194" i="17"/>
  <c r="AD193" i="17"/>
  <c r="AC193" i="17"/>
  <c r="AB193" i="17"/>
  <c r="AA193" i="17"/>
  <c r="Z193" i="17"/>
  <c r="Y193" i="17"/>
  <c r="X193" i="17"/>
  <c r="W193" i="17"/>
  <c r="V193" i="17"/>
  <c r="U193" i="17"/>
  <c r="R193" i="17"/>
  <c r="P193" i="17"/>
  <c r="O193" i="17"/>
  <c r="N193" i="17"/>
  <c r="C193" i="17"/>
  <c r="AD192" i="17"/>
  <c r="AC192" i="17"/>
  <c r="AB192" i="17"/>
  <c r="AA192" i="17"/>
  <c r="Z192" i="17"/>
  <c r="Y192" i="17"/>
  <c r="X192" i="17"/>
  <c r="W192" i="17"/>
  <c r="V192" i="17"/>
  <c r="U192" i="17"/>
  <c r="R192" i="17"/>
  <c r="P192" i="17"/>
  <c r="O192" i="17"/>
  <c r="N192" i="17"/>
  <c r="C192" i="17"/>
  <c r="AD191" i="17"/>
  <c r="AC191" i="17"/>
  <c r="AB191" i="17"/>
  <c r="AA191" i="17"/>
  <c r="Z191" i="17"/>
  <c r="Y191" i="17"/>
  <c r="X191" i="17"/>
  <c r="W191" i="17"/>
  <c r="V191" i="17"/>
  <c r="U191" i="17"/>
  <c r="R191" i="17"/>
  <c r="P191" i="17"/>
  <c r="O191" i="17"/>
  <c r="N191" i="17"/>
  <c r="C191" i="17"/>
  <c r="AD190" i="17"/>
  <c r="AC190" i="17"/>
  <c r="AB190" i="17"/>
  <c r="AA190" i="17"/>
  <c r="Z190" i="17"/>
  <c r="Y190" i="17"/>
  <c r="X190" i="17"/>
  <c r="W190" i="17"/>
  <c r="V190" i="17"/>
  <c r="U190" i="17"/>
  <c r="R190" i="17"/>
  <c r="P190" i="17"/>
  <c r="O190" i="17"/>
  <c r="N190" i="17"/>
  <c r="C190" i="17"/>
  <c r="AD189" i="17"/>
  <c r="AC189" i="17"/>
  <c r="AB189" i="17"/>
  <c r="AA189" i="17"/>
  <c r="Z189" i="17"/>
  <c r="Y189" i="17"/>
  <c r="X189" i="17"/>
  <c r="W189" i="17"/>
  <c r="V189" i="17"/>
  <c r="U189" i="17"/>
  <c r="R189" i="17"/>
  <c r="P189" i="17"/>
  <c r="O189" i="17"/>
  <c r="N189" i="17"/>
  <c r="C189" i="17"/>
  <c r="AD188" i="17"/>
  <c r="AC188" i="17"/>
  <c r="AB188" i="17"/>
  <c r="AA188" i="17"/>
  <c r="Z188" i="17"/>
  <c r="Y188" i="17"/>
  <c r="X188" i="17"/>
  <c r="W188" i="17"/>
  <c r="V188" i="17"/>
  <c r="U188" i="17"/>
  <c r="R188" i="17"/>
  <c r="P188" i="17"/>
  <c r="O188" i="17"/>
  <c r="N188" i="17"/>
  <c r="C188" i="17"/>
  <c r="AD187" i="17"/>
  <c r="AC187" i="17"/>
  <c r="AB187" i="17"/>
  <c r="AA187" i="17"/>
  <c r="Z187" i="17"/>
  <c r="Y187" i="17"/>
  <c r="X187" i="17"/>
  <c r="W187" i="17"/>
  <c r="V187" i="17"/>
  <c r="U187" i="17"/>
  <c r="R187" i="17"/>
  <c r="P187" i="17"/>
  <c r="O187" i="17"/>
  <c r="N187" i="17"/>
  <c r="C187" i="17"/>
  <c r="M186" i="17"/>
  <c r="L186" i="17"/>
  <c r="K186" i="17"/>
  <c r="J186" i="17"/>
  <c r="I186" i="17"/>
  <c r="H186" i="17"/>
  <c r="G186" i="17"/>
  <c r="F186" i="17"/>
  <c r="E186" i="17"/>
  <c r="D186" i="17"/>
  <c r="C186" i="17"/>
  <c r="AD184" i="17"/>
  <c r="AC184" i="17"/>
  <c r="AB184" i="17"/>
  <c r="AA184" i="17"/>
  <c r="Z184" i="17"/>
  <c r="Y184" i="17"/>
  <c r="X184" i="17"/>
  <c r="W184" i="17"/>
  <c r="V184" i="17"/>
  <c r="U184" i="17"/>
  <c r="R184" i="17"/>
  <c r="P184" i="17"/>
  <c r="O184" i="17"/>
  <c r="M184" i="17"/>
  <c r="L184" i="17"/>
  <c r="K184" i="17"/>
  <c r="J184" i="17"/>
  <c r="I184" i="17"/>
  <c r="H184" i="17"/>
  <c r="G184" i="17"/>
  <c r="F184" i="17"/>
  <c r="E184" i="17"/>
  <c r="D184" i="17"/>
  <c r="AD183" i="17"/>
  <c r="AC183" i="17"/>
  <c r="AB183" i="17"/>
  <c r="AA183" i="17"/>
  <c r="Z183" i="17"/>
  <c r="Y183" i="17"/>
  <c r="X183" i="17"/>
  <c r="W183" i="17"/>
  <c r="V183" i="17"/>
  <c r="U183" i="17"/>
  <c r="R183" i="17"/>
  <c r="P183" i="17"/>
  <c r="O183" i="17"/>
  <c r="N183" i="17"/>
  <c r="AD182" i="17"/>
  <c r="AC182" i="17"/>
  <c r="AB182" i="17"/>
  <c r="AA182" i="17"/>
  <c r="Z182" i="17"/>
  <c r="Y182" i="17"/>
  <c r="X182" i="17"/>
  <c r="W182" i="17"/>
  <c r="V182" i="17"/>
  <c r="U182" i="17"/>
  <c r="R182" i="17"/>
  <c r="P182" i="17"/>
  <c r="O182" i="17"/>
  <c r="N182" i="17"/>
  <c r="AD181" i="17"/>
  <c r="AC181" i="17"/>
  <c r="AB181" i="17"/>
  <c r="AA181" i="17"/>
  <c r="Z181" i="17"/>
  <c r="Y181" i="17"/>
  <c r="X181" i="17"/>
  <c r="W181" i="17"/>
  <c r="V181" i="17"/>
  <c r="U181" i="17"/>
  <c r="R181" i="17"/>
  <c r="P181" i="17"/>
  <c r="O181" i="17"/>
  <c r="N181" i="17"/>
  <c r="AD180" i="17"/>
  <c r="AC180" i="17"/>
  <c r="AB180" i="17"/>
  <c r="AA180" i="17"/>
  <c r="Z180" i="17"/>
  <c r="Y180" i="17"/>
  <c r="X180" i="17"/>
  <c r="W180" i="17"/>
  <c r="V180" i="17"/>
  <c r="U180" i="17"/>
  <c r="R180" i="17"/>
  <c r="P180" i="17"/>
  <c r="O180" i="17"/>
  <c r="N180" i="17"/>
  <c r="AD179" i="17"/>
  <c r="AC179" i="17"/>
  <c r="AB179" i="17"/>
  <c r="AA179" i="17"/>
  <c r="Z179" i="17"/>
  <c r="Y179" i="17"/>
  <c r="X179" i="17"/>
  <c r="W179" i="17"/>
  <c r="V179" i="17"/>
  <c r="U179" i="17"/>
  <c r="R179" i="17"/>
  <c r="P179" i="17"/>
  <c r="O179" i="17"/>
  <c r="N179" i="17"/>
  <c r="AD178" i="17"/>
  <c r="AC178" i="17"/>
  <c r="AB178" i="17"/>
  <c r="AA178" i="17"/>
  <c r="Z178" i="17"/>
  <c r="Y178" i="17"/>
  <c r="X178" i="17"/>
  <c r="W178" i="17"/>
  <c r="V178" i="17"/>
  <c r="U178" i="17"/>
  <c r="R178" i="17"/>
  <c r="P178" i="17"/>
  <c r="O178" i="17"/>
  <c r="N178" i="17"/>
  <c r="AD177" i="17"/>
  <c r="AC177" i="17"/>
  <c r="AB177" i="17"/>
  <c r="AA177" i="17"/>
  <c r="Z177" i="17"/>
  <c r="Y177" i="17"/>
  <c r="X177" i="17"/>
  <c r="W177" i="17"/>
  <c r="V177" i="17"/>
  <c r="U177" i="17"/>
  <c r="R177" i="17"/>
  <c r="P177" i="17"/>
  <c r="O177" i="17"/>
  <c r="N177" i="17"/>
  <c r="AD176" i="17"/>
  <c r="AC176" i="17"/>
  <c r="AB176" i="17"/>
  <c r="AA176" i="17"/>
  <c r="Z176" i="17"/>
  <c r="Y176" i="17"/>
  <c r="X176" i="17"/>
  <c r="W176" i="17"/>
  <c r="V176" i="17"/>
  <c r="U176" i="17"/>
  <c r="R176" i="17"/>
  <c r="P176" i="17"/>
  <c r="O176" i="17"/>
  <c r="N176" i="17"/>
  <c r="AD175" i="17"/>
  <c r="AC175" i="17"/>
  <c r="AB175" i="17"/>
  <c r="AA175" i="17"/>
  <c r="Z175" i="17"/>
  <c r="Y175" i="17"/>
  <c r="X175" i="17"/>
  <c r="W175" i="17"/>
  <c r="V175" i="17"/>
  <c r="U175" i="17"/>
  <c r="R175" i="17"/>
  <c r="P175" i="17"/>
  <c r="O175" i="17"/>
  <c r="N175" i="17"/>
  <c r="AD174" i="17"/>
  <c r="AC174" i="17"/>
  <c r="AB174" i="17"/>
  <c r="AA174" i="17"/>
  <c r="Z174" i="17"/>
  <c r="Y174" i="17"/>
  <c r="X174" i="17"/>
  <c r="W174" i="17"/>
  <c r="V174" i="17"/>
  <c r="U174" i="17"/>
  <c r="R174" i="17"/>
  <c r="P174" i="17"/>
  <c r="O174" i="17"/>
  <c r="N174" i="17"/>
  <c r="AD173" i="17"/>
  <c r="AC173" i="17"/>
  <c r="AB173" i="17"/>
  <c r="AA173" i="17"/>
  <c r="Z173" i="17"/>
  <c r="Y173" i="17"/>
  <c r="X173" i="17"/>
  <c r="W173" i="17"/>
  <c r="V173" i="17"/>
  <c r="U173" i="17"/>
  <c r="R173" i="17"/>
  <c r="P173" i="17"/>
  <c r="O173" i="17"/>
  <c r="N173" i="17"/>
  <c r="AD172" i="17"/>
  <c r="AC172" i="17"/>
  <c r="AB172" i="17"/>
  <c r="AA172" i="17"/>
  <c r="Z172" i="17"/>
  <c r="Y172" i="17"/>
  <c r="X172" i="17"/>
  <c r="W172" i="17"/>
  <c r="V172" i="17"/>
  <c r="U172" i="17"/>
  <c r="R172" i="17"/>
  <c r="P172" i="17"/>
  <c r="O172" i="17"/>
  <c r="N172" i="17"/>
  <c r="AD171" i="17"/>
  <c r="AC171" i="17"/>
  <c r="AB171" i="17"/>
  <c r="AA171" i="17"/>
  <c r="Z171" i="17"/>
  <c r="Y171" i="17"/>
  <c r="X171" i="17"/>
  <c r="W171" i="17"/>
  <c r="V171" i="17"/>
  <c r="U171" i="17"/>
  <c r="R171" i="17"/>
  <c r="P171" i="17"/>
  <c r="O171" i="17"/>
  <c r="N171" i="17"/>
  <c r="AD170" i="17"/>
  <c r="AC170" i="17"/>
  <c r="AB170" i="17"/>
  <c r="AA170" i="17"/>
  <c r="Z170" i="17"/>
  <c r="Y170" i="17"/>
  <c r="X170" i="17"/>
  <c r="W170" i="17"/>
  <c r="V170" i="17"/>
  <c r="U170" i="17"/>
  <c r="R170" i="17"/>
  <c r="P170" i="17"/>
  <c r="O170" i="17"/>
  <c r="N170" i="17"/>
  <c r="AD169" i="17"/>
  <c r="AC169" i="17"/>
  <c r="AB169" i="17"/>
  <c r="AA169" i="17"/>
  <c r="Z169" i="17"/>
  <c r="Y169" i="17"/>
  <c r="X169" i="17"/>
  <c r="W169" i="17"/>
  <c r="V169" i="17"/>
  <c r="U169" i="17"/>
  <c r="R169" i="17"/>
  <c r="P169" i="17"/>
  <c r="O169" i="17"/>
  <c r="N169" i="17"/>
  <c r="AD168" i="17"/>
  <c r="AC168" i="17"/>
  <c r="AB168" i="17"/>
  <c r="AA168" i="17"/>
  <c r="Z168" i="17"/>
  <c r="Y168" i="17"/>
  <c r="X168" i="17"/>
  <c r="W168" i="17"/>
  <c r="V168" i="17"/>
  <c r="U168" i="17"/>
  <c r="R168" i="17"/>
  <c r="P168" i="17"/>
  <c r="O168" i="17"/>
  <c r="N168" i="17"/>
  <c r="AD167" i="17"/>
  <c r="AC167" i="17"/>
  <c r="AB167" i="17"/>
  <c r="AA167" i="17"/>
  <c r="Z167" i="17"/>
  <c r="Y167" i="17"/>
  <c r="X167" i="17"/>
  <c r="W167" i="17"/>
  <c r="V167" i="17"/>
  <c r="U167" i="17"/>
  <c r="R167" i="17"/>
  <c r="P167" i="17"/>
  <c r="O167" i="17"/>
  <c r="N167" i="17"/>
  <c r="AD166" i="17"/>
  <c r="AC166" i="17"/>
  <c r="AB166" i="17"/>
  <c r="AA166" i="17"/>
  <c r="Z166" i="17"/>
  <c r="Y166" i="17"/>
  <c r="X166" i="17"/>
  <c r="W166" i="17"/>
  <c r="V166" i="17"/>
  <c r="U166" i="17"/>
  <c r="R166" i="17"/>
  <c r="P166" i="17"/>
  <c r="O166" i="17"/>
  <c r="N166" i="17"/>
  <c r="AD165" i="17"/>
  <c r="AC165" i="17"/>
  <c r="AB165" i="17"/>
  <c r="AA165" i="17"/>
  <c r="Z165" i="17"/>
  <c r="Y165" i="17"/>
  <c r="X165" i="17"/>
  <c r="W165" i="17"/>
  <c r="V165" i="17"/>
  <c r="U165" i="17"/>
  <c r="R165" i="17"/>
  <c r="P165" i="17"/>
  <c r="O165" i="17"/>
  <c r="N165" i="17"/>
  <c r="AD164" i="17"/>
  <c r="AC164" i="17"/>
  <c r="AB164" i="17"/>
  <c r="AA164" i="17"/>
  <c r="Z164" i="17"/>
  <c r="Y164" i="17"/>
  <c r="X164" i="17"/>
  <c r="W164" i="17"/>
  <c r="V164" i="17"/>
  <c r="U164" i="17"/>
  <c r="R164" i="17"/>
  <c r="P164" i="17"/>
  <c r="O164" i="17"/>
  <c r="N164" i="17"/>
  <c r="AD163" i="17"/>
  <c r="AC163" i="17"/>
  <c r="AB163" i="17"/>
  <c r="AA163" i="17"/>
  <c r="Z163" i="17"/>
  <c r="Y163" i="17"/>
  <c r="X163" i="17"/>
  <c r="W163" i="17"/>
  <c r="V163" i="17"/>
  <c r="U163" i="17"/>
  <c r="R163" i="17"/>
  <c r="P163" i="17"/>
  <c r="O163" i="17"/>
  <c r="N163" i="17"/>
  <c r="AD162" i="17"/>
  <c r="AC162" i="17"/>
  <c r="AB162" i="17"/>
  <c r="AA162" i="17"/>
  <c r="Z162" i="17"/>
  <c r="Y162" i="17"/>
  <c r="X162" i="17"/>
  <c r="W162" i="17"/>
  <c r="V162" i="17"/>
  <c r="U162" i="17"/>
  <c r="R162" i="17"/>
  <c r="P162" i="17"/>
  <c r="O162" i="17"/>
  <c r="N162" i="17"/>
  <c r="AD161" i="17"/>
  <c r="AC161" i="17"/>
  <c r="AB161" i="17"/>
  <c r="AA161" i="17"/>
  <c r="Z161" i="17"/>
  <c r="Y161" i="17"/>
  <c r="X161" i="17"/>
  <c r="W161" i="17"/>
  <c r="V161" i="17"/>
  <c r="U161" i="17"/>
  <c r="R161" i="17"/>
  <c r="P161" i="17"/>
  <c r="O161" i="17"/>
  <c r="N161" i="17"/>
  <c r="AD160" i="17"/>
  <c r="AC160" i="17"/>
  <c r="AB160" i="17"/>
  <c r="AA160" i="17"/>
  <c r="Z160" i="17"/>
  <c r="Y160" i="17"/>
  <c r="X160" i="17"/>
  <c r="W160" i="17"/>
  <c r="V160" i="17"/>
  <c r="U160" i="17"/>
  <c r="R160" i="17"/>
  <c r="P160" i="17"/>
  <c r="O160" i="17"/>
  <c r="N160" i="17"/>
  <c r="AD159" i="17"/>
  <c r="AC159" i="17"/>
  <c r="AB159" i="17"/>
  <c r="AA159" i="17"/>
  <c r="Z159" i="17"/>
  <c r="Y159" i="17"/>
  <c r="X159" i="17"/>
  <c r="W159" i="17"/>
  <c r="V159" i="17"/>
  <c r="U159" i="17"/>
  <c r="R159" i="17"/>
  <c r="P159" i="17"/>
  <c r="O159" i="17"/>
  <c r="N159" i="17"/>
  <c r="AD158" i="17"/>
  <c r="AC158" i="17"/>
  <c r="AB158" i="17"/>
  <c r="AA158" i="17"/>
  <c r="Z158" i="17"/>
  <c r="Y158" i="17"/>
  <c r="X158" i="17"/>
  <c r="W158" i="17"/>
  <c r="V158" i="17"/>
  <c r="U158" i="17"/>
  <c r="R158" i="17"/>
  <c r="P158" i="17"/>
  <c r="O158" i="17"/>
  <c r="N158" i="17"/>
  <c r="AD157" i="17"/>
  <c r="AC157" i="17"/>
  <c r="AB157" i="17"/>
  <c r="AA157" i="17"/>
  <c r="Z157" i="17"/>
  <c r="Y157" i="17"/>
  <c r="X157" i="17"/>
  <c r="W157" i="17"/>
  <c r="V157" i="17"/>
  <c r="U157" i="17"/>
  <c r="R157" i="17"/>
  <c r="P157" i="17"/>
  <c r="O157" i="17"/>
  <c r="N157" i="17"/>
  <c r="AD156" i="17"/>
  <c r="AC156" i="17"/>
  <c r="AB156" i="17"/>
  <c r="AA156" i="17"/>
  <c r="Z156" i="17"/>
  <c r="Y156" i="17"/>
  <c r="X156" i="17"/>
  <c r="W156" i="17"/>
  <c r="V156" i="17"/>
  <c r="U156" i="17"/>
  <c r="R156" i="17"/>
  <c r="P156" i="17"/>
  <c r="O156" i="17"/>
  <c r="N156" i="17"/>
  <c r="AD155" i="17"/>
  <c r="AC155" i="17"/>
  <c r="AB155" i="17"/>
  <c r="AA155" i="17"/>
  <c r="Z155" i="17"/>
  <c r="Y155" i="17"/>
  <c r="X155" i="17"/>
  <c r="W155" i="17"/>
  <c r="V155" i="17"/>
  <c r="U155" i="17"/>
  <c r="R155" i="17"/>
  <c r="P155" i="17"/>
  <c r="O155" i="17"/>
  <c r="N155" i="17"/>
  <c r="AD154" i="17"/>
  <c r="AC154" i="17"/>
  <c r="AB154" i="17"/>
  <c r="AA154" i="17"/>
  <c r="Z154" i="17"/>
  <c r="Y154" i="17"/>
  <c r="X154" i="17"/>
  <c r="W154" i="17"/>
  <c r="V154" i="17"/>
  <c r="U154" i="17"/>
  <c r="R154" i="17"/>
  <c r="P154" i="17"/>
  <c r="O154" i="17"/>
  <c r="N154" i="17"/>
  <c r="AD153" i="17"/>
  <c r="AC153" i="17"/>
  <c r="AB153" i="17"/>
  <c r="AA153" i="17"/>
  <c r="Z153" i="17"/>
  <c r="Y153" i="17"/>
  <c r="X153" i="17"/>
  <c r="W153" i="17"/>
  <c r="V153" i="17"/>
  <c r="U153" i="17"/>
  <c r="R153" i="17"/>
  <c r="P153" i="17"/>
  <c r="O153" i="17"/>
  <c r="N153" i="17"/>
  <c r="AD152" i="17"/>
  <c r="AC152" i="17"/>
  <c r="AB152" i="17"/>
  <c r="AA152" i="17"/>
  <c r="Z152" i="17"/>
  <c r="Y152" i="17"/>
  <c r="X152" i="17"/>
  <c r="W152" i="17"/>
  <c r="V152" i="17"/>
  <c r="U152" i="17"/>
  <c r="R152" i="17"/>
  <c r="P152" i="17"/>
  <c r="O152" i="17"/>
  <c r="N152" i="17"/>
  <c r="AD151" i="17"/>
  <c r="AC151" i="17"/>
  <c r="AB151" i="17"/>
  <c r="AA151" i="17"/>
  <c r="Z151" i="17"/>
  <c r="Y151" i="17"/>
  <c r="X151" i="17"/>
  <c r="W151" i="17"/>
  <c r="V151" i="17"/>
  <c r="U151" i="17"/>
  <c r="R151" i="17"/>
  <c r="P151" i="17"/>
  <c r="O151" i="17"/>
  <c r="N151" i="17"/>
  <c r="AD150" i="17"/>
  <c r="AC150" i="17"/>
  <c r="AB150" i="17"/>
  <c r="AA150" i="17"/>
  <c r="Z150" i="17"/>
  <c r="Y150" i="17"/>
  <c r="X150" i="17"/>
  <c r="W150" i="17"/>
  <c r="V150" i="17"/>
  <c r="U150" i="17"/>
  <c r="R150" i="17"/>
  <c r="P150" i="17"/>
  <c r="O150" i="17"/>
  <c r="N150" i="17"/>
  <c r="AD149" i="17"/>
  <c r="AC149" i="17"/>
  <c r="AB149" i="17"/>
  <c r="AA149" i="17"/>
  <c r="Z149" i="17"/>
  <c r="Y149" i="17"/>
  <c r="X149" i="17"/>
  <c r="W149" i="17"/>
  <c r="V149" i="17"/>
  <c r="U149" i="17"/>
  <c r="R149" i="17"/>
  <c r="P149" i="17"/>
  <c r="O149" i="17"/>
  <c r="N149" i="17"/>
  <c r="C149" i="17"/>
  <c r="AD148" i="17"/>
  <c r="AC148" i="17"/>
  <c r="AB148" i="17"/>
  <c r="AA148" i="17"/>
  <c r="Z148" i="17"/>
  <c r="Y148" i="17"/>
  <c r="X148" i="17"/>
  <c r="W148" i="17"/>
  <c r="V148" i="17"/>
  <c r="U148" i="17"/>
  <c r="R148" i="17"/>
  <c r="P148" i="17"/>
  <c r="O148" i="17"/>
  <c r="N148" i="17"/>
  <c r="AD147" i="17"/>
  <c r="AC147" i="17"/>
  <c r="AB147" i="17"/>
  <c r="AA147" i="17"/>
  <c r="Z147" i="17"/>
  <c r="Y147" i="17"/>
  <c r="X147" i="17"/>
  <c r="W147" i="17"/>
  <c r="V147" i="17"/>
  <c r="U147" i="17"/>
  <c r="R147" i="17"/>
  <c r="P147" i="17"/>
  <c r="O147" i="17"/>
  <c r="N147" i="17"/>
  <c r="C147" i="17"/>
  <c r="AD146" i="17"/>
  <c r="AC146" i="17"/>
  <c r="AB146" i="17"/>
  <c r="AA146" i="17"/>
  <c r="Z146" i="17"/>
  <c r="Y146" i="17"/>
  <c r="X146" i="17"/>
  <c r="W146" i="17"/>
  <c r="V146" i="17"/>
  <c r="U146" i="17"/>
  <c r="R146" i="17"/>
  <c r="P146" i="17"/>
  <c r="O146" i="17"/>
  <c r="N146" i="17"/>
  <c r="AD145" i="17"/>
  <c r="AC145" i="17"/>
  <c r="AB145" i="17"/>
  <c r="AA145" i="17"/>
  <c r="Z145" i="17"/>
  <c r="Y145" i="17"/>
  <c r="X145" i="17"/>
  <c r="W145" i="17"/>
  <c r="V145" i="17"/>
  <c r="U145" i="17"/>
  <c r="R145" i="17"/>
  <c r="P145" i="17"/>
  <c r="O145" i="17"/>
  <c r="N145" i="17"/>
  <c r="C145" i="17"/>
  <c r="AD144" i="17"/>
  <c r="AC144" i="17"/>
  <c r="AB144" i="17"/>
  <c r="AA144" i="17"/>
  <c r="Z144" i="17"/>
  <c r="Y144" i="17"/>
  <c r="X144" i="17"/>
  <c r="W144" i="17"/>
  <c r="V144" i="17"/>
  <c r="U144" i="17"/>
  <c r="R144" i="17"/>
  <c r="P144" i="17"/>
  <c r="O144" i="17"/>
  <c r="N144" i="17"/>
  <c r="C144" i="17"/>
  <c r="AD143" i="17"/>
  <c r="AC143" i="17"/>
  <c r="AB143" i="17"/>
  <c r="AA143" i="17"/>
  <c r="Z143" i="17"/>
  <c r="Y143" i="17"/>
  <c r="X143" i="17"/>
  <c r="W143" i="17"/>
  <c r="V143" i="17"/>
  <c r="U143" i="17"/>
  <c r="R143" i="17"/>
  <c r="P143" i="17"/>
  <c r="O143" i="17"/>
  <c r="N143" i="17"/>
  <c r="C143" i="17"/>
  <c r="AD142" i="17"/>
  <c r="AC142" i="17"/>
  <c r="AB142" i="17"/>
  <c r="AA142" i="17"/>
  <c r="Z142" i="17"/>
  <c r="Y142" i="17"/>
  <c r="X142" i="17"/>
  <c r="W142" i="17"/>
  <c r="V142" i="17"/>
  <c r="U142" i="17"/>
  <c r="R142" i="17"/>
  <c r="P142" i="17"/>
  <c r="O142" i="17"/>
  <c r="N142" i="17"/>
  <c r="AD141" i="17"/>
  <c r="AC141" i="17"/>
  <c r="AB141" i="17"/>
  <c r="AA141" i="17"/>
  <c r="Z141" i="17"/>
  <c r="Y141" i="17"/>
  <c r="X141" i="17"/>
  <c r="W141" i="17"/>
  <c r="V141" i="17"/>
  <c r="U141" i="17"/>
  <c r="R141" i="17"/>
  <c r="P141" i="17"/>
  <c r="O141" i="17"/>
  <c r="N141" i="17"/>
  <c r="C141" i="17"/>
  <c r="AD140" i="17"/>
  <c r="AC140" i="17"/>
  <c r="AB140" i="17"/>
  <c r="AA140" i="17"/>
  <c r="Z140" i="17"/>
  <c r="Y140" i="17"/>
  <c r="X140" i="17"/>
  <c r="W140" i="17"/>
  <c r="V140" i="17"/>
  <c r="U140" i="17"/>
  <c r="R140" i="17"/>
  <c r="P140" i="17"/>
  <c r="O140" i="17"/>
  <c r="N140" i="17"/>
  <c r="C140" i="17"/>
  <c r="AD139" i="17"/>
  <c r="AC139" i="17"/>
  <c r="AB139" i="17"/>
  <c r="AA139" i="17"/>
  <c r="Z139" i="17"/>
  <c r="Y139" i="17"/>
  <c r="X139" i="17"/>
  <c r="W139" i="17"/>
  <c r="V139" i="17"/>
  <c r="U139" i="17"/>
  <c r="R139" i="17"/>
  <c r="P139" i="17"/>
  <c r="O139" i="17"/>
  <c r="N139" i="17"/>
  <c r="AD138" i="17"/>
  <c r="AC138" i="17"/>
  <c r="AB138" i="17"/>
  <c r="AA138" i="17"/>
  <c r="Z138" i="17"/>
  <c r="Y138" i="17"/>
  <c r="X138" i="17"/>
  <c r="W138" i="17"/>
  <c r="V138" i="17"/>
  <c r="U138" i="17"/>
  <c r="R138" i="17"/>
  <c r="P138" i="17"/>
  <c r="O138" i="17"/>
  <c r="N138" i="17"/>
  <c r="C138" i="17"/>
  <c r="AD137" i="17"/>
  <c r="AC137" i="17"/>
  <c r="AB137" i="17"/>
  <c r="AA137" i="17"/>
  <c r="Z137" i="17"/>
  <c r="Y137" i="17"/>
  <c r="X137" i="17"/>
  <c r="W137" i="17"/>
  <c r="V137" i="17"/>
  <c r="U137" i="17"/>
  <c r="R137" i="17"/>
  <c r="P137" i="17"/>
  <c r="O137" i="17"/>
  <c r="N137" i="17"/>
  <c r="C137" i="17"/>
  <c r="AD136" i="17"/>
  <c r="AC136" i="17"/>
  <c r="AB136" i="17"/>
  <c r="AA136" i="17"/>
  <c r="Z136" i="17"/>
  <c r="Y136" i="17"/>
  <c r="X136" i="17"/>
  <c r="W136" i="17"/>
  <c r="V136" i="17"/>
  <c r="U136" i="17"/>
  <c r="R136" i="17"/>
  <c r="P136" i="17"/>
  <c r="O136" i="17"/>
  <c r="N136" i="17"/>
  <c r="C136" i="17"/>
  <c r="AD135" i="17"/>
  <c r="AC135" i="17"/>
  <c r="AB135" i="17"/>
  <c r="AA135" i="17"/>
  <c r="Z135" i="17"/>
  <c r="Y135" i="17"/>
  <c r="X135" i="17"/>
  <c r="W135" i="17"/>
  <c r="V135" i="17"/>
  <c r="U135" i="17"/>
  <c r="R135" i="17"/>
  <c r="P135" i="17"/>
  <c r="O135" i="17"/>
  <c r="N135" i="17"/>
  <c r="C135" i="17"/>
  <c r="AD134" i="17"/>
  <c r="AC134" i="17"/>
  <c r="AB134" i="17"/>
  <c r="AA134" i="17"/>
  <c r="Z134" i="17"/>
  <c r="Y134" i="17"/>
  <c r="X134" i="17"/>
  <c r="W134" i="17"/>
  <c r="V134" i="17"/>
  <c r="U134" i="17"/>
  <c r="R134" i="17"/>
  <c r="P134" i="17"/>
  <c r="O134" i="17"/>
  <c r="N134" i="17"/>
  <c r="C134" i="17"/>
  <c r="AD133" i="17"/>
  <c r="AC133" i="17"/>
  <c r="AB133" i="17"/>
  <c r="AA133" i="17"/>
  <c r="Z133" i="17"/>
  <c r="Y133" i="17"/>
  <c r="X133" i="17"/>
  <c r="W133" i="17"/>
  <c r="V133" i="17"/>
  <c r="U133" i="17"/>
  <c r="R133" i="17"/>
  <c r="P133" i="17"/>
  <c r="O133" i="17"/>
  <c r="N133" i="17"/>
  <c r="AD132" i="17"/>
  <c r="AC132" i="17"/>
  <c r="AB132" i="17"/>
  <c r="AA132" i="17"/>
  <c r="Z132" i="17"/>
  <c r="Y132" i="17"/>
  <c r="X132" i="17"/>
  <c r="W132" i="17"/>
  <c r="V132" i="17"/>
  <c r="U132" i="17"/>
  <c r="R132" i="17"/>
  <c r="P132" i="17"/>
  <c r="O132" i="17"/>
  <c r="N132" i="17"/>
  <c r="C132" i="17"/>
  <c r="AD131" i="17"/>
  <c r="AC131" i="17"/>
  <c r="AB131" i="17"/>
  <c r="AA131" i="17"/>
  <c r="Z131" i="17"/>
  <c r="Y131" i="17"/>
  <c r="X131" i="17"/>
  <c r="W131" i="17"/>
  <c r="V131" i="17"/>
  <c r="U131" i="17"/>
  <c r="R131" i="17"/>
  <c r="P131" i="17"/>
  <c r="O131" i="17"/>
  <c r="N131" i="17"/>
  <c r="C131" i="17"/>
  <c r="AD130" i="17"/>
  <c r="AC130" i="17"/>
  <c r="AB130" i="17"/>
  <c r="AA130" i="17"/>
  <c r="Z130" i="17"/>
  <c r="Y130" i="17"/>
  <c r="X130" i="17"/>
  <c r="W130" i="17"/>
  <c r="V130" i="17"/>
  <c r="U130" i="17"/>
  <c r="R130" i="17"/>
  <c r="P130" i="17"/>
  <c r="O130" i="17"/>
  <c r="N130" i="17"/>
  <c r="C130" i="17"/>
  <c r="AD129" i="17"/>
  <c r="AC129" i="17"/>
  <c r="AB129" i="17"/>
  <c r="AA129" i="17"/>
  <c r="Z129" i="17"/>
  <c r="Y129" i="17"/>
  <c r="X129" i="17"/>
  <c r="W129" i="17"/>
  <c r="V129" i="17"/>
  <c r="U129" i="17"/>
  <c r="R129" i="17"/>
  <c r="P129" i="17"/>
  <c r="O129" i="17"/>
  <c r="N129" i="17"/>
  <c r="C129" i="17"/>
  <c r="AD128" i="17"/>
  <c r="AC128" i="17"/>
  <c r="AB128" i="17"/>
  <c r="AA128" i="17"/>
  <c r="Z128" i="17"/>
  <c r="Y128" i="17"/>
  <c r="X128" i="17"/>
  <c r="W128" i="17"/>
  <c r="V128" i="17"/>
  <c r="U128" i="17"/>
  <c r="R128" i="17"/>
  <c r="P128" i="17"/>
  <c r="O128" i="17"/>
  <c r="N128" i="17"/>
  <c r="AD127" i="17"/>
  <c r="AC127" i="17"/>
  <c r="AB127" i="17"/>
  <c r="AA127" i="17"/>
  <c r="Z127" i="17"/>
  <c r="Y127" i="17"/>
  <c r="X127" i="17"/>
  <c r="W127" i="17"/>
  <c r="V127" i="17"/>
  <c r="U127" i="17"/>
  <c r="R127" i="17"/>
  <c r="P127" i="17"/>
  <c r="O127" i="17"/>
  <c r="N127" i="17"/>
  <c r="C127" i="17"/>
  <c r="AD126" i="17"/>
  <c r="AC126" i="17"/>
  <c r="AB126" i="17"/>
  <c r="AA126" i="17"/>
  <c r="Z126" i="17"/>
  <c r="Y126" i="17"/>
  <c r="X126" i="17"/>
  <c r="W126" i="17"/>
  <c r="V126" i="17"/>
  <c r="U126" i="17"/>
  <c r="R126" i="17"/>
  <c r="P126" i="17"/>
  <c r="O126" i="17"/>
  <c r="N126" i="17"/>
  <c r="C126" i="17"/>
  <c r="AD125" i="17"/>
  <c r="AC125" i="17"/>
  <c r="AB125" i="17"/>
  <c r="AA125" i="17"/>
  <c r="Z125" i="17"/>
  <c r="Y125" i="17"/>
  <c r="X125" i="17"/>
  <c r="W125" i="17"/>
  <c r="V125" i="17"/>
  <c r="U125" i="17"/>
  <c r="R125" i="17"/>
  <c r="P125" i="17"/>
  <c r="O125" i="17"/>
  <c r="N125" i="17"/>
  <c r="C125" i="17"/>
  <c r="AD124" i="17"/>
  <c r="AC124" i="17"/>
  <c r="AB124" i="17"/>
  <c r="AA124" i="17"/>
  <c r="Z124" i="17"/>
  <c r="Y124" i="17"/>
  <c r="X124" i="17"/>
  <c r="W124" i="17"/>
  <c r="V124" i="17"/>
  <c r="U124" i="17"/>
  <c r="R124" i="17"/>
  <c r="P124" i="17"/>
  <c r="O124" i="17"/>
  <c r="N124" i="17"/>
  <c r="C124" i="17"/>
  <c r="AD123" i="17"/>
  <c r="AC123" i="17"/>
  <c r="AB123" i="17"/>
  <c r="AA123" i="17"/>
  <c r="Z123" i="17"/>
  <c r="Y123" i="17"/>
  <c r="X123" i="17"/>
  <c r="W123" i="17"/>
  <c r="V123" i="17"/>
  <c r="U123" i="17"/>
  <c r="R123" i="17"/>
  <c r="P123" i="17"/>
  <c r="O123" i="17"/>
  <c r="N123" i="17"/>
  <c r="C123" i="17"/>
  <c r="AD122" i="17"/>
  <c r="AC122" i="17"/>
  <c r="AB122" i="17"/>
  <c r="AA122" i="17"/>
  <c r="Z122" i="17"/>
  <c r="Y122" i="17"/>
  <c r="X122" i="17"/>
  <c r="W122" i="17"/>
  <c r="V122" i="17"/>
  <c r="U122" i="17"/>
  <c r="R122" i="17"/>
  <c r="P122" i="17"/>
  <c r="O122" i="17"/>
  <c r="N122" i="17"/>
  <c r="C122" i="17"/>
  <c r="AD121" i="17"/>
  <c r="AC121" i="17"/>
  <c r="AB121" i="17"/>
  <c r="AA121" i="17"/>
  <c r="Z121" i="17"/>
  <c r="Y121" i="17"/>
  <c r="X121" i="17"/>
  <c r="W121" i="17"/>
  <c r="V121" i="17"/>
  <c r="U121" i="17"/>
  <c r="R121" i="17"/>
  <c r="P121" i="17"/>
  <c r="O121" i="17"/>
  <c r="N121" i="17"/>
  <c r="C121" i="17"/>
  <c r="AD120" i="17"/>
  <c r="AC120" i="17"/>
  <c r="AB120" i="17"/>
  <c r="AA120" i="17"/>
  <c r="Z120" i="17"/>
  <c r="Y120" i="17"/>
  <c r="X120" i="17"/>
  <c r="W120" i="17"/>
  <c r="V120" i="17"/>
  <c r="U120" i="17"/>
  <c r="R120" i="17"/>
  <c r="P120" i="17"/>
  <c r="O120" i="17"/>
  <c r="N120" i="17"/>
  <c r="C120" i="17"/>
  <c r="AD119" i="17"/>
  <c r="AC119" i="17"/>
  <c r="AB119" i="17"/>
  <c r="AA119" i="17"/>
  <c r="Z119" i="17"/>
  <c r="Y119" i="17"/>
  <c r="X119" i="17"/>
  <c r="W119" i="17"/>
  <c r="V119" i="17"/>
  <c r="U119" i="17"/>
  <c r="R119" i="17"/>
  <c r="P119" i="17"/>
  <c r="O119" i="17"/>
  <c r="N119" i="17"/>
  <c r="C119" i="17"/>
  <c r="AD118" i="17"/>
  <c r="AC118" i="17"/>
  <c r="AB118" i="17"/>
  <c r="AA118" i="17"/>
  <c r="Z118" i="17"/>
  <c r="Y118" i="17"/>
  <c r="X118" i="17"/>
  <c r="W118" i="17"/>
  <c r="V118" i="17"/>
  <c r="U118" i="17"/>
  <c r="R118" i="17"/>
  <c r="P118" i="17"/>
  <c r="O118" i="17"/>
  <c r="N118" i="17"/>
  <c r="AD117" i="17"/>
  <c r="AC117" i="17"/>
  <c r="AB117" i="17"/>
  <c r="AA117" i="17"/>
  <c r="Z117" i="17"/>
  <c r="Y117" i="17"/>
  <c r="X117" i="17"/>
  <c r="W117" i="17"/>
  <c r="V117" i="17"/>
  <c r="U117" i="17"/>
  <c r="R117" i="17"/>
  <c r="P117" i="17"/>
  <c r="O117" i="17"/>
  <c r="N117" i="17"/>
  <c r="C117" i="17"/>
  <c r="AD116" i="17"/>
  <c r="AC116" i="17"/>
  <c r="AB116" i="17"/>
  <c r="AA116" i="17"/>
  <c r="Z116" i="17"/>
  <c r="Y116" i="17"/>
  <c r="X116" i="17"/>
  <c r="W116" i="17"/>
  <c r="V116" i="17"/>
  <c r="U116" i="17"/>
  <c r="R116" i="17"/>
  <c r="P116" i="17"/>
  <c r="O116" i="17"/>
  <c r="N116" i="17"/>
  <c r="C116" i="17"/>
  <c r="AD115" i="17"/>
  <c r="AC115" i="17"/>
  <c r="AB115" i="17"/>
  <c r="AA115" i="17"/>
  <c r="Z115" i="17"/>
  <c r="Y115" i="17"/>
  <c r="X115" i="17"/>
  <c r="W115" i="17"/>
  <c r="V115" i="17"/>
  <c r="U115" i="17"/>
  <c r="R115" i="17"/>
  <c r="P115" i="17"/>
  <c r="O115" i="17"/>
  <c r="N115" i="17"/>
  <c r="C115" i="17"/>
  <c r="AD114" i="17"/>
  <c r="AC114" i="17"/>
  <c r="AB114" i="17"/>
  <c r="AA114" i="17"/>
  <c r="Z114" i="17"/>
  <c r="Y114" i="17"/>
  <c r="X114" i="17"/>
  <c r="W114" i="17"/>
  <c r="V114" i="17"/>
  <c r="U114" i="17"/>
  <c r="R114" i="17"/>
  <c r="P114" i="17"/>
  <c r="O114" i="17"/>
  <c r="N114" i="17"/>
  <c r="C114" i="17"/>
  <c r="AD113" i="17"/>
  <c r="AC113" i="17"/>
  <c r="AB113" i="17"/>
  <c r="AA113" i="17"/>
  <c r="Z113" i="17"/>
  <c r="Y113" i="17"/>
  <c r="X113" i="17"/>
  <c r="W113" i="17"/>
  <c r="V113" i="17"/>
  <c r="U113" i="17"/>
  <c r="R113" i="17"/>
  <c r="P113" i="17"/>
  <c r="O113" i="17"/>
  <c r="N113" i="17"/>
  <c r="C113" i="17"/>
  <c r="AD112" i="17"/>
  <c r="AC112" i="17"/>
  <c r="AB112" i="17"/>
  <c r="AA112" i="17"/>
  <c r="Z112" i="17"/>
  <c r="Y112" i="17"/>
  <c r="X112" i="17"/>
  <c r="W112" i="17"/>
  <c r="V112" i="17"/>
  <c r="U112" i="17"/>
  <c r="R112" i="17"/>
  <c r="P112" i="17"/>
  <c r="O112" i="17"/>
  <c r="N112" i="17"/>
  <c r="C112" i="17"/>
  <c r="AD111" i="17"/>
  <c r="AC111" i="17"/>
  <c r="AB111" i="17"/>
  <c r="AA111" i="17"/>
  <c r="Z111" i="17"/>
  <c r="Y111" i="17"/>
  <c r="X111" i="17"/>
  <c r="W111" i="17"/>
  <c r="V111" i="17"/>
  <c r="U111" i="17"/>
  <c r="R111" i="17"/>
  <c r="P111" i="17"/>
  <c r="O111" i="17"/>
  <c r="N111" i="17"/>
  <c r="C111" i="17"/>
  <c r="AD110" i="17"/>
  <c r="AC110" i="17"/>
  <c r="AB110" i="17"/>
  <c r="AA110" i="17"/>
  <c r="Z110" i="17"/>
  <c r="Y110" i="17"/>
  <c r="X110" i="17"/>
  <c r="W110" i="17"/>
  <c r="V110" i="17"/>
  <c r="U110" i="17"/>
  <c r="R110" i="17"/>
  <c r="P110" i="17"/>
  <c r="O110" i="17"/>
  <c r="N110" i="17"/>
  <c r="AD109" i="17"/>
  <c r="AC109" i="17"/>
  <c r="AB109" i="17"/>
  <c r="AA109" i="17"/>
  <c r="Z109" i="17"/>
  <c r="Y109" i="17"/>
  <c r="X109" i="17"/>
  <c r="W109" i="17"/>
  <c r="V109" i="17"/>
  <c r="U109" i="17"/>
  <c r="R109" i="17"/>
  <c r="P109" i="17"/>
  <c r="O109" i="17"/>
  <c r="N109" i="17"/>
  <c r="C109" i="17"/>
  <c r="AD108" i="17"/>
  <c r="AC108" i="17"/>
  <c r="AB108" i="17"/>
  <c r="AA108" i="17"/>
  <c r="Z108" i="17"/>
  <c r="Y108" i="17"/>
  <c r="X108" i="17"/>
  <c r="W108" i="17"/>
  <c r="V108" i="17"/>
  <c r="U108" i="17"/>
  <c r="R108" i="17"/>
  <c r="P108" i="17"/>
  <c r="O108" i="17"/>
  <c r="N108" i="17"/>
  <c r="C108" i="17"/>
  <c r="AD107" i="17"/>
  <c r="AC107" i="17"/>
  <c r="AB107" i="17"/>
  <c r="AA107" i="17"/>
  <c r="Z107" i="17"/>
  <c r="Y107" i="17"/>
  <c r="X107" i="17"/>
  <c r="W107" i="17"/>
  <c r="V107" i="17"/>
  <c r="U107" i="17"/>
  <c r="R107" i="17"/>
  <c r="P107" i="17"/>
  <c r="O107" i="17"/>
  <c r="N107" i="17"/>
  <c r="C107" i="17"/>
  <c r="AD106" i="17"/>
  <c r="AC106" i="17"/>
  <c r="AB106" i="17"/>
  <c r="AA106" i="17"/>
  <c r="Z106" i="17"/>
  <c r="Y106" i="17"/>
  <c r="X106" i="17"/>
  <c r="W106" i="17"/>
  <c r="V106" i="17"/>
  <c r="U106" i="17"/>
  <c r="R106" i="17"/>
  <c r="P106" i="17"/>
  <c r="O106" i="17"/>
  <c r="N106" i="17"/>
  <c r="C106" i="17"/>
  <c r="AD105" i="17"/>
  <c r="AC105" i="17"/>
  <c r="AB105" i="17"/>
  <c r="AA105" i="17"/>
  <c r="Z105" i="17"/>
  <c r="Y105" i="17"/>
  <c r="X105" i="17"/>
  <c r="W105" i="17"/>
  <c r="V105" i="17"/>
  <c r="U105" i="17"/>
  <c r="R105" i="17"/>
  <c r="P105" i="17"/>
  <c r="O105" i="17"/>
  <c r="N105" i="17"/>
  <c r="C105" i="17"/>
  <c r="AD104" i="17"/>
  <c r="AC104" i="17"/>
  <c r="AB104" i="17"/>
  <c r="AA104" i="17"/>
  <c r="Z104" i="17"/>
  <c r="Y104" i="17"/>
  <c r="X104" i="17"/>
  <c r="W104" i="17"/>
  <c r="V104" i="17"/>
  <c r="U104" i="17"/>
  <c r="R104" i="17"/>
  <c r="P104" i="17"/>
  <c r="O104" i="17"/>
  <c r="N104" i="17"/>
  <c r="C104" i="17"/>
  <c r="AD103" i="17"/>
  <c r="AC103" i="17"/>
  <c r="AB103" i="17"/>
  <c r="AA103" i="17"/>
  <c r="Z103" i="17"/>
  <c r="Y103" i="17"/>
  <c r="X103" i="17"/>
  <c r="W103" i="17"/>
  <c r="V103" i="17"/>
  <c r="U103" i="17"/>
  <c r="R103" i="17"/>
  <c r="P103" i="17"/>
  <c r="O103" i="17"/>
  <c r="N103" i="17"/>
  <c r="C103" i="17"/>
  <c r="AD102" i="17"/>
  <c r="AC102" i="17"/>
  <c r="AB102" i="17"/>
  <c r="AA102" i="17"/>
  <c r="Z102" i="17"/>
  <c r="Y102" i="17"/>
  <c r="X102" i="17"/>
  <c r="W102" i="17"/>
  <c r="V102" i="17"/>
  <c r="U102" i="17"/>
  <c r="R102" i="17"/>
  <c r="P102" i="17"/>
  <c r="O102" i="17"/>
  <c r="N102" i="17"/>
  <c r="C102" i="17"/>
  <c r="AD101" i="17"/>
  <c r="AC101" i="17"/>
  <c r="AB101" i="17"/>
  <c r="AA101" i="17"/>
  <c r="Z101" i="17"/>
  <c r="Y101" i="17"/>
  <c r="X101" i="17"/>
  <c r="W101" i="17"/>
  <c r="V101" i="17"/>
  <c r="U101" i="17"/>
  <c r="R101" i="17"/>
  <c r="P101" i="17"/>
  <c r="O101" i="17"/>
  <c r="N101" i="17"/>
  <c r="AD100" i="17"/>
  <c r="AC100" i="17"/>
  <c r="AB100" i="17"/>
  <c r="AA100" i="17"/>
  <c r="Z100" i="17"/>
  <c r="Y100" i="17"/>
  <c r="X100" i="17"/>
  <c r="W100" i="17"/>
  <c r="V100" i="17"/>
  <c r="U100" i="17"/>
  <c r="R100" i="17"/>
  <c r="P100" i="17"/>
  <c r="O100" i="17"/>
  <c r="N100" i="17"/>
  <c r="C100" i="17"/>
  <c r="AD99" i="17"/>
  <c r="AC99" i="17"/>
  <c r="AB99" i="17"/>
  <c r="AA99" i="17"/>
  <c r="Z99" i="17"/>
  <c r="Y99" i="17"/>
  <c r="X99" i="17"/>
  <c r="W99" i="17"/>
  <c r="V99" i="17"/>
  <c r="U99" i="17"/>
  <c r="R99" i="17"/>
  <c r="P99" i="17"/>
  <c r="O99" i="17"/>
  <c r="N99" i="17"/>
  <c r="C99" i="17"/>
  <c r="AD98" i="17"/>
  <c r="AC98" i="17"/>
  <c r="AB98" i="17"/>
  <c r="AA98" i="17"/>
  <c r="Z98" i="17"/>
  <c r="Y98" i="17"/>
  <c r="X98" i="17"/>
  <c r="W98" i="17"/>
  <c r="V98" i="17"/>
  <c r="U98" i="17"/>
  <c r="R98" i="17"/>
  <c r="P98" i="17"/>
  <c r="O98" i="17"/>
  <c r="N98" i="17"/>
  <c r="C98" i="17"/>
  <c r="AD97" i="17"/>
  <c r="AC97" i="17"/>
  <c r="AB97" i="17"/>
  <c r="AA97" i="17"/>
  <c r="Z97" i="17"/>
  <c r="Y97" i="17"/>
  <c r="X97" i="17"/>
  <c r="W97" i="17"/>
  <c r="V97" i="17"/>
  <c r="U97" i="17"/>
  <c r="R97" i="17"/>
  <c r="P97" i="17"/>
  <c r="O97" i="17"/>
  <c r="N97" i="17"/>
  <c r="C97" i="17"/>
  <c r="AD96" i="17"/>
  <c r="AC96" i="17"/>
  <c r="AB96" i="17"/>
  <c r="AA96" i="17"/>
  <c r="Z96" i="17"/>
  <c r="Y96" i="17"/>
  <c r="X96" i="17"/>
  <c r="W96" i="17"/>
  <c r="V96" i="17"/>
  <c r="U96" i="17"/>
  <c r="R96" i="17"/>
  <c r="P96" i="17"/>
  <c r="O96" i="17"/>
  <c r="N96" i="17"/>
  <c r="C96" i="17"/>
  <c r="AD95" i="17"/>
  <c r="AC95" i="17"/>
  <c r="AB95" i="17"/>
  <c r="AA95" i="17"/>
  <c r="Z95" i="17"/>
  <c r="Y95" i="17"/>
  <c r="X95" i="17"/>
  <c r="W95" i="17"/>
  <c r="V95" i="17"/>
  <c r="U95" i="17"/>
  <c r="R95" i="17"/>
  <c r="P95" i="17"/>
  <c r="O95" i="17"/>
  <c r="N95" i="17"/>
  <c r="C95" i="17"/>
  <c r="AD94" i="17"/>
  <c r="AC94" i="17"/>
  <c r="AB94" i="17"/>
  <c r="AA94" i="17"/>
  <c r="Z94" i="17"/>
  <c r="Y94" i="17"/>
  <c r="X94" i="17"/>
  <c r="W94" i="17"/>
  <c r="V94" i="17"/>
  <c r="U94" i="17"/>
  <c r="R94" i="17"/>
  <c r="P94" i="17"/>
  <c r="O94" i="17"/>
  <c r="N94" i="17"/>
  <c r="C94" i="17"/>
  <c r="AD93" i="17"/>
  <c r="AC93" i="17"/>
  <c r="AB93" i="17"/>
  <c r="AA93" i="17"/>
  <c r="Z93" i="17"/>
  <c r="Y93" i="17"/>
  <c r="X93" i="17"/>
  <c r="W93" i="17"/>
  <c r="V93" i="17"/>
  <c r="U93" i="17"/>
  <c r="R93" i="17"/>
  <c r="P93" i="17"/>
  <c r="O93" i="17"/>
  <c r="N93" i="17"/>
  <c r="C93" i="17"/>
  <c r="AD92" i="17"/>
  <c r="AC92" i="17"/>
  <c r="AB92" i="17"/>
  <c r="AA92" i="17"/>
  <c r="Z92" i="17"/>
  <c r="Y92" i="17"/>
  <c r="X92" i="17"/>
  <c r="W92" i="17"/>
  <c r="V92" i="17"/>
  <c r="U92" i="17"/>
  <c r="R92" i="17"/>
  <c r="P92" i="17"/>
  <c r="O92" i="17"/>
  <c r="N92" i="17"/>
  <c r="AD91" i="17"/>
  <c r="AC91" i="17"/>
  <c r="AB91" i="17"/>
  <c r="AA91" i="17"/>
  <c r="Z91" i="17"/>
  <c r="Y91" i="17"/>
  <c r="X91" i="17"/>
  <c r="W91" i="17"/>
  <c r="V91" i="17"/>
  <c r="U91" i="17"/>
  <c r="R91" i="17"/>
  <c r="P91" i="17"/>
  <c r="O91" i="17"/>
  <c r="N91" i="17"/>
  <c r="C91" i="17"/>
  <c r="AD90" i="17"/>
  <c r="AC90" i="17"/>
  <c r="AB90" i="17"/>
  <c r="AA90" i="17"/>
  <c r="Z90" i="17"/>
  <c r="Y90" i="17"/>
  <c r="X90" i="17"/>
  <c r="W90" i="17"/>
  <c r="V90" i="17"/>
  <c r="U90" i="17"/>
  <c r="R90" i="17"/>
  <c r="P90" i="17"/>
  <c r="O90" i="17"/>
  <c r="N90" i="17"/>
  <c r="C90" i="17"/>
  <c r="AD89" i="17"/>
  <c r="AC89" i="17"/>
  <c r="AB89" i="17"/>
  <c r="AA89" i="17"/>
  <c r="Z89" i="17"/>
  <c r="Y89" i="17"/>
  <c r="X89" i="17"/>
  <c r="W89" i="17"/>
  <c r="V89" i="17"/>
  <c r="U89" i="17"/>
  <c r="R89" i="17"/>
  <c r="P89" i="17"/>
  <c r="O89" i="17"/>
  <c r="N89" i="17"/>
  <c r="C89" i="17"/>
  <c r="AD88" i="17"/>
  <c r="AC88" i="17"/>
  <c r="AB88" i="17"/>
  <c r="AA88" i="17"/>
  <c r="Z88" i="17"/>
  <c r="Y88" i="17"/>
  <c r="X88" i="17"/>
  <c r="W88" i="17"/>
  <c r="V88" i="17"/>
  <c r="U88" i="17"/>
  <c r="R88" i="17"/>
  <c r="P88" i="17"/>
  <c r="O88" i="17"/>
  <c r="N88" i="17"/>
  <c r="C88" i="17"/>
  <c r="AD87" i="17"/>
  <c r="AC87" i="17"/>
  <c r="AB87" i="17"/>
  <c r="AA87" i="17"/>
  <c r="Z87" i="17"/>
  <c r="Y87" i="17"/>
  <c r="X87" i="17"/>
  <c r="W87" i="17"/>
  <c r="V87" i="17"/>
  <c r="U87" i="17"/>
  <c r="R87" i="17"/>
  <c r="P87" i="17"/>
  <c r="O87" i="17"/>
  <c r="N87" i="17"/>
  <c r="AD86" i="17"/>
  <c r="AC86" i="17"/>
  <c r="AB86" i="17"/>
  <c r="AA86" i="17"/>
  <c r="Z86" i="17"/>
  <c r="Y86" i="17"/>
  <c r="X86" i="17"/>
  <c r="W86" i="17"/>
  <c r="V86" i="17"/>
  <c r="U86" i="17"/>
  <c r="R86" i="17"/>
  <c r="P86" i="17"/>
  <c r="O86" i="17"/>
  <c r="N86" i="17"/>
  <c r="C86" i="17"/>
  <c r="AD85" i="17"/>
  <c r="AC85" i="17"/>
  <c r="AB85" i="17"/>
  <c r="AA85" i="17"/>
  <c r="Z85" i="17"/>
  <c r="Y85" i="17"/>
  <c r="X85" i="17"/>
  <c r="W85" i="17"/>
  <c r="V85" i="17"/>
  <c r="U85" i="17"/>
  <c r="R85" i="17"/>
  <c r="P85" i="17"/>
  <c r="O85" i="17"/>
  <c r="N85" i="17"/>
  <c r="C85" i="17"/>
  <c r="AD84" i="17"/>
  <c r="AC84" i="17"/>
  <c r="AB84" i="17"/>
  <c r="AA84" i="17"/>
  <c r="Z84" i="17"/>
  <c r="Y84" i="17"/>
  <c r="X84" i="17"/>
  <c r="W84" i="17"/>
  <c r="V84" i="17"/>
  <c r="U84" i="17"/>
  <c r="R84" i="17"/>
  <c r="P84" i="17"/>
  <c r="O84" i="17"/>
  <c r="N84" i="17"/>
  <c r="C84" i="17"/>
  <c r="AD83" i="17"/>
  <c r="AC83" i="17"/>
  <c r="AB83" i="17"/>
  <c r="AA83" i="17"/>
  <c r="Z83" i="17"/>
  <c r="Y83" i="17"/>
  <c r="X83" i="17"/>
  <c r="W83" i="17"/>
  <c r="V83" i="17"/>
  <c r="U83" i="17"/>
  <c r="R83" i="17"/>
  <c r="P83" i="17"/>
  <c r="O83" i="17"/>
  <c r="N83" i="17"/>
  <c r="C83" i="17"/>
  <c r="AD82" i="17"/>
  <c r="AC82" i="17"/>
  <c r="AB82" i="17"/>
  <c r="AA82" i="17"/>
  <c r="Z82" i="17"/>
  <c r="Y82" i="17"/>
  <c r="X82" i="17"/>
  <c r="W82" i="17"/>
  <c r="V82" i="17"/>
  <c r="U82" i="17"/>
  <c r="R82" i="17"/>
  <c r="P82" i="17"/>
  <c r="O82" i="17"/>
  <c r="N82" i="17"/>
  <c r="AD81" i="17"/>
  <c r="AC81" i="17"/>
  <c r="AB81" i="17"/>
  <c r="AA81" i="17"/>
  <c r="Z81" i="17"/>
  <c r="Y81" i="17"/>
  <c r="X81" i="17"/>
  <c r="W81" i="17"/>
  <c r="V81" i="17"/>
  <c r="U81" i="17"/>
  <c r="R81" i="17"/>
  <c r="P81" i="17"/>
  <c r="O81" i="17"/>
  <c r="N81" i="17"/>
  <c r="C81" i="17"/>
  <c r="AD80" i="17"/>
  <c r="AC80" i="17"/>
  <c r="AB80" i="17"/>
  <c r="AA80" i="17"/>
  <c r="Z80" i="17"/>
  <c r="Y80" i="17"/>
  <c r="X80" i="17"/>
  <c r="W80" i="17"/>
  <c r="V80" i="17"/>
  <c r="U80" i="17"/>
  <c r="R80" i="17"/>
  <c r="P80" i="17"/>
  <c r="O80" i="17"/>
  <c r="N80" i="17"/>
  <c r="C80" i="17"/>
  <c r="AD79" i="17"/>
  <c r="AC79" i="17"/>
  <c r="AB79" i="17"/>
  <c r="AA79" i="17"/>
  <c r="Z79" i="17"/>
  <c r="Y79" i="17"/>
  <c r="X79" i="17"/>
  <c r="W79" i="17"/>
  <c r="V79" i="17"/>
  <c r="U79" i="17"/>
  <c r="R79" i="17"/>
  <c r="P79" i="17"/>
  <c r="O79" i="17"/>
  <c r="N79" i="17"/>
  <c r="C79" i="17"/>
  <c r="AD78" i="17"/>
  <c r="AC78" i="17"/>
  <c r="AB78" i="17"/>
  <c r="AA78" i="17"/>
  <c r="Z78" i="17"/>
  <c r="Y78" i="17"/>
  <c r="X78" i="17"/>
  <c r="W78" i="17"/>
  <c r="V78" i="17"/>
  <c r="U78" i="17"/>
  <c r="R78" i="17"/>
  <c r="P78" i="17"/>
  <c r="O78" i="17"/>
  <c r="N78" i="17"/>
  <c r="C78" i="17"/>
  <c r="AD77" i="17"/>
  <c r="AC77" i="17"/>
  <c r="AB77" i="17"/>
  <c r="AA77" i="17"/>
  <c r="Z77" i="17"/>
  <c r="Y77" i="17"/>
  <c r="X77" i="17"/>
  <c r="W77" i="17"/>
  <c r="V77" i="17"/>
  <c r="U77" i="17"/>
  <c r="R77" i="17"/>
  <c r="P77" i="17"/>
  <c r="O77" i="17"/>
  <c r="N77" i="17"/>
  <c r="C77" i="17"/>
  <c r="AD76" i="17"/>
  <c r="AC76" i="17"/>
  <c r="AB76" i="17"/>
  <c r="AA76" i="17"/>
  <c r="Z76" i="17"/>
  <c r="Y76" i="17"/>
  <c r="X76" i="17"/>
  <c r="W76" i="17"/>
  <c r="V76" i="17"/>
  <c r="U76" i="17"/>
  <c r="R76" i="17"/>
  <c r="P76" i="17"/>
  <c r="O76" i="17"/>
  <c r="N76" i="17"/>
  <c r="C76" i="17"/>
  <c r="AD75" i="17"/>
  <c r="AC75" i="17"/>
  <c r="AB75" i="17"/>
  <c r="AA75" i="17"/>
  <c r="Z75" i="17"/>
  <c r="Y75" i="17"/>
  <c r="X75" i="17"/>
  <c r="W75" i="17"/>
  <c r="V75" i="17"/>
  <c r="U75" i="17"/>
  <c r="R75" i="17"/>
  <c r="P75" i="17"/>
  <c r="O75" i="17"/>
  <c r="N75" i="17"/>
  <c r="C75" i="17"/>
  <c r="AD74" i="17"/>
  <c r="AC74" i="17"/>
  <c r="AB74" i="17"/>
  <c r="AA74" i="17"/>
  <c r="Z74" i="17"/>
  <c r="Y74" i="17"/>
  <c r="X74" i="17"/>
  <c r="W74" i="17"/>
  <c r="V74" i="17"/>
  <c r="U74" i="17"/>
  <c r="R74" i="17"/>
  <c r="P74" i="17"/>
  <c r="O74" i="17"/>
  <c r="N74" i="17"/>
  <c r="AD73" i="17"/>
  <c r="AC73" i="17"/>
  <c r="AB73" i="17"/>
  <c r="AA73" i="17"/>
  <c r="Z73" i="17"/>
  <c r="Y73" i="17"/>
  <c r="X73" i="17"/>
  <c r="W73" i="17"/>
  <c r="V73" i="17"/>
  <c r="U73" i="17"/>
  <c r="R73" i="17"/>
  <c r="P73" i="17"/>
  <c r="O73" i="17"/>
  <c r="N73" i="17"/>
  <c r="C73" i="17"/>
  <c r="AD72" i="17"/>
  <c r="AC72" i="17"/>
  <c r="AB72" i="17"/>
  <c r="AA72" i="17"/>
  <c r="Z72" i="17"/>
  <c r="Y72" i="17"/>
  <c r="X72" i="17"/>
  <c r="W72" i="17"/>
  <c r="V72" i="17"/>
  <c r="U72" i="17"/>
  <c r="R72" i="17"/>
  <c r="P72" i="17"/>
  <c r="O72" i="17"/>
  <c r="N72" i="17"/>
  <c r="C72" i="17"/>
  <c r="AD71" i="17"/>
  <c r="AC71" i="17"/>
  <c r="AB71" i="17"/>
  <c r="AA71" i="17"/>
  <c r="Z71" i="17"/>
  <c r="Y71" i="17"/>
  <c r="X71" i="17"/>
  <c r="W71" i="17"/>
  <c r="V71" i="17"/>
  <c r="U71" i="17"/>
  <c r="R71" i="17"/>
  <c r="P71" i="17"/>
  <c r="O71" i="17"/>
  <c r="N71" i="17"/>
  <c r="C71" i="17"/>
  <c r="AD70" i="17"/>
  <c r="AC70" i="17"/>
  <c r="AB70" i="17"/>
  <c r="AA70" i="17"/>
  <c r="Z70" i="17"/>
  <c r="Y70" i="17"/>
  <c r="X70" i="17"/>
  <c r="W70" i="17"/>
  <c r="V70" i="17"/>
  <c r="U70" i="17"/>
  <c r="R70" i="17"/>
  <c r="P70" i="17"/>
  <c r="O70" i="17"/>
  <c r="N70" i="17"/>
  <c r="C70" i="17"/>
  <c r="AD69" i="17"/>
  <c r="AC69" i="17"/>
  <c r="AB69" i="17"/>
  <c r="AA69" i="17"/>
  <c r="Z69" i="17"/>
  <c r="Y69" i="17"/>
  <c r="X69" i="17"/>
  <c r="W69" i="17"/>
  <c r="V69" i="17"/>
  <c r="U69" i="17"/>
  <c r="R69" i="17"/>
  <c r="P69" i="17"/>
  <c r="O69" i="17"/>
  <c r="N69" i="17"/>
  <c r="C69" i="17"/>
  <c r="AD68" i="17"/>
  <c r="AC68" i="17"/>
  <c r="AB68" i="17"/>
  <c r="AA68" i="17"/>
  <c r="Z68" i="17"/>
  <c r="Y68" i="17"/>
  <c r="X68" i="17"/>
  <c r="W68" i="17"/>
  <c r="V68" i="17"/>
  <c r="U68" i="17"/>
  <c r="R68" i="17"/>
  <c r="P68" i="17"/>
  <c r="O68" i="17"/>
  <c r="N68" i="17"/>
  <c r="C68" i="17"/>
  <c r="AD67" i="17"/>
  <c r="AC67" i="17"/>
  <c r="AB67" i="17"/>
  <c r="AA67" i="17"/>
  <c r="Z67" i="17"/>
  <c r="Y67" i="17"/>
  <c r="X67" i="17"/>
  <c r="W67" i="17"/>
  <c r="V67" i="17"/>
  <c r="U67" i="17"/>
  <c r="R67" i="17"/>
  <c r="P67" i="17"/>
  <c r="O67" i="17"/>
  <c r="N67" i="17"/>
  <c r="C67" i="17"/>
  <c r="AD66" i="17"/>
  <c r="AC66" i="17"/>
  <c r="AB66" i="17"/>
  <c r="AA66" i="17"/>
  <c r="Z66" i="17"/>
  <c r="Y66" i="17"/>
  <c r="X66" i="17"/>
  <c r="W66" i="17"/>
  <c r="V66" i="17"/>
  <c r="U66" i="17"/>
  <c r="R66" i="17"/>
  <c r="P66" i="17"/>
  <c r="O66" i="17"/>
  <c r="N66" i="17"/>
  <c r="AD65" i="17"/>
  <c r="AC65" i="17"/>
  <c r="AB65" i="17"/>
  <c r="AA65" i="17"/>
  <c r="Z65" i="17"/>
  <c r="Y65" i="17"/>
  <c r="X65" i="17"/>
  <c r="W65" i="17"/>
  <c r="V65" i="17"/>
  <c r="U65" i="17"/>
  <c r="R65" i="17"/>
  <c r="P65" i="17"/>
  <c r="O65" i="17"/>
  <c r="N65" i="17"/>
  <c r="C65" i="17"/>
  <c r="AD64" i="17"/>
  <c r="AC64" i="17"/>
  <c r="AB64" i="17"/>
  <c r="AA64" i="17"/>
  <c r="Z64" i="17"/>
  <c r="Y64" i="17"/>
  <c r="X64" i="17"/>
  <c r="W64" i="17"/>
  <c r="V64" i="17"/>
  <c r="U64" i="17"/>
  <c r="R64" i="17"/>
  <c r="P64" i="17"/>
  <c r="O64" i="17"/>
  <c r="N64" i="17"/>
  <c r="C64" i="17"/>
  <c r="AD63" i="17"/>
  <c r="AC63" i="17"/>
  <c r="AB63" i="17"/>
  <c r="AA63" i="17"/>
  <c r="Z63" i="17"/>
  <c r="Y63" i="17"/>
  <c r="X63" i="17"/>
  <c r="W63" i="17"/>
  <c r="V63" i="17"/>
  <c r="U63" i="17"/>
  <c r="R63" i="17"/>
  <c r="P63" i="17"/>
  <c r="O63" i="17"/>
  <c r="N63" i="17"/>
  <c r="C63" i="17"/>
  <c r="AD62" i="17"/>
  <c r="AC62" i="17"/>
  <c r="AB62" i="17"/>
  <c r="AA62" i="17"/>
  <c r="Z62" i="17"/>
  <c r="Y62" i="17"/>
  <c r="X62" i="17"/>
  <c r="W62" i="17"/>
  <c r="V62" i="17"/>
  <c r="U62" i="17"/>
  <c r="R62" i="17"/>
  <c r="P62" i="17"/>
  <c r="O62" i="17"/>
  <c r="N62" i="17"/>
  <c r="C62" i="17"/>
  <c r="AD61" i="17"/>
  <c r="AC61" i="17"/>
  <c r="AB61" i="17"/>
  <c r="AA61" i="17"/>
  <c r="Z61" i="17"/>
  <c r="Y61" i="17"/>
  <c r="X61" i="17"/>
  <c r="W61" i="17"/>
  <c r="V61" i="17"/>
  <c r="U61" i="17"/>
  <c r="R61" i="17"/>
  <c r="P61" i="17"/>
  <c r="O61" i="17"/>
  <c r="N61" i="17"/>
  <c r="C61" i="17"/>
  <c r="AD60" i="17"/>
  <c r="AC60" i="17"/>
  <c r="AB60" i="17"/>
  <c r="AA60" i="17"/>
  <c r="Z60" i="17"/>
  <c r="Y60" i="17"/>
  <c r="X60" i="17"/>
  <c r="W60" i="17"/>
  <c r="V60" i="17"/>
  <c r="U60" i="17"/>
  <c r="R60" i="17"/>
  <c r="P60" i="17"/>
  <c r="O60" i="17"/>
  <c r="N60" i="17"/>
  <c r="C60" i="17"/>
  <c r="AD59" i="17"/>
  <c r="AC59" i="17"/>
  <c r="AB59" i="17"/>
  <c r="AA59" i="17"/>
  <c r="Z59" i="17"/>
  <c r="Y59" i="17"/>
  <c r="X59" i="17"/>
  <c r="W59" i="17"/>
  <c r="V59" i="17"/>
  <c r="U59" i="17"/>
  <c r="R59" i="17"/>
  <c r="P59" i="17"/>
  <c r="O59" i="17"/>
  <c r="N59" i="17"/>
  <c r="C59" i="17"/>
  <c r="AD58" i="17"/>
  <c r="AC58" i="17"/>
  <c r="AB58" i="17"/>
  <c r="AA58" i="17"/>
  <c r="Z58" i="17"/>
  <c r="Y58" i="17"/>
  <c r="X58" i="17"/>
  <c r="W58" i="17"/>
  <c r="V58" i="17"/>
  <c r="U58" i="17"/>
  <c r="R58" i="17"/>
  <c r="P58" i="17"/>
  <c r="O58" i="17"/>
  <c r="N58" i="17"/>
  <c r="AD57" i="17"/>
  <c r="AC57" i="17"/>
  <c r="AB57" i="17"/>
  <c r="AA57" i="17"/>
  <c r="Z57" i="17"/>
  <c r="Y57" i="17"/>
  <c r="X57" i="17"/>
  <c r="W57" i="17"/>
  <c r="V57" i="17"/>
  <c r="U57" i="17"/>
  <c r="R57" i="17"/>
  <c r="P57" i="17"/>
  <c r="O57" i="17"/>
  <c r="N57" i="17"/>
  <c r="C57" i="17"/>
  <c r="AD56" i="17"/>
  <c r="AC56" i="17"/>
  <c r="AB56" i="17"/>
  <c r="AA56" i="17"/>
  <c r="Z56" i="17"/>
  <c r="Y56" i="17"/>
  <c r="X56" i="17"/>
  <c r="W56" i="17"/>
  <c r="V56" i="17"/>
  <c r="U56" i="17"/>
  <c r="R56" i="17"/>
  <c r="P56" i="17"/>
  <c r="O56" i="17"/>
  <c r="N56" i="17"/>
  <c r="C56" i="17"/>
  <c r="AD55" i="17"/>
  <c r="AC55" i="17"/>
  <c r="AB55" i="17"/>
  <c r="AA55" i="17"/>
  <c r="Z55" i="17"/>
  <c r="Y55" i="17"/>
  <c r="X55" i="17"/>
  <c r="W55" i="17"/>
  <c r="V55" i="17"/>
  <c r="U55" i="17"/>
  <c r="R55" i="17"/>
  <c r="P55" i="17"/>
  <c r="O55" i="17"/>
  <c r="N55" i="17"/>
  <c r="C55" i="17"/>
  <c r="AD54" i="17"/>
  <c r="AC54" i="17"/>
  <c r="AB54" i="17"/>
  <c r="AA54" i="17"/>
  <c r="Z54" i="17"/>
  <c r="Y54" i="17"/>
  <c r="X54" i="17"/>
  <c r="W54" i="17"/>
  <c r="V54" i="17"/>
  <c r="U54" i="17"/>
  <c r="R54" i="17"/>
  <c r="P54" i="17"/>
  <c r="O54" i="17"/>
  <c r="N54" i="17"/>
  <c r="C54" i="17"/>
  <c r="AD53" i="17"/>
  <c r="AC53" i="17"/>
  <c r="AB53" i="17"/>
  <c r="AA53" i="17"/>
  <c r="Z53" i="17"/>
  <c r="Y53" i="17"/>
  <c r="X53" i="17"/>
  <c r="W53" i="17"/>
  <c r="V53" i="17"/>
  <c r="U53" i="17"/>
  <c r="R53" i="17"/>
  <c r="P53" i="17"/>
  <c r="O53" i="17"/>
  <c r="N53" i="17"/>
  <c r="C53" i="17"/>
  <c r="AD52" i="17"/>
  <c r="AC52" i="17"/>
  <c r="AB52" i="17"/>
  <c r="AA52" i="17"/>
  <c r="Z52" i="17"/>
  <c r="Y52" i="17"/>
  <c r="X52" i="17"/>
  <c r="W52" i="17"/>
  <c r="V52" i="17"/>
  <c r="U52" i="17"/>
  <c r="R52" i="17"/>
  <c r="P52" i="17"/>
  <c r="O52" i="17"/>
  <c r="N52" i="17"/>
  <c r="C52" i="17"/>
  <c r="AD51" i="17"/>
  <c r="AC51" i="17"/>
  <c r="AB51" i="17"/>
  <c r="AA51" i="17"/>
  <c r="Z51" i="17"/>
  <c r="Y51" i="17"/>
  <c r="X51" i="17"/>
  <c r="W51" i="17"/>
  <c r="V51" i="17"/>
  <c r="U51" i="17"/>
  <c r="R51" i="17"/>
  <c r="P51" i="17"/>
  <c r="O51" i="17"/>
  <c r="N51" i="17"/>
  <c r="C51" i="17"/>
  <c r="AD50" i="17"/>
  <c r="AC50" i="17"/>
  <c r="AB50" i="17"/>
  <c r="AA50" i="17"/>
  <c r="Z50" i="17"/>
  <c r="Y50" i="17"/>
  <c r="X50" i="17"/>
  <c r="W50" i="17"/>
  <c r="V50" i="17"/>
  <c r="U50" i="17"/>
  <c r="R50" i="17"/>
  <c r="P50" i="17"/>
  <c r="O50" i="17"/>
  <c r="N50" i="17"/>
  <c r="AD49" i="17"/>
  <c r="AC49" i="17"/>
  <c r="AB49" i="17"/>
  <c r="AA49" i="17"/>
  <c r="Z49" i="17"/>
  <c r="Y49" i="17"/>
  <c r="X49" i="17"/>
  <c r="W49" i="17"/>
  <c r="V49" i="17"/>
  <c r="U49" i="17"/>
  <c r="R49" i="17"/>
  <c r="P49" i="17"/>
  <c r="O49" i="17"/>
  <c r="N49" i="17"/>
  <c r="C49" i="17"/>
  <c r="AD48" i="17"/>
  <c r="AC48" i="17"/>
  <c r="AB48" i="17"/>
  <c r="AA48" i="17"/>
  <c r="Z48" i="17"/>
  <c r="Y48" i="17"/>
  <c r="X48" i="17"/>
  <c r="W48" i="17"/>
  <c r="V48" i="17"/>
  <c r="U48" i="17"/>
  <c r="R48" i="17"/>
  <c r="P48" i="17"/>
  <c r="O48" i="17"/>
  <c r="N48" i="17"/>
  <c r="C48" i="17"/>
  <c r="AD47" i="17"/>
  <c r="AC47" i="17"/>
  <c r="AB47" i="17"/>
  <c r="AA47" i="17"/>
  <c r="Z47" i="17"/>
  <c r="Y47" i="17"/>
  <c r="X47" i="17"/>
  <c r="W47" i="17"/>
  <c r="V47" i="17"/>
  <c r="U47" i="17"/>
  <c r="R47" i="17"/>
  <c r="P47" i="17"/>
  <c r="O47" i="17"/>
  <c r="N47" i="17"/>
  <c r="C47" i="17"/>
  <c r="AD46" i="17"/>
  <c r="AC46" i="17"/>
  <c r="AB46" i="17"/>
  <c r="AA46" i="17"/>
  <c r="Z46" i="17"/>
  <c r="Y46" i="17"/>
  <c r="X46" i="17"/>
  <c r="W46" i="17"/>
  <c r="V46" i="17"/>
  <c r="U46" i="17"/>
  <c r="R46" i="17"/>
  <c r="P46" i="17"/>
  <c r="O46" i="17"/>
  <c r="N46" i="17"/>
  <c r="C46" i="17"/>
  <c r="AD45" i="17"/>
  <c r="AC45" i="17"/>
  <c r="AB45" i="17"/>
  <c r="AA45" i="17"/>
  <c r="Z45" i="17"/>
  <c r="Y45" i="17"/>
  <c r="X45" i="17"/>
  <c r="W45" i="17"/>
  <c r="V45" i="17"/>
  <c r="U45" i="17"/>
  <c r="R45" i="17"/>
  <c r="P45" i="17"/>
  <c r="O45" i="17"/>
  <c r="N45" i="17"/>
  <c r="C45" i="17"/>
  <c r="AD44" i="17"/>
  <c r="AC44" i="17"/>
  <c r="AB44" i="17"/>
  <c r="AA44" i="17"/>
  <c r="Z44" i="17"/>
  <c r="Y44" i="17"/>
  <c r="X44" i="17"/>
  <c r="W44" i="17"/>
  <c r="V44" i="17"/>
  <c r="U44" i="17"/>
  <c r="R44" i="17"/>
  <c r="P44" i="17"/>
  <c r="O44" i="17"/>
  <c r="N44" i="17"/>
  <c r="AD43" i="17"/>
  <c r="AC43" i="17"/>
  <c r="AB43" i="17"/>
  <c r="AA43" i="17"/>
  <c r="Z43" i="17"/>
  <c r="Y43" i="17"/>
  <c r="X43" i="17"/>
  <c r="W43" i="17"/>
  <c r="V43" i="17"/>
  <c r="U43" i="17"/>
  <c r="R43" i="17"/>
  <c r="P43" i="17"/>
  <c r="O43" i="17"/>
  <c r="N43" i="17"/>
  <c r="C43" i="17"/>
  <c r="AD42" i="17"/>
  <c r="AC42" i="17"/>
  <c r="AB42" i="17"/>
  <c r="AA42" i="17"/>
  <c r="Z42" i="17"/>
  <c r="Y42" i="17"/>
  <c r="X42" i="17"/>
  <c r="W42" i="17"/>
  <c r="V42" i="17"/>
  <c r="U42" i="17"/>
  <c r="R42" i="17"/>
  <c r="P42" i="17"/>
  <c r="O42" i="17"/>
  <c r="N42" i="17"/>
  <c r="C42" i="17"/>
  <c r="AD41" i="17"/>
  <c r="AC41" i="17"/>
  <c r="AB41" i="17"/>
  <c r="AA41" i="17"/>
  <c r="Z41" i="17"/>
  <c r="Y41" i="17"/>
  <c r="X41" i="17"/>
  <c r="W41" i="17"/>
  <c r="V41" i="17"/>
  <c r="U41" i="17"/>
  <c r="R41" i="17"/>
  <c r="P41" i="17"/>
  <c r="O41" i="17"/>
  <c r="N41" i="17"/>
  <c r="C41" i="17"/>
  <c r="AD40" i="17"/>
  <c r="AC40" i="17"/>
  <c r="AB40" i="17"/>
  <c r="AA40" i="17"/>
  <c r="Z40" i="17"/>
  <c r="Y40" i="17"/>
  <c r="X40" i="17"/>
  <c r="W40" i="17"/>
  <c r="V40" i="17"/>
  <c r="U40" i="17"/>
  <c r="R40" i="17"/>
  <c r="P40" i="17"/>
  <c r="O40" i="17"/>
  <c r="N40" i="17"/>
  <c r="C40" i="17"/>
  <c r="AD39" i="17"/>
  <c r="AC39" i="17"/>
  <c r="AB39" i="17"/>
  <c r="AA39" i="17"/>
  <c r="Z39" i="17"/>
  <c r="Y39" i="17"/>
  <c r="X39" i="17"/>
  <c r="W39" i="17"/>
  <c r="V39" i="17"/>
  <c r="U39" i="17"/>
  <c r="R39" i="17"/>
  <c r="P39" i="17"/>
  <c r="O39" i="17"/>
  <c r="N39" i="17"/>
  <c r="C39" i="17"/>
  <c r="AD38" i="17"/>
  <c r="AC38" i="17"/>
  <c r="AB38" i="17"/>
  <c r="AA38" i="17"/>
  <c r="Z38" i="17"/>
  <c r="Y38" i="17"/>
  <c r="X38" i="17"/>
  <c r="W38" i="17"/>
  <c r="V38" i="17"/>
  <c r="U38" i="17"/>
  <c r="R38" i="17"/>
  <c r="P38" i="17"/>
  <c r="O38" i="17"/>
  <c r="N38" i="17"/>
  <c r="C38" i="17"/>
  <c r="AD37" i="17"/>
  <c r="AC37" i="17"/>
  <c r="AB37" i="17"/>
  <c r="AA37" i="17"/>
  <c r="Z37" i="17"/>
  <c r="Y37" i="17"/>
  <c r="X37" i="17"/>
  <c r="W37" i="17"/>
  <c r="V37" i="17"/>
  <c r="U37" i="17"/>
  <c r="R37" i="17"/>
  <c r="P37" i="17"/>
  <c r="O37" i="17"/>
  <c r="N37" i="17"/>
  <c r="C37" i="17"/>
  <c r="AD36" i="17"/>
  <c r="AC36" i="17"/>
  <c r="AB36" i="17"/>
  <c r="AA36" i="17"/>
  <c r="Z36" i="17"/>
  <c r="Y36" i="17"/>
  <c r="X36" i="17"/>
  <c r="W36" i="17"/>
  <c r="V36" i="17"/>
  <c r="U36" i="17"/>
  <c r="R36" i="17"/>
  <c r="P36" i="17"/>
  <c r="O36" i="17"/>
  <c r="N36" i="17"/>
  <c r="C36" i="17"/>
  <c r="AD35" i="17"/>
  <c r="AC35" i="17"/>
  <c r="AB35" i="17"/>
  <c r="AA35" i="17"/>
  <c r="Z35" i="17"/>
  <c r="Y35" i="17"/>
  <c r="X35" i="17"/>
  <c r="W35" i="17"/>
  <c r="V35" i="17"/>
  <c r="U35" i="17"/>
  <c r="R35" i="17"/>
  <c r="P35" i="17"/>
  <c r="O35" i="17"/>
  <c r="N35" i="17"/>
  <c r="C35" i="17"/>
  <c r="AD34" i="17"/>
  <c r="AC34" i="17"/>
  <c r="AB34" i="17"/>
  <c r="AA34" i="17"/>
  <c r="Z34" i="17"/>
  <c r="Y34" i="17"/>
  <c r="X34" i="17"/>
  <c r="W34" i="17"/>
  <c r="V34" i="17"/>
  <c r="U34" i="17"/>
  <c r="R34" i="17"/>
  <c r="P34" i="17"/>
  <c r="O34" i="17"/>
  <c r="N34" i="17"/>
  <c r="C34" i="17"/>
  <c r="AD33" i="17"/>
  <c r="AC33" i="17"/>
  <c r="AB33" i="17"/>
  <c r="AA33" i="17"/>
  <c r="Z33" i="17"/>
  <c r="Y33" i="17"/>
  <c r="X33" i="17"/>
  <c r="W33" i="17"/>
  <c r="V33" i="17"/>
  <c r="U33" i="17"/>
  <c r="R33" i="17"/>
  <c r="P33" i="17"/>
  <c r="O33" i="17"/>
  <c r="N33" i="17"/>
  <c r="C33" i="17"/>
  <c r="AD32" i="17"/>
  <c r="AC32" i="17"/>
  <c r="AB32" i="17"/>
  <c r="AA32" i="17"/>
  <c r="Z32" i="17"/>
  <c r="Y32" i="17"/>
  <c r="X32" i="17"/>
  <c r="W32" i="17"/>
  <c r="V32" i="17"/>
  <c r="U32" i="17"/>
  <c r="R32" i="17"/>
  <c r="P32" i="17"/>
  <c r="O32" i="17"/>
  <c r="N32" i="17"/>
  <c r="AD31" i="17"/>
  <c r="AC31" i="17"/>
  <c r="AB31" i="17"/>
  <c r="AA31" i="17"/>
  <c r="Z31" i="17"/>
  <c r="Y31" i="17"/>
  <c r="X31" i="17"/>
  <c r="W31" i="17"/>
  <c r="V31" i="17"/>
  <c r="U31" i="17"/>
  <c r="R31" i="17"/>
  <c r="P31" i="17"/>
  <c r="O31" i="17"/>
  <c r="N31" i="17"/>
  <c r="C31" i="17"/>
  <c r="AD30" i="17"/>
  <c r="AC30" i="17"/>
  <c r="AB30" i="17"/>
  <c r="AA30" i="17"/>
  <c r="Z30" i="17"/>
  <c r="Y30" i="17"/>
  <c r="X30" i="17"/>
  <c r="W30" i="17"/>
  <c r="V30" i="17"/>
  <c r="U30" i="17"/>
  <c r="R30" i="17"/>
  <c r="P30" i="17"/>
  <c r="O30" i="17"/>
  <c r="N30" i="17"/>
  <c r="C30" i="17"/>
  <c r="AD29" i="17"/>
  <c r="AC29" i="17"/>
  <c r="AB29" i="17"/>
  <c r="AA29" i="17"/>
  <c r="Z29" i="17"/>
  <c r="Y29" i="17"/>
  <c r="X29" i="17"/>
  <c r="W29" i="17"/>
  <c r="V29" i="17"/>
  <c r="U29" i="17"/>
  <c r="R29" i="17"/>
  <c r="P29" i="17"/>
  <c r="O29" i="17"/>
  <c r="N29" i="17"/>
  <c r="C29" i="17"/>
  <c r="AD28" i="17"/>
  <c r="AC28" i="17"/>
  <c r="AB28" i="17"/>
  <c r="AA28" i="17"/>
  <c r="Z28" i="17"/>
  <c r="Y28" i="17"/>
  <c r="X28" i="17"/>
  <c r="W28" i="17"/>
  <c r="V28" i="17"/>
  <c r="U28" i="17"/>
  <c r="R28" i="17"/>
  <c r="P28" i="17"/>
  <c r="O28" i="17"/>
  <c r="N28" i="17"/>
  <c r="C28" i="17"/>
  <c r="AD27" i="17"/>
  <c r="AC27" i="17"/>
  <c r="AB27" i="17"/>
  <c r="AA27" i="17"/>
  <c r="Z27" i="17"/>
  <c r="Y27" i="17"/>
  <c r="X27" i="17"/>
  <c r="W27" i="17"/>
  <c r="V27" i="17"/>
  <c r="U27" i="17"/>
  <c r="R27" i="17"/>
  <c r="P27" i="17"/>
  <c r="O27" i="17"/>
  <c r="N27" i="17"/>
  <c r="C27" i="17"/>
  <c r="AD26" i="17"/>
  <c r="AC26" i="17"/>
  <c r="AB26" i="17"/>
  <c r="AA26" i="17"/>
  <c r="Z26" i="17"/>
  <c r="Y26" i="17"/>
  <c r="X26" i="17"/>
  <c r="W26" i="17"/>
  <c r="V26" i="17"/>
  <c r="U26" i="17"/>
  <c r="R26" i="17"/>
  <c r="P26" i="17"/>
  <c r="O26" i="17"/>
  <c r="N26" i="17"/>
  <c r="C26" i="17"/>
  <c r="AD25" i="17"/>
  <c r="AC25" i="17"/>
  <c r="AB25" i="17"/>
  <c r="AA25" i="17"/>
  <c r="Z25" i="17"/>
  <c r="Y25" i="17"/>
  <c r="X25" i="17"/>
  <c r="W25" i="17"/>
  <c r="V25" i="17"/>
  <c r="U25" i="17"/>
  <c r="R25" i="17"/>
  <c r="P25" i="17"/>
  <c r="O25" i="17"/>
  <c r="N25" i="17"/>
  <c r="C25" i="17"/>
  <c r="AD24" i="17"/>
  <c r="AC24" i="17"/>
  <c r="AB24" i="17"/>
  <c r="AA24" i="17"/>
  <c r="Z24" i="17"/>
  <c r="Y24" i="17"/>
  <c r="X24" i="17"/>
  <c r="W24" i="17"/>
  <c r="V24" i="17"/>
  <c r="U24" i="17"/>
  <c r="R24" i="17"/>
  <c r="P24" i="17"/>
  <c r="O24" i="17"/>
  <c r="N24" i="17"/>
  <c r="C24" i="17"/>
  <c r="AD23" i="17"/>
  <c r="AC23" i="17"/>
  <c r="AB23" i="17"/>
  <c r="AA23" i="17"/>
  <c r="Z23" i="17"/>
  <c r="Y23" i="17"/>
  <c r="X23" i="17"/>
  <c r="W23" i="17"/>
  <c r="V23" i="17"/>
  <c r="U23" i="17"/>
  <c r="R23" i="17"/>
  <c r="P23" i="17"/>
  <c r="O23" i="17"/>
  <c r="N23" i="17"/>
  <c r="AD22" i="17"/>
  <c r="AC22" i="17"/>
  <c r="AB22" i="17"/>
  <c r="AA22" i="17"/>
  <c r="Z22" i="17"/>
  <c r="Y22" i="17"/>
  <c r="X22" i="17"/>
  <c r="W22" i="17"/>
  <c r="V22" i="17"/>
  <c r="U22" i="17"/>
  <c r="R22" i="17"/>
  <c r="P22" i="17"/>
  <c r="O22" i="17"/>
  <c r="N22" i="17"/>
  <c r="C22" i="17"/>
  <c r="AD21" i="17"/>
  <c r="AC21" i="17"/>
  <c r="AB21" i="17"/>
  <c r="AA21" i="17"/>
  <c r="Z21" i="17"/>
  <c r="Y21" i="17"/>
  <c r="X21" i="17"/>
  <c r="W21" i="17"/>
  <c r="V21" i="17"/>
  <c r="U21" i="17"/>
  <c r="R21" i="17"/>
  <c r="P21" i="17"/>
  <c r="O21" i="17"/>
  <c r="N21" i="17"/>
  <c r="C21" i="17"/>
  <c r="AD20" i="17"/>
  <c r="AC20" i="17"/>
  <c r="AB20" i="17"/>
  <c r="AA20" i="17"/>
  <c r="Z20" i="17"/>
  <c r="Y20" i="17"/>
  <c r="X20" i="17"/>
  <c r="W20" i="17"/>
  <c r="V20" i="17"/>
  <c r="U20" i="17"/>
  <c r="R20" i="17"/>
  <c r="P20" i="17"/>
  <c r="O20" i="17"/>
  <c r="N20" i="17"/>
  <c r="C20" i="17"/>
  <c r="AD19" i="17"/>
  <c r="AC19" i="17"/>
  <c r="AB19" i="17"/>
  <c r="AA19" i="17"/>
  <c r="Z19" i="17"/>
  <c r="Y19" i="17"/>
  <c r="X19" i="17"/>
  <c r="W19" i="17"/>
  <c r="V19" i="17"/>
  <c r="U19" i="17"/>
  <c r="R19" i="17"/>
  <c r="P19" i="17"/>
  <c r="O19" i="17"/>
  <c r="N19" i="17"/>
  <c r="C19" i="17"/>
  <c r="AD18" i="17"/>
  <c r="AC18" i="17"/>
  <c r="AB18" i="17"/>
  <c r="AA18" i="17"/>
  <c r="Z18" i="17"/>
  <c r="Y18" i="17"/>
  <c r="X18" i="17"/>
  <c r="W18" i="17"/>
  <c r="V18" i="17"/>
  <c r="U18" i="17"/>
  <c r="R18" i="17"/>
  <c r="P18" i="17"/>
  <c r="O18" i="17"/>
  <c r="N18" i="17"/>
  <c r="C18" i="17"/>
  <c r="AD17" i="17"/>
  <c r="AC17" i="17"/>
  <c r="AB17" i="17"/>
  <c r="AA17" i="17"/>
  <c r="Z17" i="17"/>
  <c r="Y17" i="17"/>
  <c r="X17" i="17"/>
  <c r="W17" i="17"/>
  <c r="V17" i="17"/>
  <c r="U17" i="17"/>
  <c r="R17" i="17"/>
  <c r="P17" i="17"/>
  <c r="O17" i="17"/>
  <c r="N17" i="17"/>
  <c r="C17" i="17"/>
  <c r="AD16" i="17"/>
  <c r="AC16" i="17"/>
  <c r="AB16" i="17"/>
  <c r="AA16" i="17"/>
  <c r="Z16" i="17"/>
  <c r="Y16" i="17"/>
  <c r="X16" i="17"/>
  <c r="W16" i="17"/>
  <c r="V16" i="17"/>
  <c r="U16" i="17"/>
  <c r="R16" i="17"/>
  <c r="P16" i="17"/>
  <c r="O16" i="17"/>
  <c r="N16" i="17"/>
  <c r="C16" i="17"/>
  <c r="AD15" i="17"/>
  <c r="AC15" i="17"/>
  <c r="AB15" i="17"/>
  <c r="AA15" i="17"/>
  <c r="Z15" i="17"/>
  <c r="Y15" i="17"/>
  <c r="X15" i="17"/>
  <c r="W15" i="17"/>
  <c r="V15" i="17"/>
  <c r="U15" i="17"/>
  <c r="R15" i="17"/>
  <c r="P15" i="17"/>
  <c r="O15" i="17"/>
  <c r="N15" i="17"/>
  <c r="C15" i="17"/>
  <c r="AD14" i="17"/>
  <c r="AC14" i="17"/>
  <c r="AB14" i="17"/>
  <c r="AA14" i="17"/>
  <c r="Z14" i="17"/>
  <c r="Y14" i="17"/>
  <c r="X14" i="17"/>
  <c r="W14" i="17"/>
  <c r="V14" i="17"/>
  <c r="U14" i="17"/>
  <c r="R14" i="17"/>
  <c r="P14" i="17"/>
  <c r="O14" i="17"/>
  <c r="N14" i="17"/>
  <c r="AD13" i="17"/>
  <c r="AC13" i="17"/>
  <c r="AB13" i="17"/>
  <c r="AA13" i="17"/>
  <c r="Z13" i="17"/>
  <c r="Y13" i="17"/>
  <c r="X13" i="17"/>
  <c r="W13" i="17"/>
  <c r="V13" i="17"/>
  <c r="U13" i="17"/>
  <c r="R13" i="17"/>
  <c r="Q13" i="17"/>
  <c r="P13" i="17"/>
  <c r="O13" i="17"/>
  <c r="N13" i="17"/>
  <c r="C13" i="17"/>
  <c r="AD12" i="17"/>
  <c r="AC12" i="17"/>
  <c r="AB12" i="17"/>
  <c r="AA12" i="17"/>
  <c r="Z12" i="17"/>
  <c r="Y12" i="17"/>
  <c r="X12" i="17"/>
  <c r="W12" i="17"/>
  <c r="V12" i="17"/>
  <c r="U12" i="17"/>
  <c r="R12" i="17"/>
  <c r="Q12" i="17"/>
  <c r="P12" i="17"/>
  <c r="O12" i="17"/>
  <c r="N12" i="17"/>
  <c r="C12" i="17"/>
  <c r="AD11" i="17"/>
  <c r="AC11" i="17"/>
  <c r="AB11" i="17"/>
  <c r="AA11" i="17"/>
  <c r="Z11" i="17"/>
  <c r="Y11" i="17"/>
  <c r="X11" i="17"/>
  <c r="W11" i="17"/>
  <c r="V11" i="17"/>
  <c r="U11" i="17"/>
  <c r="R11" i="17"/>
  <c r="Q11" i="17"/>
  <c r="P11" i="17"/>
  <c r="O11" i="17"/>
  <c r="N11" i="17"/>
  <c r="C11" i="17"/>
  <c r="AD10" i="17"/>
  <c r="AC10" i="17"/>
  <c r="AB10" i="17"/>
  <c r="AA10" i="17"/>
  <c r="Z10" i="17"/>
  <c r="Y10" i="17"/>
  <c r="X10" i="17"/>
  <c r="W10" i="17"/>
  <c r="V10" i="17"/>
  <c r="U10" i="17"/>
  <c r="R10" i="17"/>
  <c r="Q10" i="17"/>
  <c r="P10" i="17"/>
  <c r="O10" i="17"/>
  <c r="N10" i="17"/>
  <c r="C10" i="17"/>
  <c r="AD9" i="17"/>
  <c r="AC9" i="17"/>
  <c r="AB9" i="17"/>
  <c r="AA9" i="17"/>
  <c r="Z9" i="17"/>
  <c r="Y9" i="17"/>
  <c r="X9" i="17"/>
  <c r="W9" i="17"/>
  <c r="V9" i="17"/>
  <c r="U9" i="17"/>
  <c r="R9" i="17"/>
  <c r="Q9" i="17"/>
  <c r="P9" i="17"/>
  <c r="O9" i="17"/>
  <c r="N9" i="17"/>
  <c r="C9" i="17"/>
  <c r="AD8" i="17"/>
  <c r="AC8" i="17"/>
  <c r="AB8" i="17"/>
  <c r="AA8" i="17"/>
  <c r="Z8" i="17"/>
  <c r="Y8" i="17"/>
  <c r="X8" i="17"/>
  <c r="W8" i="17"/>
  <c r="V8" i="17"/>
  <c r="U8" i="17"/>
  <c r="R8" i="17"/>
  <c r="Q8" i="17"/>
  <c r="P8" i="17"/>
  <c r="O8" i="17"/>
  <c r="N8" i="17"/>
  <c r="C8" i="17"/>
  <c r="M7" i="17"/>
  <c r="L7" i="17"/>
  <c r="K7" i="17"/>
  <c r="J7" i="17"/>
  <c r="I7" i="17"/>
  <c r="H7" i="17"/>
  <c r="G7" i="17"/>
  <c r="F7" i="17"/>
  <c r="E7" i="17"/>
  <c r="D7" i="17"/>
  <c r="M6" i="17"/>
  <c r="L6" i="17"/>
  <c r="K6" i="17"/>
  <c r="J6" i="17"/>
  <c r="I6" i="17"/>
  <c r="H6" i="17"/>
  <c r="G6" i="17"/>
  <c r="F6" i="17"/>
  <c r="E6" i="17"/>
  <c r="D6" i="17"/>
  <c r="C6" i="17"/>
  <c r="O4" i="17"/>
  <c r="O3" i="17"/>
  <c r="J295" i="51"/>
  <c r="J294" i="51"/>
  <c r="J293" i="51"/>
  <c r="N274" i="51"/>
  <c r="R273" i="51"/>
  <c r="P273" i="51"/>
  <c r="O273" i="51"/>
  <c r="N273" i="51"/>
  <c r="M273" i="51"/>
  <c r="L273" i="51"/>
  <c r="K273" i="51"/>
  <c r="J273" i="51"/>
  <c r="I273" i="51"/>
  <c r="H273" i="51"/>
  <c r="G273" i="51"/>
  <c r="F273" i="51"/>
  <c r="E273" i="51"/>
  <c r="D273" i="51"/>
  <c r="AF272" i="51"/>
  <c r="AE272" i="51"/>
  <c r="AD272" i="51"/>
  <c r="AC272" i="51"/>
  <c r="AB272" i="51"/>
  <c r="AA272" i="51"/>
  <c r="Z272" i="51"/>
  <c r="Y272" i="51"/>
  <c r="X272" i="51"/>
  <c r="W272" i="51"/>
  <c r="R272" i="51"/>
  <c r="P272" i="51"/>
  <c r="O272" i="51"/>
  <c r="M272" i="51"/>
  <c r="L272" i="51"/>
  <c r="K272" i="51"/>
  <c r="J272" i="51"/>
  <c r="I272" i="51"/>
  <c r="H272" i="51"/>
  <c r="G272" i="51"/>
  <c r="F272" i="51"/>
  <c r="E272" i="51"/>
  <c r="D272" i="51"/>
  <c r="AF271" i="51"/>
  <c r="AE271" i="51"/>
  <c r="AD271" i="51"/>
  <c r="AC271" i="51"/>
  <c r="AB271" i="51"/>
  <c r="AA271" i="51"/>
  <c r="Z271" i="51"/>
  <c r="Y271" i="51"/>
  <c r="X271" i="51"/>
  <c r="W271" i="51"/>
  <c r="R271" i="51"/>
  <c r="P271" i="51"/>
  <c r="O271" i="51"/>
  <c r="N271" i="51"/>
  <c r="AF270" i="51"/>
  <c r="AE270" i="51"/>
  <c r="AD270" i="51"/>
  <c r="AC270" i="51"/>
  <c r="AB270" i="51"/>
  <c r="AA270" i="51"/>
  <c r="Z270" i="51"/>
  <c r="Y270" i="51"/>
  <c r="X270" i="51"/>
  <c r="W270" i="51"/>
  <c r="R270" i="51"/>
  <c r="P270" i="51"/>
  <c r="O270" i="51"/>
  <c r="N270" i="51"/>
  <c r="AF269" i="51"/>
  <c r="AE269" i="51"/>
  <c r="AD269" i="51"/>
  <c r="AC269" i="51"/>
  <c r="AB269" i="51"/>
  <c r="AA269" i="51"/>
  <c r="Z269" i="51"/>
  <c r="Y269" i="51"/>
  <c r="X269" i="51"/>
  <c r="W269" i="51"/>
  <c r="R269" i="51"/>
  <c r="P269" i="51"/>
  <c r="O269" i="51"/>
  <c r="N269" i="51"/>
  <c r="AF268" i="51"/>
  <c r="AE268" i="51"/>
  <c r="AD268" i="51"/>
  <c r="AC268" i="51"/>
  <c r="AB268" i="51"/>
  <c r="AA268" i="51"/>
  <c r="Z268" i="51"/>
  <c r="Y268" i="51"/>
  <c r="X268" i="51"/>
  <c r="W268" i="51"/>
  <c r="R268" i="51"/>
  <c r="P268" i="51"/>
  <c r="O268" i="51"/>
  <c r="N268" i="51"/>
  <c r="AF267" i="51"/>
  <c r="AE267" i="51"/>
  <c r="AD267" i="51"/>
  <c r="AC267" i="51"/>
  <c r="AB267" i="51"/>
  <c r="AA267" i="51"/>
  <c r="Z267" i="51"/>
  <c r="Y267" i="51"/>
  <c r="X267" i="51"/>
  <c r="W267" i="51"/>
  <c r="R267" i="51"/>
  <c r="P267" i="51"/>
  <c r="O267" i="51"/>
  <c r="N267" i="51"/>
  <c r="AF266" i="51"/>
  <c r="AE266" i="51"/>
  <c r="AD266" i="51"/>
  <c r="AC266" i="51"/>
  <c r="AB266" i="51"/>
  <c r="AA266" i="51"/>
  <c r="Z266" i="51"/>
  <c r="Y266" i="51"/>
  <c r="X266" i="51"/>
  <c r="W266" i="51"/>
  <c r="R266" i="51"/>
  <c r="P266" i="51"/>
  <c r="O266" i="51"/>
  <c r="N266" i="51"/>
  <c r="AF265" i="51"/>
  <c r="AE265" i="51"/>
  <c r="AD265" i="51"/>
  <c r="AC265" i="51"/>
  <c r="AB265" i="51"/>
  <c r="AA265" i="51"/>
  <c r="Z265" i="51"/>
  <c r="Y265" i="51"/>
  <c r="X265" i="51"/>
  <c r="W265" i="51"/>
  <c r="R265" i="51"/>
  <c r="P265" i="51"/>
  <c r="O265" i="51"/>
  <c r="N265" i="51"/>
  <c r="AF264" i="51"/>
  <c r="AE264" i="51"/>
  <c r="AD264" i="51"/>
  <c r="AC264" i="51"/>
  <c r="AB264" i="51"/>
  <c r="AA264" i="51"/>
  <c r="Z264" i="51"/>
  <c r="Y264" i="51"/>
  <c r="X264" i="51"/>
  <c r="W264" i="51"/>
  <c r="R264" i="51"/>
  <c r="P264" i="51"/>
  <c r="O264" i="51"/>
  <c r="N264" i="51"/>
  <c r="AF263" i="51"/>
  <c r="AE263" i="51"/>
  <c r="AD263" i="51"/>
  <c r="AC263" i="51"/>
  <c r="AB263" i="51"/>
  <c r="AA263" i="51"/>
  <c r="Z263" i="51"/>
  <c r="Y263" i="51"/>
  <c r="X263" i="51"/>
  <c r="W263" i="51"/>
  <c r="R263" i="51"/>
  <c r="P263" i="51"/>
  <c r="O263" i="51"/>
  <c r="N263" i="51"/>
  <c r="AF262" i="51"/>
  <c r="AE262" i="51"/>
  <c r="AD262" i="51"/>
  <c r="AC262" i="51"/>
  <c r="AB262" i="51"/>
  <c r="AA262" i="51"/>
  <c r="Z262" i="51"/>
  <c r="Y262" i="51"/>
  <c r="X262" i="51"/>
  <c r="W262" i="51"/>
  <c r="R262" i="51"/>
  <c r="P262" i="51"/>
  <c r="O262" i="51"/>
  <c r="N262" i="51"/>
  <c r="AF261" i="51"/>
  <c r="AE261" i="51"/>
  <c r="AD261" i="51"/>
  <c r="AC261" i="51"/>
  <c r="AB261" i="51"/>
  <c r="AA261" i="51"/>
  <c r="Z261" i="51"/>
  <c r="Y261" i="51"/>
  <c r="X261" i="51"/>
  <c r="W261" i="51"/>
  <c r="R261" i="51"/>
  <c r="P261" i="51"/>
  <c r="O261" i="51"/>
  <c r="N261" i="51"/>
  <c r="AF260" i="51"/>
  <c r="AE260" i="51"/>
  <c r="AD260" i="51"/>
  <c r="AC260" i="51"/>
  <c r="AB260" i="51"/>
  <c r="AA260" i="51"/>
  <c r="Z260" i="51"/>
  <c r="Y260" i="51"/>
  <c r="X260" i="51"/>
  <c r="W260" i="51"/>
  <c r="R260" i="51"/>
  <c r="P260" i="51"/>
  <c r="O260" i="51"/>
  <c r="N260" i="51"/>
  <c r="AF259" i="51"/>
  <c r="AE259" i="51"/>
  <c r="AD259" i="51"/>
  <c r="AC259" i="51"/>
  <c r="AB259" i="51"/>
  <c r="AA259" i="51"/>
  <c r="Z259" i="51"/>
  <c r="Y259" i="51"/>
  <c r="X259" i="51"/>
  <c r="W259" i="51"/>
  <c r="R259" i="51"/>
  <c r="P259" i="51"/>
  <c r="O259" i="51"/>
  <c r="N259" i="51"/>
  <c r="AF258" i="51"/>
  <c r="AE258" i="51"/>
  <c r="AD258" i="51"/>
  <c r="AC258" i="51"/>
  <c r="AB258" i="51"/>
  <c r="AA258" i="51"/>
  <c r="Z258" i="51"/>
  <c r="Y258" i="51"/>
  <c r="X258" i="51"/>
  <c r="W258" i="51"/>
  <c r="R258" i="51"/>
  <c r="P258" i="51"/>
  <c r="O258" i="51"/>
  <c r="N258" i="51"/>
  <c r="AF257" i="51"/>
  <c r="AE257" i="51"/>
  <c r="AD257" i="51"/>
  <c r="AC257" i="51"/>
  <c r="AB257" i="51"/>
  <c r="AA257" i="51"/>
  <c r="Z257" i="51"/>
  <c r="Y257" i="51"/>
  <c r="X257" i="51"/>
  <c r="W257" i="51"/>
  <c r="R257" i="51"/>
  <c r="P257" i="51"/>
  <c r="O257" i="51"/>
  <c r="N257" i="51"/>
  <c r="AF256" i="51"/>
  <c r="AE256" i="51"/>
  <c r="AD256" i="51"/>
  <c r="AC256" i="51"/>
  <c r="AB256" i="51"/>
  <c r="AA256" i="51"/>
  <c r="Z256" i="51"/>
  <c r="Y256" i="51"/>
  <c r="X256" i="51"/>
  <c r="W256" i="51"/>
  <c r="R256" i="51"/>
  <c r="P256" i="51"/>
  <c r="O256" i="51"/>
  <c r="N256" i="51"/>
  <c r="AF255" i="51"/>
  <c r="AE255" i="51"/>
  <c r="AD255" i="51"/>
  <c r="AC255" i="51"/>
  <c r="AB255" i="51"/>
  <c r="AA255" i="51"/>
  <c r="Z255" i="51"/>
  <c r="Y255" i="51"/>
  <c r="X255" i="51"/>
  <c r="W255" i="51"/>
  <c r="R255" i="51"/>
  <c r="P255" i="51"/>
  <c r="O255" i="51"/>
  <c r="N255" i="51"/>
  <c r="AF254" i="51"/>
  <c r="AE254" i="51"/>
  <c r="AD254" i="51"/>
  <c r="AC254" i="51"/>
  <c r="AB254" i="51"/>
  <c r="AA254" i="51"/>
  <c r="Z254" i="51"/>
  <c r="Y254" i="51"/>
  <c r="X254" i="51"/>
  <c r="W254" i="51"/>
  <c r="R254" i="51"/>
  <c r="P254" i="51"/>
  <c r="O254" i="51"/>
  <c r="N254" i="51"/>
  <c r="AF253" i="51"/>
  <c r="AE253" i="51"/>
  <c r="AD253" i="51"/>
  <c r="AC253" i="51"/>
  <c r="AB253" i="51"/>
  <c r="AA253" i="51"/>
  <c r="Z253" i="51"/>
  <c r="Y253" i="51"/>
  <c r="X253" i="51"/>
  <c r="W253" i="51"/>
  <c r="R253" i="51"/>
  <c r="P253" i="51"/>
  <c r="O253" i="51"/>
  <c r="N253" i="51"/>
  <c r="AF252" i="51"/>
  <c r="AE252" i="51"/>
  <c r="AD252" i="51"/>
  <c r="AC252" i="51"/>
  <c r="AB252" i="51"/>
  <c r="AA252" i="51"/>
  <c r="Z252" i="51"/>
  <c r="Y252" i="51"/>
  <c r="X252" i="51"/>
  <c r="W252" i="51"/>
  <c r="R252" i="51"/>
  <c r="P252" i="51"/>
  <c r="O252" i="51"/>
  <c r="N252" i="51"/>
  <c r="AF251" i="51"/>
  <c r="AE251" i="51"/>
  <c r="AD251" i="51"/>
  <c r="AC251" i="51"/>
  <c r="AB251" i="51"/>
  <c r="AA251" i="51"/>
  <c r="Z251" i="51"/>
  <c r="Y251" i="51"/>
  <c r="X251" i="51"/>
  <c r="W251" i="51"/>
  <c r="R251" i="51"/>
  <c r="P251" i="51"/>
  <c r="O251" i="51"/>
  <c r="N251" i="51"/>
  <c r="AF250" i="51"/>
  <c r="AE250" i="51"/>
  <c r="AD250" i="51"/>
  <c r="AC250" i="51"/>
  <c r="AB250" i="51"/>
  <c r="AA250" i="51"/>
  <c r="Z250" i="51"/>
  <c r="Y250" i="51"/>
  <c r="X250" i="51"/>
  <c r="W250" i="51"/>
  <c r="R250" i="51"/>
  <c r="P250" i="51"/>
  <c r="O250" i="51"/>
  <c r="N250" i="51"/>
  <c r="AF249" i="51"/>
  <c r="AE249" i="51"/>
  <c r="AD249" i="51"/>
  <c r="AC249" i="51"/>
  <c r="AB249" i="51"/>
  <c r="AA249" i="51"/>
  <c r="Z249" i="51"/>
  <c r="Y249" i="51"/>
  <c r="X249" i="51"/>
  <c r="W249" i="51"/>
  <c r="R249" i="51"/>
  <c r="P249" i="51"/>
  <c r="O249" i="51"/>
  <c r="N249" i="51"/>
  <c r="C249" i="51"/>
  <c r="AF248" i="51"/>
  <c r="AE248" i="51"/>
  <c r="AD248" i="51"/>
  <c r="AC248" i="51"/>
  <c r="AB248" i="51"/>
  <c r="AA248" i="51"/>
  <c r="Z248" i="51"/>
  <c r="Y248" i="51"/>
  <c r="X248" i="51"/>
  <c r="W248" i="51"/>
  <c r="R248" i="51"/>
  <c r="P248" i="51"/>
  <c r="O248" i="51"/>
  <c r="N248" i="51"/>
  <c r="C248" i="51"/>
  <c r="AF247" i="51"/>
  <c r="AE247" i="51"/>
  <c r="AD247" i="51"/>
  <c r="AC247" i="51"/>
  <c r="AB247" i="51"/>
  <c r="AA247" i="51"/>
  <c r="Z247" i="51"/>
  <c r="Y247" i="51"/>
  <c r="X247" i="51"/>
  <c r="W247" i="51"/>
  <c r="R247" i="51"/>
  <c r="P247" i="51"/>
  <c r="O247" i="51"/>
  <c r="N247" i="51"/>
  <c r="AF246" i="51"/>
  <c r="AE246" i="51"/>
  <c r="AD246" i="51"/>
  <c r="AC246" i="51"/>
  <c r="AB246" i="51"/>
  <c r="AA246" i="51"/>
  <c r="Z246" i="51"/>
  <c r="Y246" i="51"/>
  <c r="X246" i="51"/>
  <c r="W246" i="51"/>
  <c r="R246" i="51"/>
  <c r="P246" i="51"/>
  <c r="O246" i="51"/>
  <c r="N246" i="51"/>
  <c r="C246" i="51"/>
  <c r="AF245" i="51"/>
  <c r="AE245" i="51"/>
  <c r="AD245" i="51"/>
  <c r="AC245" i="51"/>
  <c r="AB245" i="51"/>
  <c r="AA245" i="51"/>
  <c r="Z245" i="51"/>
  <c r="Y245" i="51"/>
  <c r="X245" i="51"/>
  <c r="W245" i="51"/>
  <c r="R245" i="51"/>
  <c r="P245" i="51"/>
  <c r="O245" i="51"/>
  <c r="N245" i="51"/>
  <c r="C245" i="51"/>
  <c r="AF244" i="51"/>
  <c r="AE244" i="51"/>
  <c r="AD244" i="51"/>
  <c r="AC244" i="51"/>
  <c r="AB244" i="51"/>
  <c r="AA244" i="51"/>
  <c r="Z244" i="51"/>
  <c r="Y244" i="51"/>
  <c r="X244" i="51"/>
  <c r="W244" i="51"/>
  <c r="R244" i="51"/>
  <c r="P244" i="51"/>
  <c r="O244" i="51"/>
  <c r="N244" i="51"/>
  <c r="C244" i="51"/>
  <c r="AF243" i="51"/>
  <c r="AE243" i="51"/>
  <c r="AD243" i="51"/>
  <c r="AC243" i="51"/>
  <c r="AB243" i="51"/>
  <c r="AA243" i="51"/>
  <c r="Z243" i="51"/>
  <c r="Y243" i="51"/>
  <c r="X243" i="51"/>
  <c r="W243" i="51"/>
  <c r="R243" i="51"/>
  <c r="P243" i="51"/>
  <c r="O243" i="51"/>
  <c r="N243" i="51"/>
  <c r="AF242" i="51"/>
  <c r="AE242" i="51"/>
  <c r="AD242" i="51"/>
  <c r="AC242" i="51"/>
  <c r="AB242" i="51"/>
  <c r="AA242" i="51"/>
  <c r="Z242" i="51"/>
  <c r="Y242" i="51"/>
  <c r="X242" i="51"/>
  <c r="W242" i="51"/>
  <c r="R242" i="51"/>
  <c r="P242" i="51"/>
  <c r="O242" i="51"/>
  <c r="N242" i="51"/>
  <c r="C242" i="51"/>
  <c r="AF241" i="51"/>
  <c r="AE241" i="51"/>
  <c r="AD241" i="51"/>
  <c r="AC241" i="51"/>
  <c r="AB241" i="51"/>
  <c r="AA241" i="51"/>
  <c r="Z241" i="51"/>
  <c r="Y241" i="51"/>
  <c r="X241" i="51"/>
  <c r="W241" i="51"/>
  <c r="R241" i="51"/>
  <c r="P241" i="51"/>
  <c r="O241" i="51"/>
  <c r="N241" i="51"/>
  <c r="C241" i="51"/>
  <c r="AF240" i="51"/>
  <c r="AE240" i="51"/>
  <c r="AD240" i="51"/>
  <c r="AC240" i="51"/>
  <c r="AB240" i="51"/>
  <c r="AA240" i="51"/>
  <c r="Z240" i="51"/>
  <c r="Y240" i="51"/>
  <c r="X240" i="51"/>
  <c r="W240" i="51"/>
  <c r="R240" i="51"/>
  <c r="P240" i="51"/>
  <c r="O240" i="51"/>
  <c r="N240" i="51"/>
  <c r="C240" i="51"/>
  <c r="AF239" i="51"/>
  <c r="AE239" i="51"/>
  <c r="AD239" i="51"/>
  <c r="AC239" i="51"/>
  <c r="AB239" i="51"/>
  <c r="AA239" i="51"/>
  <c r="Z239" i="51"/>
  <c r="Y239" i="51"/>
  <c r="X239" i="51"/>
  <c r="W239" i="51"/>
  <c r="R239" i="51"/>
  <c r="P239" i="51"/>
  <c r="O239" i="51"/>
  <c r="N239" i="51"/>
  <c r="C239" i="51"/>
  <c r="AF238" i="51"/>
  <c r="AE238" i="51"/>
  <c r="AD238" i="51"/>
  <c r="AC238" i="51"/>
  <c r="AB238" i="51"/>
  <c r="AA238" i="51"/>
  <c r="Z238" i="51"/>
  <c r="Y238" i="51"/>
  <c r="X238" i="51"/>
  <c r="W238" i="51"/>
  <c r="R238" i="51"/>
  <c r="P238" i="51"/>
  <c r="O238" i="51"/>
  <c r="N238" i="51"/>
  <c r="AF237" i="51"/>
  <c r="AE237" i="51"/>
  <c r="AD237" i="51"/>
  <c r="AC237" i="51"/>
  <c r="AB237" i="51"/>
  <c r="AA237" i="51"/>
  <c r="Z237" i="51"/>
  <c r="Y237" i="51"/>
  <c r="X237" i="51"/>
  <c r="W237" i="51"/>
  <c r="R237" i="51"/>
  <c r="P237" i="51"/>
  <c r="O237" i="51"/>
  <c r="N237" i="51"/>
  <c r="C237" i="51"/>
  <c r="AF236" i="51"/>
  <c r="AE236" i="51"/>
  <c r="AD236" i="51"/>
  <c r="AC236" i="51"/>
  <c r="AB236" i="51"/>
  <c r="AA236" i="51"/>
  <c r="Z236" i="51"/>
  <c r="Y236" i="51"/>
  <c r="X236" i="51"/>
  <c r="W236" i="51"/>
  <c r="R236" i="51"/>
  <c r="P236" i="51"/>
  <c r="O236" i="51"/>
  <c r="N236" i="51"/>
  <c r="C236" i="51"/>
  <c r="AF235" i="51"/>
  <c r="AE235" i="51"/>
  <c r="AD235" i="51"/>
  <c r="AC235" i="51"/>
  <c r="AB235" i="51"/>
  <c r="AA235" i="51"/>
  <c r="Z235" i="51"/>
  <c r="Y235" i="51"/>
  <c r="X235" i="51"/>
  <c r="W235" i="51"/>
  <c r="R235" i="51"/>
  <c r="P235" i="51"/>
  <c r="O235" i="51"/>
  <c r="N235" i="51"/>
  <c r="C235" i="51"/>
  <c r="AF234" i="51"/>
  <c r="AE234" i="51"/>
  <c r="AD234" i="51"/>
  <c r="AC234" i="51"/>
  <c r="AB234" i="51"/>
  <c r="AA234" i="51"/>
  <c r="Z234" i="51"/>
  <c r="Y234" i="51"/>
  <c r="X234" i="51"/>
  <c r="W234" i="51"/>
  <c r="R234" i="51"/>
  <c r="P234" i="51"/>
  <c r="O234" i="51"/>
  <c r="N234" i="51"/>
  <c r="C234" i="51"/>
  <c r="AF233" i="51"/>
  <c r="AE233" i="51"/>
  <c r="AD233" i="51"/>
  <c r="AC233" i="51"/>
  <c r="AB233" i="51"/>
  <c r="AA233" i="51"/>
  <c r="Z233" i="51"/>
  <c r="Y233" i="51"/>
  <c r="X233" i="51"/>
  <c r="W233" i="51"/>
  <c r="R233" i="51"/>
  <c r="P233" i="51"/>
  <c r="O233" i="51"/>
  <c r="N233" i="51"/>
  <c r="C233" i="51"/>
  <c r="AF232" i="51"/>
  <c r="AE232" i="51"/>
  <c r="AD232" i="51"/>
  <c r="AC232" i="51"/>
  <c r="AB232" i="51"/>
  <c r="AA232" i="51"/>
  <c r="Z232" i="51"/>
  <c r="Y232" i="51"/>
  <c r="X232" i="51"/>
  <c r="W232" i="51"/>
  <c r="R232" i="51"/>
  <c r="P232" i="51"/>
  <c r="O232" i="51"/>
  <c r="N232" i="51"/>
  <c r="C232" i="51"/>
  <c r="AF231" i="51"/>
  <c r="AE231" i="51"/>
  <c r="AD231" i="51"/>
  <c r="AC231" i="51"/>
  <c r="AB231" i="51"/>
  <c r="AA231" i="51"/>
  <c r="Z231" i="51"/>
  <c r="Y231" i="51"/>
  <c r="X231" i="51"/>
  <c r="W231" i="51"/>
  <c r="R231" i="51"/>
  <c r="P231" i="51"/>
  <c r="O231" i="51"/>
  <c r="N231" i="51"/>
  <c r="C231" i="51"/>
  <c r="AF230" i="51"/>
  <c r="AE230" i="51"/>
  <c r="AD230" i="51"/>
  <c r="AC230" i="51"/>
  <c r="AB230" i="51"/>
  <c r="AA230" i="51"/>
  <c r="Z230" i="51"/>
  <c r="Y230" i="51"/>
  <c r="X230" i="51"/>
  <c r="W230" i="51"/>
  <c r="R230" i="51"/>
  <c r="P230" i="51"/>
  <c r="O230" i="51"/>
  <c r="N230" i="51"/>
  <c r="C230" i="51"/>
  <c r="AF229" i="51"/>
  <c r="AE229" i="51"/>
  <c r="AD229" i="51"/>
  <c r="AC229" i="51"/>
  <c r="AB229" i="51"/>
  <c r="AA229" i="51"/>
  <c r="Z229" i="51"/>
  <c r="Y229" i="51"/>
  <c r="X229" i="51"/>
  <c r="W229" i="51"/>
  <c r="R229" i="51"/>
  <c r="P229" i="51"/>
  <c r="O229" i="51"/>
  <c r="N229" i="51"/>
  <c r="C229" i="51"/>
  <c r="AF228" i="51"/>
  <c r="AE228" i="51"/>
  <c r="AD228" i="51"/>
  <c r="AC228" i="51"/>
  <c r="AB228" i="51"/>
  <c r="AA228" i="51"/>
  <c r="Z228" i="51"/>
  <c r="Y228" i="51"/>
  <c r="X228" i="51"/>
  <c r="W228" i="51"/>
  <c r="R228" i="51"/>
  <c r="P228" i="51"/>
  <c r="O228" i="51"/>
  <c r="N228" i="51"/>
  <c r="C228" i="51"/>
  <c r="AF227" i="51"/>
  <c r="AE227" i="51"/>
  <c r="AD227" i="51"/>
  <c r="AC227" i="51"/>
  <c r="AB227" i="51"/>
  <c r="AA227" i="51"/>
  <c r="Z227" i="51"/>
  <c r="Y227" i="51"/>
  <c r="X227" i="51"/>
  <c r="W227" i="51"/>
  <c r="R227" i="51"/>
  <c r="P227" i="51"/>
  <c r="O227" i="51"/>
  <c r="N227" i="51"/>
  <c r="C227" i="51"/>
  <c r="AF226" i="51"/>
  <c r="AE226" i="51"/>
  <c r="AD226" i="51"/>
  <c r="AC226" i="51"/>
  <c r="AB226" i="51"/>
  <c r="AA226" i="51"/>
  <c r="Z226" i="51"/>
  <c r="Y226" i="51"/>
  <c r="X226" i="51"/>
  <c r="W226" i="51"/>
  <c r="R226" i="51"/>
  <c r="P226" i="51"/>
  <c r="O226" i="51"/>
  <c r="N226" i="51"/>
  <c r="C226" i="51"/>
  <c r="AF225" i="51"/>
  <c r="AE225" i="51"/>
  <c r="AD225" i="51"/>
  <c r="AC225" i="51"/>
  <c r="AB225" i="51"/>
  <c r="AA225" i="51"/>
  <c r="Z225" i="51"/>
  <c r="Y225" i="51"/>
  <c r="X225" i="51"/>
  <c r="W225" i="51"/>
  <c r="R225" i="51"/>
  <c r="P225" i="51"/>
  <c r="O225" i="51"/>
  <c r="N225" i="51"/>
  <c r="AF224" i="51"/>
  <c r="AE224" i="51"/>
  <c r="AD224" i="51"/>
  <c r="AC224" i="51"/>
  <c r="AB224" i="51"/>
  <c r="AA224" i="51"/>
  <c r="Z224" i="51"/>
  <c r="Y224" i="51"/>
  <c r="X224" i="51"/>
  <c r="W224" i="51"/>
  <c r="R224" i="51"/>
  <c r="P224" i="51"/>
  <c r="O224" i="51"/>
  <c r="N224" i="51"/>
  <c r="AF223" i="51"/>
  <c r="AE223" i="51"/>
  <c r="AD223" i="51"/>
  <c r="AC223" i="51"/>
  <c r="AB223" i="51"/>
  <c r="AA223" i="51"/>
  <c r="Z223" i="51"/>
  <c r="Y223" i="51"/>
  <c r="X223" i="51"/>
  <c r="W223" i="51"/>
  <c r="R223" i="51"/>
  <c r="P223" i="51"/>
  <c r="O223" i="51"/>
  <c r="N223" i="51"/>
  <c r="C223" i="51"/>
  <c r="AF222" i="51"/>
  <c r="AE222" i="51"/>
  <c r="AD222" i="51"/>
  <c r="AC222" i="51"/>
  <c r="AB222" i="51"/>
  <c r="AA222" i="51"/>
  <c r="Z222" i="51"/>
  <c r="Y222" i="51"/>
  <c r="X222" i="51"/>
  <c r="W222" i="51"/>
  <c r="R222" i="51"/>
  <c r="P222" i="51"/>
  <c r="O222" i="51"/>
  <c r="N222" i="51"/>
  <c r="C222" i="51"/>
  <c r="AF221" i="51"/>
  <c r="AE221" i="51"/>
  <c r="AD221" i="51"/>
  <c r="AC221" i="51"/>
  <c r="AB221" i="51"/>
  <c r="AA221" i="51"/>
  <c r="Z221" i="51"/>
  <c r="Y221" i="51"/>
  <c r="X221" i="51"/>
  <c r="W221" i="51"/>
  <c r="R221" i="51"/>
  <c r="P221" i="51"/>
  <c r="O221" i="51"/>
  <c r="N221" i="51"/>
  <c r="C221" i="51"/>
  <c r="AF220" i="51"/>
  <c r="AE220" i="51"/>
  <c r="AD220" i="51"/>
  <c r="AC220" i="51"/>
  <c r="AB220" i="51"/>
  <c r="AA220" i="51"/>
  <c r="Z220" i="51"/>
  <c r="Y220" i="51"/>
  <c r="X220" i="51"/>
  <c r="W220" i="51"/>
  <c r="R220" i="51"/>
  <c r="P220" i="51"/>
  <c r="O220" i="51"/>
  <c r="N220" i="51"/>
  <c r="C220" i="51"/>
  <c r="AF219" i="51"/>
  <c r="AE219" i="51"/>
  <c r="AD219" i="51"/>
  <c r="AC219" i="51"/>
  <c r="AB219" i="51"/>
  <c r="AA219" i="51"/>
  <c r="Z219" i="51"/>
  <c r="Y219" i="51"/>
  <c r="X219" i="51"/>
  <c r="W219" i="51"/>
  <c r="R219" i="51"/>
  <c r="P219" i="51"/>
  <c r="O219" i="51"/>
  <c r="N219" i="51"/>
  <c r="C219" i="51"/>
  <c r="AF218" i="51"/>
  <c r="AE218" i="51"/>
  <c r="AD218" i="51"/>
  <c r="AC218" i="51"/>
  <c r="AB218" i="51"/>
  <c r="AA218" i="51"/>
  <c r="Z218" i="51"/>
  <c r="Y218" i="51"/>
  <c r="X218" i="51"/>
  <c r="W218" i="51"/>
  <c r="R218" i="51"/>
  <c r="P218" i="51"/>
  <c r="O218" i="51"/>
  <c r="N218" i="51"/>
  <c r="C218" i="51"/>
  <c r="AF217" i="51"/>
  <c r="AE217" i="51"/>
  <c r="AD217" i="51"/>
  <c r="AC217" i="51"/>
  <c r="AB217" i="51"/>
  <c r="AA217" i="51"/>
  <c r="Z217" i="51"/>
  <c r="Y217" i="51"/>
  <c r="X217" i="51"/>
  <c r="W217" i="51"/>
  <c r="R217" i="51"/>
  <c r="P217" i="51"/>
  <c r="O217" i="51"/>
  <c r="N217" i="51"/>
  <c r="C217" i="51"/>
  <c r="AF216" i="51"/>
  <c r="AE216" i="51"/>
  <c r="AD216" i="51"/>
  <c r="AC216" i="51"/>
  <c r="AB216" i="51"/>
  <c r="AA216" i="51"/>
  <c r="Z216" i="51"/>
  <c r="Y216" i="51"/>
  <c r="X216" i="51"/>
  <c r="W216" i="51"/>
  <c r="R216" i="51"/>
  <c r="P216" i="51"/>
  <c r="O216" i="51"/>
  <c r="N216" i="51"/>
  <c r="C216" i="51"/>
  <c r="M215" i="51"/>
  <c r="L215" i="51"/>
  <c r="K215" i="51"/>
  <c r="J215" i="51"/>
  <c r="I215" i="51"/>
  <c r="H215" i="51"/>
  <c r="G215" i="51"/>
  <c r="F215" i="51"/>
  <c r="E215" i="51"/>
  <c r="D215" i="51"/>
  <c r="C215" i="51"/>
  <c r="AF213" i="51"/>
  <c r="AE213" i="51"/>
  <c r="AD213" i="51"/>
  <c r="AC213" i="51"/>
  <c r="AB213" i="51"/>
  <c r="AA213" i="51"/>
  <c r="Z213" i="51"/>
  <c r="Y213" i="51"/>
  <c r="X213" i="51"/>
  <c r="W213" i="51"/>
  <c r="R213" i="51"/>
  <c r="P213" i="51"/>
  <c r="O213" i="51"/>
  <c r="M213" i="51"/>
  <c r="L213" i="51"/>
  <c r="K213" i="51"/>
  <c r="J213" i="51"/>
  <c r="I213" i="51"/>
  <c r="H213" i="51"/>
  <c r="G213" i="51"/>
  <c r="F213" i="51"/>
  <c r="E213" i="51"/>
  <c r="D213" i="51"/>
  <c r="AF212" i="51"/>
  <c r="AE212" i="51"/>
  <c r="AD212" i="51"/>
  <c r="AC212" i="51"/>
  <c r="AB212" i="51"/>
  <c r="AA212" i="51"/>
  <c r="Z212" i="51"/>
  <c r="Y212" i="51"/>
  <c r="X212" i="51"/>
  <c r="W212" i="51"/>
  <c r="R212" i="51"/>
  <c r="P212" i="51"/>
  <c r="O212" i="51"/>
  <c r="N212" i="51"/>
  <c r="AF211" i="51"/>
  <c r="AE211" i="51"/>
  <c r="AD211" i="51"/>
  <c r="AC211" i="51"/>
  <c r="AB211" i="51"/>
  <c r="AA211" i="51"/>
  <c r="Z211" i="51"/>
  <c r="Y211" i="51"/>
  <c r="X211" i="51"/>
  <c r="W211" i="51"/>
  <c r="R211" i="51"/>
  <c r="P211" i="51"/>
  <c r="O211" i="51"/>
  <c r="N211" i="51"/>
  <c r="AF210" i="51"/>
  <c r="AE210" i="51"/>
  <c r="AD210" i="51"/>
  <c r="AC210" i="51"/>
  <c r="AB210" i="51"/>
  <c r="AA210" i="51"/>
  <c r="Z210" i="51"/>
  <c r="Y210" i="51"/>
  <c r="X210" i="51"/>
  <c r="W210" i="51"/>
  <c r="R210" i="51"/>
  <c r="P210" i="51"/>
  <c r="O210" i="51"/>
  <c r="N210" i="51"/>
  <c r="AF209" i="51"/>
  <c r="AE209" i="51"/>
  <c r="AD209" i="51"/>
  <c r="AC209" i="51"/>
  <c r="AB209" i="51"/>
  <c r="AA209" i="51"/>
  <c r="Z209" i="51"/>
  <c r="Y209" i="51"/>
  <c r="X209" i="51"/>
  <c r="W209" i="51"/>
  <c r="R209" i="51"/>
  <c r="P209" i="51"/>
  <c r="O209" i="51"/>
  <c r="N209" i="51"/>
  <c r="AF208" i="51"/>
  <c r="AE208" i="51"/>
  <c r="AD208" i="51"/>
  <c r="AC208" i="51"/>
  <c r="AB208" i="51"/>
  <c r="AA208" i="51"/>
  <c r="Z208" i="51"/>
  <c r="Y208" i="51"/>
  <c r="X208" i="51"/>
  <c r="W208" i="51"/>
  <c r="R208" i="51"/>
  <c r="P208" i="51"/>
  <c r="O208" i="51"/>
  <c r="N208" i="51"/>
  <c r="AF207" i="51"/>
  <c r="AE207" i="51"/>
  <c r="AD207" i="51"/>
  <c r="AC207" i="51"/>
  <c r="AB207" i="51"/>
  <c r="AA207" i="51"/>
  <c r="Z207" i="51"/>
  <c r="Y207" i="51"/>
  <c r="X207" i="51"/>
  <c r="W207" i="51"/>
  <c r="R207" i="51"/>
  <c r="P207" i="51"/>
  <c r="O207" i="51"/>
  <c r="N207" i="51"/>
  <c r="AF206" i="51"/>
  <c r="AE206" i="51"/>
  <c r="AD206" i="51"/>
  <c r="AC206" i="51"/>
  <c r="AB206" i="51"/>
  <c r="AA206" i="51"/>
  <c r="Z206" i="51"/>
  <c r="Y206" i="51"/>
  <c r="X206" i="51"/>
  <c r="W206" i="51"/>
  <c r="R206" i="51"/>
  <c r="P206" i="51"/>
  <c r="O206" i="51"/>
  <c r="N206" i="51"/>
  <c r="AF205" i="51"/>
  <c r="AE205" i="51"/>
  <c r="AD205" i="51"/>
  <c r="AC205" i="51"/>
  <c r="AB205" i="51"/>
  <c r="AA205" i="51"/>
  <c r="Z205" i="51"/>
  <c r="Y205" i="51"/>
  <c r="X205" i="51"/>
  <c r="W205" i="51"/>
  <c r="R205" i="51"/>
  <c r="P205" i="51"/>
  <c r="O205" i="51"/>
  <c r="N205" i="51"/>
  <c r="AF204" i="51"/>
  <c r="AE204" i="51"/>
  <c r="AD204" i="51"/>
  <c r="AC204" i="51"/>
  <c r="AB204" i="51"/>
  <c r="AA204" i="51"/>
  <c r="Z204" i="51"/>
  <c r="Y204" i="51"/>
  <c r="X204" i="51"/>
  <c r="W204" i="51"/>
  <c r="R204" i="51"/>
  <c r="P204" i="51"/>
  <c r="O204" i="51"/>
  <c r="N204" i="51"/>
  <c r="AF203" i="51"/>
  <c r="AE203" i="51"/>
  <c r="AD203" i="51"/>
  <c r="AC203" i="51"/>
  <c r="AB203" i="51"/>
  <c r="AA203" i="51"/>
  <c r="Z203" i="51"/>
  <c r="Y203" i="51"/>
  <c r="X203" i="51"/>
  <c r="W203" i="51"/>
  <c r="R203" i="51"/>
  <c r="P203" i="51"/>
  <c r="O203" i="51"/>
  <c r="N203" i="51"/>
  <c r="AF202" i="51"/>
  <c r="AE202" i="51"/>
  <c r="AD202" i="51"/>
  <c r="AC202" i="51"/>
  <c r="AB202" i="51"/>
  <c r="AA202" i="51"/>
  <c r="Z202" i="51"/>
  <c r="Y202" i="51"/>
  <c r="X202" i="51"/>
  <c r="W202" i="51"/>
  <c r="R202" i="51"/>
  <c r="P202" i="51"/>
  <c r="O202" i="51"/>
  <c r="N202" i="51"/>
  <c r="AF201" i="51"/>
  <c r="AE201" i="51"/>
  <c r="AD201" i="51"/>
  <c r="AC201" i="51"/>
  <c r="AB201" i="51"/>
  <c r="AA201" i="51"/>
  <c r="Z201" i="51"/>
  <c r="Y201" i="51"/>
  <c r="X201" i="51"/>
  <c r="W201" i="51"/>
  <c r="R201" i="51"/>
  <c r="P201" i="51"/>
  <c r="O201" i="51"/>
  <c r="N201" i="51"/>
  <c r="AF200" i="51"/>
  <c r="AE200" i="51"/>
  <c r="AD200" i="51"/>
  <c r="AC200" i="51"/>
  <c r="AB200" i="51"/>
  <c r="AA200" i="51"/>
  <c r="Z200" i="51"/>
  <c r="Y200" i="51"/>
  <c r="X200" i="51"/>
  <c r="W200" i="51"/>
  <c r="R200" i="51"/>
  <c r="P200" i="51"/>
  <c r="O200" i="51"/>
  <c r="N200" i="51"/>
  <c r="AF199" i="51"/>
  <c r="AE199" i="51"/>
  <c r="AD199" i="51"/>
  <c r="AC199" i="51"/>
  <c r="AB199" i="51"/>
  <c r="AA199" i="51"/>
  <c r="Z199" i="51"/>
  <c r="Y199" i="51"/>
  <c r="X199" i="51"/>
  <c r="W199" i="51"/>
  <c r="R199" i="51"/>
  <c r="P199" i="51"/>
  <c r="O199" i="51"/>
  <c r="N199" i="51"/>
  <c r="AF198" i="51"/>
  <c r="AE198" i="51"/>
  <c r="AD198" i="51"/>
  <c r="AC198" i="51"/>
  <c r="AB198" i="51"/>
  <c r="AA198" i="51"/>
  <c r="Z198" i="51"/>
  <c r="Y198" i="51"/>
  <c r="X198" i="51"/>
  <c r="W198" i="51"/>
  <c r="R198" i="51"/>
  <c r="P198" i="51"/>
  <c r="O198" i="51"/>
  <c r="N198" i="51"/>
  <c r="AF197" i="51"/>
  <c r="AE197" i="51"/>
  <c r="AD197" i="51"/>
  <c r="AC197" i="51"/>
  <c r="AB197" i="51"/>
  <c r="AA197" i="51"/>
  <c r="Z197" i="51"/>
  <c r="Y197" i="51"/>
  <c r="X197" i="51"/>
  <c r="W197" i="51"/>
  <c r="R197" i="51"/>
  <c r="P197" i="51"/>
  <c r="O197" i="51"/>
  <c r="N197" i="51"/>
  <c r="AF196" i="51"/>
  <c r="AE196" i="51"/>
  <c r="AD196" i="51"/>
  <c r="AC196" i="51"/>
  <c r="AB196" i="51"/>
  <c r="AA196" i="51"/>
  <c r="Z196" i="51"/>
  <c r="Y196" i="51"/>
  <c r="X196" i="51"/>
  <c r="W196" i="51"/>
  <c r="R196" i="51"/>
  <c r="P196" i="51"/>
  <c r="O196" i="51"/>
  <c r="N196" i="51"/>
  <c r="AF195" i="51"/>
  <c r="AE195" i="51"/>
  <c r="AD195" i="51"/>
  <c r="AC195" i="51"/>
  <c r="AB195" i="51"/>
  <c r="AA195" i="51"/>
  <c r="Z195" i="51"/>
  <c r="Y195" i="51"/>
  <c r="X195" i="51"/>
  <c r="W195" i="51"/>
  <c r="R195" i="51"/>
  <c r="P195" i="51"/>
  <c r="O195" i="51"/>
  <c r="N195" i="51"/>
  <c r="AF194" i="51"/>
  <c r="AE194" i="51"/>
  <c r="AD194" i="51"/>
  <c r="AC194" i="51"/>
  <c r="AB194" i="51"/>
  <c r="AA194" i="51"/>
  <c r="Z194" i="51"/>
  <c r="Y194" i="51"/>
  <c r="X194" i="51"/>
  <c r="W194" i="51"/>
  <c r="R194" i="51"/>
  <c r="P194" i="51"/>
  <c r="O194" i="51"/>
  <c r="N194" i="51"/>
  <c r="AF193" i="51"/>
  <c r="AE193" i="51"/>
  <c r="AD193" i="51"/>
  <c r="AC193" i="51"/>
  <c r="AB193" i="51"/>
  <c r="AA193" i="51"/>
  <c r="Z193" i="51"/>
  <c r="Y193" i="51"/>
  <c r="X193" i="51"/>
  <c r="W193" i="51"/>
  <c r="R193" i="51"/>
  <c r="P193" i="51"/>
  <c r="O193" i="51"/>
  <c r="N193" i="51"/>
  <c r="AF192" i="51"/>
  <c r="AE192" i="51"/>
  <c r="AD192" i="51"/>
  <c r="AC192" i="51"/>
  <c r="AB192" i="51"/>
  <c r="AA192" i="51"/>
  <c r="Z192" i="51"/>
  <c r="Y192" i="51"/>
  <c r="X192" i="51"/>
  <c r="W192" i="51"/>
  <c r="R192" i="51"/>
  <c r="P192" i="51"/>
  <c r="O192" i="51"/>
  <c r="N192" i="51"/>
  <c r="AF191" i="51"/>
  <c r="AE191" i="51"/>
  <c r="AD191" i="51"/>
  <c r="AC191" i="51"/>
  <c r="AB191" i="51"/>
  <c r="AA191" i="51"/>
  <c r="Z191" i="51"/>
  <c r="Y191" i="51"/>
  <c r="X191" i="51"/>
  <c r="W191" i="51"/>
  <c r="R191" i="51"/>
  <c r="P191" i="51"/>
  <c r="O191" i="51"/>
  <c r="N191" i="51"/>
  <c r="AF190" i="51"/>
  <c r="AE190" i="51"/>
  <c r="AD190" i="51"/>
  <c r="AC190" i="51"/>
  <c r="AB190" i="51"/>
  <c r="AA190" i="51"/>
  <c r="Z190" i="51"/>
  <c r="Y190" i="51"/>
  <c r="X190" i="51"/>
  <c r="W190" i="51"/>
  <c r="R190" i="51"/>
  <c r="P190" i="51"/>
  <c r="O190" i="51"/>
  <c r="N190" i="51"/>
  <c r="AF189" i="51"/>
  <c r="AE189" i="51"/>
  <c r="AD189" i="51"/>
  <c r="AC189" i="51"/>
  <c r="AB189" i="51"/>
  <c r="AA189" i="51"/>
  <c r="Z189" i="51"/>
  <c r="Y189" i="51"/>
  <c r="X189" i="51"/>
  <c r="W189" i="51"/>
  <c r="R189" i="51"/>
  <c r="P189" i="51"/>
  <c r="O189" i="51"/>
  <c r="N189" i="51"/>
  <c r="AF188" i="51"/>
  <c r="AE188" i="51"/>
  <c r="AD188" i="51"/>
  <c r="AC188" i="51"/>
  <c r="AB188" i="51"/>
  <c r="AA188" i="51"/>
  <c r="Z188" i="51"/>
  <c r="Y188" i="51"/>
  <c r="X188" i="51"/>
  <c r="W188" i="51"/>
  <c r="R188" i="51"/>
  <c r="P188" i="51"/>
  <c r="O188" i="51"/>
  <c r="N188" i="51"/>
  <c r="AF187" i="51"/>
  <c r="AE187" i="51"/>
  <c r="AD187" i="51"/>
  <c r="AC187" i="51"/>
  <c r="AB187" i="51"/>
  <c r="AA187" i="51"/>
  <c r="Z187" i="51"/>
  <c r="Y187" i="51"/>
  <c r="X187" i="51"/>
  <c r="W187" i="51"/>
  <c r="R187" i="51"/>
  <c r="P187" i="51"/>
  <c r="O187" i="51"/>
  <c r="N187" i="51"/>
  <c r="AF186" i="51"/>
  <c r="AE186" i="51"/>
  <c r="AD186" i="51"/>
  <c r="AC186" i="51"/>
  <c r="AB186" i="51"/>
  <c r="AA186" i="51"/>
  <c r="Z186" i="51"/>
  <c r="Y186" i="51"/>
  <c r="X186" i="51"/>
  <c r="W186" i="51"/>
  <c r="R186" i="51"/>
  <c r="P186" i="51"/>
  <c r="O186" i="51"/>
  <c r="N186" i="51"/>
  <c r="AF185" i="51"/>
  <c r="AE185" i="51"/>
  <c r="AD185" i="51"/>
  <c r="AC185" i="51"/>
  <c r="AB185" i="51"/>
  <c r="AA185" i="51"/>
  <c r="Z185" i="51"/>
  <c r="Y185" i="51"/>
  <c r="X185" i="51"/>
  <c r="W185" i="51"/>
  <c r="R185" i="51"/>
  <c r="P185" i="51"/>
  <c r="O185" i="51"/>
  <c r="N185" i="51"/>
  <c r="AF184" i="51"/>
  <c r="AE184" i="51"/>
  <c r="AD184" i="51"/>
  <c r="AC184" i="51"/>
  <c r="AB184" i="51"/>
  <c r="AA184" i="51"/>
  <c r="Z184" i="51"/>
  <c r="Y184" i="51"/>
  <c r="X184" i="51"/>
  <c r="W184" i="51"/>
  <c r="R184" i="51"/>
  <c r="P184" i="51"/>
  <c r="O184" i="51"/>
  <c r="N184" i="51"/>
  <c r="AF183" i="51"/>
  <c r="AE183" i="51"/>
  <c r="AD183" i="51"/>
  <c r="AC183" i="51"/>
  <c r="AB183" i="51"/>
  <c r="AA183" i="51"/>
  <c r="Z183" i="51"/>
  <c r="Y183" i="51"/>
  <c r="X183" i="51"/>
  <c r="W183" i="51"/>
  <c r="R183" i="51"/>
  <c r="P183" i="51"/>
  <c r="O183" i="51"/>
  <c r="N183" i="51"/>
  <c r="AF182" i="51"/>
  <c r="AE182" i="51"/>
  <c r="AD182" i="51"/>
  <c r="AC182" i="51"/>
  <c r="AB182" i="51"/>
  <c r="AA182" i="51"/>
  <c r="Z182" i="51"/>
  <c r="Y182" i="51"/>
  <c r="X182" i="51"/>
  <c r="W182" i="51"/>
  <c r="R182" i="51"/>
  <c r="P182" i="51"/>
  <c r="O182" i="51"/>
  <c r="N182" i="51"/>
  <c r="AF181" i="51"/>
  <c r="AE181" i="51"/>
  <c r="AD181" i="51"/>
  <c r="AC181" i="51"/>
  <c r="AB181" i="51"/>
  <c r="AA181" i="51"/>
  <c r="Z181" i="51"/>
  <c r="Y181" i="51"/>
  <c r="X181" i="51"/>
  <c r="W181" i="51"/>
  <c r="R181" i="51"/>
  <c r="P181" i="51"/>
  <c r="O181" i="51"/>
  <c r="N181" i="51"/>
  <c r="AF180" i="51"/>
  <c r="AE180" i="51"/>
  <c r="AD180" i="51"/>
  <c r="AC180" i="51"/>
  <c r="AB180" i="51"/>
  <c r="AA180" i="51"/>
  <c r="Z180" i="51"/>
  <c r="Y180" i="51"/>
  <c r="X180" i="51"/>
  <c r="W180" i="51"/>
  <c r="R180" i="51"/>
  <c r="P180" i="51"/>
  <c r="O180" i="51"/>
  <c r="N180" i="51"/>
  <c r="AF179" i="51"/>
  <c r="AE179" i="51"/>
  <c r="AD179" i="51"/>
  <c r="AC179" i="51"/>
  <c r="AB179" i="51"/>
  <c r="AA179" i="51"/>
  <c r="Z179" i="51"/>
  <c r="Y179" i="51"/>
  <c r="X179" i="51"/>
  <c r="W179" i="51"/>
  <c r="R179" i="51"/>
  <c r="P179" i="51"/>
  <c r="O179" i="51"/>
  <c r="N179" i="51"/>
  <c r="AF178" i="51"/>
  <c r="AE178" i="51"/>
  <c r="AD178" i="51"/>
  <c r="AC178" i="51"/>
  <c r="AB178" i="51"/>
  <c r="AA178" i="51"/>
  <c r="Z178" i="51"/>
  <c r="Y178" i="51"/>
  <c r="X178" i="51"/>
  <c r="W178" i="51"/>
  <c r="R178" i="51"/>
  <c r="P178" i="51"/>
  <c r="O178" i="51"/>
  <c r="N178" i="51"/>
  <c r="AF177" i="51"/>
  <c r="AE177" i="51"/>
  <c r="AD177" i="51"/>
  <c r="AC177" i="51"/>
  <c r="AB177" i="51"/>
  <c r="AA177" i="51"/>
  <c r="Z177" i="51"/>
  <c r="Y177" i="51"/>
  <c r="X177" i="51"/>
  <c r="W177" i="51"/>
  <c r="R177" i="51"/>
  <c r="P177" i="51"/>
  <c r="O177" i="51"/>
  <c r="N177" i="51"/>
  <c r="AF176" i="51"/>
  <c r="AE176" i="51"/>
  <c r="AD176" i="51"/>
  <c r="AC176" i="51"/>
  <c r="AB176" i="51"/>
  <c r="AA176" i="51"/>
  <c r="Z176" i="51"/>
  <c r="Y176" i="51"/>
  <c r="X176" i="51"/>
  <c r="W176" i="51"/>
  <c r="R176" i="51"/>
  <c r="P176" i="51"/>
  <c r="O176" i="51"/>
  <c r="N176" i="51"/>
  <c r="AF175" i="51"/>
  <c r="AE175" i="51"/>
  <c r="AD175" i="51"/>
  <c r="AC175" i="51"/>
  <c r="AB175" i="51"/>
  <c r="AA175" i="51"/>
  <c r="Z175" i="51"/>
  <c r="Y175" i="51"/>
  <c r="X175" i="51"/>
  <c r="W175" i="51"/>
  <c r="R175" i="51"/>
  <c r="P175" i="51"/>
  <c r="O175" i="51"/>
  <c r="N175" i="51"/>
  <c r="AF174" i="51"/>
  <c r="AE174" i="51"/>
  <c r="AD174" i="51"/>
  <c r="AC174" i="51"/>
  <c r="AB174" i="51"/>
  <c r="AA174" i="51"/>
  <c r="Z174" i="51"/>
  <c r="Y174" i="51"/>
  <c r="X174" i="51"/>
  <c r="W174" i="51"/>
  <c r="R174" i="51"/>
  <c r="P174" i="51"/>
  <c r="O174" i="51"/>
  <c r="N174" i="51"/>
  <c r="AF173" i="51"/>
  <c r="AE173" i="51"/>
  <c r="AD173" i="51"/>
  <c r="AC173" i="51"/>
  <c r="AB173" i="51"/>
  <c r="AA173" i="51"/>
  <c r="Z173" i="51"/>
  <c r="Y173" i="51"/>
  <c r="X173" i="51"/>
  <c r="W173" i="51"/>
  <c r="R173" i="51"/>
  <c r="P173" i="51"/>
  <c r="O173" i="51"/>
  <c r="N173" i="51"/>
  <c r="AF172" i="51"/>
  <c r="AE172" i="51"/>
  <c r="AD172" i="51"/>
  <c r="AC172" i="51"/>
  <c r="AB172" i="51"/>
  <c r="AA172" i="51"/>
  <c r="Z172" i="51"/>
  <c r="Y172" i="51"/>
  <c r="X172" i="51"/>
  <c r="W172" i="51"/>
  <c r="R172" i="51"/>
  <c r="P172" i="51"/>
  <c r="O172" i="51"/>
  <c r="N172" i="51"/>
  <c r="AF171" i="51"/>
  <c r="AE171" i="51"/>
  <c r="AD171" i="51"/>
  <c r="AC171" i="51"/>
  <c r="AB171" i="51"/>
  <c r="AA171" i="51"/>
  <c r="Z171" i="51"/>
  <c r="Y171" i="51"/>
  <c r="X171" i="51"/>
  <c r="W171" i="51"/>
  <c r="R171" i="51"/>
  <c r="P171" i="51"/>
  <c r="O171" i="51"/>
  <c r="N171" i="51"/>
  <c r="AF170" i="51"/>
  <c r="AE170" i="51"/>
  <c r="AD170" i="51"/>
  <c r="AC170" i="51"/>
  <c r="AB170" i="51"/>
  <c r="AA170" i="51"/>
  <c r="Z170" i="51"/>
  <c r="Y170" i="51"/>
  <c r="X170" i="51"/>
  <c r="W170" i="51"/>
  <c r="R170" i="51"/>
  <c r="P170" i="51"/>
  <c r="O170" i="51"/>
  <c r="N170" i="51"/>
  <c r="AF169" i="51"/>
  <c r="AE169" i="51"/>
  <c r="AD169" i="51"/>
  <c r="AC169" i="51"/>
  <c r="AB169" i="51"/>
  <c r="AA169" i="51"/>
  <c r="Z169" i="51"/>
  <c r="Y169" i="51"/>
  <c r="X169" i="51"/>
  <c r="W169" i="51"/>
  <c r="R169" i="51"/>
  <c r="P169" i="51"/>
  <c r="O169" i="51"/>
  <c r="N169" i="51"/>
  <c r="AF168" i="51"/>
  <c r="AE168" i="51"/>
  <c r="AD168" i="51"/>
  <c r="AC168" i="51"/>
  <c r="AB168" i="51"/>
  <c r="AA168" i="51"/>
  <c r="Z168" i="51"/>
  <c r="Y168" i="51"/>
  <c r="X168" i="51"/>
  <c r="W168" i="51"/>
  <c r="R168" i="51"/>
  <c r="P168" i="51"/>
  <c r="O168" i="51"/>
  <c r="N168" i="51"/>
  <c r="AF167" i="51"/>
  <c r="AE167" i="51"/>
  <c r="AD167" i="51"/>
  <c r="AC167" i="51"/>
  <c r="AB167" i="51"/>
  <c r="AA167" i="51"/>
  <c r="Z167" i="51"/>
  <c r="Y167" i="51"/>
  <c r="X167" i="51"/>
  <c r="W167" i="51"/>
  <c r="R167" i="51"/>
  <c r="P167" i="51"/>
  <c r="O167" i="51"/>
  <c r="N167" i="51"/>
  <c r="AF166" i="51"/>
  <c r="AE166" i="51"/>
  <c r="AD166" i="51"/>
  <c r="AC166" i="51"/>
  <c r="AB166" i="51"/>
  <c r="AA166" i="51"/>
  <c r="Z166" i="51"/>
  <c r="Y166" i="51"/>
  <c r="X166" i="51"/>
  <c r="W166" i="51"/>
  <c r="R166" i="51"/>
  <c r="P166" i="51"/>
  <c r="O166" i="51"/>
  <c r="N166" i="51"/>
  <c r="AF165" i="51"/>
  <c r="AE165" i="51"/>
  <c r="AD165" i="51"/>
  <c r="AC165" i="51"/>
  <c r="AB165" i="51"/>
  <c r="AA165" i="51"/>
  <c r="Z165" i="51"/>
  <c r="Y165" i="51"/>
  <c r="X165" i="51"/>
  <c r="W165" i="51"/>
  <c r="R165" i="51"/>
  <c r="P165" i="51"/>
  <c r="O165" i="51"/>
  <c r="N165" i="51"/>
  <c r="AF164" i="51"/>
  <c r="AE164" i="51"/>
  <c r="AD164" i="51"/>
  <c r="AC164" i="51"/>
  <c r="AB164" i="51"/>
  <c r="AA164" i="51"/>
  <c r="Z164" i="51"/>
  <c r="Y164" i="51"/>
  <c r="X164" i="51"/>
  <c r="W164" i="51"/>
  <c r="R164" i="51"/>
  <c r="P164" i="51"/>
  <c r="O164" i="51"/>
  <c r="N164" i="51"/>
  <c r="AF163" i="51"/>
  <c r="AE163" i="51"/>
  <c r="AD163" i="51"/>
  <c r="AC163" i="51"/>
  <c r="AB163" i="51"/>
  <c r="AA163" i="51"/>
  <c r="Z163" i="51"/>
  <c r="Y163" i="51"/>
  <c r="X163" i="51"/>
  <c r="W163" i="51"/>
  <c r="R163" i="51"/>
  <c r="P163" i="51"/>
  <c r="O163" i="51"/>
  <c r="N163" i="51"/>
  <c r="AF162" i="51"/>
  <c r="AE162" i="51"/>
  <c r="AD162" i="51"/>
  <c r="AC162" i="51"/>
  <c r="AB162" i="51"/>
  <c r="AA162" i="51"/>
  <c r="Z162" i="51"/>
  <c r="Y162" i="51"/>
  <c r="X162" i="51"/>
  <c r="W162" i="51"/>
  <c r="R162" i="51"/>
  <c r="P162" i="51"/>
  <c r="O162" i="51"/>
  <c r="N162" i="51"/>
  <c r="AF161" i="51"/>
  <c r="AE161" i="51"/>
  <c r="AD161" i="51"/>
  <c r="AC161" i="51"/>
  <c r="AB161" i="51"/>
  <c r="AA161" i="51"/>
  <c r="Z161" i="51"/>
  <c r="Y161" i="51"/>
  <c r="X161" i="51"/>
  <c r="W161" i="51"/>
  <c r="R161" i="51"/>
  <c r="P161" i="51"/>
  <c r="O161" i="51"/>
  <c r="N161" i="51"/>
  <c r="AF160" i="51"/>
  <c r="AE160" i="51"/>
  <c r="AD160" i="51"/>
  <c r="AC160" i="51"/>
  <c r="AB160" i="51"/>
  <c r="AA160" i="51"/>
  <c r="Z160" i="51"/>
  <c r="Y160" i="51"/>
  <c r="X160" i="51"/>
  <c r="W160" i="51"/>
  <c r="R160" i="51"/>
  <c r="P160" i="51"/>
  <c r="O160" i="51"/>
  <c r="N160" i="51"/>
  <c r="AF159" i="51"/>
  <c r="AE159" i="51"/>
  <c r="AD159" i="51"/>
  <c r="AC159" i="51"/>
  <c r="AB159" i="51"/>
  <c r="AA159" i="51"/>
  <c r="Z159" i="51"/>
  <c r="Y159" i="51"/>
  <c r="X159" i="51"/>
  <c r="W159" i="51"/>
  <c r="R159" i="51"/>
  <c r="P159" i="51"/>
  <c r="O159" i="51"/>
  <c r="N159" i="51"/>
  <c r="AF158" i="51"/>
  <c r="AE158" i="51"/>
  <c r="AD158" i="51"/>
  <c r="AC158" i="51"/>
  <c r="AB158" i="51"/>
  <c r="AA158" i="51"/>
  <c r="Z158" i="51"/>
  <c r="Y158" i="51"/>
  <c r="X158" i="51"/>
  <c r="W158" i="51"/>
  <c r="R158" i="51"/>
  <c r="P158" i="51"/>
  <c r="O158" i="51"/>
  <c r="N158" i="51"/>
  <c r="AF157" i="51"/>
  <c r="AE157" i="51"/>
  <c r="AD157" i="51"/>
  <c r="AC157" i="51"/>
  <c r="AB157" i="51"/>
  <c r="AA157" i="51"/>
  <c r="Z157" i="51"/>
  <c r="Y157" i="51"/>
  <c r="X157" i="51"/>
  <c r="W157" i="51"/>
  <c r="R157" i="51"/>
  <c r="P157" i="51"/>
  <c r="O157" i="51"/>
  <c r="N157" i="51"/>
  <c r="AF156" i="51"/>
  <c r="AE156" i="51"/>
  <c r="AD156" i="51"/>
  <c r="AC156" i="51"/>
  <c r="AB156" i="51"/>
  <c r="AA156" i="51"/>
  <c r="Z156" i="51"/>
  <c r="Y156" i="51"/>
  <c r="X156" i="51"/>
  <c r="W156" i="51"/>
  <c r="R156" i="51"/>
  <c r="P156" i="51"/>
  <c r="O156" i="51"/>
  <c r="N156" i="51"/>
  <c r="AF155" i="51"/>
  <c r="AE155" i="51"/>
  <c r="AD155" i="51"/>
  <c r="AC155" i="51"/>
  <c r="AB155" i="51"/>
  <c r="AA155" i="51"/>
  <c r="Z155" i="51"/>
  <c r="Y155" i="51"/>
  <c r="X155" i="51"/>
  <c r="W155" i="51"/>
  <c r="R155" i="51"/>
  <c r="P155" i="51"/>
  <c r="O155" i="51"/>
  <c r="N155" i="51"/>
  <c r="AF154" i="51"/>
  <c r="AE154" i="51"/>
  <c r="AD154" i="51"/>
  <c r="AC154" i="51"/>
  <c r="AB154" i="51"/>
  <c r="AA154" i="51"/>
  <c r="Z154" i="51"/>
  <c r="Y154" i="51"/>
  <c r="X154" i="51"/>
  <c r="W154" i="51"/>
  <c r="R154" i="51"/>
  <c r="P154" i="51"/>
  <c r="O154" i="51"/>
  <c r="N154" i="51"/>
  <c r="AF153" i="51"/>
  <c r="AE153" i="51"/>
  <c r="AD153" i="51"/>
  <c r="AC153" i="51"/>
  <c r="AB153" i="51"/>
  <c r="AA153" i="51"/>
  <c r="Z153" i="51"/>
  <c r="Y153" i="51"/>
  <c r="X153" i="51"/>
  <c r="W153" i="51"/>
  <c r="R153" i="51"/>
  <c r="P153" i="51"/>
  <c r="O153" i="51"/>
  <c r="N153" i="51"/>
  <c r="AF152" i="51"/>
  <c r="AE152" i="51"/>
  <c r="AD152" i="51"/>
  <c r="AC152" i="51"/>
  <c r="AB152" i="51"/>
  <c r="AA152" i="51"/>
  <c r="Z152" i="51"/>
  <c r="Y152" i="51"/>
  <c r="X152" i="51"/>
  <c r="W152" i="51"/>
  <c r="R152" i="51"/>
  <c r="P152" i="51"/>
  <c r="O152" i="51"/>
  <c r="N152" i="51"/>
  <c r="AF151" i="51"/>
  <c r="AE151" i="51"/>
  <c r="AD151" i="51"/>
  <c r="AC151" i="51"/>
  <c r="AB151" i="51"/>
  <c r="AA151" i="51"/>
  <c r="Z151" i="51"/>
  <c r="Y151" i="51"/>
  <c r="X151" i="51"/>
  <c r="W151" i="51"/>
  <c r="R151" i="51"/>
  <c r="P151" i="51"/>
  <c r="O151" i="51"/>
  <c r="N151" i="51"/>
  <c r="AF150" i="51"/>
  <c r="AE150" i="51"/>
  <c r="AD150" i="51"/>
  <c r="AC150" i="51"/>
  <c r="AB150" i="51"/>
  <c r="AA150" i="51"/>
  <c r="Z150" i="51"/>
  <c r="Y150" i="51"/>
  <c r="X150" i="51"/>
  <c r="W150" i="51"/>
  <c r="R150" i="51"/>
  <c r="P150" i="51"/>
  <c r="O150" i="51"/>
  <c r="N150" i="51"/>
  <c r="AF149" i="51"/>
  <c r="AE149" i="51"/>
  <c r="AD149" i="51"/>
  <c r="AC149" i="51"/>
  <c r="AB149" i="51"/>
  <c r="AA149" i="51"/>
  <c r="Z149" i="51"/>
  <c r="Y149" i="51"/>
  <c r="X149" i="51"/>
  <c r="W149" i="51"/>
  <c r="R149" i="51"/>
  <c r="P149" i="51"/>
  <c r="O149" i="51"/>
  <c r="N149" i="51"/>
  <c r="AF148" i="51"/>
  <c r="AE148" i="51"/>
  <c r="AD148" i="51"/>
  <c r="AC148" i="51"/>
  <c r="AB148" i="51"/>
  <c r="AA148" i="51"/>
  <c r="Z148" i="51"/>
  <c r="Y148" i="51"/>
  <c r="X148" i="51"/>
  <c r="W148" i="51"/>
  <c r="R148" i="51"/>
  <c r="P148" i="51"/>
  <c r="O148" i="51"/>
  <c r="N148" i="51"/>
  <c r="AF147" i="51"/>
  <c r="AE147" i="51"/>
  <c r="AD147" i="51"/>
  <c r="AC147" i="51"/>
  <c r="AB147" i="51"/>
  <c r="AA147" i="51"/>
  <c r="Z147" i="51"/>
  <c r="Y147" i="51"/>
  <c r="X147" i="51"/>
  <c r="W147" i="51"/>
  <c r="R147" i="51"/>
  <c r="P147" i="51"/>
  <c r="O147" i="51"/>
  <c r="N147" i="51"/>
  <c r="AF146" i="51"/>
  <c r="AE146" i="51"/>
  <c r="AD146" i="51"/>
  <c r="AC146" i="51"/>
  <c r="AB146" i="51"/>
  <c r="AA146" i="51"/>
  <c r="Z146" i="51"/>
  <c r="Y146" i="51"/>
  <c r="X146" i="51"/>
  <c r="W146" i="51"/>
  <c r="R146" i="51"/>
  <c r="P146" i="51"/>
  <c r="O146" i="51"/>
  <c r="N146" i="51"/>
  <c r="AF145" i="51"/>
  <c r="AE145" i="51"/>
  <c r="AD145" i="51"/>
  <c r="AC145" i="51"/>
  <c r="AB145" i="51"/>
  <c r="AA145" i="51"/>
  <c r="Z145" i="51"/>
  <c r="Y145" i="51"/>
  <c r="X145" i="51"/>
  <c r="W145" i="51"/>
  <c r="R145" i="51"/>
  <c r="P145" i="51"/>
  <c r="O145" i="51"/>
  <c r="N145" i="51"/>
  <c r="C145" i="51"/>
  <c r="AF144" i="51"/>
  <c r="AE144" i="51"/>
  <c r="AD144" i="51"/>
  <c r="AC144" i="51"/>
  <c r="AB144" i="51"/>
  <c r="AA144" i="51"/>
  <c r="Z144" i="51"/>
  <c r="Y144" i="51"/>
  <c r="X144" i="51"/>
  <c r="W144" i="51"/>
  <c r="R144" i="51"/>
  <c r="P144" i="51"/>
  <c r="O144" i="51"/>
  <c r="N144" i="51"/>
  <c r="C144" i="51"/>
  <c r="AF143" i="51"/>
  <c r="AE143" i="51"/>
  <c r="AD143" i="51"/>
  <c r="AC143" i="51"/>
  <c r="AB143" i="51"/>
  <c r="AA143" i="51"/>
  <c r="Z143" i="51"/>
  <c r="Y143" i="51"/>
  <c r="X143" i="51"/>
  <c r="W143" i="51"/>
  <c r="R143" i="51"/>
  <c r="P143" i="51"/>
  <c r="O143" i="51"/>
  <c r="N143" i="51"/>
  <c r="C143" i="51"/>
  <c r="AF142" i="51"/>
  <c r="AE142" i="51"/>
  <c r="AD142" i="51"/>
  <c r="AC142" i="51"/>
  <c r="AB142" i="51"/>
  <c r="AA142" i="51"/>
  <c r="Z142" i="51"/>
  <c r="Y142" i="51"/>
  <c r="X142" i="51"/>
  <c r="W142" i="51"/>
  <c r="R142" i="51"/>
  <c r="P142" i="51"/>
  <c r="O142" i="51"/>
  <c r="N142" i="51"/>
  <c r="AF141" i="51"/>
  <c r="AE141" i="51"/>
  <c r="AD141" i="51"/>
  <c r="AC141" i="51"/>
  <c r="AB141" i="51"/>
  <c r="AA141" i="51"/>
  <c r="Z141" i="51"/>
  <c r="Y141" i="51"/>
  <c r="X141" i="51"/>
  <c r="W141" i="51"/>
  <c r="R141" i="51"/>
  <c r="P141" i="51"/>
  <c r="O141" i="51"/>
  <c r="N141" i="51"/>
  <c r="C141" i="51"/>
  <c r="AF140" i="51"/>
  <c r="AE140" i="51"/>
  <c r="AD140" i="51"/>
  <c r="AC140" i="51"/>
  <c r="AB140" i="51"/>
  <c r="AA140" i="51"/>
  <c r="Z140" i="51"/>
  <c r="Y140" i="51"/>
  <c r="X140" i="51"/>
  <c r="W140" i="51"/>
  <c r="R140" i="51"/>
  <c r="P140" i="51"/>
  <c r="O140" i="51"/>
  <c r="N140" i="51"/>
  <c r="C140" i="51"/>
  <c r="AF139" i="51"/>
  <c r="AE139" i="51"/>
  <c r="AD139" i="51"/>
  <c r="AC139" i="51"/>
  <c r="AB139" i="51"/>
  <c r="AA139" i="51"/>
  <c r="Z139" i="51"/>
  <c r="Y139" i="51"/>
  <c r="X139" i="51"/>
  <c r="W139" i="51"/>
  <c r="R139" i="51"/>
  <c r="P139" i="51"/>
  <c r="O139" i="51"/>
  <c r="N139" i="51"/>
  <c r="AF138" i="51"/>
  <c r="AE138" i="51"/>
  <c r="AD138" i="51"/>
  <c r="AC138" i="51"/>
  <c r="AB138" i="51"/>
  <c r="AA138" i="51"/>
  <c r="Z138" i="51"/>
  <c r="Y138" i="51"/>
  <c r="X138" i="51"/>
  <c r="W138" i="51"/>
  <c r="R138" i="51"/>
  <c r="P138" i="51"/>
  <c r="O138" i="51"/>
  <c r="N138" i="51"/>
  <c r="C138" i="51"/>
  <c r="AF137" i="51"/>
  <c r="AE137" i="51"/>
  <c r="AD137" i="51"/>
  <c r="AC137" i="51"/>
  <c r="AB137" i="51"/>
  <c r="AA137" i="51"/>
  <c r="Z137" i="51"/>
  <c r="Y137" i="51"/>
  <c r="X137" i="51"/>
  <c r="W137" i="51"/>
  <c r="R137" i="51"/>
  <c r="P137" i="51"/>
  <c r="O137" i="51"/>
  <c r="N137" i="51"/>
  <c r="C137" i="51"/>
  <c r="AF136" i="51"/>
  <c r="AE136" i="51"/>
  <c r="AD136" i="51"/>
  <c r="AC136" i="51"/>
  <c r="AB136" i="51"/>
  <c r="AA136" i="51"/>
  <c r="Z136" i="51"/>
  <c r="Y136" i="51"/>
  <c r="X136" i="51"/>
  <c r="W136" i="51"/>
  <c r="R136" i="51"/>
  <c r="P136" i="51"/>
  <c r="O136" i="51"/>
  <c r="N136" i="51"/>
  <c r="C136" i="51"/>
  <c r="AF135" i="51"/>
  <c r="AE135" i="51"/>
  <c r="AD135" i="51"/>
  <c r="AC135" i="51"/>
  <c r="AB135" i="51"/>
  <c r="AA135" i="51"/>
  <c r="Z135" i="51"/>
  <c r="Y135" i="51"/>
  <c r="X135" i="51"/>
  <c r="W135" i="51"/>
  <c r="R135" i="51"/>
  <c r="P135" i="51"/>
  <c r="O135" i="51"/>
  <c r="N135" i="51"/>
  <c r="C135" i="51"/>
  <c r="AF134" i="51"/>
  <c r="AE134" i="51"/>
  <c r="AD134" i="51"/>
  <c r="AC134" i="51"/>
  <c r="AB134" i="51"/>
  <c r="AA134" i="51"/>
  <c r="Z134" i="51"/>
  <c r="Y134" i="51"/>
  <c r="X134" i="51"/>
  <c r="W134" i="51"/>
  <c r="R134" i="51"/>
  <c r="P134" i="51"/>
  <c r="O134" i="51"/>
  <c r="N134" i="51"/>
  <c r="C134" i="51"/>
  <c r="AF133" i="51"/>
  <c r="AE133" i="51"/>
  <c r="AD133" i="51"/>
  <c r="AC133" i="51"/>
  <c r="AB133" i="51"/>
  <c r="AA133" i="51"/>
  <c r="Z133" i="51"/>
  <c r="Y133" i="51"/>
  <c r="X133" i="51"/>
  <c r="W133" i="51"/>
  <c r="R133" i="51"/>
  <c r="P133" i="51"/>
  <c r="O133" i="51"/>
  <c r="N133" i="51"/>
  <c r="AF132" i="51"/>
  <c r="AE132" i="51"/>
  <c r="AD132" i="51"/>
  <c r="AC132" i="51"/>
  <c r="AB132" i="51"/>
  <c r="AA132" i="51"/>
  <c r="Z132" i="51"/>
  <c r="Y132" i="51"/>
  <c r="X132" i="51"/>
  <c r="W132" i="51"/>
  <c r="R132" i="51"/>
  <c r="P132" i="51"/>
  <c r="O132" i="51"/>
  <c r="N132" i="51"/>
  <c r="C132" i="51"/>
  <c r="AF131" i="51"/>
  <c r="AE131" i="51"/>
  <c r="AD131" i="51"/>
  <c r="AC131" i="51"/>
  <c r="AB131" i="51"/>
  <c r="AA131" i="51"/>
  <c r="Z131" i="51"/>
  <c r="Y131" i="51"/>
  <c r="X131" i="51"/>
  <c r="W131" i="51"/>
  <c r="R131" i="51"/>
  <c r="P131" i="51"/>
  <c r="O131" i="51"/>
  <c r="N131" i="51"/>
  <c r="C131" i="51"/>
  <c r="AF130" i="51"/>
  <c r="AE130" i="51"/>
  <c r="AD130" i="51"/>
  <c r="AC130" i="51"/>
  <c r="AB130" i="51"/>
  <c r="AA130" i="51"/>
  <c r="Z130" i="51"/>
  <c r="Y130" i="51"/>
  <c r="X130" i="51"/>
  <c r="W130" i="51"/>
  <c r="R130" i="51"/>
  <c r="P130" i="51"/>
  <c r="O130" i="51"/>
  <c r="N130" i="51"/>
  <c r="C130" i="51"/>
  <c r="AF129" i="51"/>
  <c r="AE129" i="51"/>
  <c r="AD129" i="51"/>
  <c r="AC129" i="51"/>
  <c r="AB129" i="51"/>
  <c r="AA129" i="51"/>
  <c r="Z129" i="51"/>
  <c r="Y129" i="51"/>
  <c r="X129" i="51"/>
  <c r="W129" i="51"/>
  <c r="R129" i="51"/>
  <c r="P129" i="51"/>
  <c r="O129" i="51"/>
  <c r="N129" i="51"/>
  <c r="C129" i="51"/>
  <c r="AF128" i="51"/>
  <c r="AE128" i="51"/>
  <c r="AD128" i="51"/>
  <c r="AC128" i="51"/>
  <c r="AB128" i="51"/>
  <c r="AA128" i="51"/>
  <c r="Z128" i="51"/>
  <c r="Y128" i="51"/>
  <c r="X128" i="51"/>
  <c r="W128" i="51"/>
  <c r="R128" i="51"/>
  <c r="P128" i="51"/>
  <c r="O128" i="51"/>
  <c r="N128" i="51"/>
  <c r="AF127" i="51"/>
  <c r="AE127" i="51"/>
  <c r="AD127" i="51"/>
  <c r="AC127" i="51"/>
  <c r="AB127" i="51"/>
  <c r="AA127" i="51"/>
  <c r="Z127" i="51"/>
  <c r="Y127" i="51"/>
  <c r="X127" i="51"/>
  <c r="W127" i="51"/>
  <c r="R127" i="51"/>
  <c r="P127" i="51"/>
  <c r="O127" i="51"/>
  <c r="N127" i="51"/>
  <c r="C127" i="51"/>
  <c r="AF126" i="51"/>
  <c r="AE126" i="51"/>
  <c r="AD126" i="51"/>
  <c r="AC126" i="51"/>
  <c r="AB126" i="51"/>
  <c r="AA126" i="51"/>
  <c r="Z126" i="51"/>
  <c r="Y126" i="51"/>
  <c r="X126" i="51"/>
  <c r="W126" i="51"/>
  <c r="R126" i="51"/>
  <c r="P126" i="51"/>
  <c r="O126" i="51"/>
  <c r="N126" i="51"/>
  <c r="C126" i="51"/>
  <c r="AF125" i="51"/>
  <c r="AE125" i="51"/>
  <c r="AD125" i="51"/>
  <c r="AC125" i="51"/>
  <c r="AB125" i="51"/>
  <c r="AA125" i="51"/>
  <c r="Z125" i="51"/>
  <c r="Y125" i="51"/>
  <c r="X125" i="51"/>
  <c r="W125" i="51"/>
  <c r="R125" i="51"/>
  <c r="P125" i="51"/>
  <c r="O125" i="51"/>
  <c r="N125" i="51"/>
  <c r="C125" i="51"/>
  <c r="AF124" i="51"/>
  <c r="AE124" i="51"/>
  <c r="AD124" i="51"/>
  <c r="AC124" i="51"/>
  <c r="AB124" i="51"/>
  <c r="AA124" i="51"/>
  <c r="Z124" i="51"/>
  <c r="Y124" i="51"/>
  <c r="X124" i="51"/>
  <c r="W124" i="51"/>
  <c r="R124" i="51"/>
  <c r="P124" i="51"/>
  <c r="O124" i="51"/>
  <c r="N124" i="51"/>
  <c r="C124" i="51"/>
  <c r="AF123" i="51"/>
  <c r="AE123" i="51"/>
  <c r="AD123" i="51"/>
  <c r="AC123" i="51"/>
  <c r="AB123" i="51"/>
  <c r="AA123" i="51"/>
  <c r="Z123" i="51"/>
  <c r="Y123" i="51"/>
  <c r="X123" i="51"/>
  <c r="W123" i="51"/>
  <c r="R123" i="51"/>
  <c r="P123" i="51"/>
  <c r="O123" i="51"/>
  <c r="N123" i="51"/>
  <c r="C123" i="51"/>
  <c r="AF122" i="51"/>
  <c r="AE122" i="51"/>
  <c r="AD122" i="51"/>
  <c r="AC122" i="51"/>
  <c r="AB122" i="51"/>
  <c r="AA122" i="51"/>
  <c r="Z122" i="51"/>
  <c r="Y122" i="51"/>
  <c r="X122" i="51"/>
  <c r="W122" i="51"/>
  <c r="R122" i="51"/>
  <c r="P122" i="51"/>
  <c r="O122" i="51"/>
  <c r="N122" i="51"/>
  <c r="C122" i="51"/>
  <c r="AF121" i="51"/>
  <c r="AE121" i="51"/>
  <c r="AD121" i="51"/>
  <c r="AC121" i="51"/>
  <c r="AB121" i="51"/>
  <c r="AA121" i="51"/>
  <c r="Z121" i="51"/>
  <c r="Y121" i="51"/>
  <c r="X121" i="51"/>
  <c r="W121" i="51"/>
  <c r="R121" i="51"/>
  <c r="P121" i="51"/>
  <c r="O121" i="51"/>
  <c r="N121" i="51"/>
  <c r="C121" i="51"/>
  <c r="AF120" i="51"/>
  <c r="AE120" i="51"/>
  <c r="AD120" i="51"/>
  <c r="AC120" i="51"/>
  <c r="AB120" i="51"/>
  <c r="AA120" i="51"/>
  <c r="Z120" i="51"/>
  <c r="Y120" i="51"/>
  <c r="X120" i="51"/>
  <c r="W120" i="51"/>
  <c r="R120" i="51"/>
  <c r="P120" i="51"/>
  <c r="O120" i="51"/>
  <c r="N120" i="51"/>
  <c r="C120" i="51"/>
  <c r="AF119" i="51"/>
  <c r="AE119" i="51"/>
  <c r="AD119" i="51"/>
  <c r="AC119" i="51"/>
  <c r="AB119" i="51"/>
  <c r="AA119" i="51"/>
  <c r="Z119" i="51"/>
  <c r="Y119" i="51"/>
  <c r="X119" i="51"/>
  <c r="W119" i="51"/>
  <c r="R119" i="51"/>
  <c r="P119" i="51"/>
  <c r="O119" i="51"/>
  <c r="N119" i="51"/>
  <c r="C119" i="51"/>
  <c r="AF118" i="51"/>
  <c r="AE118" i="51"/>
  <c r="AD118" i="51"/>
  <c r="AC118" i="51"/>
  <c r="AB118" i="51"/>
  <c r="AA118" i="51"/>
  <c r="Z118" i="51"/>
  <c r="Y118" i="51"/>
  <c r="X118" i="51"/>
  <c r="W118" i="51"/>
  <c r="R118" i="51"/>
  <c r="P118" i="51"/>
  <c r="O118" i="51"/>
  <c r="N118" i="51"/>
  <c r="AF117" i="51"/>
  <c r="AE117" i="51"/>
  <c r="AD117" i="51"/>
  <c r="AC117" i="51"/>
  <c r="AB117" i="51"/>
  <c r="AA117" i="51"/>
  <c r="Z117" i="51"/>
  <c r="Y117" i="51"/>
  <c r="X117" i="51"/>
  <c r="W117" i="51"/>
  <c r="R117" i="51"/>
  <c r="P117" i="51"/>
  <c r="O117" i="51"/>
  <c r="N117" i="51"/>
  <c r="C117" i="51"/>
  <c r="AF116" i="51"/>
  <c r="AE116" i="51"/>
  <c r="AD116" i="51"/>
  <c r="AC116" i="51"/>
  <c r="AB116" i="51"/>
  <c r="AA116" i="51"/>
  <c r="Z116" i="51"/>
  <c r="Y116" i="51"/>
  <c r="X116" i="51"/>
  <c r="W116" i="51"/>
  <c r="R116" i="51"/>
  <c r="P116" i="51"/>
  <c r="O116" i="51"/>
  <c r="N116" i="51"/>
  <c r="C116" i="51"/>
  <c r="AF115" i="51"/>
  <c r="AE115" i="51"/>
  <c r="AD115" i="51"/>
  <c r="AC115" i="51"/>
  <c r="AB115" i="51"/>
  <c r="AA115" i="51"/>
  <c r="Z115" i="51"/>
  <c r="Y115" i="51"/>
  <c r="X115" i="51"/>
  <c r="W115" i="51"/>
  <c r="R115" i="51"/>
  <c r="P115" i="51"/>
  <c r="O115" i="51"/>
  <c r="N115" i="51"/>
  <c r="C115" i="51"/>
  <c r="AF114" i="51"/>
  <c r="AE114" i="51"/>
  <c r="AD114" i="51"/>
  <c r="AC114" i="51"/>
  <c r="AB114" i="51"/>
  <c r="AA114" i="51"/>
  <c r="Z114" i="51"/>
  <c r="Y114" i="51"/>
  <c r="X114" i="51"/>
  <c r="W114" i="51"/>
  <c r="R114" i="51"/>
  <c r="P114" i="51"/>
  <c r="O114" i="51"/>
  <c r="N114" i="51"/>
  <c r="C114" i="51"/>
  <c r="AF113" i="51"/>
  <c r="AE113" i="51"/>
  <c r="AD113" i="51"/>
  <c r="AC113" i="51"/>
  <c r="AB113" i="51"/>
  <c r="AA113" i="51"/>
  <c r="Z113" i="51"/>
  <c r="Y113" i="51"/>
  <c r="X113" i="51"/>
  <c r="W113" i="51"/>
  <c r="R113" i="51"/>
  <c r="P113" i="51"/>
  <c r="O113" i="51"/>
  <c r="N113" i="51"/>
  <c r="C113" i="51"/>
  <c r="AF112" i="51"/>
  <c r="AE112" i="51"/>
  <c r="AD112" i="51"/>
  <c r="AC112" i="51"/>
  <c r="AB112" i="51"/>
  <c r="AA112" i="51"/>
  <c r="Z112" i="51"/>
  <c r="Y112" i="51"/>
  <c r="X112" i="51"/>
  <c r="W112" i="51"/>
  <c r="R112" i="51"/>
  <c r="P112" i="51"/>
  <c r="O112" i="51"/>
  <c r="N112" i="51"/>
  <c r="C112" i="51"/>
  <c r="AF111" i="51"/>
  <c r="AE111" i="51"/>
  <c r="AD111" i="51"/>
  <c r="AC111" i="51"/>
  <c r="AB111" i="51"/>
  <c r="AA111" i="51"/>
  <c r="Z111" i="51"/>
  <c r="Y111" i="51"/>
  <c r="X111" i="51"/>
  <c r="W111" i="51"/>
  <c r="R111" i="51"/>
  <c r="P111" i="51"/>
  <c r="O111" i="51"/>
  <c r="N111" i="51"/>
  <c r="C111" i="51"/>
  <c r="AF110" i="51"/>
  <c r="AE110" i="51"/>
  <c r="AD110" i="51"/>
  <c r="AC110" i="51"/>
  <c r="AB110" i="51"/>
  <c r="AA110" i="51"/>
  <c r="Z110" i="51"/>
  <c r="Y110" i="51"/>
  <c r="X110" i="51"/>
  <c r="W110" i="51"/>
  <c r="R110" i="51"/>
  <c r="P110" i="51"/>
  <c r="O110" i="51"/>
  <c r="N110" i="51"/>
  <c r="AF109" i="51"/>
  <c r="AE109" i="51"/>
  <c r="AD109" i="51"/>
  <c r="AC109" i="51"/>
  <c r="AB109" i="51"/>
  <c r="AA109" i="51"/>
  <c r="Z109" i="51"/>
  <c r="Y109" i="51"/>
  <c r="X109" i="51"/>
  <c r="W109" i="51"/>
  <c r="R109" i="51"/>
  <c r="P109" i="51"/>
  <c r="O109" i="51"/>
  <c r="N109" i="51"/>
  <c r="C109" i="51"/>
  <c r="AF108" i="51"/>
  <c r="AE108" i="51"/>
  <c r="AD108" i="51"/>
  <c r="AC108" i="51"/>
  <c r="AB108" i="51"/>
  <c r="AA108" i="51"/>
  <c r="Z108" i="51"/>
  <c r="Y108" i="51"/>
  <c r="X108" i="51"/>
  <c r="W108" i="51"/>
  <c r="R108" i="51"/>
  <c r="P108" i="51"/>
  <c r="O108" i="51"/>
  <c r="N108" i="51"/>
  <c r="C108" i="51"/>
  <c r="AF107" i="51"/>
  <c r="AE107" i="51"/>
  <c r="AD107" i="51"/>
  <c r="AC107" i="51"/>
  <c r="AB107" i="51"/>
  <c r="AA107" i="51"/>
  <c r="Z107" i="51"/>
  <c r="Y107" i="51"/>
  <c r="X107" i="51"/>
  <c r="W107" i="51"/>
  <c r="R107" i="51"/>
  <c r="P107" i="51"/>
  <c r="O107" i="51"/>
  <c r="N107" i="51"/>
  <c r="C107" i="51"/>
  <c r="AF106" i="51"/>
  <c r="AE106" i="51"/>
  <c r="AD106" i="51"/>
  <c r="AC106" i="51"/>
  <c r="AB106" i="51"/>
  <c r="AA106" i="51"/>
  <c r="Z106" i="51"/>
  <c r="Y106" i="51"/>
  <c r="X106" i="51"/>
  <c r="W106" i="51"/>
  <c r="R106" i="51"/>
  <c r="P106" i="51"/>
  <c r="O106" i="51"/>
  <c r="N106" i="51"/>
  <c r="C106" i="51"/>
  <c r="AF105" i="51"/>
  <c r="AE105" i="51"/>
  <c r="AD105" i="51"/>
  <c r="AC105" i="51"/>
  <c r="AB105" i="51"/>
  <c r="AA105" i="51"/>
  <c r="Z105" i="51"/>
  <c r="Y105" i="51"/>
  <c r="X105" i="51"/>
  <c r="W105" i="51"/>
  <c r="R105" i="51"/>
  <c r="P105" i="51"/>
  <c r="O105" i="51"/>
  <c r="N105" i="51"/>
  <c r="C105" i="51"/>
  <c r="AF104" i="51"/>
  <c r="AE104" i="51"/>
  <c r="AD104" i="51"/>
  <c r="AC104" i="51"/>
  <c r="AB104" i="51"/>
  <c r="AA104" i="51"/>
  <c r="Z104" i="51"/>
  <c r="Y104" i="51"/>
  <c r="X104" i="51"/>
  <c r="W104" i="51"/>
  <c r="R104" i="51"/>
  <c r="P104" i="51"/>
  <c r="O104" i="51"/>
  <c r="N104" i="51"/>
  <c r="C104" i="51"/>
  <c r="AF103" i="51"/>
  <c r="AE103" i="51"/>
  <c r="AD103" i="51"/>
  <c r="AC103" i="51"/>
  <c r="AB103" i="51"/>
  <c r="AA103" i="51"/>
  <c r="Z103" i="51"/>
  <c r="Y103" i="51"/>
  <c r="X103" i="51"/>
  <c r="W103" i="51"/>
  <c r="R103" i="51"/>
  <c r="P103" i="51"/>
  <c r="O103" i="51"/>
  <c r="N103" i="51"/>
  <c r="C103" i="51"/>
  <c r="AF102" i="51"/>
  <c r="AE102" i="51"/>
  <c r="AD102" i="51"/>
  <c r="AC102" i="51"/>
  <c r="AB102" i="51"/>
  <c r="AA102" i="51"/>
  <c r="Z102" i="51"/>
  <c r="Y102" i="51"/>
  <c r="X102" i="51"/>
  <c r="W102" i="51"/>
  <c r="R102" i="51"/>
  <c r="P102" i="51"/>
  <c r="O102" i="51"/>
  <c r="N102" i="51"/>
  <c r="C102" i="51"/>
  <c r="AF101" i="51"/>
  <c r="AE101" i="51"/>
  <c r="AD101" i="51"/>
  <c r="AC101" i="51"/>
  <c r="AB101" i="51"/>
  <c r="AA101" i="51"/>
  <c r="Z101" i="51"/>
  <c r="Y101" i="51"/>
  <c r="X101" i="51"/>
  <c r="W101" i="51"/>
  <c r="R101" i="51"/>
  <c r="P101" i="51"/>
  <c r="O101" i="51"/>
  <c r="N101" i="51"/>
  <c r="AF100" i="51"/>
  <c r="AE100" i="51"/>
  <c r="AD100" i="51"/>
  <c r="AC100" i="51"/>
  <c r="AB100" i="51"/>
  <c r="AA100" i="51"/>
  <c r="Z100" i="51"/>
  <c r="Y100" i="51"/>
  <c r="X100" i="51"/>
  <c r="W100" i="51"/>
  <c r="R100" i="51"/>
  <c r="P100" i="51"/>
  <c r="O100" i="51"/>
  <c r="N100" i="51"/>
  <c r="C100" i="51"/>
  <c r="AF99" i="51"/>
  <c r="AE99" i="51"/>
  <c r="AD99" i="51"/>
  <c r="AC99" i="51"/>
  <c r="AB99" i="51"/>
  <c r="AA99" i="51"/>
  <c r="Z99" i="51"/>
  <c r="Y99" i="51"/>
  <c r="X99" i="51"/>
  <c r="W99" i="51"/>
  <c r="R99" i="51"/>
  <c r="P99" i="51"/>
  <c r="O99" i="51"/>
  <c r="N99" i="51"/>
  <c r="C99" i="51"/>
  <c r="AF98" i="51"/>
  <c r="AE98" i="51"/>
  <c r="AD98" i="51"/>
  <c r="AC98" i="51"/>
  <c r="AB98" i="51"/>
  <c r="AA98" i="51"/>
  <c r="Z98" i="51"/>
  <c r="Y98" i="51"/>
  <c r="X98" i="51"/>
  <c r="W98" i="51"/>
  <c r="R98" i="51"/>
  <c r="P98" i="51"/>
  <c r="O98" i="51"/>
  <c r="N98" i="51"/>
  <c r="C98" i="51"/>
  <c r="AF97" i="51"/>
  <c r="AE97" i="51"/>
  <c r="AD97" i="51"/>
  <c r="AC97" i="51"/>
  <c r="AB97" i="51"/>
  <c r="AA97" i="51"/>
  <c r="Z97" i="51"/>
  <c r="Y97" i="51"/>
  <c r="X97" i="51"/>
  <c r="W97" i="51"/>
  <c r="R97" i="51"/>
  <c r="P97" i="51"/>
  <c r="O97" i="51"/>
  <c r="N97" i="51"/>
  <c r="C97" i="51"/>
  <c r="AF96" i="51"/>
  <c r="AE96" i="51"/>
  <c r="AD96" i="51"/>
  <c r="AC96" i="51"/>
  <c r="AB96" i="51"/>
  <c r="AA96" i="51"/>
  <c r="Z96" i="51"/>
  <c r="Y96" i="51"/>
  <c r="X96" i="51"/>
  <c r="W96" i="51"/>
  <c r="R96" i="51"/>
  <c r="P96" i="51"/>
  <c r="O96" i="51"/>
  <c r="N96" i="51"/>
  <c r="C96" i="51"/>
  <c r="AF95" i="51"/>
  <c r="AE95" i="51"/>
  <c r="AD95" i="51"/>
  <c r="AC95" i="51"/>
  <c r="AB95" i="51"/>
  <c r="AA95" i="51"/>
  <c r="Z95" i="51"/>
  <c r="Y95" i="51"/>
  <c r="X95" i="51"/>
  <c r="W95" i="51"/>
  <c r="R95" i="51"/>
  <c r="P95" i="51"/>
  <c r="O95" i="51"/>
  <c r="N95" i="51"/>
  <c r="C95" i="51"/>
  <c r="AF94" i="51"/>
  <c r="AE94" i="51"/>
  <c r="AD94" i="51"/>
  <c r="AC94" i="51"/>
  <c r="AB94" i="51"/>
  <c r="AA94" i="51"/>
  <c r="Z94" i="51"/>
  <c r="Y94" i="51"/>
  <c r="X94" i="51"/>
  <c r="W94" i="51"/>
  <c r="R94" i="51"/>
  <c r="P94" i="51"/>
  <c r="O94" i="51"/>
  <c r="N94" i="51"/>
  <c r="C94" i="51"/>
  <c r="AF93" i="51"/>
  <c r="AE93" i="51"/>
  <c r="AD93" i="51"/>
  <c r="AC93" i="51"/>
  <c r="AB93" i="51"/>
  <c r="AA93" i="51"/>
  <c r="Z93" i="51"/>
  <c r="Y93" i="51"/>
  <c r="X93" i="51"/>
  <c r="W93" i="51"/>
  <c r="R93" i="51"/>
  <c r="P93" i="51"/>
  <c r="O93" i="51"/>
  <c r="N93" i="51"/>
  <c r="C93" i="51"/>
  <c r="AF92" i="51"/>
  <c r="AE92" i="51"/>
  <c r="AD92" i="51"/>
  <c r="AC92" i="51"/>
  <c r="AB92" i="51"/>
  <c r="AA92" i="51"/>
  <c r="Z92" i="51"/>
  <c r="Y92" i="51"/>
  <c r="X92" i="51"/>
  <c r="W92" i="51"/>
  <c r="R92" i="51"/>
  <c r="P92" i="51"/>
  <c r="O92" i="51"/>
  <c r="N92" i="51"/>
  <c r="AF91" i="51"/>
  <c r="AE91" i="51"/>
  <c r="AD91" i="51"/>
  <c r="AC91" i="51"/>
  <c r="AB91" i="51"/>
  <c r="AA91" i="51"/>
  <c r="Z91" i="51"/>
  <c r="Y91" i="51"/>
  <c r="X91" i="51"/>
  <c r="W91" i="51"/>
  <c r="R91" i="51"/>
  <c r="P91" i="51"/>
  <c r="O91" i="51"/>
  <c r="N91" i="51"/>
  <c r="C91" i="51"/>
  <c r="AF90" i="51"/>
  <c r="AE90" i="51"/>
  <c r="AD90" i="51"/>
  <c r="AC90" i="51"/>
  <c r="AB90" i="51"/>
  <c r="AA90" i="51"/>
  <c r="Z90" i="51"/>
  <c r="Y90" i="51"/>
  <c r="X90" i="51"/>
  <c r="W90" i="51"/>
  <c r="R90" i="51"/>
  <c r="P90" i="51"/>
  <c r="O90" i="51"/>
  <c r="N90" i="51"/>
  <c r="C90" i="51"/>
  <c r="AF89" i="51"/>
  <c r="AE89" i="51"/>
  <c r="AD89" i="51"/>
  <c r="AC89" i="51"/>
  <c r="AB89" i="51"/>
  <c r="AA89" i="51"/>
  <c r="Z89" i="51"/>
  <c r="Y89" i="51"/>
  <c r="X89" i="51"/>
  <c r="W89" i="51"/>
  <c r="R89" i="51"/>
  <c r="P89" i="51"/>
  <c r="O89" i="51"/>
  <c r="N89" i="51"/>
  <c r="C89" i="51"/>
  <c r="AF88" i="51"/>
  <c r="AE88" i="51"/>
  <c r="AD88" i="51"/>
  <c r="AC88" i="51"/>
  <c r="AB88" i="51"/>
  <c r="AA88" i="51"/>
  <c r="Z88" i="51"/>
  <c r="Y88" i="51"/>
  <c r="X88" i="51"/>
  <c r="W88" i="51"/>
  <c r="R88" i="51"/>
  <c r="P88" i="51"/>
  <c r="O88" i="51"/>
  <c r="N88" i="51"/>
  <c r="C88" i="51"/>
  <c r="AF87" i="51"/>
  <c r="AE87" i="51"/>
  <c r="AD87" i="51"/>
  <c r="AC87" i="51"/>
  <c r="AB87" i="51"/>
  <c r="AA87" i="51"/>
  <c r="Z87" i="51"/>
  <c r="Y87" i="51"/>
  <c r="X87" i="51"/>
  <c r="W87" i="51"/>
  <c r="R87" i="51"/>
  <c r="P87" i="51"/>
  <c r="O87" i="51"/>
  <c r="N87" i="51"/>
  <c r="AF86" i="51"/>
  <c r="AE86" i="51"/>
  <c r="AD86" i="51"/>
  <c r="AC86" i="51"/>
  <c r="AB86" i="51"/>
  <c r="AA86" i="51"/>
  <c r="Z86" i="51"/>
  <c r="Y86" i="51"/>
  <c r="X86" i="51"/>
  <c r="W86" i="51"/>
  <c r="R86" i="51"/>
  <c r="P86" i="51"/>
  <c r="O86" i="51"/>
  <c r="N86" i="51"/>
  <c r="C86" i="51"/>
  <c r="AF85" i="51"/>
  <c r="AE85" i="51"/>
  <c r="AD85" i="51"/>
  <c r="AC85" i="51"/>
  <c r="AB85" i="51"/>
  <c r="AA85" i="51"/>
  <c r="Z85" i="51"/>
  <c r="Y85" i="51"/>
  <c r="X85" i="51"/>
  <c r="W85" i="51"/>
  <c r="R85" i="51"/>
  <c r="Q85" i="51"/>
  <c r="P85" i="51"/>
  <c r="O85" i="51"/>
  <c r="N85" i="51"/>
  <c r="C85" i="51"/>
  <c r="AF84" i="51"/>
  <c r="AE84" i="51"/>
  <c r="AD84" i="51"/>
  <c r="AC84" i="51"/>
  <c r="AB84" i="51"/>
  <c r="AA84" i="51"/>
  <c r="Z84" i="51"/>
  <c r="Y84" i="51"/>
  <c r="X84" i="51"/>
  <c r="W84" i="51"/>
  <c r="R84" i="51"/>
  <c r="P84" i="51"/>
  <c r="O84" i="51"/>
  <c r="N84" i="51"/>
  <c r="C84" i="51"/>
  <c r="AF83" i="51"/>
  <c r="AE83" i="51"/>
  <c r="AD83" i="51"/>
  <c r="AC83" i="51"/>
  <c r="AB83" i="51"/>
  <c r="AA83" i="51"/>
  <c r="Z83" i="51"/>
  <c r="Y83" i="51"/>
  <c r="X83" i="51"/>
  <c r="W83" i="51"/>
  <c r="R83" i="51"/>
  <c r="P83" i="51"/>
  <c r="O83" i="51"/>
  <c r="N83" i="51"/>
  <c r="C83" i="51"/>
  <c r="AF82" i="51"/>
  <c r="AE82" i="51"/>
  <c r="AD82" i="51"/>
  <c r="AC82" i="51"/>
  <c r="AB82" i="51"/>
  <c r="AA82" i="51"/>
  <c r="Z82" i="51"/>
  <c r="Y82" i="51"/>
  <c r="X82" i="51"/>
  <c r="W82" i="51"/>
  <c r="R82" i="51"/>
  <c r="P82" i="51"/>
  <c r="O82" i="51"/>
  <c r="N82" i="51"/>
  <c r="AF81" i="51"/>
  <c r="AE81" i="51"/>
  <c r="AD81" i="51"/>
  <c r="AC81" i="51"/>
  <c r="AB81" i="51"/>
  <c r="AA81" i="51"/>
  <c r="Z81" i="51"/>
  <c r="Y81" i="51"/>
  <c r="X81" i="51"/>
  <c r="W81" i="51"/>
  <c r="R81" i="51"/>
  <c r="P81" i="51"/>
  <c r="O81" i="51"/>
  <c r="N81" i="51"/>
  <c r="C81" i="51"/>
  <c r="AF80" i="51"/>
  <c r="AE80" i="51"/>
  <c r="AD80" i="51"/>
  <c r="AC80" i="51"/>
  <c r="AB80" i="51"/>
  <c r="AA80" i="51"/>
  <c r="Z80" i="51"/>
  <c r="Y80" i="51"/>
  <c r="X80" i="51"/>
  <c r="W80" i="51"/>
  <c r="R80" i="51"/>
  <c r="P80" i="51"/>
  <c r="O80" i="51"/>
  <c r="N80" i="51"/>
  <c r="C80" i="51"/>
  <c r="AF79" i="51"/>
  <c r="AE79" i="51"/>
  <c r="AD79" i="51"/>
  <c r="AC79" i="51"/>
  <c r="AB79" i="51"/>
  <c r="AA79" i="51"/>
  <c r="Z79" i="51"/>
  <c r="Y79" i="51"/>
  <c r="X79" i="51"/>
  <c r="W79" i="51"/>
  <c r="R79" i="51"/>
  <c r="P79" i="51"/>
  <c r="O79" i="51"/>
  <c r="N79" i="51"/>
  <c r="C79" i="51"/>
  <c r="AF78" i="51"/>
  <c r="AE78" i="51"/>
  <c r="AD78" i="51"/>
  <c r="AC78" i="51"/>
  <c r="AB78" i="51"/>
  <c r="AA78" i="51"/>
  <c r="Z78" i="51"/>
  <c r="Y78" i="51"/>
  <c r="X78" i="51"/>
  <c r="W78" i="51"/>
  <c r="R78" i="51"/>
  <c r="P78" i="51"/>
  <c r="O78" i="51"/>
  <c r="N78" i="51"/>
  <c r="C78" i="51"/>
  <c r="AF77" i="51"/>
  <c r="AE77" i="51"/>
  <c r="AD77" i="51"/>
  <c r="AC77" i="51"/>
  <c r="AB77" i="51"/>
  <c r="AA77" i="51"/>
  <c r="Z77" i="51"/>
  <c r="Y77" i="51"/>
  <c r="X77" i="51"/>
  <c r="W77" i="51"/>
  <c r="R77" i="51"/>
  <c r="P77" i="51"/>
  <c r="O77" i="51"/>
  <c r="N77" i="51"/>
  <c r="C77" i="51"/>
  <c r="AF76" i="51"/>
  <c r="AE76" i="51"/>
  <c r="AD76" i="51"/>
  <c r="AC76" i="51"/>
  <c r="AB76" i="51"/>
  <c r="AA76" i="51"/>
  <c r="Z76" i="51"/>
  <c r="Y76" i="51"/>
  <c r="X76" i="51"/>
  <c r="W76" i="51"/>
  <c r="R76" i="51"/>
  <c r="P76" i="51"/>
  <c r="O76" i="51"/>
  <c r="N76" i="51"/>
  <c r="C76" i="51"/>
  <c r="AF75" i="51"/>
  <c r="AE75" i="51"/>
  <c r="AD75" i="51"/>
  <c r="AC75" i="51"/>
  <c r="AB75" i="51"/>
  <c r="AA75" i="51"/>
  <c r="Z75" i="51"/>
  <c r="Y75" i="51"/>
  <c r="X75" i="51"/>
  <c r="W75" i="51"/>
  <c r="R75" i="51"/>
  <c r="P75" i="51"/>
  <c r="O75" i="51"/>
  <c r="N75" i="51"/>
  <c r="C75" i="51"/>
  <c r="AF74" i="51"/>
  <c r="AE74" i="51"/>
  <c r="AD74" i="51"/>
  <c r="AC74" i="51"/>
  <c r="AB74" i="51"/>
  <c r="AA74" i="51"/>
  <c r="Z74" i="51"/>
  <c r="Y74" i="51"/>
  <c r="X74" i="51"/>
  <c r="W74" i="51"/>
  <c r="R74" i="51"/>
  <c r="P74" i="51"/>
  <c r="O74" i="51"/>
  <c r="N74" i="51"/>
  <c r="AF73" i="51"/>
  <c r="AE73" i="51"/>
  <c r="AD73" i="51"/>
  <c r="AC73" i="51"/>
  <c r="AB73" i="51"/>
  <c r="AA73" i="51"/>
  <c r="Z73" i="51"/>
  <c r="Y73" i="51"/>
  <c r="X73" i="51"/>
  <c r="W73" i="51"/>
  <c r="R73" i="51"/>
  <c r="P73" i="51"/>
  <c r="O73" i="51"/>
  <c r="N73" i="51"/>
  <c r="C73" i="51"/>
  <c r="AF72" i="51"/>
  <c r="AE72" i="51"/>
  <c r="AD72" i="51"/>
  <c r="AC72" i="51"/>
  <c r="AB72" i="51"/>
  <c r="AA72" i="51"/>
  <c r="Z72" i="51"/>
  <c r="Y72" i="51"/>
  <c r="X72" i="51"/>
  <c r="W72" i="51"/>
  <c r="R72" i="51"/>
  <c r="P72" i="51"/>
  <c r="O72" i="51"/>
  <c r="N72" i="51"/>
  <c r="C72" i="51"/>
  <c r="AF71" i="51"/>
  <c r="AE71" i="51"/>
  <c r="AD71" i="51"/>
  <c r="AC71" i="51"/>
  <c r="AB71" i="51"/>
  <c r="AA71" i="51"/>
  <c r="Z71" i="51"/>
  <c r="Y71" i="51"/>
  <c r="X71" i="51"/>
  <c r="W71" i="51"/>
  <c r="R71" i="51"/>
  <c r="P71" i="51"/>
  <c r="O71" i="51"/>
  <c r="N71" i="51"/>
  <c r="C71" i="51"/>
  <c r="AF70" i="51"/>
  <c r="AE70" i="51"/>
  <c r="AD70" i="51"/>
  <c r="AC70" i="51"/>
  <c r="AB70" i="51"/>
  <c r="AA70" i="51"/>
  <c r="Z70" i="51"/>
  <c r="Y70" i="51"/>
  <c r="X70" i="51"/>
  <c r="W70" i="51"/>
  <c r="R70" i="51"/>
  <c r="P70" i="51"/>
  <c r="O70" i="51"/>
  <c r="N70" i="51"/>
  <c r="C70" i="51"/>
  <c r="AF69" i="51"/>
  <c r="AE69" i="51"/>
  <c r="AD69" i="51"/>
  <c r="AC69" i="51"/>
  <c r="AB69" i="51"/>
  <c r="AA69" i="51"/>
  <c r="Z69" i="51"/>
  <c r="Y69" i="51"/>
  <c r="X69" i="51"/>
  <c r="W69" i="51"/>
  <c r="R69" i="51"/>
  <c r="P69" i="51"/>
  <c r="O69" i="51"/>
  <c r="N69" i="51"/>
  <c r="C69" i="51"/>
  <c r="AF68" i="51"/>
  <c r="AE68" i="51"/>
  <c r="AD68" i="51"/>
  <c r="AC68" i="51"/>
  <c r="AB68" i="51"/>
  <c r="AA68" i="51"/>
  <c r="Z68" i="51"/>
  <c r="Y68" i="51"/>
  <c r="X68" i="51"/>
  <c r="W68" i="51"/>
  <c r="R68" i="51"/>
  <c r="P68" i="51"/>
  <c r="O68" i="51"/>
  <c r="N68" i="51"/>
  <c r="C68" i="51"/>
  <c r="AF67" i="51"/>
  <c r="AE67" i="51"/>
  <c r="AD67" i="51"/>
  <c r="AC67" i="51"/>
  <c r="AB67" i="51"/>
  <c r="AA67" i="51"/>
  <c r="Z67" i="51"/>
  <c r="Y67" i="51"/>
  <c r="X67" i="51"/>
  <c r="W67" i="51"/>
  <c r="R67" i="51"/>
  <c r="P67" i="51"/>
  <c r="O67" i="51"/>
  <c r="N67" i="51"/>
  <c r="C67" i="51"/>
  <c r="AF66" i="51"/>
  <c r="AE66" i="51"/>
  <c r="AD66" i="51"/>
  <c r="AC66" i="51"/>
  <c r="AB66" i="51"/>
  <c r="AA66" i="51"/>
  <c r="Z66" i="51"/>
  <c r="Y66" i="51"/>
  <c r="X66" i="51"/>
  <c r="W66" i="51"/>
  <c r="R66" i="51"/>
  <c r="P66" i="51"/>
  <c r="O66" i="51"/>
  <c r="N66" i="51"/>
  <c r="AF65" i="51"/>
  <c r="AE65" i="51"/>
  <c r="AD65" i="51"/>
  <c r="AC65" i="51"/>
  <c r="AB65" i="51"/>
  <c r="AA65" i="51"/>
  <c r="Z65" i="51"/>
  <c r="Y65" i="51"/>
  <c r="X65" i="51"/>
  <c r="W65" i="51"/>
  <c r="R65" i="51"/>
  <c r="P65" i="51"/>
  <c r="O65" i="51"/>
  <c r="N65" i="51"/>
  <c r="C65" i="51"/>
  <c r="AF64" i="51"/>
  <c r="AE64" i="51"/>
  <c r="AD64" i="51"/>
  <c r="AC64" i="51"/>
  <c r="AB64" i="51"/>
  <c r="AA64" i="51"/>
  <c r="Z64" i="51"/>
  <c r="Y64" i="51"/>
  <c r="X64" i="51"/>
  <c r="W64" i="51"/>
  <c r="R64" i="51"/>
  <c r="P64" i="51"/>
  <c r="O64" i="51"/>
  <c r="N64" i="51"/>
  <c r="C64" i="51"/>
  <c r="AF63" i="51"/>
  <c r="AE63" i="51"/>
  <c r="AD63" i="51"/>
  <c r="AC63" i="51"/>
  <c r="AB63" i="51"/>
  <c r="AA63" i="51"/>
  <c r="Z63" i="51"/>
  <c r="Y63" i="51"/>
  <c r="X63" i="51"/>
  <c r="W63" i="51"/>
  <c r="R63" i="51"/>
  <c r="P63" i="51"/>
  <c r="O63" i="51"/>
  <c r="N63" i="51"/>
  <c r="C63" i="51"/>
  <c r="AF62" i="51"/>
  <c r="AE62" i="51"/>
  <c r="AD62" i="51"/>
  <c r="AC62" i="51"/>
  <c r="AB62" i="51"/>
  <c r="AA62" i="51"/>
  <c r="Z62" i="51"/>
  <c r="Y62" i="51"/>
  <c r="X62" i="51"/>
  <c r="W62" i="51"/>
  <c r="R62" i="51"/>
  <c r="P62" i="51"/>
  <c r="O62" i="51"/>
  <c r="N62" i="51"/>
  <c r="C62" i="51"/>
  <c r="AF61" i="51"/>
  <c r="AE61" i="51"/>
  <c r="AD61" i="51"/>
  <c r="AC61" i="51"/>
  <c r="AB61" i="51"/>
  <c r="AA61" i="51"/>
  <c r="Z61" i="51"/>
  <c r="Y61" i="51"/>
  <c r="X61" i="51"/>
  <c r="W61" i="51"/>
  <c r="R61" i="51"/>
  <c r="P61" i="51"/>
  <c r="O61" i="51"/>
  <c r="N61" i="51"/>
  <c r="C61" i="51"/>
  <c r="AF60" i="51"/>
  <c r="AE60" i="51"/>
  <c r="AD60" i="51"/>
  <c r="AC60" i="51"/>
  <c r="AB60" i="51"/>
  <c r="AA60" i="51"/>
  <c r="Z60" i="51"/>
  <c r="Y60" i="51"/>
  <c r="X60" i="51"/>
  <c r="W60" i="51"/>
  <c r="R60" i="51"/>
  <c r="P60" i="51"/>
  <c r="O60" i="51"/>
  <c r="N60" i="51"/>
  <c r="C60" i="51"/>
  <c r="AF59" i="51"/>
  <c r="AE59" i="51"/>
  <c r="AD59" i="51"/>
  <c r="AC59" i="51"/>
  <c r="AB59" i="51"/>
  <c r="AA59" i="51"/>
  <c r="Z59" i="51"/>
  <c r="Y59" i="51"/>
  <c r="X59" i="51"/>
  <c r="W59" i="51"/>
  <c r="R59" i="51"/>
  <c r="P59" i="51"/>
  <c r="O59" i="51"/>
  <c r="N59" i="51"/>
  <c r="C59" i="51"/>
  <c r="AF58" i="51"/>
  <c r="AE58" i="51"/>
  <c r="AD58" i="51"/>
  <c r="AC58" i="51"/>
  <c r="AB58" i="51"/>
  <c r="AA58" i="51"/>
  <c r="Z58" i="51"/>
  <c r="Y58" i="51"/>
  <c r="X58" i="51"/>
  <c r="W58" i="51"/>
  <c r="R58" i="51"/>
  <c r="P58" i="51"/>
  <c r="O58" i="51"/>
  <c r="N58" i="51"/>
  <c r="AF57" i="51"/>
  <c r="AE57" i="51"/>
  <c r="AD57" i="51"/>
  <c r="AC57" i="51"/>
  <c r="AB57" i="51"/>
  <c r="AA57" i="51"/>
  <c r="Z57" i="51"/>
  <c r="Y57" i="51"/>
  <c r="X57" i="51"/>
  <c r="W57" i="51"/>
  <c r="R57" i="51"/>
  <c r="P57" i="51"/>
  <c r="O57" i="51"/>
  <c r="N57" i="51"/>
  <c r="C57" i="51"/>
  <c r="AF56" i="51"/>
  <c r="AE56" i="51"/>
  <c r="AD56" i="51"/>
  <c r="AC56" i="51"/>
  <c r="AB56" i="51"/>
  <c r="AA56" i="51"/>
  <c r="Z56" i="51"/>
  <c r="Y56" i="51"/>
  <c r="X56" i="51"/>
  <c r="W56" i="51"/>
  <c r="R56" i="51"/>
  <c r="P56" i="51"/>
  <c r="O56" i="51"/>
  <c r="N56" i="51"/>
  <c r="C56" i="51"/>
  <c r="AF55" i="51"/>
  <c r="AE55" i="51"/>
  <c r="AD55" i="51"/>
  <c r="AC55" i="51"/>
  <c r="AB55" i="51"/>
  <c r="AA55" i="51"/>
  <c r="Z55" i="51"/>
  <c r="Y55" i="51"/>
  <c r="X55" i="51"/>
  <c r="W55" i="51"/>
  <c r="R55" i="51"/>
  <c r="P55" i="51"/>
  <c r="O55" i="51"/>
  <c r="N55" i="51"/>
  <c r="C55" i="51"/>
  <c r="AF54" i="51"/>
  <c r="AE54" i="51"/>
  <c r="AD54" i="51"/>
  <c r="AC54" i="51"/>
  <c r="AB54" i="51"/>
  <c r="AA54" i="51"/>
  <c r="Z54" i="51"/>
  <c r="Y54" i="51"/>
  <c r="X54" i="51"/>
  <c r="W54" i="51"/>
  <c r="R54" i="51"/>
  <c r="P54" i="51"/>
  <c r="O54" i="51"/>
  <c r="N54" i="51"/>
  <c r="C54" i="51"/>
  <c r="AF53" i="51"/>
  <c r="AE53" i="51"/>
  <c r="AD53" i="51"/>
  <c r="AC53" i="51"/>
  <c r="AB53" i="51"/>
  <c r="AA53" i="51"/>
  <c r="Z53" i="51"/>
  <c r="Y53" i="51"/>
  <c r="X53" i="51"/>
  <c r="W53" i="51"/>
  <c r="R53" i="51"/>
  <c r="P53" i="51"/>
  <c r="O53" i="51"/>
  <c r="N53" i="51"/>
  <c r="C53" i="51"/>
  <c r="AF52" i="51"/>
  <c r="AE52" i="51"/>
  <c r="AD52" i="51"/>
  <c r="AC52" i="51"/>
  <c r="AB52" i="51"/>
  <c r="AA52" i="51"/>
  <c r="Z52" i="51"/>
  <c r="Y52" i="51"/>
  <c r="X52" i="51"/>
  <c r="W52" i="51"/>
  <c r="R52" i="51"/>
  <c r="P52" i="51"/>
  <c r="O52" i="51"/>
  <c r="N52" i="51"/>
  <c r="C52" i="51"/>
  <c r="AF51" i="51"/>
  <c r="AE51" i="51"/>
  <c r="AD51" i="51"/>
  <c r="AC51" i="51"/>
  <c r="AB51" i="51"/>
  <c r="AA51" i="51"/>
  <c r="Z51" i="51"/>
  <c r="Y51" i="51"/>
  <c r="X51" i="51"/>
  <c r="W51" i="51"/>
  <c r="R51" i="51"/>
  <c r="P51" i="51"/>
  <c r="O51" i="51"/>
  <c r="N51" i="51"/>
  <c r="C51" i="51"/>
  <c r="AF50" i="51"/>
  <c r="AE50" i="51"/>
  <c r="AD50" i="51"/>
  <c r="AC50" i="51"/>
  <c r="AB50" i="51"/>
  <c r="AA50" i="51"/>
  <c r="Z50" i="51"/>
  <c r="Y50" i="51"/>
  <c r="X50" i="51"/>
  <c r="W50" i="51"/>
  <c r="R50" i="51"/>
  <c r="P50" i="51"/>
  <c r="O50" i="51"/>
  <c r="N50" i="51"/>
  <c r="AF49" i="51"/>
  <c r="AE49" i="51"/>
  <c r="AD49" i="51"/>
  <c r="AC49" i="51"/>
  <c r="AB49" i="51"/>
  <c r="AA49" i="51"/>
  <c r="Z49" i="51"/>
  <c r="Y49" i="51"/>
  <c r="X49" i="51"/>
  <c r="W49" i="51"/>
  <c r="R49" i="51"/>
  <c r="P49" i="51"/>
  <c r="O49" i="51"/>
  <c r="N49" i="51"/>
  <c r="C49" i="51"/>
  <c r="AF48" i="51"/>
  <c r="AE48" i="51"/>
  <c r="AD48" i="51"/>
  <c r="AC48" i="51"/>
  <c r="AB48" i="51"/>
  <c r="AA48" i="51"/>
  <c r="Z48" i="51"/>
  <c r="Y48" i="51"/>
  <c r="X48" i="51"/>
  <c r="W48" i="51"/>
  <c r="R48" i="51"/>
  <c r="P48" i="51"/>
  <c r="O48" i="51"/>
  <c r="N48" i="51"/>
  <c r="C48" i="51"/>
  <c r="AF47" i="51"/>
  <c r="AE47" i="51"/>
  <c r="AD47" i="51"/>
  <c r="AC47" i="51"/>
  <c r="AB47" i="51"/>
  <c r="AA47" i="51"/>
  <c r="Z47" i="51"/>
  <c r="Y47" i="51"/>
  <c r="X47" i="51"/>
  <c r="W47" i="51"/>
  <c r="R47" i="51"/>
  <c r="P47" i="51"/>
  <c r="O47" i="51"/>
  <c r="N47" i="51"/>
  <c r="C47" i="51"/>
  <c r="AF46" i="51"/>
  <c r="AE46" i="51"/>
  <c r="AD46" i="51"/>
  <c r="AC46" i="51"/>
  <c r="AB46" i="51"/>
  <c r="AA46" i="51"/>
  <c r="Z46" i="51"/>
  <c r="Y46" i="51"/>
  <c r="X46" i="51"/>
  <c r="W46" i="51"/>
  <c r="R46" i="51"/>
  <c r="P46" i="51"/>
  <c r="O46" i="51"/>
  <c r="N46" i="51"/>
  <c r="C46" i="51"/>
  <c r="AF45" i="51"/>
  <c r="AE45" i="51"/>
  <c r="AD45" i="51"/>
  <c r="AC45" i="51"/>
  <c r="AB45" i="51"/>
  <c r="AA45" i="51"/>
  <c r="Z45" i="51"/>
  <c r="Y45" i="51"/>
  <c r="X45" i="51"/>
  <c r="W45" i="51"/>
  <c r="R45" i="51"/>
  <c r="P45" i="51"/>
  <c r="O45" i="51"/>
  <c r="N45" i="51"/>
  <c r="C45" i="51"/>
  <c r="AF44" i="51"/>
  <c r="AE44" i="51"/>
  <c r="AD44" i="51"/>
  <c r="AC44" i="51"/>
  <c r="AB44" i="51"/>
  <c r="AA44" i="51"/>
  <c r="Z44" i="51"/>
  <c r="Y44" i="51"/>
  <c r="X44" i="51"/>
  <c r="W44" i="51"/>
  <c r="R44" i="51"/>
  <c r="P44" i="51"/>
  <c r="O44" i="51"/>
  <c r="N44" i="51"/>
  <c r="AF43" i="51"/>
  <c r="AE43" i="51"/>
  <c r="AD43" i="51"/>
  <c r="AC43" i="51"/>
  <c r="AB43" i="51"/>
  <c r="AA43" i="51"/>
  <c r="Z43" i="51"/>
  <c r="Y43" i="51"/>
  <c r="X43" i="51"/>
  <c r="W43" i="51"/>
  <c r="R43" i="51"/>
  <c r="P43" i="51"/>
  <c r="O43" i="51"/>
  <c r="N43" i="51"/>
  <c r="C43" i="51"/>
  <c r="AF42" i="51"/>
  <c r="AE42" i="51"/>
  <c r="AD42" i="51"/>
  <c r="AC42" i="51"/>
  <c r="AB42" i="51"/>
  <c r="AA42" i="51"/>
  <c r="Z42" i="51"/>
  <c r="Y42" i="51"/>
  <c r="X42" i="51"/>
  <c r="W42" i="51"/>
  <c r="R42" i="51"/>
  <c r="P42" i="51"/>
  <c r="O42" i="51"/>
  <c r="N42" i="51"/>
  <c r="C42" i="51"/>
  <c r="AF41" i="51"/>
  <c r="AE41" i="51"/>
  <c r="AD41" i="51"/>
  <c r="AC41" i="51"/>
  <c r="AB41" i="51"/>
  <c r="AA41" i="51"/>
  <c r="Z41" i="51"/>
  <c r="Y41" i="51"/>
  <c r="X41" i="51"/>
  <c r="W41" i="51"/>
  <c r="R41" i="51"/>
  <c r="P41" i="51"/>
  <c r="O41" i="51"/>
  <c r="N41" i="51"/>
  <c r="C41" i="51"/>
  <c r="AF40" i="51"/>
  <c r="AE40" i="51"/>
  <c r="AD40" i="51"/>
  <c r="AC40" i="51"/>
  <c r="AB40" i="51"/>
  <c r="AA40" i="51"/>
  <c r="Z40" i="51"/>
  <c r="Y40" i="51"/>
  <c r="X40" i="51"/>
  <c r="W40" i="51"/>
  <c r="R40" i="51"/>
  <c r="P40" i="51"/>
  <c r="O40" i="51"/>
  <c r="N40" i="51"/>
  <c r="C40" i="51"/>
  <c r="AF39" i="51"/>
  <c r="AE39" i="51"/>
  <c r="AD39" i="51"/>
  <c r="AC39" i="51"/>
  <c r="AB39" i="51"/>
  <c r="AA39" i="51"/>
  <c r="Z39" i="51"/>
  <c r="Y39" i="51"/>
  <c r="X39" i="51"/>
  <c r="W39" i="51"/>
  <c r="R39" i="51"/>
  <c r="P39" i="51"/>
  <c r="O39" i="51"/>
  <c r="N39" i="51"/>
  <c r="C39" i="51"/>
  <c r="AF38" i="51"/>
  <c r="AE38" i="51"/>
  <c r="AD38" i="51"/>
  <c r="AC38" i="51"/>
  <c r="AB38" i="51"/>
  <c r="AA38" i="51"/>
  <c r="Z38" i="51"/>
  <c r="Y38" i="51"/>
  <c r="X38" i="51"/>
  <c r="W38" i="51"/>
  <c r="R38" i="51"/>
  <c r="P38" i="51"/>
  <c r="O38" i="51"/>
  <c r="N38" i="51"/>
  <c r="C38" i="51"/>
  <c r="AF37" i="51"/>
  <c r="AE37" i="51"/>
  <c r="AD37" i="51"/>
  <c r="AC37" i="51"/>
  <c r="AB37" i="51"/>
  <c r="AA37" i="51"/>
  <c r="Z37" i="51"/>
  <c r="Y37" i="51"/>
  <c r="X37" i="51"/>
  <c r="W37" i="51"/>
  <c r="R37" i="51"/>
  <c r="P37" i="51"/>
  <c r="O37" i="51"/>
  <c r="N37" i="51"/>
  <c r="C37" i="51"/>
  <c r="AF36" i="51"/>
  <c r="AE36" i="51"/>
  <c r="AD36" i="51"/>
  <c r="AC36" i="51"/>
  <c r="AB36" i="51"/>
  <c r="AA36" i="51"/>
  <c r="Z36" i="51"/>
  <c r="Y36" i="51"/>
  <c r="X36" i="51"/>
  <c r="W36" i="51"/>
  <c r="R36" i="51"/>
  <c r="P36" i="51"/>
  <c r="O36" i="51"/>
  <c r="N36" i="51"/>
  <c r="C36" i="51"/>
  <c r="AF35" i="51"/>
  <c r="AE35" i="51"/>
  <c r="AD35" i="51"/>
  <c r="AC35" i="51"/>
  <c r="AB35" i="51"/>
  <c r="AA35" i="51"/>
  <c r="Z35" i="51"/>
  <c r="Y35" i="51"/>
  <c r="X35" i="51"/>
  <c r="W35" i="51"/>
  <c r="R35" i="51"/>
  <c r="P35" i="51"/>
  <c r="O35" i="51"/>
  <c r="N35" i="51"/>
  <c r="C35" i="51"/>
  <c r="AF34" i="51"/>
  <c r="AE34" i="51"/>
  <c r="AD34" i="51"/>
  <c r="AC34" i="51"/>
  <c r="AB34" i="51"/>
  <c r="AA34" i="51"/>
  <c r="Z34" i="51"/>
  <c r="Y34" i="51"/>
  <c r="X34" i="51"/>
  <c r="W34" i="51"/>
  <c r="R34" i="51"/>
  <c r="P34" i="51"/>
  <c r="O34" i="51"/>
  <c r="N34" i="51"/>
  <c r="C34" i="51"/>
  <c r="AF33" i="51"/>
  <c r="AE33" i="51"/>
  <c r="AD33" i="51"/>
  <c r="AC33" i="51"/>
  <c r="AB33" i="51"/>
  <c r="AA33" i="51"/>
  <c r="Z33" i="51"/>
  <c r="Y33" i="51"/>
  <c r="X33" i="51"/>
  <c r="W33" i="51"/>
  <c r="R33" i="51"/>
  <c r="P33" i="51"/>
  <c r="O33" i="51"/>
  <c r="N33" i="51"/>
  <c r="C33" i="51"/>
  <c r="AF32" i="51"/>
  <c r="AE32" i="51"/>
  <c r="AD32" i="51"/>
  <c r="AC32" i="51"/>
  <c r="AB32" i="51"/>
  <c r="AA32" i="51"/>
  <c r="Z32" i="51"/>
  <c r="Y32" i="51"/>
  <c r="X32" i="51"/>
  <c r="W32" i="51"/>
  <c r="R32" i="51"/>
  <c r="P32" i="51"/>
  <c r="O32" i="51"/>
  <c r="N32" i="51"/>
  <c r="AF31" i="51"/>
  <c r="AE31" i="51"/>
  <c r="AD31" i="51"/>
  <c r="AC31" i="51"/>
  <c r="AB31" i="51"/>
  <c r="AA31" i="51"/>
  <c r="Z31" i="51"/>
  <c r="Y31" i="51"/>
  <c r="X31" i="51"/>
  <c r="W31" i="51"/>
  <c r="R31" i="51"/>
  <c r="P31" i="51"/>
  <c r="O31" i="51"/>
  <c r="N31" i="51"/>
  <c r="C31" i="51"/>
  <c r="AF30" i="51"/>
  <c r="AE30" i="51"/>
  <c r="AD30" i="51"/>
  <c r="AC30" i="51"/>
  <c r="AB30" i="51"/>
  <c r="AA30" i="51"/>
  <c r="Z30" i="51"/>
  <c r="Y30" i="51"/>
  <c r="X30" i="51"/>
  <c r="W30" i="51"/>
  <c r="R30" i="51"/>
  <c r="P30" i="51"/>
  <c r="O30" i="51"/>
  <c r="N30" i="51"/>
  <c r="C30" i="51"/>
  <c r="AF29" i="51"/>
  <c r="AE29" i="51"/>
  <c r="AD29" i="51"/>
  <c r="AC29" i="51"/>
  <c r="AB29" i="51"/>
  <c r="AA29" i="51"/>
  <c r="Z29" i="51"/>
  <c r="Y29" i="51"/>
  <c r="X29" i="51"/>
  <c r="W29" i="51"/>
  <c r="R29" i="51"/>
  <c r="P29" i="51"/>
  <c r="O29" i="51"/>
  <c r="N29" i="51"/>
  <c r="C29" i="51"/>
  <c r="AF28" i="51"/>
  <c r="AE28" i="51"/>
  <c r="AD28" i="51"/>
  <c r="AC28" i="51"/>
  <c r="AB28" i="51"/>
  <c r="AA28" i="51"/>
  <c r="Z28" i="51"/>
  <c r="Y28" i="51"/>
  <c r="X28" i="51"/>
  <c r="W28" i="51"/>
  <c r="R28" i="51"/>
  <c r="P28" i="51"/>
  <c r="O28" i="51"/>
  <c r="N28" i="51"/>
  <c r="C28" i="51"/>
  <c r="AF27" i="51"/>
  <c r="AE27" i="51"/>
  <c r="AD27" i="51"/>
  <c r="AC27" i="51"/>
  <c r="AB27" i="51"/>
  <c r="AA27" i="51"/>
  <c r="Z27" i="51"/>
  <c r="Y27" i="51"/>
  <c r="X27" i="51"/>
  <c r="W27" i="51"/>
  <c r="R27" i="51"/>
  <c r="P27" i="51"/>
  <c r="O27" i="51"/>
  <c r="N27" i="51"/>
  <c r="C27" i="51"/>
  <c r="AF26" i="51"/>
  <c r="AE26" i="51"/>
  <c r="AD26" i="51"/>
  <c r="AC26" i="51"/>
  <c r="AB26" i="51"/>
  <c r="AA26" i="51"/>
  <c r="Z26" i="51"/>
  <c r="Y26" i="51"/>
  <c r="X26" i="51"/>
  <c r="W26" i="51"/>
  <c r="R26" i="51"/>
  <c r="P26" i="51"/>
  <c r="O26" i="51"/>
  <c r="N26" i="51"/>
  <c r="C26" i="51"/>
  <c r="AF25" i="51"/>
  <c r="AE25" i="51"/>
  <c r="AD25" i="51"/>
  <c r="AC25" i="51"/>
  <c r="AB25" i="51"/>
  <c r="AA25" i="51"/>
  <c r="Z25" i="51"/>
  <c r="Y25" i="51"/>
  <c r="X25" i="51"/>
  <c r="W25" i="51"/>
  <c r="R25" i="51"/>
  <c r="P25" i="51"/>
  <c r="O25" i="51"/>
  <c r="N25" i="51"/>
  <c r="C25" i="51"/>
  <c r="AF24" i="51"/>
  <c r="AE24" i="51"/>
  <c r="AD24" i="51"/>
  <c r="AC24" i="51"/>
  <c r="AB24" i="51"/>
  <c r="AA24" i="51"/>
  <c r="Z24" i="51"/>
  <c r="Y24" i="51"/>
  <c r="X24" i="51"/>
  <c r="W24" i="51"/>
  <c r="R24" i="51"/>
  <c r="P24" i="51"/>
  <c r="O24" i="51"/>
  <c r="N24" i="51"/>
  <c r="C24" i="51"/>
  <c r="AF23" i="51"/>
  <c r="AE23" i="51"/>
  <c r="AD23" i="51"/>
  <c r="AC23" i="51"/>
  <c r="AB23" i="51"/>
  <c r="AA23" i="51"/>
  <c r="Z23" i="51"/>
  <c r="Y23" i="51"/>
  <c r="X23" i="51"/>
  <c r="W23" i="51"/>
  <c r="R23" i="51"/>
  <c r="P23" i="51"/>
  <c r="O23" i="51"/>
  <c r="N23" i="51"/>
  <c r="AF22" i="51"/>
  <c r="AE22" i="51"/>
  <c r="AD22" i="51"/>
  <c r="AC22" i="51"/>
  <c r="AB22" i="51"/>
  <c r="AA22" i="51"/>
  <c r="Z22" i="51"/>
  <c r="Y22" i="51"/>
  <c r="X22" i="51"/>
  <c r="W22" i="51"/>
  <c r="R22" i="51"/>
  <c r="Q22" i="51"/>
  <c r="P22" i="51"/>
  <c r="O22" i="51"/>
  <c r="N22" i="51"/>
  <c r="C22" i="51"/>
  <c r="AF21" i="51"/>
  <c r="AE21" i="51"/>
  <c r="AD21" i="51"/>
  <c r="AC21" i="51"/>
  <c r="AB21" i="51"/>
  <c r="AA21" i="51"/>
  <c r="Z21" i="51"/>
  <c r="Y21" i="51"/>
  <c r="X21" i="51"/>
  <c r="W21" i="51"/>
  <c r="R21" i="51"/>
  <c r="Q21" i="51"/>
  <c r="P21" i="51"/>
  <c r="O21" i="51"/>
  <c r="N21" i="51"/>
  <c r="C21" i="51"/>
  <c r="AF20" i="51"/>
  <c r="AE20" i="51"/>
  <c r="AD20" i="51"/>
  <c r="AC20" i="51"/>
  <c r="AB20" i="51"/>
  <c r="AA20" i="51"/>
  <c r="Z20" i="51"/>
  <c r="Y20" i="51"/>
  <c r="X20" i="51"/>
  <c r="W20" i="51"/>
  <c r="R20" i="51"/>
  <c r="P20" i="51"/>
  <c r="O20" i="51"/>
  <c r="N20" i="51"/>
  <c r="AF19" i="51"/>
  <c r="AE19" i="51"/>
  <c r="AD19" i="51"/>
  <c r="AC19" i="51"/>
  <c r="AB19" i="51"/>
  <c r="AA19" i="51"/>
  <c r="Z19" i="51"/>
  <c r="Y19" i="51"/>
  <c r="X19" i="51"/>
  <c r="W19" i="51"/>
  <c r="R19" i="51"/>
  <c r="Q19" i="51"/>
  <c r="P19" i="51"/>
  <c r="O19" i="51"/>
  <c r="N19" i="51"/>
  <c r="C19" i="51"/>
  <c r="AF18" i="51"/>
  <c r="AE18" i="51"/>
  <c r="AD18" i="51"/>
  <c r="AC18" i="51"/>
  <c r="AB18" i="51"/>
  <c r="AA18" i="51"/>
  <c r="Z18" i="51"/>
  <c r="Y18" i="51"/>
  <c r="X18" i="51"/>
  <c r="W18" i="51"/>
  <c r="R18" i="51"/>
  <c r="Q18" i="51"/>
  <c r="P18" i="51"/>
  <c r="O18" i="51"/>
  <c r="N18" i="51"/>
  <c r="C18" i="51"/>
  <c r="AF17" i="51"/>
  <c r="AE17" i="51"/>
  <c r="AD17" i="51"/>
  <c r="AC17" i="51"/>
  <c r="AB17" i="51"/>
  <c r="AA17" i="51"/>
  <c r="Z17" i="51"/>
  <c r="Y17" i="51"/>
  <c r="X17" i="51"/>
  <c r="W17" i="51"/>
  <c r="R17" i="51"/>
  <c r="Q17" i="51"/>
  <c r="P17" i="51"/>
  <c r="O17" i="51"/>
  <c r="N17" i="51"/>
  <c r="C17" i="51"/>
  <c r="AF16" i="51"/>
  <c r="AE16" i="51"/>
  <c r="AD16" i="51"/>
  <c r="AC16" i="51"/>
  <c r="AB16" i="51"/>
  <c r="AA16" i="51"/>
  <c r="Z16" i="51"/>
  <c r="Y16" i="51"/>
  <c r="X16" i="51"/>
  <c r="W16" i="51"/>
  <c r="R16" i="51"/>
  <c r="Q16" i="51"/>
  <c r="P16" i="51"/>
  <c r="O16" i="51"/>
  <c r="N16" i="51"/>
  <c r="C16" i="51"/>
  <c r="AF15" i="51"/>
  <c r="AE15" i="51"/>
  <c r="AD15" i="51"/>
  <c r="AC15" i="51"/>
  <c r="AB15" i="51"/>
  <c r="AA15" i="51"/>
  <c r="Z15" i="51"/>
  <c r="Y15" i="51"/>
  <c r="X15" i="51"/>
  <c r="W15" i="51"/>
  <c r="R15" i="51"/>
  <c r="Q15" i="51"/>
  <c r="P15" i="51"/>
  <c r="O15" i="51"/>
  <c r="N15" i="51"/>
  <c r="C15" i="51"/>
  <c r="AF14" i="51"/>
  <c r="AE14" i="51"/>
  <c r="AD14" i="51"/>
  <c r="AC14" i="51"/>
  <c r="AB14" i="51"/>
  <c r="AA14" i="51"/>
  <c r="Z14" i="51"/>
  <c r="Y14" i="51"/>
  <c r="X14" i="51"/>
  <c r="W14" i="51"/>
  <c r="R14" i="51"/>
  <c r="P14" i="51"/>
  <c r="O14" i="51"/>
  <c r="N14" i="51"/>
  <c r="AF13" i="51"/>
  <c r="AE13" i="51"/>
  <c r="AD13" i="51"/>
  <c r="AC13" i="51"/>
  <c r="AB13" i="51"/>
  <c r="AA13" i="51"/>
  <c r="Z13" i="51"/>
  <c r="Y13" i="51"/>
  <c r="X13" i="51"/>
  <c r="W13" i="51"/>
  <c r="R13" i="51"/>
  <c r="Q13" i="51"/>
  <c r="P13" i="51"/>
  <c r="O13" i="51"/>
  <c r="N13" i="51"/>
  <c r="C13" i="51"/>
  <c r="AF12" i="51"/>
  <c r="AE12" i="51"/>
  <c r="AD12" i="51"/>
  <c r="AC12" i="51"/>
  <c r="AB12" i="51"/>
  <c r="AA12" i="51"/>
  <c r="Z12" i="51"/>
  <c r="Y12" i="51"/>
  <c r="X12" i="51"/>
  <c r="W12" i="51"/>
  <c r="R12" i="51"/>
  <c r="Q12" i="51"/>
  <c r="P12" i="51"/>
  <c r="O12" i="51"/>
  <c r="N12" i="51"/>
  <c r="C12" i="51"/>
  <c r="AF11" i="51"/>
  <c r="AE11" i="51"/>
  <c r="AD11" i="51"/>
  <c r="AC11" i="51"/>
  <c r="AB11" i="51"/>
  <c r="AA11" i="51"/>
  <c r="Z11" i="51"/>
  <c r="Y11" i="51"/>
  <c r="X11" i="51"/>
  <c r="W11" i="51"/>
  <c r="R11" i="51"/>
  <c r="Q11" i="51"/>
  <c r="P11" i="51"/>
  <c r="O11" i="51"/>
  <c r="N11" i="51"/>
  <c r="C11" i="51"/>
  <c r="AF10" i="51"/>
  <c r="AE10" i="51"/>
  <c r="AD10" i="51"/>
  <c r="AC10" i="51"/>
  <c r="AB10" i="51"/>
  <c r="AA10" i="51"/>
  <c r="Z10" i="51"/>
  <c r="Y10" i="51"/>
  <c r="X10" i="51"/>
  <c r="W10" i="51"/>
  <c r="R10" i="51"/>
  <c r="Q10" i="51"/>
  <c r="P10" i="51"/>
  <c r="O10" i="51"/>
  <c r="N10" i="51"/>
  <c r="C10" i="51"/>
  <c r="AF9" i="51"/>
  <c r="AE9" i="51"/>
  <c r="AD9" i="51"/>
  <c r="AC9" i="51"/>
  <c r="AB9" i="51"/>
  <c r="AA9" i="51"/>
  <c r="Z9" i="51"/>
  <c r="Y9" i="51"/>
  <c r="X9" i="51"/>
  <c r="W9" i="51"/>
  <c r="R9" i="51"/>
  <c r="Q9" i="51"/>
  <c r="P9" i="51"/>
  <c r="O9" i="51"/>
  <c r="N9" i="51"/>
  <c r="C9" i="51"/>
  <c r="AF8" i="51"/>
  <c r="AE8" i="51"/>
  <c r="AD8" i="51"/>
  <c r="AC8" i="51"/>
  <c r="AB8" i="51"/>
  <c r="AA8" i="51"/>
  <c r="Z8" i="51"/>
  <c r="Y8" i="51"/>
  <c r="X8" i="51"/>
  <c r="W8" i="51"/>
  <c r="R8" i="51"/>
  <c r="Q8" i="51"/>
  <c r="P8" i="51"/>
  <c r="O8" i="51"/>
  <c r="N8" i="51"/>
  <c r="C8" i="51"/>
  <c r="C6" i="51"/>
  <c r="O4" i="51"/>
  <c r="O3" i="51"/>
  <c r="M31" i="14"/>
  <c r="L31" i="14"/>
  <c r="K31" i="14"/>
  <c r="J31" i="14"/>
  <c r="I31" i="14"/>
  <c r="H31" i="14"/>
  <c r="G31" i="14"/>
  <c r="F31" i="14"/>
  <c r="E31" i="14"/>
  <c r="D31" i="14"/>
  <c r="C31" i="14"/>
  <c r="M30" i="14"/>
  <c r="M29" i="14"/>
  <c r="M28" i="14"/>
  <c r="M27" i="14"/>
  <c r="N26" i="14"/>
  <c r="M26" i="14"/>
  <c r="M25" i="14"/>
  <c r="L25" i="14"/>
  <c r="K25" i="14"/>
  <c r="J25" i="14"/>
  <c r="I25" i="14"/>
  <c r="H25" i="14"/>
  <c r="G25" i="14"/>
  <c r="F25" i="14"/>
  <c r="E25" i="14"/>
  <c r="D25" i="14"/>
  <c r="C25" i="14"/>
  <c r="M24" i="14"/>
  <c r="N23" i="14"/>
  <c r="M23" i="14"/>
  <c r="N22" i="14"/>
  <c r="M22" i="14"/>
  <c r="M21" i="14"/>
  <c r="N20" i="14"/>
  <c r="M20" i="14"/>
  <c r="M19" i="14"/>
  <c r="M18" i="14"/>
  <c r="M17" i="14"/>
  <c r="M16" i="14"/>
  <c r="L16" i="14"/>
  <c r="K16" i="14"/>
  <c r="J16" i="14"/>
  <c r="I16" i="14"/>
  <c r="H16" i="14"/>
  <c r="G16" i="14"/>
  <c r="F16" i="14"/>
  <c r="E16" i="14"/>
  <c r="D16" i="14"/>
  <c r="C16" i="14"/>
  <c r="M15" i="14"/>
  <c r="M14" i="14"/>
  <c r="M13" i="14"/>
  <c r="M12" i="14"/>
  <c r="M11" i="14"/>
  <c r="M10" i="14"/>
  <c r="M9" i="14"/>
  <c r="M8" i="14"/>
  <c r="L8" i="14"/>
  <c r="K8" i="14"/>
  <c r="J8" i="14"/>
  <c r="I8" i="14"/>
  <c r="H8" i="14"/>
  <c r="G8" i="14"/>
  <c r="F8" i="14"/>
  <c r="E8" i="14"/>
  <c r="D8" i="14"/>
  <c r="C8" i="14"/>
  <c r="L7" i="14"/>
  <c r="K7" i="14"/>
  <c r="J7" i="14"/>
  <c r="I7" i="14"/>
  <c r="H7" i="14"/>
  <c r="G7" i="14"/>
  <c r="F7" i="14"/>
  <c r="E7" i="14"/>
  <c r="D7" i="14"/>
  <c r="C7" i="14"/>
  <c r="L6" i="14"/>
  <c r="K6" i="14"/>
  <c r="J6" i="14"/>
  <c r="I6" i="14"/>
  <c r="H6" i="14"/>
  <c r="G6" i="14"/>
  <c r="F6" i="14"/>
  <c r="E6" i="14"/>
  <c r="D6" i="14"/>
  <c r="C6" i="14"/>
  <c r="L4" i="14"/>
  <c r="L3" i="14"/>
  <c r="L103" i="7"/>
  <c r="H103" i="7"/>
  <c r="G103" i="7"/>
  <c r="F103" i="7"/>
  <c r="E103" i="7"/>
  <c r="D103" i="7"/>
  <c r="C103" i="7"/>
  <c r="B103" i="7"/>
  <c r="H102" i="7"/>
  <c r="F102" i="7"/>
  <c r="E102" i="7"/>
  <c r="D102" i="7"/>
  <c r="C102" i="7"/>
  <c r="B102" i="7"/>
  <c r="H101" i="7"/>
  <c r="F101" i="7"/>
  <c r="E101" i="7"/>
  <c r="D101" i="7"/>
  <c r="C101" i="7"/>
  <c r="B101" i="7"/>
  <c r="H100" i="7"/>
  <c r="F100" i="7"/>
  <c r="E100" i="7"/>
  <c r="D100" i="7"/>
  <c r="C100" i="7"/>
  <c r="B100" i="7"/>
  <c r="H99" i="7"/>
  <c r="F99" i="7"/>
  <c r="E99" i="7"/>
  <c r="D99" i="7"/>
  <c r="C99" i="7"/>
  <c r="B99" i="7"/>
  <c r="H98" i="7"/>
  <c r="F98" i="7"/>
  <c r="E98" i="7"/>
  <c r="D98" i="7"/>
  <c r="C98" i="7"/>
  <c r="B98" i="7"/>
  <c r="Q97" i="7"/>
  <c r="H97" i="7"/>
  <c r="F97" i="7"/>
  <c r="E97" i="7"/>
  <c r="D97" i="7"/>
  <c r="C97" i="7"/>
  <c r="B97" i="7"/>
  <c r="Q96" i="7"/>
  <c r="H96" i="7"/>
  <c r="F96" i="7"/>
  <c r="E96" i="7"/>
  <c r="D96" i="7"/>
  <c r="C96" i="7"/>
  <c r="B96" i="7"/>
  <c r="Q95" i="7"/>
  <c r="H95" i="7"/>
  <c r="G95" i="7"/>
  <c r="F95" i="7"/>
  <c r="E95" i="7"/>
  <c r="D95" i="7"/>
  <c r="C95" i="7"/>
  <c r="B95" i="7"/>
  <c r="Q94" i="7"/>
  <c r="H94" i="7"/>
  <c r="F94" i="7"/>
  <c r="E94" i="7"/>
  <c r="D94" i="7"/>
  <c r="C94" i="7"/>
  <c r="B94" i="7"/>
  <c r="Q93" i="7"/>
  <c r="H93" i="7"/>
  <c r="F93" i="7"/>
  <c r="E93" i="7"/>
  <c r="D93" i="7"/>
  <c r="C93" i="7"/>
  <c r="B93" i="7"/>
  <c r="Q92" i="7"/>
  <c r="H92" i="7"/>
  <c r="G92" i="7"/>
  <c r="F92" i="7"/>
  <c r="E92" i="7"/>
  <c r="D92" i="7"/>
  <c r="C92" i="7"/>
  <c r="B92" i="7"/>
  <c r="Q91" i="7"/>
  <c r="H91" i="7"/>
  <c r="G91" i="7"/>
  <c r="F91" i="7"/>
  <c r="E91" i="7"/>
  <c r="D91" i="7"/>
  <c r="C91" i="7"/>
  <c r="B91" i="7"/>
  <c r="Q90" i="7"/>
  <c r="H90" i="7"/>
  <c r="G90" i="7"/>
  <c r="F90" i="7"/>
  <c r="E90" i="7"/>
  <c r="D90" i="7"/>
  <c r="C90" i="7"/>
  <c r="B90" i="7"/>
  <c r="Q89" i="7"/>
  <c r="H89" i="7"/>
  <c r="G89" i="7"/>
  <c r="F89" i="7"/>
  <c r="E89" i="7"/>
  <c r="D89" i="7"/>
  <c r="C89" i="7"/>
  <c r="B89" i="7"/>
  <c r="Q88" i="7"/>
  <c r="H88" i="7"/>
  <c r="G88" i="7"/>
  <c r="F88" i="7"/>
  <c r="E88" i="7"/>
  <c r="D88" i="7"/>
  <c r="C88" i="7"/>
  <c r="B88" i="7"/>
  <c r="Q87" i="7"/>
  <c r="H87" i="7"/>
  <c r="F87" i="7"/>
  <c r="E87" i="7"/>
  <c r="D87" i="7"/>
  <c r="C87" i="7"/>
  <c r="B87" i="7"/>
  <c r="Q86" i="7"/>
  <c r="H86" i="7"/>
  <c r="G86" i="7"/>
  <c r="F86" i="7"/>
  <c r="E86" i="7"/>
  <c r="D86" i="7"/>
  <c r="C86" i="7"/>
  <c r="B86" i="7"/>
  <c r="Q85" i="7"/>
  <c r="H85" i="7"/>
  <c r="G85" i="7"/>
  <c r="F85" i="7"/>
  <c r="E85" i="7"/>
  <c r="D85" i="7"/>
  <c r="C85" i="7"/>
  <c r="B85" i="7"/>
  <c r="Q84" i="7"/>
  <c r="H84" i="7"/>
  <c r="F84" i="7"/>
  <c r="E84" i="7"/>
  <c r="D84" i="7"/>
  <c r="C84" i="7"/>
  <c r="B84" i="7"/>
  <c r="R83" i="7"/>
  <c r="Q83" i="7"/>
  <c r="H83" i="7"/>
  <c r="F83" i="7"/>
  <c r="E83" i="7"/>
  <c r="D83" i="7"/>
  <c r="C83" i="7"/>
  <c r="B83" i="7"/>
  <c r="Q82" i="7"/>
  <c r="H82" i="7"/>
  <c r="G82" i="7"/>
  <c r="F82" i="7"/>
  <c r="E82" i="7"/>
  <c r="D82" i="7"/>
  <c r="C82" i="7"/>
  <c r="B82" i="7"/>
  <c r="Q81" i="7"/>
  <c r="H81" i="7"/>
  <c r="F81" i="7"/>
  <c r="E81" i="7"/>
  <c r="D81" i="7"/>
  <c r="C81" i="7"/>
  <c r="B81" i="7"/>
  <c r="Q80" i="7"/>
  <c r="H80" i="7"/>
  <c r="G80" i="7"/>
  <c r="F80" i="7"/>
  <c r="E80" i="7"/>
  <c r="D80" i="7"/>
  <c r="C80" i="7"/>
  <c r="B80" i="7"/>
  <c r="Q79" i="7"/>
  <c r="H79" i="7"/>
  <c r="G79" i="7"/>
  <c r="F79" i="7"/>
  <c r="E79" i="7"/>
  <c r="D79" i="7"/>
  <c r="C79" i="7"/>
  <c r="B79" i="7"/>
  <c r="Q78" i="7"/>
  <c r="H78" i="7"/>
  <c r="G78" i="7"/>
  <c r="F78" i="7"/>
  <c r="E78" i="7"/>
  <c r="D78" i="7"/>
  <c r="C78" i="7"/>
  <c r="B78" i="7"/>
  <c r="Q77" i="7"/>
  <c r="M77" i="7"/>
  <c r="H77" i="7"/>
  <c r="F77" i="7"/>
  <c r="E77" i="7"/>
  <c r="D77" i="7"/>
  <c r="C77" i="7"/>
  <c r="B77" i="7"/>
  <c r="Q76" i="7"/>
  <c r="H76" i="7"/>
  <c r="G76" i="7"/>
  <c r="F76" i="7"/>
  <c r="E76" i="7"/>
  <c r="D76" i="7"/>
  <c r="C76" i="7"/>
  <c r="B76" i="7"/>
  <c r="Q75" i="7"/>
  <c r="H75" i="7"/>
  <c r="G75" i="7"/>
  <c r="F75" i="7"/>
  <c r="E75" i="7"/>
  <c r="D75" i="7"/>
  <c r="C75" i="7"/>
  <c r="B75" i="7"/>
  <c r="Q74" i="7"/>
  <c r="H74" i="7"/>
  <c r="F74" i="7"/>
  <c r="E74" i="7"/>
  <c r="D74" i="7"/>
  <c r="C74" i="7"/>
  <c r="B74" i="7"/>
  <c r="Q73" i="7"/>
  <c r="H73" i="7"/>
  <c r="G73" i="7"/>
  <c r="F73" i="7"/>
  <c r="E73" i="7"/>
  <c r="D73" i="7"/>
  <c r="C73" i="7"/>
  <c r="B73" i="7"/>
  <c r="Q72" i="7"/>
  <c r="H72" i="7"/>
  <c r="F72" i="7"/>
  <c r="E72" i="7"/>
  <c r="D72" i="7"/>
  <c r="C72" i="7"/>
  <c r="B72" i="7"/>
  <c r="Q71" i="7"/>
  <c r="H71" i="7"/>
  <c r="G71" i="7"/>
  <c r="F71" i="7"/>
  <c r="E71" i="7"/>
  <c r="D71" i="7"/>
  <c r="C71" i="7"/>
  <c r="B71" i="7"/>
  <c r="Q70" i="7"/>
  <c r="H70" i="7"/>
  <c r="F70" i="7"/>
  <c r="E70" i="7"/>
  <c r="D70" i="7"/>
  <c r="C70" i="7"/>
  <c r="B70" i="7"/>
  <c r="Q69" i="7"/>
  <c r="H69" i="7"/>
  <c r="F69" i="7"/>
  <c r="E69" i="7"/>
  <c r="D69" i="7"/>
  <c r="C69" i="7"/>
  <c r="B69" i="7"/>
  <c r="Q68" i="7"/>
  <c r="H68" i="7"/>
  <c r="G68" i="7"/>
  <c r="F68" i="7"/>
  <c r="E68" i="7"/>
  <c r="D68" i="7"/>
  <c r="C68" i="7"/>
  <c r="B68" i="7"/>
  <c r="Q67" i="7"/>
  <c r="H67" i="7"/>
  <c r="G67" i="7"/>
  <c r="F67" i="7"/>
  <c r="E67" i="7"/>
  <c r="D67" i="7"/>
  <c r="C67" i="7"/>
  <c r="B67" i="7"/>
  <c r="Q66" i="7"/>
  <c r="M66" i="7"/>
  <c r="H66" i="7"/>
  <c r="G66" i="7"/>
  <c r="F66" i="7"/>
  <c r="E66" i="7"/>
  <c r="D66" i="7"/>
  <c r="C66" i="7"/>
  <c r="B66" i="7"/>
  <c r="Q65" i="7"/>
  <c r="H65" i="7"/>
  <c r="G65" i="7"/>
  <c r="F65" i="7"/>
  <c r="E65" i="7"/>
  <c r="D65" i="7"/>
  <c r="C65" i="7"/>
  <c r="B65" i="7"/>
  <c r="Q64" i="7"/>
  <c r="H64" i="7"/>
  <c r="G64" i="7"/>
  <c r="F64" i="7"/>
  <c r="E64" i="7"/>
  <c r="D64" i="7"/>
  <c r="C64" i="7"/>
  <c r="B64" i="7"/>
  <c r="U63" i="7"/>
  <c r="Q63" i="7"/>
  <c r="H63" i="7"/>
  <c r="F63" i="7"/>
  <c r="E63" i="7"/>
  <c r="D63" i="7"/>
  <c r="C63" i="7"/>
  <c r="B63" i="7"/>
  <c r="U62" i="7"/>
  <c r="Q62" i="7"/>
  <c r="H62" i="7"/>
  <c r="F62" i="7"/>
  <c r="E62" i="7"/>
  <c r="D62" i="7"/>
  <c r="C62" i="7"/>
  <c r="B62" i="7"/>
  <c r="U61" i="7"/>
  <c r="Q61" i="7"/>
  <c r="H61" i="7"/>
  <c r="G61" i="7"/>
  <c r="F61" i="7"/>
  <c r="E61" i="7"/>
  <c r="D61" i="7"/>
  <c r="C61" i="7"/>
  <c r="B61" i="7"/>
  <c r="U60" i="7"/>
  <c r="Q60" i="7"/>
  <c r="H60" i="7"/>
  <c r="G60" i="7"/>
  <c r="F60" i="7"/>
  <c r="E60" i="7"/>
  <c r="D60" i="7"/>
  <c r="C60" i="7"/>
  <c r="B60" i="7"/>
  <c r="V59" i="7"/>
  <c r="U59" i="7"/>
  <c r="Q59" i="7"/>
  <c r="H59" i="7"/>
  <c r="F59" i="7"/>
  <c r="E59" i="7"/>
  <c r="D59" i="7"/>
  <c r="C59" i="7"/>
  <c r="B59" i="7"/>
  <c r="V58" i="7"/>
  <c r="U58" i="7"/>
  <c r="Q58" i="7"/>
  <c r="H58" i="7"/>
  <c r="F58" i="7"/>
  <c r="E58" i="7"/>
  <c r="D58" i="7"/>
  <c r="C58" i="7"/>
  <c r="B58" i="7"/>
  <c r="V57" i="7"/>
  <c r="U57" i="7"/>
  <c r="Q57" i="7"/>
  <c r="H57" i="7"/>
  <c r="F57" i="7"/>
  <c r="E57" i="7"/>
  <c r="D57" i="7"/>
  <c r="C57" i="7"/>
  <c r="B57" i="7"/>
  <c r="Q56" i="7"/>
  <c r="H56" i="7"/>
  <c r="F56" i="7"/>
  <c r="E56" i="7"/>
  <c r="D56" i="7"/>
  <c r="C56" i="7"/>
  <c r="B56" i="7"/>
  <c r="U55" i="7"/>
  <c r="Q55" i="7"/>
  <c r="H55" i="7"/>
  <c r="F55" i="7"/>
  <c r="E55" i="7"/>
  <c r="D55" i="7"/>
  <c r="C55" i="7"/>
  <c r="B55" i="7"/>
  <c r="U54" i="7"/>
  <c r="T54" i="7"/>
  <c r="Q54" i="7"/>
  <c r="H54" i="7"/>
  <c r="F54" i="7"/>
  <c r="E54" i="7"/>
  <c r="D54" i="7"/>
  <c r="C54" i="7"/>
  <c r="B54" i="7"/>
  <c r="U53" i="7"/>
  <c r="T53" i="7"/>
  <c r="Q53" i="7"/>
  <c r="H53" i="7"/>
  <c r="F53" i="7"/>
  <c r="E53" i="7"/>
  <c r="D53" i="7"/>
  <c r="C53" i="7"/>
  <c r="B53" i="7"/>
  <c r="U52" i="7"/>
  <c r="T52" i="7"/>
  <c r="Q52" i="7"/>
  <c r="N52" i="7"/>
  <c r="H52" i="7"/>
  <c r="G52" i="7"/>
  <c r="F52" i="7"/>
  <c r="E52" i="7"/>
  <c r="D52" i="7"/>
  <c r="C52" i="7"/>
  <c r="B52" i="7"/>
  <c r="U51" i="7"/>
  <c r="T51" i="7"/>
  <c r="Q51" i="7"/>
  <c r="I51" i="7"/>
  <c r="H51" i="7"/>
  <c r="G51" i="7"/>
  <c r="F51" i="7"/>
  <c r="E51" i="7"/>
  <c r="D51" i="7"/>
  <c r="C51" i="7"/>
  <c r="B51" i="7"/>
  <c r="Q50" i="7"/>
  <c r="H50" i="7"/>
  <c r="G50" i="7"/>
  <c r="F50" i="7"/>
  <c r="E50" i="7"/>
  <c r="D50" i="7"/>
  <c r="C50" i="7"/>
  <c r="B50" i="7"/>
  <c r="Q49" i="7"/>
  <c r="H49" i="7"/>
  <c r="G49" i="7"/>
  <c r="F49" i="7"/>
  <c r="E49" i="7"/>
  <c r="D49" i="7"/>
  <c r="C49" i="7"/>
  <c r="B49" i="7"/>
  <c r="T48" i="7"/>
  <c r="Q48" i="7"/>
  <c r="H48" i="7"/>
  <c r="G48" i="7"/>
  <c r="F48" i="7"/>
  <c r="E48" i="7"/>
  <c r="D48" i="7"/>
  <c r="C48" i="7"/>
  <c r="B48" i="7"/>
  <c r="W47" i="7"/>
  <c r="V47" i="7"/>
  <c r="T47" i="7"/>
  <c r="Q47" i="7"/>
  <c r="H47" i="7"/>
  <c r="F47" i="7"/>
  <c r="E47" i="7"/>
  <c r="D47" i="7"/>
  <c r="C47" i="7"/>
  <c r="B47" i="7"/>
  <c r="W46" i="7"/>
  <c r="V46" i="7"/>
  <c r="T46" i="7"/>
  <c r="Q46" i="7"/>
  <c r="H46" i="7"/>
  <c r="G46" i="7"/>
  <c r="F46" i="7"/>
  <c r="E46" i="7"/>
  <c r="D46" i="7"/>
  <c r="C46" i="7"/>
  <c r="B46" i="7"/>
  <c r="X45" i="7"/>
  <c r="W45" i="7"/>
  <c r="V45" i="7"/>
  <c r="T45" i="7"/>
  <c r="Q45" i="7"/>
  <c r="H45" i="7"/>
  <c r="G45" i="7"/>
  <c r="F45" i="7"/>
  <c r="E45" i="7"/>
  <c r="D45" i="7"/>
  <c r="C45" i="7"/>
  <c r="B45" i="7"/>
  <c r="Q44" i="7"/>
  <c r="N44" i="7"/>
  <c r="H44" i="7"/>
  <c r="G44" i="7"/>
  <c r="F44" i="7"/>
  <c r="E44" i="7"/>
  <c r="D44" i="7"/>
  <c r="C44" i="7"/>
  <c r="B44" i="7"/>
  <c r="Q43" i="7"/>
  <c r="N43" i="7"/>
  <c r="V42" i="7"/>
  <c r="T42" i="7"/>
  <c r="Q42" i="7"/>
  <c r="H42" i="7"/>
  <c r="F42" i="7"/>
  <c r="E42" i="7"/>
  <c r="D42" i="7"/>
  <c r="C42" i="7"/>
  <c r="B42" i="7"/>
  <c r="T41" i="7"/>
  <c r="Q41" i="7"/>
  <c r="N41" i="7"/>
  <c r="H41" i="7"/>
  <c r="F41" i="7"/>
  <c r="E41" i="7"/>
  <c r="D41" i="7"/>
  <c r="C41" i="7"/>
  <c r="B41" i="7"/>
  <c r="T40" i="7"/>
  <c r="Q40" i="7"/>
  <c r="H40" i="7"/>
  <c r="F40" i="7"/>
  <c r="E40" i="7"/>
  <c r="D40" i="7"/>
  <c r="C40" i="7"/>
  <c r="B40" i="7"/>
  <c r="T39" i="7"/>
  <c r="Q39" i="7"/>
  <c r="V38" i="7"/>
  <c r="T38" i="7"/>
  <c r="Q38" i="7"/>
  <c r="P38" i="7"/>
  <c r="N38" i="7"/>
  <c r="H38" i="7"/>
  <c r="F38" i="7"/>
  <c r="E38" i="7"/>
  <c r="D38" i="7"/>
  <c r="C38" i="7"/>
  <c r="B38" i="7"/>
  <c r="V37" i="7"/>
  <c r="T37" i="7"/>
  <c r="Q37" i="7"/>
  <c r="H37" i="7"/>
  <c r="F37" i="7"/>
  <c r="E37" i="7"/>
  <c r="D37" i="7"/>
  <c r="C37" i="7"/>
  <c r="B37" i="7"/>
  <c r="W36" i="7"/>
  <c r="V36" i="7"/>
  <c r="T36" i="7"/>
  <c r="Q36" i="7"/>
  <c r="N36" i="7"/>
  <c r="H36" i="7"/>
  <c r="F36" i="7"/>
  <c r="E36" i="7"/>
  <c r="D36" i="7"/>
  <c r="C36" i="7"/>
  <c r="B36" i="7"/>
  <c r="Q35" i="7"/>
  <c r="H35" i="7"/>
  <c r="F35" i="7"/>
  <c r="E35" i="7"/>
  <c r="D35" i="7"/>
  <c r="C35" i="7"/>
  <c r="B35" i="7"/>
  <c r="U34" i="7"/>
  <c r="Q34" i="7"/>
  <c r="H34" i="7"/>
  <c r="F34" i="7"/>
  <c r="E34" i="7"/>
  <c r="D34" i="7"/>
  <c r="C34" i="7"/>
  <c r="B34" i="7"/>
  <c r="W33" i="7"/>
  <c r="U33" i="7"/>
  <c r="T33" i="7"/>
  <c r="Q33" i="7"/>
  <c r="H33" i="7"/>
  <c r="F33" i="7"/>
  <c r="E33" i="7"/>
  <c r="D33" i="7"/>
  <c r="C33" i="7"/>
  <c r="B33" i="7"/>
  <c r="Z32" i="7"/>
  <c r="U32" i="7"/>
  <c r="T32" i="7"/>
  <c r="Q32" i="7"/>
  <c r="H32" i="7"/>
  <c r="F32" i="7"/>
  <c r="E32" i="7"/>
  <c r="D32" i="7"/>
  <c r="C32" i="7"/>
  <c r="B32" i="7"/>
  <c r="Z31" i="7"/>
  <c r="U31" i="7"/>
  <c r="T31" i="7"/>
  <c r="Q31" i="7"/>
  <c r="H31" i="7"/>
  <c r="F31" i="7"/>
  <c r="E31" i="7"/>
  <c r="D31" i="7"/>
  <c r="C31" i="7"/>
  <c r="B31" i="7"/>
  <c r="Z30" i="7"/>
  <c r="V30" i="7"/>
  <c r="U30" i="7"/>
  <c r="T30" i="7"/>
  <c r="Q30" i="7"/>
  <c r="I30" i="7"/>
  <c r="H30" i="7"/>
  <c r="G30" i="7"/>
  <c r="F30" i="7"/>
  <c r="E30" i="7"/>
  <c r="D30" i="7"/>
  <c r="C30" i="7"/>
  <c r="B30" i="7"/>
  <c r="Q29" i="7"/>
  <c r="M29" i="7"/>
  <c r="H29" i="7"/>
  <c r="F29" i="7"/>
  <c r="E29" i="7"/>
  <c r="D29" i="7"/>
  <c r="C29" i="7"/>
  <c r="B29" i="7"/>
  <c r="Q28" i="7"/>
  <c r="M28" i="7"/>
  <c r="H28" i="7"/>
  <c r="G28" i="7"/>
  <c r="F28" i="7"/>
  <c r="E28" i="7"/>
  <c r="D28" i="7"/>
  <c r="C28" i="7"/>
  <c r="B28" i="7"/>
  <c r="X27" i="7"/>
  <c r="Q27" i="7"/>
  <c r="M27" i="7"/>
  <c r="H27" i="7"/>
  <c r="G27" i="7"/>
  <c r="F27" i="7"/>
  <c r="E27" i="7"/>
  <c r="D27" i="7"/>
  <c r="C27" i="7"/>
  <c r="B27" i="7"/>
  <c r="X26" i="7"/>
  <c r="H26" i="7"/>
  <c r="G26" i="7"/>
  <c r="F26" i="7"/>
  <c r="E26" i="7"/>
  <c r="D26" i="7"/>
  <c r="C26" i="7"/>
  <c r="B26" i="7"/>
  <c r="X25" i="7"/>
  <c r="Q25" i="7"/>
  <c r="M25" i="7"/>
  <c r="H25" i="7"/>
  <c r="G25" i="7"/>
  <c r="F25" i="7"/>
  <c r="E25" i="7"/>
  <c r="D25" i="7"/>
  <c r="C25" i="7"/>
  <c r="B25" i="7"/>
  <c r="Z24" i="7"/>
  <c r="X24" i="7"/>
  <c r="Q24" i="7"/>
  <c r="P24" i="7"/>
  <c r="O24" i="7"/>
  <c r="N24" i="7"/>
  <c r="M24" i="7"/>
  <c r="X23" i="7"/>
  <c r="T23" i="7"/>
  <c r="H23" i="7"/>
  <c r="G23" i="7"/>
  <c r="F23" i="7"/>
  <c r="E23" i="7"/>
  <c r="D23" i="7"/>
  <c r="C23" i="7"/>
  <c r="B23" i="7"/>
  <c r="AG22" i="7"/>
  <c r="Q22" i="7"/>
  <c r="M22" i="7"/>
  <c r="H22" i="7"/>
  <c r="F22" i="7"/>
  <c r="E22" i="7"/>
  <c r="D22" i="7"/>
  <c r="C22" i="7"/>
  <c r="B22" i="7"/>
  <c r="AG21" i="7"/>
  <c r="AF21" i="7"/>
  <c r="AB21" i="7"/>
  <c r="J21" i="7"/>
  <c r="H21" i="7"/>
  <c r="G21" i="7"/>
  <c r="F21" i="7"/>
  <c r="E21" i="7"/>
  <c r="D21" i="7"/>
  <c r="C21" i="7"/>
  <c r="B21" i="7"/>
  <c r="AG20" i="7"/>
  <c r="AF20" i="7"/>
  <c r="AB20" i="7"/>
  <c r="W20" i="7"/>
  <c r="U20" i="7"/>
  <c r="T20" i="7"/>
  <c r="H20" i="7"/>
  <c r="F20" i="7"/>
  <c r="E20" i="7"/>
  <c r="D20" i="7"/>
  <c r="C20" i="7"/>
  <c r="B20" i="7"/>
  <c r="T19" i="7"/>
  <c r="Q19" i="7"/>
  <c r="M19" i="7"/>
  <c r="H19" i="7"/>
  <c r="F19" i="7"/>
  <c r="E19" i="7"/>
  <c r="D19" i="7"/>
  <c r="C19" i="7"/>
  <c r="B19" i="7"/>
  <c r="T18" i="7"/>
  <c r="Q18" i="7"/>
  <c r="J18" i="7"/>
  <c r="H18" i="7"/>
  <c r="G18" i="7"/>
  <c r="F18" i="7"/>
  <c r="E18" i="7"/>
  <c r="D18" i="7"/>
  <c r="C18" i="7"/>
  <c r="B18" i="7"/>
  <c r="W17" i="7"/>
  <c r="V17" i="7"/>
  <c r="U17" i="7"/>
  <c r="T17" i="7"/>
  <c r="Q17" i="7"/>
  <c r="H17" i="7"/>
  <c r="F17" i="7"/>
  <c r="E17" i="7"/>
  <c r="D17" i="7"/>
  <c r="C17" i="7"/>
  <c r="B17" i="7"/>
  <c r="Q16" i="7"/>
  <c r="H16" i="7"/>
  <c r="F16" i="7"/>
  <c r="E16" i="7"/>
  <c r="D16" i="7"/>
  <c r="C16" i="7"/>
  <c r="B16" i="7"/>
  <c r="Q15" i="7"/>
  <c r="H15" i="7"/>
  <c r="F15" i="7"/>
  <c r="E15" i="7"/>
  <c r="D15" i="7"/>
  <c r="C15" i="7"/>
  <c r="B15" i="7"/>
  <c r="V14" i="7"/>
  <c r="Q14" i="7"/>
  <c r="P14" i="7"/>
  <c r="O14" i="7"/>
  <c r="N14" i="7"/>
  <c r="M14" i="7"/>
  <c r="H14" i="7"/>
  <c r="G14" i="7"/>
  <c r="F14" i="7"/>
  <c r="E14" i="7"/>
  <c r="D14" i="7"/>
  <c r="C14" i="7"/>
  <c r="B14" i="7"/>
  <c r="V13" i="7"/>
  <c r="U13" i="7"/>
  <c r="Q13" i="7"/>
  <c r="P13" i="7"/>
  <c r="O13" i="7"/>
  <c r="N13" i="7"/>
  <c r="M13" i="7"/>
  <c r="I13" i="7"/>
  <c r="H13" i="7"/>
  <c r="G13" i="7"/>
  <c r="F13" i="7"/>
  <c r="E13" i="7"/>
  <c r="D13" i="7"/>
  <c r="C13" i="7"/>
  <c r="B13" i="7"/>
  <c r="X12" i="7"/>
  <c r="V12" i="7"/>
  <c r="U12" i="7"/>
  <c r="J12" i="7" a="1"/>
  <c r="J12" i="7"/>
  <c r="I12" i="7"/>
  <c r="H12" i="7"/>
  <c r="G12" i="7"/>
  <c r="F12" i="7"/>
  <c r="E12" i="7"/>
  <c r="D12" i="7"/>
  <c r="C12" i="7"/>
  <c r="B12" i="7"/>
  <c r="X11" i="7"/>
  <c r="V11" i="7"/>
  <c r="U11" i="7"/>
  <c r="Q11" i="7"/>
  <c r="P11" i="7"/>
  <c r="O11" i="7"/>
  <c r="N11" i="7"/>
  <c r="M11" i="7"/>
  <c r="F11" i="7"/>
  <c r="E11" i="7"/>
  <c r="D11" i="7"/>
  <c r="C11" i="7"/>
  <c r="B11" i="7"/>
  <c r="Y10" i="7"/>
  <c r="X10" i="7"/>
  <c r="V10" i="7"/>
  <c r="U10" i="7"/>
  <c r="Q10" i="7"/>
  <c r="K10" i="7"/>
  <c r="I10" i="7"/>
  <c r="H10" i="7"/>
  <c r="G10" i="7"/>
  <c r="F10" i="7"/>
  <c r="E10" i="7"/>
  <c r="D10" i="7"/>
  <c r="C10" i="7"/>
  <c r="B10" i="7"/>
  <c r="J9" i="7"/>
  <c r="H9" i="7"/>
  <c r="G9" i="7"/>
  <c r="F9" i="7"/>
  <c r="E9" i="7"/>
  <c r="D9" i="7"/>
  <c r="C9" i="7"/>
  <c r="B9" i="7"/>
  <c r="I5" i="7"/>
  <c r="I4" i="7"/>
  <c r="J60" i="3"/>
  <c r="J59" i="3"/>
  <c r="O49" i="3"/>
  <c r="Q43" i="3"/>
  <c r="P43" i="3"/>
  <c r="O43" i="3"/>
  <c r="N43" i="3"/>
  <c r="L43" i="3"/>
  <c r="I43" i="3"/>
  <c r="H43" i="3"/>
  <c r="G43" i="3"/>
  <c r="F43" i="3"/>
  <c r="E43" i="3"/>
  <c r="D43" i="3"/>
  <c r="A43" i="3"/>
  <c r="P42" i="3"/>
  <c r="O42" i="3"/>
  <c r="N42" i="3"/>
  <c r="L42" i="3"/>
  <c r="I42" i="3"/>
  <c r="H42" i="3"/>
  <c r="G42" i="3"/>
  <c r="F42" i="3"/>
  <c r="E42" i="3"/>
  <c r="D42" i="3"/>
  <c r="A42" i="3"/>
  <c r="P41" i="3"/>
  <c r="O41" i="3"/>
  <c r="N41" i="3"/>
  <c r="L41" i="3"/>
  <c r="I41" i="3"/>
  <c r="H41" i="3"/>
  <c r="G41" i="3"/>
  <c r="F41" i="3"/>
  <c r="E41" i="3"/>
  <c r="D41" i="3"/>
  <c r="A41" i="3"/>
  <c r="P40" i="3"/>
  <c r="O40" i="3"/>
  <c r="N40" i="3"/>
  <c r="L40" i="3"/>
  <c r="I40" i="3"/>
  <c r="H40" i="3"/>
  <c r="G40" i="3"/>
  <c r="F40" i="3"/>
  <c r="E40" i="3"/>
  <c r="D40" i="3"/>
  <c r="A40" i="3"/>
  <c r="P39" i="3"/>
  <c r="O39" i="3"/>
  <c r="N39" i="3"/>
  <c r="L39" i="3"/>
  <c r="I39" i="3"/>
  <c r="H39" i="3"/>
  <c r="G39" i="3"/>
  <c r="F39" i="3"/>
  <c r="E39" i="3"/>
  <c r="D39" i="3"/>
  <c r="A39" i="3"/>
  <c r="P38" i="3"/>
  <c r="O38" i="3"/>
  <c r="N38" i="3"/>
  <c r="L38" i="3"/>
  <c r="I38" i="3"/>
  <c r="H38" i="3"/>
  <c r="G38" i="3"/>
  <c r="F38" i="3"/>
  <c r="E38" i="3"/>
  <c r="D38" i="3"/>
  <c r="A38" i="3"/>
  <c r="P37" i="3"/>
  <c r="O37" i="3"/>
  <c r="N37" i="3"/>
  <c r="L37" i="3"/>
  <c r="I37" i="3"/>
  <c r="H37" i="3"/>
  <c r="G37" i="3"/>
  <c r="F37" i="3"/>
  <c r="E37" i="3"/>
  <c r="D37" i="3"/>
  <c r="A37" i="3"/>
  <c r="P36" i="3"/>
  <c r="O36" i="3"/>
  <c r="N36" i="3"/>
  <c r="L36" i="3"/>
  <c r="I36" i="3"/>
  <c r="H36" i="3"/>
  <c r="G36" i="3"/>
  <c r="F36" i="3"/>
  <c r="E36" i="3"/>
  <c r="D36" i="3"/>
  <c r="A36" i="3"/>
  <c r="P35" i="3"/>
  <c r="O35" i="3"/>
  <c r="N35" i="3"/>
  <c r="L35" i="3"/>
  <c r="I35" i="3"/>
  <c r="H35" i="3"/>
  <c r="G35" i="3"/>
  <c r="F35" i="3"/>
  <c r="E35" i="3"/>
  <c r="D35" i="3"/>
  <c r="A35" i="3"/>
  <c r="P34" i="3"/>
  <c r="O34" i="3"/>
  <c r="N34" i="3"/>
  <c r="L34" i="3"/>
  <c r="I34" i="3"/>
  <c r="H34" i="3"/>
  <c r="G34" i="3"/>
  <c r="F34" i="3"/>
  <c r="E34" i="3"/>
  <c r="D34" i="3"/>
  <c r="A34" i="3"/>
  <c r="P33" i="3"/>
  <c r="O33" i="3"/>
  <c r="N33" i="3"/>
  <c r="L33" i="3"/>
  <c r="I33" i="3"/>
  <c r="H33" i="3"/>
  <c r="G33" i="3"/>
  <c r="F33" i="3"/>
  <c r="E33" i="3"/>
  <c r="D33" i="3"/>
  <c r="A33" i="3"/>
  <c r="P32" i="3"/>
  <c r="O32" i="3"/>
  <c r="N32" i="3"/>
  <c r="L32" i="3"/>
  <c r="I32" i="3"/>
  <c r="H32" i="3"/>
  <c r="G32" i="3"/>
  <c r="F32" i="3"/>
  <c r="E32" i="3"/>
  <c r="D32" i="3"/>
  <c r="A32" i="3"/>
  <c r="P31" i="3"/>
  <c r="O31" i="3"/>
  <c r="N31" i="3"/>
  <c r="L31" i="3"/>
  <c r="I31" i="3"/>
  <c r="H31" i="3"/>
  <c r="G31" i="3"/>
  <c r="F31" i="3"/>
  <c r="E31" i="3"/>
  <c r="D31" i="3"/>
  <c r="A31" i="3"/>
  <c r="P30" i="3"/>
  <c r="O30" i="3"/>
  <c r="N30" i="3"/>
  <c r="L30" i="3"/>
  <c r="I30" i="3"/>
  <c r="H30" i="3"/>
  <c r="G30" i="3"/>
  <c r="F30" i="3"/>
  <c r="E30" i="3"/>
  <c r="D30" i="3"/>
  <c r="A30" i="3"/>
  <c r="P29" i="3"/>
  <c r="O29" i="3"/>
  <c r="N29" i="3"/>
  <c r="L29" i="3"/>
  <c r="I29" i="3"/>
  <c r="H29" i="3"/>
  <c r="G29" i="3"/>
  <c r="F29" i="3"/>
  <c r="E29" i="3"/>
  <c r="D29" i="3"/>
  <c r="A29" i="3"/>
  <c r="P28" i="3"/>
  <c r="O28" i="3"/>
  <c r="N28" i="3"/>
  <c r="L28" i="3"/>
  <c r="I28" i="3"/>
  <c r="H28" i="3"/>
  <c r="G28" i="3"/>
  <c r="F28" i="3"/>
  <c r="E28" i="3"/>
  <c r="D28" i="3"/>
  <c r="A28" i="3"/>
  <c r="P27" i="3"/>
  <c r="O27" i="3"/>
  <c r="N27" i="3"/>
  <c r="L27" i="3"/>
  <c r="I27" i="3"/>
  <c r="H27" i="3"/>
  <c r="G27" i="3"/>
  <c r="F27" i="3"/>
  <c r="E27" i="3"/>
  <c r="D27" i="3"/>
  <c r="A27" i="3"/>
  <c r="P26" i="3"/>
  <c r="O26" i="3"/>
  <c r="N26" i="3"/>
  <c r="L26" i="3"/>
  <c r="I26" i="3"/>
  <c r="H26" i="3"/>
  <c r="G26" i="3"/>
  <c r="F26" i="3"/>
  <c r="E26" i="3"/>
  <c r="D26" i="3"/>
  <c r="A26" i="3"/>
  <c r="P25" i="3"/>
  <c r="O25" i="3"/>
  <c r="N25" i="3"/>
  <c r="L25" i="3"/>
  <c r="I25" i="3"/>
  <c r="H25" i="3"/>
  <c r="G25" i="3"/>
  <c r="F25" i="3"/>
  <c r="E25" i="3"/>
  <c r="D25" i="3"/>
  <c r="A25" i="3"/>
  <c r="P24" i="3"/>
  <c r="O24" i="3"/>
  <c r="N24" i="3"/>
  <c r="L24" i="3"/>
  <c r="I24" i="3"/>
  <c r="H24" i="3"/>
  <c r="G24" i="3"/>
  <c r="F24" i="3"/>
  <c r="E24" i="3"/>
  <c r="D24" i="3"/>
  <c r="A24" i="3"/>
  <c r="Q23" i="3"/>
  <c r="P23" i="3"/>
  <c r="O23" i="3"/>
  <c r="N23" i="3"/>
  <c r="L23" i="3"/>
  <c r="I23" i="3"/>
  <c r="H23" i="3"/>
  <c r="G23" i="3"/>
  <c r="F23" i="3"/>
  <c r="E23" i="3"/>
  <c r="D23" i="3"/>
  <c r="A23" i="3"/>
  <c r="P22" i="3"/>
  <c r="O22" i="3"/>
  <c r="N22" i="3"/>
  <c r="L22" i="3"/>
  <c r="I22" i="3"/>
  <c r="H22" i="3"/>
  <c r="G22" i="3"/>
  <c r="F22" i="3"/>
  <c r="E22" i="3"/>
  <c r="D22" i="3"/>
  <c r="A22" i="3"/>
  <c r="P21" i="3"/>
  <c r="O21" i="3"/>
  <c r="N21" i="3"/>
  <c r="L21" i="3"/>
  <c r="I21" i="3"/>
  <c r="H21" i="3"/>
  <c r="G21" i="3"/>
  <c r="F21" i="3"/>
  <c r="E21" i="3"/>
  <c r="D21" i="3"/>
  <c r="A21" i="3"/>
  <c r="P20" i="3"/>
  <c r="O20" i="3"/>
  <c r="N20" i="3"/>
  <c r="L20" i="3"/>
  <c r="I20" i="3"/>
  <c r="H20" i="3"/>
  <c r="G20" i="3"/>
  <c r="F20" i="3"/>
  <c r="E20" i="3"/>
  <c r="D20" i="3"/>
  <c r="A20" i="3"/>
  <c r="P19" i="3"/>
  <c r="O19" i="3"/>
  <c r="N19" i="3"/>
  <c r="L19" i="3"/>
  <c r="I19" i="3"/>
  <c r="H19" i="3"/>
  <c r="G19" i="3"/>
  <c r="F19" i="3"/>
  <c r="E19" i="3"/>
  <c r="D19" i="3"/>
  <c r="A19" i="3"/>
  <c r="P18" i="3"/>
  <c r="O18" i="3"/>
  <c r="N18" i="3"/>
  <c r="L18" i="3"/>
  <c r="I18" i="3"/>
  <c r="H18" i="3"/>
  <c r="G18" i="3"/>
  <c r="F18" i="3"/>
  <c r="E18" i="3"/>
  <c r="D18" i="3"/>
  <c r="A18" i="3"/>
  <c r="P17" i="3"/>
  <c r="O17" i="3"/>
  <c r="N17" i="3"/>
  <c r="L17" i="3"/>
  <c r="I17" i="3"/>
  <c r="H17" i="3"/>
  <c r="G17" i="3"/>
  <c r="F17" i="3"/>
  <c r="E17" i="3"/>
  <c r="D17" i="3"/>
  <c r="A17" i="3"/>
  <c r="P16" i="3"/>
  <c r="O16" i="3"/>
  <c r="N16" i="3"/>
  <c r="L16" i="3"/>
  <c r="I16" i="3"/>
  <c r="H16" i="3"/>
  <c r="G16" i="3"/>
  <c r="F16" i="3"/>
  <c r="E16" i="3"/>
  <c r="D16" i="3"/>
  <c r="A16" i="3"/>
  <c r="P15" i="3"/>
  <c r="O15" i="3"/>
  <c r="N15" i="3"/>
  <c r="L15" i="3"/>
  <c r="I15" i="3"/>
  <c r="H15" i="3"/>
  <c r="G15" i="3"/>
  <c r="F15" i="3"/>
  <c r="E15" i="3"/>
  <c r="D15" i="3"/>
  <c r="A15" i="3"/>
  <c r="P14" i="3"/>
  <c r="O14" i="3"/>
  <c r="N14" i="3"/>
  <c r="L14" i="3"/>
  <c r="I14" i="3"/>
  <c r="H14" i="3"/>
  <c r="F14" i="3"/>
  <c r="E14" i="3"/>
  <c r="D14" i="3"/>
  <c r="A14" i="3"/>
  <c r="P13" i="3"/>
  <c r="O13" i="3"/>
  <c r="N13" i="3"/>
  <c r="L13" i="3"/>
  <c r="I13" i="3"/>
  <c r="H13" i="3"/>
  <c r="F13" i="3"/>
  <c r="E13" i="3"/>
  <c r="D13" i="3"/>
  <c r="M8" i="3"/>
  <c r="M55" i="13"/>
  <c r="M53" i="13"/>
  <c r="J49" i="13"/>
  <c r="F49" i="13"/>
  <c r="J48" i="13"/>
  <c r="F48" i="13"/>
  <c r="J47" i="13"/>
  <c r="F47" i="13"/>
  <c r="J46" i="13"/>
  <c r="F46" i="13"/>
  <c r="J45" i="13"/>
  <c r="F45" i="13"/>
  <c r="J44" i="13"/>
  <c r="F44" i="13"/>
  <c r="J43" i="13"/>
  <c r="F43" i="13"/>
  <c r="J42" i="13"/>
  <c r="F42" i="13"/>
  <c r="J41" i="13"/>
  <c r="F41" i="13"/>
  <c r="J40" i="13"/>
  <c r="F40" i="13"/>
  <c r="M37" i="13"/>
  <c r="M35" i="13"/>
  <c r="M26" i="13"/>
  <c r="J23" i="13"/>
  <c r="F23" i="13"/>
  <c r="J22" i="13"/>
  <c r="F22" i="13"/>
  <c r="J21" i="13"/>
  <c r="F21" i="13"/>
  <c r="J20" i="13"/>
  <c r="F20" i="13"/>
  <c r="J19" i="13"/>
  <c r="F19" i="13"/>
  <c r="J18" i="13"/>
  <c r="F18" i="13"/>
  <c r="J17" i="13"/>
  <c r="F17" i="13"/>
  <c r="J16" i="13"/>
  <c r="F16" i="13"/>
  <c r="J15" i="13"/>
  <c r="F15" i="13"/>
  <c r="J14" i="13"/>
  <c r="F14" i="13"/>
  <c r="F10" i="13"/>
  <c r="K7" i="13"/>
  <c r="K6" i="13"/>
  <c r="P40" i="11"/>
  <c r="M40" i="11"/>
  <c r="P39" i="11"/>
  <c r="M39" i="11"/>
  <c r="P38" i="11"/>
  <c r="M38" i="11"/>
  <c r="P37" i="11"/>
  <c r="M37" i="11"/>
  <c r="P36" i="11"/>
  <c r="M36" i="11"/>
  <c r="P35" i="11"/>
  <c r="M35" i="11"/>
  <c r="P34" i="11"/>
  <c r="M34" i="11"/>
  <c r="P33" i="11"/>
  <c r="M33" i="11"/>
  <c r="P32" i="11"/>
  <c r="M32" i="11"/>
  <c r="P31" i="11"/>
  <c r="M31" i="11"/>
  <c r="P30" i="11"/>
  <c r="M30" i="11"/>
  <c r="P29" i="11"/>
  <c r="M29" i="11"/>
  <c r="P28" i="11"/>
  <c r="M28" i="11"/>
  <c r="P27" i="11"/>
  <c r="M27" i="11"/>
  <c r="P26" i="11"/>
  <c r="M26" i="11"/>
  <c r="P25" i="11"/>
  <c r="M25" i="11"/>
  <c r="P24" i="11"/>
  <c r="M24" i="11"/>
  <c r="P23" i="11"/>
  <c r="M23" i="11"/>
  <c r="P22" i="11"/>
  <c r="M22" i="11"/>
  <c r="P21" i="11"/>
  <c r="M21" i="11"/>
  <c r="P20" i="11"/>
  <c r="M20" i="11"/>
  <c r="P19" i="11"/>
  <c r="M19" i="11"/>
  <c r="P18" i="11"/>
  <c r="M18" i="11"/>
  <c r="P17" i="11"/>
  <c r="M17" i="11"/>
  <c r="P16" i="11"/>
  <c r="M16" i="11"/>
  <c r="P15" i="11"/>
  <c r="M15" i="11"/>
  <c r="P14" i="11"/>
  <c r="M14" i="11"/>
  <c r="P13" i="11"/>
  <c r="M13" i="11"/>
  <c r="P12" i="11"/>
  <c r="M12" i="11"/>
  <c r="P11" i="11"/>
  <c r="M11" i="11"/>
  <c r="P10" i="11"/>
  <c r="M10" i="11"/>
  <c r="P9" i="11"/>
  <c r="M9" i="11"/>
  <c r="O4" i="11"/>
  <c r="N4" i="11"/>
  <c r="O3" i="11"/>
  <c r="E343" i="10"/>
  <c r="E342" i="10"/>
  <c r="E341" i="10"/>
  <c r="E340" i="10"/>
  <c r="E339" i="10"/>
  <c r="E338" i="10"/>
  <c r="E337" i="10"/>
  <c r="E336" i="10"/>
  <c r="E335" i="10"/>
  <c r="E330" i="10"/>
  <c r="E329" i="10"/>
  <c r="E328" i="10"/>
  <c r="E327" i="10"/>
  <c r="E326" i="10"/>
  <c r="E325" i="10"/>
  <c r="E324" i="10"/>
  <c r="E323" i="10"/>
  <c r="E322" i="10"/>
  <c r="E317" i="10"/>
  <c r="E316" i="10"/>
  <c r="E315" i="10"/>
  <c r="E314" i="10"/>
  <c r="E313" i="10"/>
  <c r="E312" i="10"/>
  <c r="E311" i="10"/>
  <c r="E310" i="10"/>
  <c r="H309" i="10"/>
  <c r="E309" i="10"/>
  <c r="H308" i="10"/>
  <c r="H307" i="10"/>
  <c r="H306" i="10"/>
  <c r="H305" i="10"/>
  <c r="E304" i="10"/>
  <c r="E303" i="10"/>
  <c r="E302" i="10"/>
  <c r="E301" i="10"/>
  <c r="B301" i="10"/>
  <c r="E300" i="10"/>
  <c r="B300" i="10"/>
  <c r="E299" i="10"/>
  <c r="B299" i="10"/>
  <c r="H298" i="10"/>
  <c r="E298" i="10"/>
  <c r="B298" i="10"/>
  <c r="H297" i="10"/>
  <c r="E297" i="10"/>
  <c r="B297" i="10"/>
  <c r="H296" i="10"/>
  <c r="E296" i="10"/>
  <c r="B296" i="10"/>
  <c r="H295" i="10"/>
  <c r="H294" i="10"/>
  <c r="E290" i="10"/>
  <c r="E289" i="10"/>
  <c r="E288" i="10"/>
  <c r="H287" i="10"/>
  <c r="E287" i="10"/>
  <c r="H286" i="10"/>
  <c r="E286" i="10"/>
  <c r="B286" i="10"/>
  <c r="H285" i="10"/>
  <c r="E285" i="10"/>
  <c r="H284" i="10"/>
  <c r="E284" i="10"/>
  <c r="B284" i="10"/>
  <c r="H283" i="10"/>
  <c r="E283" i="10"/>
  <c r="E282" i="10"/>
  <c r="B282" i="10"/>
  <c r="B281" i="10"/>
  <c r="B280" i="10"/>
  <c r="B279" i="10"/>
  <c r="H276" i="10"/>
  <c r="H275" i="10"/>
  <c r="B275" i="10"/>
  <c r="H274" i="10"/>
  <c r="B274" i="10"/>
  <c r="H273" i="10"/>
  <c r="B273" i="10"/>
  <c r="H272" i="10"/>
  <c r="B272" i="10"/>
  <c r="B271" i="10"/>
  <c r="B270" i="10"/>
  <c r="H269" i="10"/>
  <c r="E269" i="10"/>
  <c r="B269" i="10"/>
  <c r="E268" i="10"/>
  <c r="B268" i="10"/>
  <c r="H267" i="10"/>
  <c r="E267" i="10"/>
  <c r="B267" i="10"/>
  <c r="H266" i="10"/>
  <c r="E266" i="10"/>
  <c r="B266" i="10"/>
  <c r="H265" i="10"/>
  <c r="E265" i="10"/>
  <c r="B265" i="10"/>
  <c r="B264" i="10"/>
  <c r="B263" i="10"/>
  <c r="H262" i="10"/>
  <c r="B262" i="10"/>
  <c r="B261" i="10"/>
  <c r="H260" i="10"/>
  <c r="H259" i="10"/>
  <c r="H258" i="10"/>
  <c r="H257" i="10"/>
  <c r="B257" i="10"/>
  <c r="H256" i="10"/>
  <c r="H255" i="10"/>
  <c r="B255" i="10"/>
  <c r="H254" i="10"/>
  <c r="B254" i="10"/>
  <c r="H253" i="10"/>
  <c r="B253" i="10"/>
  <c r="E252" i="10"/>
  <c r="E251" i="10"/>
  <c r="B250" i="10"/>
  <c r="H249" i="10"/>
  <c r="E249" i="10"/>
  <c r="B249" i="10"/>
  <c r="H248" i="10"/>
  <c r="E248" i="10"/>
  <c r="B248" i="10"/>
  <c r="B247" i="10"/>
  <c r="H246" i="10"/>
  <c r="B246" i="10"/>
  <c r="B245" i="10"/>
  <c r="H244" i="10"/>
  <c r="B244" i="10"/>
  <c r="B243" i="10"/>
  <c r="B242" i="10"/>
  <c r="B241" i="10"/>
  <c r="H240" i="10"/>
  <c r="H239" i="10"/>
  <c r="H237" i="10"/>
  <c r="H236" i="10"/>
  <c r="B236" i="10"/>
  <c r="H235" i="10"/>
  <c r="E235" i="10"/>
  <c r="B235" i="10"/>
  <c r="E234" i="10"/>
  <c r="E233" i="10"/>
  <c r="B233" i="10"/>
  <c r="E232" i="10"/>
  <c r="B232" i="10"/>
  <c r="H231" i="10"/>
  <c r="E231" i="10"/>
  <c r="B231" i="10"/>
  <c r="H230" i="10"/>
  <c r="B230" i="10"/>
  <c r="B229" i="10"/>
  <c r="H228" i="10"/>
  <c r="B228" i="10"/>
  <c r="H227" i="10"/>
  <c r="H223" i="10"/>
  <c r="H222" i="10"/>
  <c r="H220" i="10"/>
  <c r="H219" i="10"/>
  <c r="E219" i="10"/>
  <c r="H218" i="10"/>
  <c r="E217" i="10"/>
  <c r="E216" i="10"/>
  <c r="E215" i="10"/>
  <c r="B215" i="10"/>
  <c r="B213" i="10"/>
  <c r="B212" i="10"/>
  <c r="B211" i="10"/>
  <c r="E210" i="10"/>
  <c r="E208" i="10"/>
  <c r="E207" i="10"/>
  <c r="H204" i="10"/>
  <c r="E204" i="10"/>
  <c r="H203" i="10"/>
  <c r="E203" i="10"/>
  <c r="H201" i="10"/>
  <c r="E201" i="10"/>
  <c r="H200" i="10"/>
  <c r="E200" i="10"/>
  <c r="E199" i="10"/>
  <c r="E198" i="10"/>
  <c r="B198" i="10"/>
  <c r="H197" i="10"/>
  <c r="H196" i="10"/>
  <c r="B196" i="10"/>
  <c r="H195" i="10"/>
  <c r="E195" i="10"/>
  <c r="B195" i="10"/>
  <c r="H194" i="10"/>
  <c r="E194" i="10"/>
  <c r="B194" i="10"/>
  <c r="H193" i="10"/>
  <c r="E193" i="10"/>
  <c r="E192" i="10"/>
  <c r="H191" i="10"/>
  <c r="E191" i="10"/>
  <c r="H190" i="10"/>
  <c r="E190" i="10"/>
  <c r="H189" i="10"/>
  <c r="E189" i="10"/>
  <c r="H188" i="10"/>
  <c r="H187" i="10"/>
  <c r="H186" i="10"/>
  <c r="E186" i="10"/>
  <c r="H185" i="10"/>
  <c r="E185" i="10"/>
  <c r="H184" i="10"/>
  <c r="E184" i="10"/>
  <c r="E183" i="10"/>
  <c r="E182" i="10"/>
  <c r="E181" i="10"/>
  <c r="B181" i="10"/>
  <c r="E180" i="10"/>
  <c r="B179" i="10"/>
  <c r="B178" i="10"/>
  <c r="E177" i="10"/>
  <c r="B177" i="10"/>
  <c r="E176" i="10"/>
  <c r="E174" i="10"/>
  <c r="E173" i="10"/>
  <c r="E172" i="10"/>
  <c r="E171" i="10"/>
  <c r="E168" i="10"/>
  <c r="E167" i="10"/>
  <c r="E165" i="10"/>
  <c r="B165" i="10"/>
  <c r="E164" i="10"/>
  <c r="E163" i="10"/>
  <c r="B163" i="10"/>
  <c r="H162" i="10"/>
  <c r="E162" i="10"/>
  <c r="B162" i="10"/>
  <c r="B161" i="10"/>
  <c r="H160" i="10"/>
  <c r="H159" i="10"/>
  <c r="E159" i="10"/>
  <c r="E158" i="10"/>
  <c r="E157" i="10"/>
  <c r="B157" i="10"/>
  <c r="E156" i="10"/>
  <c r="E155" i="10"/>
  <c r="B155" i="10"/>
  <c r="H154" i="10"/>
  <c r="E154" i="10"/>
  <c r="H153" i="10"/>
  <c r="E153" i="10"/>
  <c r="H152" i="10"/>
  <c r="H151" i="10"/>
  <c r="H150" i="10"/>
  <c r="E150" i="10"/>
  <c r="H149" i="10"/>
  <c r="E149" i="10"/>
  <c r="H148" i="10"/>
  <c r="H147" i="10"/>
  <c r="E147" i="10"/>
  <c r="B147" i="10"/>
  <c r="E146" i="10"/>
  <c r="E145" i="10"/>
  <c r="B145" i="10"/>
  <c r="H144" i="10"/>
  <c r="E144" i="10"/>
  <c r="B144" i="10"/>
  <c r="H143" i="10"/>
  <c r="E143" i="10"/>
  <c r="B143" i="10"/>
  <c r="E142" i="10"/>
  <c r="E141" i="10"/>
  <c r="E140" i="10"/>
  <c r="H138" i="10"/>
  <c r="H137" i="10"/>
  <c r="H136" i="10"/>
  <c r="H135" i="10"/>
  <c r="E135" i="10"/>
  <c r="E134" i="10"/>
  <c r="H133" i="10"/>
  <c r="H132" i="10"/>
  <c r="E132" i="10"/>
  <c r="H131" i="10"/>
  <c r="E130" i="10"/>
  <c r="E129" i="10"/>
  <c r="H128" i="10"/>
  <c r="E128" i="10"/>
  <c r="B128" i="10"/>
  <c r="H127" i="10"/>
  <c r="E127" i="10"/>
  <c r="E126" i="10"/>
  <c r="B126" i="10"/>
  <c r="E125" i="10"/>
  <c r="B125" i="10"/>
  <c r="H124" i="10"/>
  <c r="B124" i="10"/>
  <c r="H123" i="10"/>
  <c r="H121" i="10"/>
  <c r="H120" i="10"/>
  <c r="H119" i="10"/>
  <c r="E119" i="10"/>
  <c r="H118" i="10"/>
  <c r="E118" i="10"/>
  <c r="H117" i="10"/>
  <c r="E117" i="10"/>
  <c r="H116" i="10"/>
  <c r="E116" i="10"/>
  <c r="H115" i="10"/>
  <c r="E115" i="10"/>
  <c r="H112" i="10"/>
  <c r="H111" i="10"/>
  <c r="E111" i="10"/>
  <c r="H109" i="10"/>
  <c r="E109" i="10"/>
  <c r="H108" i="10"/>
  <c r="E108" i="10"/>
  <c r="M107" i="10"/>
  <c r="L107" i="10"/>
  <c r="H107" i="10"/>
  <c r="E107" i="10"/>
  <c r="M106" i="10"/>
  <c r="L106" i="10"/>
  <c r="H106" i="10"/>
  <c r="E106" i="10"/>
  <c r="Q105" i="10"/>
  <c r="P105" i="10"/>
  <c r="M105" i="10"/>
  <c r="L105" i="10"/>
  <c r="H105" i="10"/>
  <c r="Q104" i="10"/>
  <c r="P104" i="10"/>
  <c r="M104" i="10"/>
  <c r="L104" i="10"/>
  <c r="H104" i="10"/>
  <c r="Q103" i="10"/>
  <c r="P103" i="10"/>
  <c r="M103" i="10"/>
  <c r="L103" i="10"/>
  <c r="H103" i="10"/>
  <c r="M102" i="10"/>
  <c r="L102" i="10"/>
  <c r="E102" i="10"/>
  <c r="B102" i="10"/>
  <c r="Q101" i="10"/>
  <c r="P101" i="10"/>
  <c r="M101" i="10"/>
  <c r="L101" i="10"/>
  <c r="E101" i="10"/>
  <c r="Q100" i="10"/>
  <c r="P100" i="10"/>
  <c r="M100" i="10"/>
  <c r="L100" i="10"/>
  <c r="E100" i="10"/>
  <c r="B100" i="10"/>
  <c r="M99" i="10"/>
  <c r="L99" i="10"/>
  <c r="H99" i="10"/>
  <c r="E99" i="10"/>
  <c r="B99" i="10"/>
  <c r="Q98" i="10"/>
  <c r="P98" i="10"/>
  <c r="M98" i="10"/>
  <c r="L98" i="10"/>
  <c r="E98" i="10"/>
  <c r="B98" i="10"/>
  <c r="Q97" i="10"/>
  <c r="P97" i="10"/>
  <c r="H97" i="10"/>
  <c r="B97" i="10"/>
  <c r="Q96" i="10"/>
  <c r="P96" i="10"/>
  <c r="M96" i="10"/>
  <c r="L96" i="10"/>
  <c r="H96" i="10"/>
  <c r="M95" i="10"/>
  <c r="L95" i="10"/>
  <c r="H95" i="10"/>
  <c r="Q94" i="10"/>
  <c r="P94" i="10"/>
  <c r="M94" i="10"/>
  <c r="L94" i="10"/>
  <c r="H94" i="10"/>
  <c r="E94" i="10"/>
  <c r="Q93" i="10"/>
  <c r="P93" i="10"/>
  <c r="M93" i="10"/>
  <c r="L93" i="10"/>
  <c r="H93" i="10"/>
  <c r="Q92" i="10"/>
  <c r="P92" i="10"/>
  <c r="M92" i="10"/>
  <c r="L92" i="10"/>
  <c r="E92" i="10"/>
  <c r="B92" i="10"/>
  <c r="Q91" i="10"/>
  <c r="P91" i="10"/>
  <c r="M91" i="10"/>
  <c r="L91" i="10"/>
  <c r="E91" i="10"/>
  <c r="B91" i="10"/>
  <c r="M90" i="10"/>
  <c r="L90" i="10"/>
  <c r="H90" i="10"/>
  <c r="E90" i="10"/>
  <c r="B90" i="10"/>
  <c r="T89" i="10"/>
  <c r="Q89" i="10"/>
  <c r="P89" i="10"/>
  <c r="M89" i="10"/>
  <c r="L89" i="10"/>
  <c r="H89" i="10"/>
  <c r="E89" i="10"/>
  <c r="B89" i="10"/>
  <c r="V88" i="10"/>
  <c r="T88" i="10"/>
  <c r="Q88" i="10"/>
  <c r="P88" i="10"/>
  <c r="M88" i="10"/>
  <c r="L88" i="10"/>
  <c r="H88" i="10"/>
  <c r="H87" i="10"/>
  <c r="H86" i="10"/>
  <c r="B86" i="10"/>
  <c r="E85" i="10"/>
  <c r="B85" i="10"/>
  <c r="H84" i="10"/>
  <c r="H83" i="10"/>
  <c r="E83" i="10"/>
  <c r="H82" i="10"/>
  <c r="E82" i="10"/>
  <c r="H81" i="10"/>
  <c r="E81" i="10"/>
  <c r="B81" i="10"/>
  <c r="BL80" i="10"/>
  <c r="BJ80" i="10"/>
  <c r="BH80" i="10"/>
  <c r="BF80" i="10"/>
  <c r="BD80" i="10"/>
  <c r="BB80" i="10"/>
  <c r="AZ80" i="10"/>
  <c r="AX80" i="10"/>
  <c r="AV80" i="10"/>
  <c r="AA80" i="10"/>
  <c r="Y80" i="10"/>
  <c r="W80" i="10"/>
  <c r="U80" i="10"/>
  <c r="S80" i="10"/>
  <c r="Q80" i="10"/>
  <c r="O80" i="10"/>
  <c r="M80" i="10"/>
  <c r="K80" i="10"/>
  <c r="E80" i="10"/>
  <c r="BL79" i="10"/>
  <c r="BJ79" i="10"/>
  <c r="BH79" i="10"/>
  <c r="BF79" i="10"/>
  <c r="BD79" i="10"/>
  <c r="BB79" i="10"/>
  <c r="AZ79" i="10"/>
  <c r="AX79" i="10"/>
  <c r="AV79" i="10"/>
  <c r="AA79" i="10"/>
  <c r="Y79" i="10"/>
  <c r="W79" i="10"/>
  <c r="U79" i="10"/>
  <c r="S79" i="10"/>
  <c r="Q79" i="10"/>
  <c r="O79" i="10"/>
  <c r="M79" i="10"/>
  <c r="K79" i="10"/>
  <c r="H79" i="10"/>
  <c r="B79" i="10"/>
  <c r="BL78" i="10"/>
  <c r="BJ78" i="10"/>
  <c r="BH78" i="10"/>
  <c r="BF78" i="10"/>
  <c r="BD78" i="10"/>
  <c r="BB78" i="10"/>
  <c r="AZ78" i="10"/>
  <c r="AX78" i="10"/>
  <c r="AV78" i="10"/>
  <c r="AA78" i="10"/>
  <c r="Y78" i="10"/>
  <c r="W78" i="10"/>
  <c r="U78" i="10"/>
  <c r="S78" i="10"/>
  <c r="Q78" i="10"/>
  <c r="O78" i="10"/>
  <c r="M78" i="10"/>
  <c r="K78" i="10"/>
  <c r="H78" i="10"/>
  <c r="B78" i="10"/>
  <c r="BL77" i="10"/>
  <c r="BJ77" i="10"/>
  <c r="BH77" i="10"/>
  <c r="BF77" i="10"/>
  <c r="BD77" i="10"/>
  <c r="BB77" i="10"/>
  <c r="AZ77" i="10"/>
  <c r="AX77" i="10"/>
  <c r="AV77" i="10"/>
  <c r="AA77" i="10"/>
  <c r="Y77" i="10"/>
  <c r="W77" i="10"/>
  <c r="U77" i="10"/>
  <c r="S77" i="10"/>
  <c r="Q77" i="10"/>
  <c r="O77" i="10"/>
  <c r="M77" i="10"/>
  <c r="K77" i="10"/>
  <c r="H77" i="10"/>
  <c r="B77" i="10"/>
  <c r="BL76" i="10"/>
  <c r="BJ76" i="10"/>
  <c r="BH76" i="10"/>
  <c r="BF76" i="10"/>
  <c r="BD76" i="10"/>
  <c r="BB76" i="10"/>
  <c r="AZ76" i="10"/>
  <c r="AX76" i="10"/>
  <c r="AV76" i="10"/>
  <c r="AA76" i="10"/>
  <c r="Y76" i="10"/>
  <c r="W76" i="10"/>
  <c r="U76" i="10"/>
  <c r="S76" i="10"/>
  <c r="Q76" i="10"/>
  <c r="O76" i="10"/>
  <c r="M76" i="10"/>
  <c r="K76" i="10"/>
  <c r="B76" i="10"/>
  <c r="BL75" i="10"/>
  <c r="BJ75" i="10"/>
  <c r="BH75" i="10"/>
  <c r="BF75" i="10"/>
  <c r="BD75" i="10"/>
  <c r="BB75" i="10"/>
  <c r="AZ75" i="10"/>
  <c r="AX75" i="10"/>
  <c r="AV75" i="10"/>
  <c r="AA75" i="10"/>
  <c r="Y75" i="10"/>
  <c r="W75" i="10"/>
  <c r="U75" i="10"/>
  <c r="S75" i="10"/>
  <c r="Q75" i="10"/>
  <c r="O75" i="10"/>
  <c r="M75" i="10"/>
  <c r="K75" i="10"/>
  <c r="E75" i="10"/>
  <c r="BL74" i="10"/>
  <c r="BJ74" i="10"/>
  <c r="BH74" i="10"/>
  <c r="BF74" i="10"/>
  <c r="BD74" i="10"/>
  <c r="BB74" i="10"/>
  <c r="AZ74" i="10"/>
  <c r="AX74" i="10"/>
  <c r="AV74" i="10"/>
  <c r="AE74" i="10"/>
  <c r="AA74" i="10"/>
  <c r="Y74" i="10"/>
  <c r="W74" i="10"/>
  <c r="U74" i="10"/>
  <c r="S74" i="10"/>
  <c r="Q74" i="10"/>
  <c r="O74" i="10"/>
  <c r="M74" i="10"/>
  <c r="K74" i="10"/>
  <c r="AE73" i="10"/>
  <c r="E73" i="10"/>
  <c r="H72" i="10"/>
  <c r="E72" i="10"/>
  <c r="AE71" i="10"/>
  <c r="H71" i="10"/>
  <c r="E71" i="10"/>
  <c r="AE70" i="10"/>
  <c r="H70" i="10"/>
  <c r="E70" i="10"/>
  <c r="B70" i="10"/>
  <c r="AE69" i="10"/>
  <c r="H69" i="10"/>
  <c r="E69" i="10"/>
  <c r="B69" i="10"/>
  <c r="H68" i="10"/>
  <c r="B68" i="10"/>
  <c r="E67" i="10"/>
  <c r="B67" i="10"/>
  <c r="E66" i="10"/>
  <c r="E65" i="10"/>
  <c r="B65" i="10"/>
  <c r="E64" i="10"/>
  <c r="B64" i="10"/>
  <c r="BF63" i="10"/>
  <c r="BD63" i="10"/>
  <c r="AZ63" i="10"/>
  <c r="AX63" i="10"/>
  <c r="AV63" i="10"/>
  <c r="AT63" i="10"/>
  <c r="AQ63" i="10"/>
  <c r="AO63" i="10"/>
  <c r="AM63" i="10"/>
  <c r="AK63" i="10"/>
  <c r="AI63" i="10"/>
  <c r="AG63" i="10"/>
  <c r="AE63" i="10"/>
  <c r="AC63" i="10"/>
  <c r="AA63" i="10"/>
  <c r="Y63" i="10"/>
  <c r="U63" i="10"/>
  <c r="Q63" i="10"/>
  <c r="O63" i="10"/>
  <c r="M63" i="10"/>
  <c r="K63" i="10"/>
  <c r="H63" i="10"/>
  <c r="E63" i="10"/>
  <c r="B63" i="10"/>
  <c r="BF62" i="10"/>
  <c r="BD62" i="10"/>
  <c r="BB62" i="10"/>
  <c r="AZ62" i="10"/>
  <c r="AX62" i="10"/>
  <c r="AV62" i="10"/>
  <c r="AT62" i="10"/>
  <c r="AQ62" i="10"/>
  <c r="AO62" i="10"/>
  <c r="AM62" i="10"/>
  <c r="AK62" i="10"/>
  <c r="AI62" i="10"/>
  <c r="AG62" i="10"/>
  <c r="AE62" i="10"/>
  <c r="AC62" i="10"/>
  <c r="AA62" i="10"/>
  <c r="Y62" i="10"/>
  <c r="U62" i="10"/>
  <c r="S62" i="10"/>
  <c r="Q62" i="10"/>
  <c r="O62" i="10"/>
  <c r="M62" i="10"/>
  <c r="K62" i="10"/>
  <c r="B62" i="10"/>
  <c r="BF61" i="10"/>
  <c r="BD61" i="10"/>
  <c r="BB61" i="10"/>
  <c r="AZ61" i="10"/>
  <c r="AV61" i="10"/>
  <c r="AT61" i="10"/>
  <c r="AQ61" i="10"/>
  <c r="AO61" i="10"/>
  <c r="AM61" i="10"/>
  <c r="AK61" i="10"/>
  <c r="AI61" i="10"/>
  <c r="AG61" i="10"/>
  <c r="AE61" i="10"/>
  <c r="AC61" i="10"/>
  <c r="AA61" i="10"/>
  <c r="Y61" i="10"/>
  <c r="U61" i="10"/>
  <c r="S61" i="10"/>
  <c r="Q61" i="10"/>
  <c r="O61" i="10"/>
  <c r="M61" i="10"/>
  <c r="K61" i="10"/>
  <c r="H61" i="10"/>
  <c r="BF60" i="10"/>
  <c r="BD60" i="10"/>
  <c r="BB60" i="10"/>
  <c r="AZ60" i="10"/>
  <c r="AX60" i="10"/>
  <c r="AV60" i="10"/>
  <c r="AT60" i="10"/>
  <c r="AQ60" i="10"/>
  <c r="AO60" i="10"/>
  <c r="AM60" i="10"/>
  <c r="AK60" i="10"/>
  <c r="AG60" i="10"/>
  <c r="AE60" i="10"/>
  <c r="AC60" i="10"/>
  <c r="AA60" i="10"/>
  <c r="Y60" i="10"/>
  <c r="S60" i="10"/>
  <c r="O60" i="10"/>
  <c r="M60" i="10"/>
  <c r="K60" i="10"/>
  <c r="BF59" i="10"/>
  <c r="BD59" i="10"/>
  <c r="BB59" i="10"/>
  <c r="AZ59" i="10"/>
  <c r="AX59" i="10"/>
  <c r="AV59" i="10"/>
  <c r="AT59" i="10"/>
  <c r="AQ59" i="10"/>
  <c r="AO59" i="10"/>
  <c r="AM59" i="10"/>
  <c r="AK59" i="10"/>
  <c r="AI59" i="10"/>
  <c r="AG59" i="10"/>
  <c r="AC59" i="10"/>
  <c r="AA59" i="10"/>
  <c r="Y59" i="10"/>
  <c r="U59" i="10"/>
  <c r="S59" i="10"/>
  <c r="Q59" i="10"/>
  <c r="O59" i="10"/>
  <c r="M59" i="10"/>
  <c r="K59" i="10"/>
  <c r="BF58" i="10"/>
  <c r="BD58" i="10"/>
  <c r="BB58" i="10"/>
  <c r="AZ58" i="10"/>
  <c r="AX58" i="10"/>
  <c r="AV58" i="10"/>
  <c r="AT58" i="10"/>
  <c r="AQ58" i="10"/>
  <c r="AO58" i="10"/>
  <c r="AM58" i="10"/>
  <c r="AK58" i="10"/>
  <c r="AI58" i="10"/>
  <c r="AG58" i="10"/>
  <c r="AE58" i="10"/>
  <c r="AC58" i="10"/>
  <c r="AA58" i="10"/>
  <c r="Y58" i="10"/>
  <c r="U58" i="10"/>
  <c r="S58" i="10"/>
  <c r="Q58" i="10"/>
  <c r="O58" i="10"/>
  <c r="M58" i="10"/>
  <c r="K58" i="10"/>
  <c r="H58" i="10"/>
  <c r="U57" i="10"/>
  <c r="S57" i="10"/>
  <c r="Q57" i="10"/>
  <c r="O57" i="10"/>
  <c r="M57" i="10"/>
  <c r="K57" i="10"/>
  <c r="H57" i="10"/>
  <c r="E57" i="10"/>
  <c r="U56" i="10"/>
  <c r="S56" i="10"/>
  <c r="Q56" i="10"/>
  <c r="O56" i="10"/>
  <c r="M56" i="10"/>
  <c r="K56" i="10"/>
  <c r="H56" i="10"/>
  <c r="E56" i="10"/>
  <c r="B56" i="10"/>
  <c r="E55" i="10"/>
  <c r="E54" i="10"/>
  <c r="E53" i="10"/>
  <c r="B53" i="10"/>
  <c r="E52" i="10"/>
  <c r="B52" i="10"/>
  <c r="H51" i="10"/>
  <c r="E51" i="10"/>
  <c r="B51" i="10"/>
  <c r="H50" i="10"/>
  <c r="E50" i="10"/>
  <c r="B50" i="10"/>
  <c r="AG49" i="10"/>
  <c r="AE49" i="10"/>
  <c r="E49" i="10"/>
  <c r="BL48" i="10"/>
  <c r="BJ48" i="10"/>
  <c r="BH48" i="10"/>
  <c r="BF48" i="10"/>
  <c r="BD48" i="10"/>
  <c r="BB48" i="10"/>
  <c r="AZ48" i="10"/>
  <c r="AX48" i="10"/>
  <c r="AV48" i="10"/>
  <c r="AS48" i="10"/>
  <c r="AO48" i="10"/>
  <c r="AI48" i="10"/>
  <c r="AG48" i="10"/>
  <c r="AE48" i="10"/>
  <c r="H48" i="10"/>
  <c r="E48" i="10"/>
  <c r="BL47" i="10"/>
  <c r="BJ47" i="10"/>
  <c r="BH47" i="10"/>
  <c r="BF47" i="10"/>
  <c r="BD47" i="10"/>
  <c r="BB47" i="10"/>
  <c r="AZ47" i="10"/>
  <c r="AX47" i="10"/>
  <c r="AV47" i="10"/>
  <c r="AS47" i="10"/>
  <c r="AQ47" i="10"/>
  <c r="AO47" i="10"/>
  <c r="AM47" i="10"/>
  <c r="AI47" i="10"/>
  <c r="AG47" i="10"/>
  <c r="AE47" i="10"/>
  <c r="AA47" i="10"/>
  <c r="Y47" i="10"/>
  <c r="W47" i="10"/>
  <c r="K47" i="10"/>
  <c r="H47" i="10"/>
  <c r="BL46" i="10"/>
  <c r="BJ46" i="10"/>
  <c r="BH46" i="10"/>
  <c r="BF46" i="10"/>
  <c r="BD46" i="10"/>
  <c r="BB46" i="10"/>
  <c r="AZ46" i="10"/>
  <c r="AX46" i="10"/>
  <c r="AV46" i="10"/>
  <c r="AS46" i="10"/>
  <c r="AQ46" i="10"/>
  <c r="AO46" i="10"/>
  <c r="AM46" i="10"/>
  <c r="AI46" i="10"/>
  <c r="AA46" i="10"/>
  <c r="Y46" i="10"/>
  <c r="W46" i="10"/>
  <c r="S46" i="10"/>
  <c r="Q46" i="10"/>
  <c r="O46" i="10"/>
  <c r="M46" i="10"/>
  <c r="K46" i="10"/>
  <c r="H46" i="10"/>
  <c r="BL45" i="10"/>
  <c r="BJ45" i="10"/>
  <c r="BH45" i="10"/>
  <c r="BF45" i="10"/>
  <c r="BD45" i="10"/>
  <c r="BB45" i="10"/>
  <c r="AZ45" i="10"/>
  <c r="AX45" i="10"/>
  <c r="AV45" i="10"/>
  <c r="AS45" i="10"/>
  <c r="AQ45" i="10"/>
  <c r="AO45" i="10"/>
  <c r="AM45" i="10"/>
  <c r="AI45" i="10"/>
  <c r="AG45" i="10"/>
  <c r="AE45" i="10"/>
  <c r="AA45" i="10"/>
  <c r="Y45" i="10"/>
  <c r="W45" i="10"/>
  <c r="S45" i="10"/>
  <c r="Q45" i="10"/>
  <c r="O45" i="10"/>
  <c r="M45" i="10"/>
  <c r="H45" i="10"/>
  <c r="B45" i="10"/>
  <c r="BL44" i="10"/>
  <c r="BJ44" i="10"/>
  <c r="BH44" i="10"/>
  <c r="BF44" i="10"/>
  <c r="BD44" i="10"/>
  <c r="BB44" i="10"/>
  <c r="AZ44" i="10"/>
  <c r="AX44" i="10"/>
  <c r="AV44" i="10"/>
  <c r="AO44" i="10"/>
  <c r="AG44" i="10"/>
  <c r="AE44" i="10"/>
  <c r="AA44" i="10"/>
  <c r="Y44" i="10"/>
  <c r="W44" i="10"/>
  <c r="S44" i="10"/>
  <c r="Q44" i="10"/>
  <c r="O44" i="10"/>
  <c r="M44" i="10"/>
  <c r="H44" i="10"/>
  <c r="E44" i="10"/>
  <c r="B44" i="10"/>
  <c r="BL43" i="10"/>
  <c r="BJ43" i="10"/>
  <c r="BH43" i="10"/>
  <c r="BF43" i="10"/>
  <c r="BD43" i="10"/>
  <c r="BB43" i="10"/>
  <c r="AZ43" i="10"/>
  <c r="AX43" i="10"/>
  <c r="AV43" i="10"/>
  <c r="AS43" i="10"/>
  <c r="AO43" i="10"/>
  <c r="AG43" i="10"/>
  <c r="AE43" i="10"/>
  <c r="AA43" i="10"/>
  <c r="Y43" i="10"/>
  <c r="W43" i="10"/>
  <c r="S43" i="10"/>
  <c r="Q43" i="10"/>
  <c r="O43" i="10"/>
  <c r="M43" i="10"/>
  <c r="K43" i="10"/>
  <c r="E43" i="10"/>
  <c r="B43" i="10"/>
  <c r="BL42" i="10"/>
  <c r="BJ42" i="10"/>
  <c r="BH42" i="10"/>
  <c r="BF42" i="10"/>
  <c r="BD42" i="10"/>
  <c r="BB42" i="10"/>
  <c r="AZ42" i="10"/>
  <c r="AX42" i="10"/>
  <c r="AV42" i="10"/>
  <c r="AS42" i="10"/>
  <c r="AO42" i="10"/>
  <c r="AM42" i="10"/>
  <c r="AI42" i="10"/>
  <c r="AG42" i="10"/>
  <c r="AE42" i="10"/>
  <c r="AA42" i="10"/>
  <c r="Y42" i="10"/>
  <c r="W42" i="10"/>
  <c r="S42" i="10"/>
  <c r="Q42" i="10"/>
  <c r="O42" i="10"/>
  <c r="M42" i="10"/>
  <c r="K42" i="10"/>
  <c r="E42" i="10"/>
  <c r="B42" i="10"/>
  <c r="AS41" i="10"/>
  <c r="AQ41" i="10"/>
  <c r="AO41" i="10"/>
  <c r="AM41" i="10"/>
  <c r="AI41" i="10"/>
  <c r="AG41" i="10"/>
  <c r="AE41" i="10"/>
  <c r="AA41" i="10"/>
  <c r="Y41" i="10"/>
  <c r="W41" i="10"/>
  <c r="S41" i="10"/>
  <c r="Q41" i="10"/>
  <c r="O41" i="10"/>
  <c r="M41" i="10"/>
  <c r="K41" i="10"/>
  <c r="E41" i="10"/>
  <c r="E40" i="10"/>
  <c r="H39" i="10"/>
  <c r="E39" i="10"/>
  <c r="B39" i="10"/>
  <c r="H38" i="10"/>
  <c r="E38" i="10"/>
  <c r="B38" i="10"/>
  <c r="H37" i="10"/>
  <c r="E37" i="10"/>
  <c r="B37" i="10"/>
  <c r="H36" i="10"/>
  <c r="E36" i="10"/>
  <c r="H35" i="10"/>
  <c r="E35" i="10"/>
  <c r="H34" i="10"/>
  <c r="B34" i="10"/>
  <c r="H33" i="10"/>
  <c r="B33" i="10"/>
  <c r="BF32" i="10"/>
  <c r="BD32" i="10"/>
  <c r="AZ32" i="10"/>
  <c r="AX32" i="10"/>
  <c r="AV32" i="10"/>
  <c r="AT32" i="10"/>
  <c r="AQ32" i="10"/>
  <c r="AO32" i="10"/>
  <c r="AM32" i="10"/>
  <c r="AK32" i="10"/>
  <c r="AG32" i="10"/>
  <c r="AE32" i="10"/>
  <c r="AC32" i="10"/>
  <c r="AA32" i="10"/>
  <c r="W32" i="10"/>
  <c r="U32" i="10"/>
  <c r="S32" i="10"/>
  <c r="Q32" i="10"/>
  <c r="O32" i="10"/>
  <c r="M32" i="10"/>
  <c r="K32" i="10"/>
  <c r="H32" i="10"/>
  <c r="BF31" i="10"/>
  <c r="BD31" i="10"/>
  <c r="BB31" i="10"/>
  <c r="AZ31" i="10"/>
  <c r="AX31" i="10"/>
  <c r="AV31" i="10"/>
  <c r="AT31" i="10"/>
  <c r="AQ31" i="10"/>
  <c r="AO31" i="10"/>
  <c r="AM31" i="10"/>
  <c r="AK31" i="10"/>
  <c r="AG31" i="10"/>
  <c r="AE31" i="10"/>
  <c r="AC31" i="10"/>
  <c r="AA31" i="10"/>
  <c r="W31" i="10"/>
  <c r="U31" i="10"/>
  <c r="S31" i="10"/>
  <c r="Q31" i="10"/>
  <c r="O31" i="10"/>
  <c r="M31" i="10"/>
  <c r="K31" i="10"/>
  <c r="B31" i="10"/>
  <c r="BF30" i="10"/>
  <c r="BD30" i="10"/>
  <c r="BB30" i="10"/>
  <c r="AZ30" i="10"/>
  <c r="AV30" i="10"/>
  <c r="AT30" i="10"/>
  <c r="AQ30" i="10"/>
  <c r="AO30" i="10"/>
  <c r="AM30" i="10"/>
  <c r="AK30" i="10"/>
  <c r="AG30" i="10"/>
  <c r="AE30" i="10"/>
  <c r="AC30" i="10"/>
  <c r="AA30" i="10"/>
  <c r="W30" i="10"/>
  <c r="U30" i="10"/>
  <c r="Q30" i="10"/>
  <c r="M30" i="10"/>
  <c r="K30" i="10"/>
  <c r="E30" i="10"/>
  <c r="B30" i="10"/>
  <c r="BF29" i="10"/>
  <c r="BD29" i="10"/>
  <c r="BB29" i="10"/>
  <c r="AZ29" i="10"/>
  <c r="AX29" i="10"/>
  <c r="AV29" i="10"/>
  <c r="AT29" i="10"/>
  <c r="AQ29" i="10"/>
  <c r="AO29" i="10"/>
  <c r="AG29" i="10"/>
  <c r="AE29" i="10"/>
  <c r="AC29" i="10"/>
  <c r="AA29" i="10"/>
  <c r="W29" i="10"/>
  <c r="U29" i="10"/>
  <c r="S29" i="10"/>
  <c r="Q29" i="10"/>
  <c r="O29" i="10"/>
  <c r="M29" i="10"/>
  <c r="K29" i="10"/>
  <c r="E29" i="10"/>
  <c r="BF28" i="10"/>
  <c r="BD28" i="10"/>
  <c r="BB28" i="10"/>
  <c r="AZ28" i="10"/>
  <c r="AX28" i="10"/>
  <c r="AV28" i="10"/>
  <c r="AT28" i="10"/>
  <c r="AQ28" i="10"/>
  <c r="AO28" i="10"/>
  <c r="AM28" i="10"/>
  <c r="AK28" i="10"/>
  <c r="AG28" i="10"/>
  <c r="AE28" i="10"/>
  <c r="AC28" i="10"/>
  <c r="AA28" i="10"/>
  <c r="W28" i="10"/>
  <c r="U28" i="10"/>
  <c r="S28" i="10"/>
  <c r="Q28" i="10"/>
  <c r="O28" i="10"/>
  <c r="M28" i="10"/>
  <c r="K28" i="10"/>
  <c r="H28" i="10"/>
  <c r="E28" i="10"/>
  <c r="BF27" i="10"/>
  <c r="BD27" i="10"/>
  <c r="BB27" i="10"/>
  <c r="AZ27" i="10"/>
  <c r="AX27" i="10"/>
  <c r="AV27" i="10"/>
  <c r="AT27" i="10"/>
  <c r="AQ27" i="10"/>
  <c r="AO27" i="10"/>
  <c r="AM27" i="10"/>
  <c r="AK27" i="10"/>
  <c r="AG27" i="10"/>
  <c r="AE27" i="10"/>
  <c r="AA27" i="10"/>
  <c r="W27" i="10"/>
  <c r="U27" i="10"/>
  <c r="S27" i="10"/>
  <c r="Q27" i="10"/>
  <c r="O27" i="10"/>
  <c r="M27" i="10"/>
  <c r="K27" i="10"/>
  <c r="H27" i="10"/>
  <c r="E27" i="10"/>
  <c r="E26" i="10"/>
  <c r="B26" i="10"/>
  <c r="H25" i="10"/>
  <c r="E25" i="10"/>
  <c r="B25" i="10"/>
  <c r="H24" i="10"/>
  <c r="E24" i="10"/>
  <c r="E23" i="10"/>
  <c r="B23" i="10"/>
  <c r="E22" i="10"/>
  <c r="B22" i="10"/>
  <c r="H21" i="10"/>
  <c r="H20" i="10"/>
  <c r="AQ19" i="10"/>
  <c r="AO19" i="10"/>
  <c r="AM19" i="10"/>
  <c r="AK19" i="10"/>
  <c r="AI19" i="10"/>
  <c r="AG19" i="10"/>
  <c r="AE19" i="10"/>
  <c r="AC19" i="10"/>
  <c r="AA19" i="10"/>
  <c r="BE18" i="10"/>
  <c r="BC18" i="10"/>
  <c r="BA18" i="10"/>
  <c r="AX18" i="10"/>
  <c r="AV18" i="10"/>
  <c r="AT18" i="10"/>
  <c r="AQ18" i="10"/>
  <c r="AO18" i="10"/>
  <c r="AM18" i="10"/>
  <c r="AK18" i="10"/>
  <c r="AI18" i="10"/>
  <c r="AG18" i="10"/>
  <c r="AE18" i="10"/>
  <c r="AC18" i="10"/>
  <c r="AA18" i="10"/>
  <c r="W18" i="10"/>
  <c r="Q18" i="10"/>
  <c r="O18" i="10"/>
  <c r="M18" i="10"/>
  <c r="K18" i="10"/>
  <c r="E18" i="10"/>
  <c r="B18" i="10"/>
  <c r="BE17" i="10"/>
  <c r="BC17" i="10"/>
  <c r="BA17" i="10"/>
  <c r="AX17" i="10"/>
  <c r="AV17" i="10"/>
  <c r="AT17" i="10"/>
  <c r="AQ17" i="10"/>
  <c r="AO17" i="10"/>
  <c r="AM17" i="10"/>
  <c r="AK17" i="10"/>
  <c r="AI17" i="10"/>
  <c r="AG17" i="10"/>
  <c r="AE17" i="10"/>
  <c r="AC17" i="10"/>
  <c r="AA17" i="10"/>
  <c r="W17" i="10"/>
  <c r="U17" i="10"/>
  <c r="S17" i="10"/>
  <c r="Q17" i="10"/>
  <c r="O17" i="10"/>
  <c r="M17" i="10"/>
  <c r="K17" i="10"/>
  <c r="H17" i="10"/>
  <c r="E17" i="10"/>
  <c r="B17" i="10"/>
  <c r="BE16" i="10"/>
  <c r="BC16" i="10"/>
  <c r="BA16" i="10"/>
  <c r="AX16" i="10"/>
  <c r="AV16" i="10"/>
  <c r="AT16" i="10"/>
  <c r="AQ16" i="10"/>
  <c r="AO16" i="10"/>
  <c r="AM16" i="10"/>
  <c r="AK16" i="10"/>
  <c r="AI16" i="10"/>
  <c r="AG16" i="10"/>
  <c r="AE16" i="10"/>
  <c r="AC16" i="10"/>
  <c r="AA16" i="10"/>
  <c r="W16" i="10"/>
  <c r="U16" i="10"/>
  <c r="S16" i="10"/>
  <c r="Q16" i="10"/>
  <c r="M16" i="10"/>
  <c r="K16" i="10"/>
  <c r="H16" i="10"/>
  <c r="E16" i="10"/>
  <c r="BE15" i="10"/>
  <c r="BC15" i="10"/>
  <c r="BA15" i="10"/>
  <c r="AX15" i="10"/>
  <c r="AV15" i="10"/>
  <c r="AT15" i="10"/>
  <c r="AQ15" i="10"/>
  <c r="AO15" i="10"/>
  <c r="AM15" i="10"/>
  <c r="AK15" i="10"/>
  <c r="AI15" i="10"/>
  <c r="AG15" i="10"/>
  <c r="AE15" i="10"/>
  <c r="AC15" i="10"/>
  <c r="AA15" i="10"/>
  <c r="W15" i="10"/>
  <c r="U15" i="10"/>
  <c r="S15" i="10"/>
  <c r="Q15" i="10"/>
  <c r="O15" i="10"/>
  <c r="M15" i="10"/>
  <c r="K15" i="10"/>
  <c r="E15" i="10"/>
  <c r="B15" i="10"/>
  <c r="BE14" i="10"/>
  <c r="BC14" i="10"/>
  <c r="BA14" i="10"/>
  <c r="AX14" i="10"/>
  <c r="AV14" i="10"/>
  <c r="AT14" i="10"/>
  <c r="AQ14" i="10"/>
  <c r="AO14" i="10"/>
  <c r="AM14" i="10"/>
  <c r="AK14" i="10"/>
  <c r="AI14" i="10"/>
  <c r="AG14" i="10"/>
  <c r="AE14" i="10"/>
  <c r="AC14" i="10"/>
  <c r="AA14" i="10"/>
  <c r="W14" i="10"/>
  <c r="U14" i="10"/>
  <c r="S14" i="10"/>
  <c r="Q14" i="10"/>
  <c r="O14" i="10"/>
  <c r="M14" i="10"/>
  <c r="K14" i="10"/>
  <c r="E14" i="10"/>
  <c r="B14" i="10"/>
  <c r="BE13" i="10"/>
  <c r="BC13" i="10"/>
  <c r="BA13" i="10"/>
  <c r="AX13" i="10"/>
  <c r="AV13" i="10"/>
  <c r="AT13" i="10"/>
  <c r="AQ13" i="10"/>
  <c r="AO13" i="10"/>
  <c r="AM13" i="10"/>
  <c r="AK13" i="10"/>
  <c r="AI13" i="10"/>
  <c r="AG13" i="10"/>
  <c r="AE13" i="10"/>
  <c r="AC13" i="10"/>
  <c r="AA13" i="10"/>
  <c r="W13" i="10"/>
  <c r="U13" i="10"/>
  <c r="S13" i="10"/>
  <c r="Q13" i="10"/>
  <c r="O13" i="10"/>
  <c r="M13" i="10"/>
  <c r="K13" i="10"/>
  <c r="H13" i="10"/>
  <c r="E13" i="10"/>
  <c r="BE12" i="10"/>
  <c r="BC12" i="10"/>
  <c r="BA12" i="10"/>
  <c r="AX12" i="10"/>
  <c r="AV12" i="10"/>
  <c r="AT12" i="10"/>
  <c r="H12" i="10"/>
  <c r="E12" i="10"/>
  <c r="E11" i="10"/>
  <c r="H10" i="10"/>
  <c r="E10" i="10"/>
  <c r="B10" i="10"/>
  <c r="H9" i="10"/>
  <c r="E9" i="10"/>
  <c r="B9" i="10"/>
  <c r="H51" i="12"/>
  <c r="H50" i="12"/>
  <c r="H48" i="12"/>
  <c r="R46" i="12"/>
  <c r="H46" i="12"/>
  <c r="R45" i="12"/>
  <c r="H45" i="12"/>
  <c r="R44" i="12"/>
  <c r="R43" i="12"/>
  <c r="H43" i="12"/>
  <c r="H42" i="12"/>
  <c r="R41" i="12"/>
  <c r="H41" i="12"/>
  <c r="R40" i="12"/>
  <c r="I27" i="12"/>
  <c r="G27" i="12"/>
  <c r="I26" i="12"/>
  <c r="I25" i="12"/>
  <c r="I24" i="12"/>
  <c r="S23" i="12"/>
  <c r="N23" i="12"/>
  <c r="L23" i="12"/>
  <c r="I23" i="12"/>
  <c r="AC22" i="12"/>
  <c r="AA22" i="12"/>
  <c r="X22" i="12"/>
  <c r="I22" i="12"/>
  <c r="D22" i="12"/>
  <c r="AC21" i="12"/>
  <c r="S21" i="12"/>
  <c r="N21" i="12"/>
  <c r="I21" i="12"/>
  <c r="AC20" i="12"/>
  <c r="X20" i="12"/>
  <c r="N20" i="12"/>
  <c r="I20" i="12"/>
  <c r="H20" i="12"/>
  <c r="D20" i="12"/>
  <c r="AC19" i="12"/>
  <c r="N19" i="12"/>
  <c r="I19" i="12"/>
  <c r="D19" i="12"/>
  <c r="C19" i="12"/>
  <c r="N18" i="12"/>
  <c r="I18" i="12"/>
  <c r="N17" i="12"/>
  <c r="I17" i="12"/>
  <c r="AC16" i="12"/>
  <c r="X16" i="12"/>
  <c r="W16" i="12"/>
  <c r="N16" i="12"/>
  <c r="I16" i="12"/>
  <c r="AC15" i="12"/>
  <c r="X15" i="12"/>
  <c r="W15" i="12"/>
  <c r="S15" i="12"/>
  <c r="R15" i="12"/>
  <c r="Q15" i="12"/>
  <c r="N15" i="12"/>
  <c r="I15" i="12"/>
  <c r="AC14" i="12"/>
  <c r="W14" i="12"/>
  <c r="S14" i="12"/>
  <c r="R14" i="12"/>
  <c r="Q14" i="12"/>
  <c r="N14" i="12"/>
  <c r="I14" i="12"/>
  <c r="D14" i="12"/>
  <c r="C14" i="12"/>
  <c r="B14" i="12"/>
  <c r="AC13" i="12"/>
  <c r="W13" i="12"/>
  <c r="S13" i="12"/>
  <c r="R13" i="12"/>
  <c r="Q13" i="12"/>
  <c r="N13" i="12"/>
  <c r="I13" i="12"/>
  <c r="D13" i="12"/>
  <c r="C13" i="12"/>
  <c r="B13" i="12"/>
  <c r="AC12" i="12"/>
  <c r="W12" i="12"/>
  <c r="S12" i="12"/>
  <c r="R12" i="12"/>
  <c r="Q12" i="12"/>
  <c r="N12" i="12"/>
  <c r="M12" i="12"/>
  <c r="I12" i="12"/>
  <c r="D12" i="12"/>
  <c r="C12" i="12"/>
  <c r="B12" i="12"/>
  <c r="AC11" i="12"/>
  <c r="X11" i="12"/>
  <c r="W11" i="12"/>
  <c r="S11" i="12"/>
  <c r="R11" i="12"/>
  <c r="Q11" i="12"/>
  <c r="N11" i="12"/>
  <c r="I11" i="12"/>
  <c r="D11" i="12"/>
  <c r="C11" i="12"/>
  <c r="B11" i="12"/>
  <c r="AC10" i="12"/>
  <c r="X10" i="12"/>
  <c r="W10" i="12"/>
  <c r="S10" i="12"/>
  <c r="R10" i="12"/>
  <c r="Q10" i="12"/>
  <c r="N10" i="12"/>
  <c r="I10" i="12"/>
  <c r="D10" i="12"/>
  <c r="C10" i="12"/>
  <c r="B10" i="12"/>
  <c r="AC9" i="12"/>
  <c r="X9" i="12"/>
  <c r="S9" i="12"/>
  <c r="N9" i="12"/>
  <c r="I9" i="12"/>
  <c r="D9" i="12"/>
  <c r="C9" i="12"/>
  <c r="B9" i="12"/>
  <c r="AC8" i="12"/>
  <c r="X8" i="12"/>
  <c r="W8" i="12"/>
  <c r="S8" i="12"/>
  <c r="R8" i="12"/>
  <c r="N8" i="12"/>
  <c r="I8" i="12"/>
  <c r="D8" i="12"/>
  <c r="C8" i="12"/>
  <c r="AC7" i="12"/>
  <c r="X7" i="12"/>
  <c r="S7" i="12"/>
  <c r="R7" i="12"/>
  <c r="N7" i="12"/>
  <c r="I7" i="12"/>
  <c r="D7" i="12"/>
  <c r="C7" i="12"/>
  <c r="B7" i="12"/>
  <c r="X4" i="12"/>
  <c r="S4" i="12"/>
  <c r="N4" i="12"/>
  <c r="I4" i="12"/>
  <c r="D4" i="12"/>
  <c r="X3" i="12"/>
  <c r="S3" i="12"/>
  <c r="N3" i="12"/>
  <c r="I3" i="12"/>
  <c r="D3" i="12"/>
  <c r="B51" i="9"/>
  <c r="D50" i="9"/>
  <c r="B50" i="9"/>
  <c r="B47" i="9"/>
  <c r="B44" i="9"/>
  <c r="B43" i="9"/>
  <c r="B42" i="9"/>
  <c r="B41" i="9"/>
  <c r="D38" i="9"/>
  <c r="B38" i="9"/>
  <c r="D37" i="9"/>
  <c r="B37" i="9"/>
  <c r="D35" i="9"/>
  <c r="B35" i="9"/>
  <c r="D33" i="9"/>
  <c r="B33" i="9"/>
  <c r="B29" i="9"/>
  <c r="B28" i="9"/>
  <c r="B27" i="9"/>
  <c r="D24" i="9"/>
  <c r="B24" i="9"/>
  <c r="D22" i="9"/>
  <c r="B22" i="9"/>
  <c r="D21" i="9"/>
  <c r="B21" i="9"/>
  <c r="D20" i="9"/>
  <c r="B20" i="9"/>
  <c r="D17" i="9"/>
  <c r="B17" i="9"/>
  <c r="B15" i="9"/>
  <c r="B13" i="9"/>
  <c r="D6" i="9"/>
  <c r="D5" i="9"/>
  <c r="AA251" i="5"/>
  <c r="Y251" i="5"/>
  <c r="W251" i="5"/>
  <c r="U251" i="5"/>
  <c r="S251" i="5"/>
  <c r="R251" i="5"/>
  <c r="Q251" i="5"/>
  <c r="P251" i="5"/>
  <c r="O251" i="5"/>
  <c r="N251" i="5"/>
  <c r="M251" i="5"/>
  <c r="L251" i="5"/>
  <c r="K251" i="5"/>
  <c r="J251" i="5"/>
  <c r="I251" i="5"/>
  <c r="AA250" i="5"/>
  <c r="Y250" i="5"/>
  <c r="W250" i="5"/>
  <c r="U250" i="5"/>
  <c r="S250" i="5"/>
  <c r="Q250" i="5"/>
  <c r="O250" i="5"/>
  <c r="M250" i="5"/>
  <c r="K250" i="5"/>
  <c r="I250" i="5"/>
  <c r="AI249" i="5"/>
  <c r="AA249" i="5"/>
  <c r="Y249" i="5"/>
  <c r="W249" i="5"/>
  <c r="U249" i="5"/>
  <c r="S249" i="5"/>
  <c r="Q249" i="5"/>
  <c r="O249" i="5"/>
  <c r="M249" i="5"/>
  <c r="K249" i="5"/>
  <c r="I249" i="5"/>
  <c r="AI248" i="5"/>
  <c r="AG248" i="5"/>
  <c r="AE248" i="5"/>
  <c r="AC248" i="5"/>
  <c r="AA248" i="5"/>
  <c r="Y248" i="5"/>
  <c r="W248" i="5"/>
  <c r="U248" i="5"/>
  <c r="S248" i="5"/>
  <c r="Q248" i="5"/>
  <c r="O248" i="5"/>
  <c r="M248" i="5"/>
  <c r="K248" i="5"/>
  <c r="I248" i="5"/>
  <c r="G248" i="5"/>
  <c r="AI247" i="5"/>
  <c r="AI246" i="5"/>
  <c r="AI245" i="5"/>
  <c r="AI244" i="5"/>
  <c r="AI243" i="5"/>
  <c r="AM242" i="5"/>
  <c r="AK242" i="5"/>
  <c r="AI242" i="5"/>
  <c r="AG242" i="5"/>
  <c r="AE242" i="5"/>
  <c r="AC242" i="5"/>
  <c r="AA242" i="5"/>
  <c r="Y242" i="5"/>
  <c r="W242" i="5"/>
  <c r="U242" i="5"/>
  <c r="S242" i="5"/>
  <c r="Q242" i="5"/>
  <c r="O242" i="5"/>
  <c r="M242" i="5"/>
  <c r="K242" i="5"/>
  <c r="I242" i="5"/>
  <c r="G242" i="5"/>
  <c r="AI241" i="5"/>
  <c r="AI240" i="5"/>
  <c r="AI239" i="5"/>
  <c r="AM238" i="5"/>
  <c r="AK238" i="5"/>
  <c r="AI238" i="5"/>
  <c r="AG238" i="5"/>
  <c r="AE238" i="5"/>
  <c r="AC238" i="5"/>
  <c r="AA238" i="5"/>
  <c r="Y238" i="5"/>
  <c r="W238" i="5"/>
  <c r="U238" i="5"/>
  <c r="S238" i="5"/>
  <c r="Q238" i="5"/>
  <c r="O238" i="5"/>
  <c r="M238" i="5"/>
  <c r="K238" i="5"/>
  <c r="I238" i="5"/>
  <c r="G238" i="5"/>
  <c r="E238" i="5"/>
  <c r="AN237" i="5"/>
  <c r="AM237" i="5"/>
  <c r="AJ237" i="5"/>
  <c r="AI237" i="5"/>
  <c r="AN236" i="5"/>
  <c r="AM236" i="5"/>
  <c r="AJ236" i="5"/>
  <c r="AI236" i="5"/>
  <c r="AN235" i="5"/>
  <c r="AM235" i="5"/>
  <c r="AJ235" i="5"/>
  <c r="AI235" i="5"/>
  <c r="AN234" i="5"/>
  <c r="AM234" i="5"/>
  <c r="AJ234" i="5"/>
  <c r="AI234" i="5"/>
  <c r="AN233" i="5"/>
  <c r="AM233" i="5"/>
  <c r="AJ233" i="5"/>
  <c r="AI233" i="5"/>
  <c r="AN232" i="5"/>
  <c r="AM232" i="5"/>
  <c r="AJ232" i="5"/>
  <c r="AI232" i="5"/>
  <c r="AN231" i="5"/>
  <c r="AM231" i="5"/>
  <c r="AJ231" i="5"/>
  <c r="AI231" i="5"/>
  <c r="AN230" i="5"/>
  <c r="AM230" i="5"/>
  <c r="AJ230" i="5"/>
  <c r="AI230" i="5"/>
  <c r="AN229" i="5"/>
  <c r="AM229" i="5"/>
  <c r="AJ229" i="5"/>
  <c r="AI229" i="5"/>
  <c r="AN228" i="5"/>
  <c r="AM228" i="5"/>
  <c r="AJ228" i="5"/>
  <c r="AI228" i="5"/>
  <c r="AN227" i="5"/>
  <c r="AM227" i="5"/>
  <c r="AJ227" i="5"/>
  <c r="AI227" i="5"/>
  <c r="AN226" i="5"/>
  <c r="AM226" i="5"/>
  <c r="AJ226" i="5"/>
  <c r="AI226" i="5"/>
  <c r="AN225" i="5"/>
  <c r="AM225" i="5"/>
  <c r="AJ225" i="5"/>
  <c r="AI225" i="5"/>
  <c r="AN224" i="5"/>
  <c r="AM224" i="5"/>
  <c r="AJ224" i="5"/>
  <c r="AI224" i="5"/>
  <c r="AN223" i="5"/>
  <c r="AM223" i="5"/>
  <c r="AJ223" i="5"/>
  <c r="AI223" i="5"/>
  <c r="AN222" i="5"/>
  <c r="AM222" i="5"/>
  <c r="AJ222" i="5"/>
  <c r="AI222" i="5"/>
  <c r="AN221" i="5"/>
  <c r="AM221" i="5"/>
  <c r="AJ221" i="5"/>
  <c r="AI221" i="5"/>
  <c r="AN220" i="5"/>
  <c r="AM220" i="5"/>
  <c r="AJ220" i="5"/>
  <c r="AI220" i="5"/>
  <c r="AN219" i="5"/>
  <c r="AM219" i="5"/>
  <c r="AJ219" i="5"/>
  <c r="AI219" i="5"/>
  <c r="AF219" i="5"/>
  <c r="AE219" i="5"/>
  <c r="AN218" i="5"/>
  <c r="AM218" i="5"/>
  <c r="AJ218" i="5"/>
  <c r="AI218" i="5"/>
  <c r="AN217" i="5"/>
  <c r="AM217" i="5"/>
  <c r="AJ217" i="5"/>
  <c r="AI217" i="5"/>
  <c r="AN216" i="5"/>
  <c r="AM216" i="5"/>
  <c r="AJ216" i="5"/>
  <c r="AI216" i="5"/>
  <c r="AN215" i="5"/>
  <c r="AM215" i="5"/>
  <c r="AJ215" i="5"/>
  <c r="AI215" i="5"/>
  <c r="AN214" i="5"/>
  <c r="AM214" i="5"/>
  <c r="AJ214" i="5"/>
  <c r="AI214" i="5"/>
  <c r="AN213" i="5"/>
  <c r="AM213" i="5"/>
  <c r="AJ213" i="5"/>
  <c r="AI213" i="5"/>
  <c r="AA213" i="5"/>
  <c r="U213" i="5"/>
  <c r="S213" i="5"/>
  <c r="Q213" i="5"/>
  <c r="O213" i="5"/>
  <c r="M213" i="5"/>
  <c r="K213" i="5"/>
  <c r="I213" i="5"/>
  <c r="AN212" i="5"/>
  <c r="AM212" i="5"/>
  <c r="AJ212" i="5"/>
  <c r="AI212" i="5"/>
  <c r="AA212" i="5"/>
  <c r="U212" i="5"/>
  <c r="S212" i="5"/>
  <c r="Q212" i="5"/>
  <c r="O212" i="5"/>
  <c r="M212" i="5"/>
  <c r="K212" i="5"/>
  <c r="I212" i="5"/>
  <c r="AO211" i="5"/>
  <c r="AN211" i="5"/>
  <c r="AM211" i="5"/>
  <c r="AJ211" i="5"/>
  <c r="AI211" i="5"/>
  <c r="AA211" i="5"/>
  <c r="U211" i="5"/>
  <c r="S211" i="5"/>
  <c r="Q211" i="5"/>
  <c r="O211" i="5"/>
  <c r="M211" i="5"/>
  <c r="K211" i="5"/>
  <c r="I211" i="5"/>
  <c r="AO210" i="5"/>
  <c r="AN210" i="5"/>
  <c r="AM210" i="5"/>
  <c r="AJ210" i="5"/>
  <c r="AI210" i="5"/>
  <c r="AA210" i="5"/>
  <c r="U210" i="5"/>
  <c r="S210" i="5"/>
  <c r="Q210" i="5"/>
  <c r="O210" i="5"/>
  <c r="M210" i="5"/>
  <c r="K210" i="5"/>
  <c r="I210" i="5"/>
  <c r="AN209" i="5"/>
  <c r="AM209" i="5"/>
  <c r="AJ209" i="5"/>
  <c r="AI209" i="5"/>
  <c r="AA209" i="5"/>
  <c r="U209" i="5"/>
  <c r="S209" i="5"/>
  <c r="Q209" i="5"/>
  <c r="O209" i="5"/>
  <c r="M209" i="5"/>
  <c r="K209" i="5"/>
  <c r="I209" i="5"/>
  <c r="AN208" i="5"/>
  <c r="AM208" i="5"/>
  <c r="AJ208" i="5"/>
  <c r="AI208" i="5"/>
  <c r="AN207" i="5"/>
  <c r="AM207" i="5"/>
  <c r="AJ207" i="5"/>
  <c r="AI207" i="5"/>
  <c r="AN206" i="5"/>
  <c r="AM206" i="5"/>
  <c r="AJ206" i="5"/>
  <c r="AI206" i="5"/>
  <c r="AN205" i="5"/>
  <c r="AM205" i="5"/>
  <c r="AJ205" i="5"/>
  <c r="AI205" i="5"/>
  <c r="AN204" i="5"/>
  <c r="AM204" i="5"/>
  <c r="AJ204" i="5"/>
  <c r="AI204" i="5"/>
  <c r="AN203" i="5"/>
  <c r="AM203" i="5"/>
  <c r="AJ203" i="5"/>
  <c r="AI203" i="5"/>
  <c r="AN202" i="5"/>
  <c r="AM202" i="5"/>
  <c r="AK202" i="5"/>
  <c r="AJ202" i="5"/>
  <c r="AI202" i="5"/>
  <c r="AE202" i="5"/>
  <c r="AN201" i="5"/>
  <c r="AM201" i="5"/>
  <c r="AL201" i="5"/>
  <c r="AK201" i="5"/>
  <c r="AJ201" i="5"/>
  <c r="AI201" i="5"/>
  <c r="AN200" i="5"/>
  <c r="AM200" i="5"/>
  <c r="AL200" i="5"/>
  <c r="AK200" i="5"/>
  <c r="AJ200" i="5"/>
  <c r="AI200" i="5"/>
  <c r="AN199" i="5"/>
  <c r="AM199" i="5"/>
  <c r="AL199" i="5"/>
  <c r="AK199" i="5"/>
  <c r="AJ199" i="5"/>
  <c r="AI199" i="5"/>
  <c r="AN198" i="5"/>
  <c r="AM198" i="5"/>
  <c r="AL198" i="5"/>
  <c r="AK198" i="5"/>
  <c r="AJ198" i="5"/>
  <c r="AI198" i="5"/>
  <c r="AF198" i="5"/>
  <c r="AE198" i="5"/>
  <c r="AN197" i="5"/>
  <c r="AM197" i="5"/>
  <c r="AL197" i="5"/>
  <c r="AK197" i="5"/>
  <c r="AJ197" i="5"/>
  <c r="AI197" i="5"/>
  <c r="AN196" i="5"/>
  <c r="AM196" i="5"/>
  <c r="AL196" i="5"/>
  <c r="AK196" i="5"/>
  <c r="AJ196" i="5"/>
  <c r="AI196" i="5"/>
  <c r="AN195" i="5"/>
  <c r="AM195" i="5"/>
  <c r="AL195" i="5"/>
  <c r="AK195" i="5"/>
  <c r="AJ195" i="5"/>
  <c r="AI195" i="5"/>
  <c r="AN194" i="5"/>
  <c r="AM194" i="5"/>
  <c r="AL194" i="5"/>
  <c r="AK194" i="5"/>
  <c r="AJ194" i="5"/>
  <c r="AI194" i="5"/>
  <c r="AN193" i="5"/>
  <c r="AM193" i="5"/>
  <c r="AL193" i="5"/>
  <c r="AK193" i="5"/>
  <c r="AJ193" i="5"/>
  <c r="AI193" i="5"/>
  <c r="AN192" i="5"/>
  <c r="AM192" i="5"/>
  <c r="AL192" i="5"/>
  <c r="AK192" i="5"/>
  <c r="AJ192" i="5"/>
  <c r="AI192" i="5"/>
  <c r="AN191" i="5"/>
  <c r="AM191" i="5"/>
  <c r="AL191" i="5"/>
  <c r="AK191" i="5"/>
  <c r="AJ191" i="5"/>
  <c r="AI191" i="5"/>
  <c r="AA189" i="5"/>
  <c r="Y189" i="5"/>
  <c r="W189" i="5"/>
  <c r="U189" i="5"/>
  <c r="S189" i="5"/>
  <c r="Q189" i="5"/>
  <c r="O189" i="5"/>
  <c r="M189" i="5"/>
  <c r="K189" i="5"/>
  <c r="I189" i="5"/>
  <c r="AA187" i="5"/>
  <c r="Y187" i="5"/>
  <c r="W187" i="5"/>
  <c r="U187" i="5"/>
  <c r="S187" i="5"/>
  <c r="Q187" i="5"/>
  <c r="O187" i="5"/>
  <c r="M187" i="5"/>
  <c r="K187" i="5"/>
  <c r="I187" i="5"/>
  <c r="AJ185" i="5"/>
  <c r="AJ184" i="5"/>
  <c r="AN182" i="5"/>
  <c r="AL182" i="5"/>
  <c r="AJ182" i="5"/>
  <c r="AI180" i="5"/>
  <c r="AA180" i="5"/>
  <c r="Y180" i="5"/>
  <c r="W180" i="5"/>
  <c r="U180" i="5"/>
  <c r="S180" i="5"/>
  <c r="Q180" i="5"/>
  <c r="O180" i="5"/>
  <c r="M180" i="5"/>
  <c r="K180" i="5"/>
  <c r="I180" i="5"/>
  <c r="G180" i="5"/>
  <c r="AL179" i="5"/>
  <c r="AI179" i="5"/>
  <c r="AA179" i="5"/>
  <c r="Y179" i="5"/>
  <c r="W179" i="5"/>
  <c r="U179" i="5"/>
  <c r="S179" i="5"/>
  <c r="Q179" i="5"/>
  <c r="O179" i="5"/>
  <c r="M179" i="5"/>
  <c r="K179" i="5"/>
  <c r="I179" i="5"/>
  <c r="G179" i="5"/>
  <c r="AI178" i="5"/>
  <c r="AI177" i="5"/>
  <c r="AK176" i="5"/>
  <c r="AI176" i="5"/>
  <c r="AG176" i="5"/>
  <c r="AE176" i="5"/>
  <c r="AC176" i="5"/>
  <c r="AA176" i="5"/>
  <c r="Y176" i="5"/>
  <c r="W176" i="5"/>
  <c r="U176" i="5"/>
  <c r="S176" i="5"/>
  <c r="Q176" i="5"/>
  <c r="O176" i="5"/>
  <c r="M176" i="5"/>
  <c r="K176" i="5"/>
  <c r="I176" i="5"/>
  <c r="G176" i="5"/>
  <c r="E176" i="5"/>
  <c r="AM175" i="5"/>
  <c r="AK175" i="5"/>
  <c r="AI175" i="5"/>
  <c r="AG175" i="5"/>
  <c r="AE175" i="5"/>
  <c r="AC175" i="5"/>
  <c r="AA175" i="5"/>
  <c r="Y175" i="5"/>
  <c r="W175" i="5"/>
  <c r="U175" i="5"/>
  <c r="S175" i="5"/>
  <c r="Q175" i="5"/>
  <c r="O175" i="5"/>
  <c r="M175" i="5"/>
  <c r="K175" i="5"/>
  <c r="I175" i="5"/>
  <c r="G175" i="5"/>
  <c r="E175" i="5"/>
  <c r="AN174" i="5"/>
  <c r="AM174" i="5"/>
  <c r="AL174" i="5"/>
  <c r="AK174" i="5"/>
  <c r="AJ174" i="5"/>
  <c r="AI174" i="5"/>
  <c r="D174" i="5"/>
  <c r="AN173" i="5"/>
  <c r="AM173" i="5"/>
  <c r="AL173" i="5"/>
  <c r="AK173" i="5"/>
  <c r="AJ173" i="5"/>
  <c r="AI173" i="5"/>
  <c r="D173" i="5"/>
  <c r="AN172" i="5"/>
  <c r="AM172" i="5"/>
  <c r="AL172" i="5"/>
  <c r="AK172" i="5"/>
  <c r="AJ172" i="5"/>
  <c r="AI172" i="5"/>
  <c r="D172" i="5"/>
  <c r="AN171" i="5"/>
  <c r="AM171" i="5"/>
  <c r="AL171" i="5"/>
  <c r="AK171" i="5"/>
  <c r="AJ171" i="5"/>
  <c r="AI171" i="5"/>
  <c r="D171" i="5"/>
  <c r="AN170" i="5"/>
  <c r="AM170" i="5"/>
  <c r="AL170" i="5"/>
  <c r="AK170" i="5"/>
  <c r="AJ170" i="5"/>
  <c r="AI170" i="5"/>
  <c r="D170" i="5"/>
  <c r="AN169" i="5"/>
  <c r="AM169" i="5"/>
  <c r="AL169" i="5"/>
  <c r="AK169" i="5"/>
  <c r="AJ169" i="5"/>
  <c r="AI169" i="5"/>
  <c r="D169" i="5"/>
  <c r="AN168" i="5"/>
  <c r="AM168" i="5"/>
  <c r="AL168" i="5"/>
  <c r="AK168" i="5"/>
  <c r="AJ168" i="5"/>
  <c r="AI168" i="5"/>
  <c r="D168" i="5"/>
  <c r="AN167" i="5"/>
  <c r="AM167" i="5"/>
  <c r="AL167" i="5"/>
  <c r="AK167" i="5"/>
  <c r="AJ167" i="5"/>
  <c r="AI167" i="5"/>
  <c r="D167" i="5"/>
  <c r="AN166" i="5"/>
  <c r="AM166" i="5"/>
  <c r="AL166" i="5"/>
  <c r="AK166" i="5"/>
  <c r="AJ166" i="5"/>
  <c r="AI166" i="5"/>
  <c r="D166" i="5"/>
  <c r="AN165" i="5"/>
  <c r="AM165" i="5"/>
  <c r="AL165" i="5"/>
  <c r="AK165" i="5"/>
  <c r="AJ165" i="5"/>
  <c r="AI165" i="5"/>
  <c r="D165" i="5"/>
  <c r="AN164" i="5"/>
  <c r="AM164" i="5"/>
  <c r="AL164" i="5"/>
  <c r="AK164" i="5"/>
  <c r="AJ164" i="5"/>
  <c r="AI164" i="5"/>
  <c r="D164" i="5"/>
  <c r="AN163" i="5"/>
  <c r="AM163" i="5"/>
  <c r="AL163" i="5"/>
  <c r="AK163" i="5"/>
  <c r="AJ163" i="5"/>
  <c r="AI163" i="5"/>
  <c r="D163" i="5"/>
  <c r="AN162" i="5"/>
  <c r="AM162" i="5"/>
  <c r="AL162" i="5"/>
  <c r="AK162" i="5"/>
  <c r="AJ162" i="5"/>
  <c r="AI162" i="5"/>
  <c r="D162" i="5"/>
  <c r="AN161" i="5"/>
  <c r="AM161" i="5"/>
  <c r="AL161" i="5"/>
  <c r="AK161" i="5"/>
  <c r="AJ161" i="5"/>
  <c r="AI161" i="5"/>
  <c r="D161" i="5"/>
  <c r="AN160" i="5"/>
  <c r="AM160" i="5"/>
  <c r="AL160" i="5"/>
  <c r="AK160" i="5"/>
  <c r="AJ160" i="5"/>
  <c r="AI160" i="5"/>
  <c r="D160" i="5"/>
  <c r="AN159" i="5"/>
  <c r="AM159" i="5"/>
  <c r="AL159" i="5"/>
  <c r="AK159" i="5"/>
  <c r="AJ159" i="5"/>
  <c r="AI159" i="5"/>
  <c r="AD159" i="5"/>
  <c r="AC159" i="5"/>
  <c r="D159" i="5"/>
  <c r="AN158" i="5"/>
  <c r="AM158" i="5"/>
  <c r="AL158" i="5"/>
  <c r="AK158" i="5"/>
  <c r="AJ158" i="5"/>
  <c r="AI158" i="5"/>
  <c r="AD158" i="5"/>
  <c r="AC158" i="5"/>
  <c r="D158" i="5"/>
  <c r="AN157" i="5"/>
  <c r="AM157" i="5"/>
  <c r="AL157" i="5"/>
  <c r="AK157" i="5"/>
  <c r="AJ157" i="5"/>
  <c r="AI157" i="5"/>
  <c r="D157" i="5"/>
  <c r="AP156" i="5"/>
  <c r="AN156" i="5"/>
  <c r="AM156" i="5"/>
  <c r="AL156" i="5"/>
  <c r="AK156" i="5"/>
  <c r="AJ156" i="5"/>
  <c r="AI156" i="5"/>
  <c r="D156" i="5"/>
  <c r="AN155" i="5"/>
  <c r="AM155" i="5"/>
  <c r="AL155" i="5"/>
  <c r="AK155" i="5"/>
  <c r="AJ155" i="5"/>
  <c r="AI155" i="5"/>
  <c r="D155" i="5"/>
  <c r="AN154" i="5"/>
  <c r="AM154" i="5"/>
  <c r="AL154" i="5"/>
  <c r="AK154" i="5"/>
  <c r="AJ154" i="5"/>
  <c r="AI154" i="5"/>
  <c r="D154" i="5"/>
  <c r="AN153" i="5"/>
  <c r="AM153" i="5"/>
  <c r="AL153" i="5"/>
  <c r="AK153" i="5"/>
  <c r="AJ153" i="5"/>
  <c r="AI153" i="5"/>
  <c r="D153" i="5"/>
  <c r="AN152" i="5"/>
  <c r="AM152" i="5"/>
  <c r="AL152" i="5"/>
  <c r="AK152" i="5"/>
  <c r="AJ152" i="5"/>
  <c r="AI152" i="5"/>
  <c r="D152" i="5"/>
  <c r="AN151" i="5"/>
  <c r="AM151" i="5"/>
  <c r="AL151" i="5"/>
  <c r="AK151" i="5"/>
  <c r="AJ151" i="5"/>
  <c r="AI151" i="5"/>
  <c r="D151" i="5"/>
  <c r="AN150" i="5"/>
  <c r="AM150" i="5"/>
  <c r="AL150" i="5"/>
  <c r="AK150" i="5"/>
  <c r="AJ150" i="5"/>
  <c r="AI150" i="5"/>
  <c r="D150" i="5"/>
  <c r="AN149" i="5"/>
  <c r="AM149" i="5"/>
  <c r="AL149" i="5"/>
  <c r="AK149" i="5"/>
  <c r="AJ149" i="5"/>
  <c r="AI149" i="5"/>
  <c r="D149" i="5"/>
  <c r="AN148" i="5"/>
  <c r="AM148" i="5"/>
  <c r="AL148" i="5"/>
  <c r="AK148" i="5"/>
  <c r="AJ148" i="5"/>
  <c r="AI148" i="5"/>
  <c r="AH148" i="5"/>
  <c r="AG148" i="5"/>
  <c r="D148" i="5"/>
  <c r="AN147" i="5"/>
  <c r="AM147" i="5"/>
  <c r="AL147" i="5"/>
  <c r="AK147" i="5"/>
  <c r="AJ147" i="5"/>
  <c r="AI147" i="5"/>
  <c r="AH147" i="5"/>
  <c r="AG147" i="5"/>
  <c r="D147" i="5"/>
  <c r="AN146" i="5"/>
  <c r="AM146" i="5"/>
  <c r="AL146" i="5"/>
  <c r="AK146" i="5"/>
  <c r="AJ146" i="5"/>
  <c r="AI146" i="5"/>
  <c r="AD146" i="5"/>
  <c r="AC146" i="5"/>
  <c r="D146" i="5"/>
  <c r="AN145" i="5"/>
  <c r="AM145" i="5"/>
  <c r="AL145" i="5"/>
  <c r="AK145" i="5"/>
  <c r="AJ145" i="5"/>
  <c r="AI145" i="5"/>
  <c r="D145" i="5"/>
  <c r="AN144" i="5"/>
  <c r="AM144" i="5"/>
  <c r="AL144" i="5"/>
  <c r="AK144" i="5"/>
  <c r="AJ144" i="5"/>
  <c r="AI144" i="5"/>
  <c r="D144" i="5"/>
  <c r="AN143" i="5"/>
  <c r="AM143" i="5"/>
  <c r="AL143" i="5"/>
  <c r="AK143" i="5"/>
  <c r="AJ143" i="5"/>
  <c r="AI143" i="5"/>
  <c r="D143" i="5"/>
  <c r="AN142" i="5"/>
  <c r="AM142" i="5"/>
  <c r="AL142" i="5"/>
  <c r="AK142" i="5"/>
  <c r="AJ142" i="5"/>
  <c r="AI142" i="5"/>
  <c r="D142" i="5"/>
  <c r="AN141" i="5"/>
  <c r="AM141" i="5"/>
  <c r="AL141" i="5"/>
  <c r="AK141" i="5"/>
  <c r="AJ141" i="5"/>
  <c r="AI141" i="5"/>
  <c r="D141" i="5"/>
  <c r="AO140" i="5"/>
  <c r="AN140" i="5"/>
  <c r="AM140" i="5"/>
  <c r="AL140" i="5"/>
  <c r="AK140" i="5"/>
  <c r="AJ140" i="5"/>
  <c r="AI140" i="5"/>
  <c r="AH140" i="5"/>
  <c r="AG140" i="5"/>
  <c r="D140" i="5"/>
  <c r="AO139" i="5"/>
  <c r="AN139" i="5"/>
  <c r="AM139" i="5"/>
  <c r="AL139" i="5"/>
  <c r="AK139" i="5"/>
  <c r="AJ139" i="5"/>
  <c r="AI139" i="5"/>
  <c r="D139" i="5"/>
  <c r="AN138" i="5"/>
  <c r="AM138" i="5"/>
  <c r="AL138" i="5"/>
  <c r="AK138" i="5"/>
  <c r="AJ138" i="5"/>
  <c r="AI138" i="5"/>
  <c r="D138" i="5"/>
  <c r="AO137" i="5"/>
  <c r="AN137" i="5"/>
  <c r="AM137" i="5"/>
  <c r="AL137" i="5"/>
  <c r="AK137" i="5"/>
  <c r="AJ137" i="5"/>
  <c r="AI137" i="5"/>
  <c r="AD137" i="5"/>
  <c r="AC137" i="5"/>
  <c r="D137" i="5"/>
  <c r="AN136" i="5"/>
  <c r="AM136" i="5"/>
  <c r="AK136" i="5"/>
  <c r="AJ136" i="5"/>
  <c r="AI136" i="5"/>
  <c r="AN135" i="5"/>
  <c r="AM135" i="5"/>
  <c r="AK135" i="5"/>
  <c r="AJ135" i="5"/>
  <c r="AI135" i="5"/>
  <c r="AC135" i="5"/>
  <c r="AN134" i="5"/>
  <c r="AM134" i="5"/>
  <c r="AL134" i="5"/>
  <c r="AK134" i="5"/>
  <c r="AJ134" i="5"/>
  <c r="AI134" i="5"/>
  <c r="D134" i="5"/>
  <c r="AO133" i="5"/>
  <c r="AN133" i="5"/>
  <c r="AM133" i="5"/>
  <c r="AL133" i="5"/>
  <c r="AK133" i="5"/>
  <c r="AJ133" i="5"/>
  <c r="AI133" i="5"/>
  <c r="D133" i="5"/>
  <c r="AM132" i="5"/>
  <c r="AK132" i="5"/>
  <c r="AI132" i="5"/>
  <c r="AG132" i="5"/>
  <c r="AE132" i="5"/>
  <c r="AC132" i="5"/>
  <c r="AA132" i="5"/>
  <c r="Y132" i="5"/>
  <c r="W132" i="5"/>
  <c r="U132" i="5"/>
  <c r="S132" i="5"/>
  <c r="Q132" i="5"/>
  <c r="O132" i="5"/>
  <c r="M132" i="5"/>
  <c r="K132" i="5"/>
  <c r="I132" i="5"/>
  <c r="G132" i="5"/>
  <c r="E132" i="5"/>
  <c r="AO131" i="5"/>
  <c r="AN131" i="5"/>
  <c r="AM131" i="5"/>
  <c r="AL131" i="5"/>
  <c r="AK131" i="5"/>
  <c r="AJ131" i="5"/>
  <c r="AI131" i="5"/>
  <c r="D131" i="5"/>
  <c r="AN130" i="5"/>
  <c r="AM130" i="5"/>
  <c r="AL130" i="5"/>
  <c r="AK130" i="5"/>
  <c r="AJ130" i="5"/>
  <c r="AI130" i="5"/>
  <c r="D130" i="5"/>
  <c r="AN129" i="5"/>
  <c r="AM129" i="5"/>
  <c r="AL129" i="5"/>
  <c r="AK129" i="5"/>
  <c r="AJ129" i="5"/>
  <c r="AI129" i="5"/>
  <c r="D129" i="5"/>
  <c r="AN128" i="5"/>
  <c r="AM128" i="5"/>
  <c r="AL128" i="5"/>
  <c r="AK128" i="5"/>
  <c r="AJ128" i="5"/>
  <c r="AI128" i="5"/>
  <c r="D128" i="5"/>
  <c r="AN127" i="5"/>
  <c r="AM127" i="5"/>
  <c r="AL127" i="5"/>
  <c r="AK127" i="5"/>
  <c r="AJ127" i="5"/>
  <c r="AI127" i="5"/>
  <c r="D127" i="5"/>
  <c r="AN126" i="5"/>
  <c r="AM126" i="5"/>
  <c r="AL126" i="5"/>
  <c r="AK126" i="5"/>
  <c r="AJ126" i="5"/>
  <c r="AI126" i="5"/>
  <c r="D126" i="5"/>
  <c r="AN125" i="5"/>
  <c r="AM125" i="5"/>
  <c r="AL125" i="5"/>
  <c r="AK125" i="5"/>
  <c r="AJ125" i="5"/>
  <c r="AI125" i="5"/>
  <c r="D125" i="5"/>
  <c r="AN124" i="5"/>
  <c r="AM124" i="5"/>
  <c r="AL124" i="5"/>
  <c r="AK124" i="5"/>
  <c r="AJ124" i="5"/>
  <c r="AI124" i="5"/>
  <c r="D124" i="5"/>
  <c r="AN123" i="5"/>
  <c r="AM123" i="5"/>
  <c r="AL123" i="5"/>
  <c r="AK123" i="5"/>
  <c r="AJ123" i="5"/>
  <c r="AI123" i="5"/>
  <c r="D123" i="5"/>
  <c r="AN122" i="5"/>
  <c r="AM122" i="5"/>
  <c r="AL122" i="5"/>
  <c r="AK122" i="5"/>
  <c r="AJ122" i="5"/>
  <c r="AI122" i="5"/>
  <c r="D122" i="5"/>
  <c r="AN121" i="5"/>
  <c r="AM121" i="5"/>
  <c r="AL121" i="5"/>
  <c r="AK121" i="5"/>
  <c r="AJ121" i="5"/>
  <c r="AI121" i="5"/>
  <c r="D121" i="5"/>
  <c r="AN120" i="5"/>
  <c r="AM120" i="5"/>
  <c r="AL120" i="5"/>
  <c r="AK120" i="5"/>
  <c r="AJ120" i="5"/>
  <c r="AI120" i="5"/>
  <c r="D120" i="5"/>
  <c r="AN119" i="5"/>
  <c r="AM119" i="5"/>
  <c r="AL119" i="5"/>
  <c r="AK119" i="5"/>
  <c r="AJ119" i="5"/>
  <c r="AI119" i="5"/>
  <c r="D119" i="5"/>
  <c r="AN118" i="5"/>
  <c r="AM118" i="5"/>
  <c r="AL118" i="5"/>
  <c r="AK118" i="5"/>
  <c r="AJ118" i="5"/>
  <c r="AI118" i="5"/>
  <c r="D118" i="5"/>
  <c r="AN117" i="5"/>
  <c r="AM117" i="5"/>
  <c r="AL117" i="5"/>
  <c r="AK117" i="5"/>
  <c r="AJ117" i="5"/>
  <c r="AI117" i="5"/>
  <c r="D117" i="5"/>
  <c r="AN116" i="5"/>
  <c r="AM116" i="5"/>
  <c r="AL116" i="5"/>
  <c r="AK116" i="5"/>
  <c r="AJ116" i="5"/>
  <c r="AI116" i="5"/>
  <c r="D116" i="5"/>
  <c r="AN115" i="5"/>
  <c r="AM115" i="5"/>
  <c r="AL115" i="5"/>
  <c r="AK115" i="5"/>
  <c r="AJ115" i="5"/>
  <c r="AI115" i="5"/>
  <c r="D115" i="5"/>
  <c r="AN114" i="5"/>
  <c r="AM114" i="5"/>
  <c r="AL114" i="5"/>
  <c r="AK114" i="5"/>
  <c r="AJ114" i="5"/>
  <c r="AI114" i="5"/>
  <c r="D114" i="5"/>
  <c r="AN113" i="5"/>
  <c r="AM113" i="5"/>
  <c r="AL113" i="5"/>
  <c r="AK113" i="5"/>
  <c r="AJ113" i="5"/>
  <c r="AI113" i="5"/>
  <c r="D113" i="5"/>
  <c r="AN112" i="5"/>
  <c r="AM112" i="5"/>
  <c r="AL112" i="5"/>
  <c r="AK112" i="5"/>
  <c r="AJ112" i="5"/>
  <c r="AI112" i="5"/>
  <c r="D112" i="5"/>
  <c r="AN111" i="5"/>
  <c r="AM111" i="5"/>
  <c r="AL111" i="5"/>
  <c r="AK111" i="5"/>
  <c r="AJ111" i="5"/>
  <c r="AI111" i="5"/>
  <c r="D111" i="5"/>
  <c r="AN110" i="5"/>
  <c r="AM110" i="5"/>
  <c r="AL110" i="5"/>
  <c r="AK110" i="5"/>
  <c r="AJ110" i="5"/>
  <c r="AI110" i="5"/>
  <c r="D110" i="5"/>
  <c r="AN109" i="5"/>
  <c r="AM109" i="5"/>
  <c r="AL109" i="5"/>
  <c r="AK109" i="5"/>
  <c r="AJ109" i="5"/>
  <c r="AI109" i="5"/>
  <c r="D109" i="5"/>
  <c r="AN108" i="5"/>
  <c r="AM108" i="5"/>
  <c r="AL108" i="5"/>
  <c r="AK108" i="5"/>
  <c r="AJ108" i="5"/>
  <c r="AI108" i="5"/>
  <c r="D108" i="5"/>
  <c r="AN107" i="5"/>
  <c r="AM107" i="5"/>
  <c r="AL107" i="5"/>
  <c r="AK107" i="5"/>
  <c r="AJ107" i="5"/>
  <c r="AI107" i="5"/>
  <c r="D107" i="5"/>
  <c r="AN106" i="5"/>
  <c r="AM106" i="5"/>
  <c r="AL106" i="5"/>
  <c r="AK106" i="5"/>
  <c r="AJ106" i="5"/>
  <c r="AI106" i="5"/>
  <c r="D106" i="5"/>
  <c r="AN105" i="5"/>
  <c r="AM105" i="5"/>
  <c r="AL105" i="5"/>
  <c r="AK105" i="5"/>
  <c r="AJ105" i="5"/>
  <c r="AI105" i="5"/>
  <c r="D105" i="5"/>
  <c r="AN104" i="5"/>
  <c r="AM104" i="5"/>
  <c r="AL104" i="5"/>
  <c r="AK104" i="5"/>
  <c r="AJ104" i="5"/>
  <c r="AI104" i="5"/>
  <c r="D104" i="5"/>
  <c r="AN103" i="5"/>
  <c r="AM103" i="5"/>
  <c r="AL103" i="5"/>
  <c r="AK103" i="5"/>
  <c r="AJ103" i="5"/>
  <c r="AI103" i="5"/>
  <c r="D103" i="5"/>
  <c r="AN102" i="5"/>
  <c r="AM102" i="5"/>
  <c r="AL102" i="5"/>
  <c r="AK102" i="5"/>
  <c r="AJ102" i="5"/>
  <c r="AI102" i="5"/>
  <c r="D102" i="5"/>
  <c r="AN101" i="5"/>
  <c r="AM101" i="5"/>
  <c r="AL101" i="5"/>
  <c r="AK101" i="5"/>
  <c r="AJ101" i="5"/>
  <c r="AI101" i="5"/>
  <c r="D101" i="5"/>
  <c r="AN100" i="5"/>
  <c r="AM100" i="5"/>
  <c r="AL100" i="5"/>
  <c r="AK100" i="5"/>
  <c r="AJ100" i="5"/>
  <c r="AI100" i="5"/>
  <c r="D100" i="5"/>
  <c r="AN99" i="5"/>
  <c r="AM99" i="5"/>
  <c r="AL99" i="5"/>
  <c r="AK99" i="5"/>
  <c r="AJ99" i="5"/>
  <c r="AI99" i="5"/>
  <c r="D99" i="5"/>
  <c r="AN98" i="5"/>
  <c r="AM98" i="5"/>
  <c r="AL98" i="5"/>
  <c r="AK98" i="5"/>
  <c r="AJ98" i="5"/>
  <c r="AI98" i="5"/>
  <c r="D98" i="5"/>
  <c r="AN97" i="5"/>
  <c r="AM97" i="5"/>
  <c r="AL97" i="5"/>
  <c r="AK97" i="5"/>
  <c r="AJ97" i="5"/>
  <c r="AI97" i="5"/>
  <c r="D97" i="5"/>
  <c r="AN96" i="5"/>
  <c r="AM96" i="5"/>
  <c r="AL96" i="5"/>
  <c r="AK96" i="5"/>
  <c r="AJ96" i="5"/>
  <c r="AI96" i="5"/>
  <c r="D96" i="5"/>
  <c r="AN95" i="5"/>
  <c r="AM95" i="5"/>
  <c r="AL95" i="5"/>
  <c r="AK95" i="5"/>
  <c r="AJ95" i="5"/>
  <c r="AI95" i="5"/>
  <c r="D95" i="5"/>
  <c r="AN94" i="5"/>
  <c r="AM94" i="5"/>
  <c r="AL94" i="5"/>
  <c r="AK94" i="5"/>
  <c r="AJ94" i="5"/>
  <c r="AI94" i="5"/>
  <c r="D94" i="5"/>
  <c r="AA92" i="5"/>
  <c r="Y92" i="5"/>
  <c r="W92" i="5"/>
  <c r="U92" i="5"/>
  <c r="S92" i="5"/>
  <c r="Q92" i="5"/>
  <c r="O92" i="5"/>
  <c r="M92" i="5"/>
  <c r="K92" i="5"/>
  <c r="I92" i="5"/>
  <c r="AA90" i="5"/>
  <c r="Y90" i="5"/>
  <c r="W90" i="5"/>
  <c r="U90" i="5"/>
  <c r="S90" i="5"/>
  <c r="Q90" i="5"/>
  <c r="O90" i="5"/>
  <c r="M90" i="5"/>
  <c r="K90" i="5"/>
  <c r="I90" i="5"/>
  <c r="AJ89" i="5"/>
  <c r="AJ88" i="5"/>
  <c r="AM82" i="5"/>
  <c r="AK82" i="5"/>
  <c r="AI82" i="5"/>
  <c r="AG82" i="5"/>
  <c r="AE82" i="5"/>
  <c r="AC82" i="5"/>
  <c r="AA82" i="5"/>
  <c r="Y82" i="5"/>
  <c r="W82" i="5"/>
  <c r="U82" i="5"/>
  <c r="S82" i="5"/>
  <c r="Q82" i="5"/>
  <c r="O82" i="5"/>
  <c r="M82" i="5"/>
  <c r="K82" i="5"/>
  <c r="I82" i="5"/>
  <c r="G82" i="5"/>
  <c r="E82" i="5"/>
  <c r="AN81" i="5"/>
  <c r="AM81" i="5"/>
  <c r="AL81" i="5"/>
  <c r="AK81" i="5"/>
  <c r="AJ81" i="5"/>
  <c r="AI81" i="5"/>
  <c r="D81" i="5"/>
  <c r="AN80" i="5"/>
  <c r="AM80" i="5"/>
  <c r="AL80" i="5"/>
  <c r="AK80" i="5"/>
  <c r="AJ80" i="5"/>
  <c r="AI80" i="5"/>
  <c r="D80" i="5"/>
  <c r="AN79" i="5"/>
  <c r="AM79" i="5"/>
  <c r="AL79" i="5"/>
  <c r="AK79" i="5"/>
  <c r="AJ79" i="5"/>
  <c r="AI79" i="5"/>
  <c r="D79" i="5"/>
  <c r="AN78" i="5"/>
  <c r="AM78" i="5"/>
  <c r="AL78" i="5"/>
  <c r="AK78" i="5"/>
  <c r="AJ78" i="5"/>
  <c r="AI78" i="5"/>
  <c r="AH78" i="5"/>
  <c r="AG78" i="5"/>
  <c r="D78" i="5"/>
  <c r="AN77" i="5"/>
  <c r="AM77" i="5"/>
  <c r="AL77" i="5"/>
  <c r="AK77" i="5"/>
  <c r="AJ77" i="5"/>
  <c r="AI77" i="5"/>
  <c r="D77" i="5"/>
  <c r="AN76" i="5"/>
  <c r="AM76" i="5"/>
  <c r="AL76" i="5"/>
  <c r="AK76" i="5"/>
  <c r="AJ76" i="5"/>
  <c r="AI76" i="5"/>
  <c r="D76" i="5"/>
  <c r="AN75" i="5"/>
  <c r="AM75" i="5"/>
  <c r="AL75" i="5"/>
  <c r="AK75" i="5"/>
  <c r="AJ75" i="5"/>
  <c r="AI75" i="5"/>
  <c r="D75" i="5"/>
  <c r="AN74" i="5"/>
  <c r="AM74" i="5"/>
  <c r="AL74" i="5"/>
  <c r="AK74" i="5"/>
  <c r="AJ74" i="5"/>
  <c r="AI74" i="5"/>
  <c r="D74" i="5"/>
  <c r="AN73" i="5"/>
  <c r="AM73" i="5"/>
  <c r="AL73" i="5"/>
  <c r="AK73" i="5"/>
  <c r="AJ73" i="5"/>
  <c r="AI73" i="5"/>
  <c r="D73" i="5"/>
  <c r="AN72" i="5"/>
  <c r="AM72" i="5"/>
  <c r="AL72" i="5"/>
  <c r="AK72" i="5"/>
  <c r="AJ72" i="5"/>
  <c r="AI72" i="5"/>
  <c r="AH72" i="5"/>
  <c r="AG72" i="5"/>
  <c r="AD72" i="5"/>
  <c r="AC72" i="5"/>
  <c r="D72" i="5"/>
  <c r="AN71" i="5"/>
  <c r="AM71" i="5"/>
  <c r="AL71" i="5"/>
  <c r="AK71" i="5"/>
  <c r="AJ71" i="5"/>
  <c r="AI71" i="5"/>
  <c r="D71" i="5"/>
  <c r="AN70" i="5"/>
  <c r="AM70" i="5"/>
  <c r="AL70" i="5"/>
  <c r="AK70" i="5"/>
  <c r="AJ70" i="5"/>
  <c r="AI70" i="5"/>
  <c r="D70" i="5"/>
  <c r="AN69" i="5"/>
  <c r="AM69" i="5"/>
  <c r="AL69" i="5"/>
  <c r="AK69" i="5"/>
  <c r="AJ69" i="5"/>
  <c r="AI69" i="5"/>
  <c r="D69" i="5"/>
  <c r="AN68" i="5"/>
  <c r="AM68" i="5"/>
  <c r="AL68" i="5"/>
  <c r="AK68" i="5"/>
  <c r="AJ68" i="5"/>
  <c r="AI68" i="5"/>
  <c r="D68" i="5"/>
  <c r="AN67" i="5"/>
  <c r="AM67" i="5"/>
  <c r="AL67" i="5"/>
  <c r="AK67" i="5"/>
  <c r="AJ67" i="5"/>
  <c r="AI67" i="5"/>
  <c r="AC67" i="5"/>
  <c r="D67" i="5"/>
  <c r="AN66" i="5"/>
  <c r="AM66" i="5"/>
  <c r="AL66" i="5"/>
  <c r="AK66" i="5"/>
  <c r="AJ66" i="5"/>
  <c r="AI66" i="5"/>
  <c r="D66" i="5"/>
  <c r="AN65" i="5"/>
  <c r="AM65" i="5"/>
  <c r="AL65" i="5"/>
  <c r="AK65" i="5"/>
  <c r="AJ65" i="5"/>
  <c r="AI65" i="5"/>
  <c r="D65" i="5"/>
  <c r="AN64" i="5"/>
  <c r="AM64" i="5"/>
  <c r="AL64" i="5"/>
  <c r="AK64" i="5"/>
  <c r="AJ64" i="5"/>
  <c r="AI64" i="5"/>
  <c r="D64" i="5"/>
  <c r="AN63" i="5"/>
  <c r="AM63" i="5"/>
  <c r="AL63" i="5"/>
  <c r="AK63" i="5"/>
  <c r="AJ63" i="5"/>
  <c r="AI63" i="5"/>
  <c r="D63" i="5"/>
  <c r="AN62" i="5"/>
  <c r="AM62" i="5"/>
  <c r="AL62" i="5"/>
  <c r="AK62" i="5"/>
  <c r="AJ62" i="5"/>
  <c r="AI62" i="5"/>
  <c r="D62" i="5"/>
  <c r="AN61" i="5"/>
  <c r="AM61" i="5"/>
  <c r="AL61" i="5"/>
  <c r="AK61" i="5"/>
  <c r="AJ61" i="5"/>
  <c r="AI61" i="5"/>
  <c r="D61" i="5"/>
  <c r="AN60" i="5"/>
  <c r="AM60" i="5"/>
  <c r="AL60" i="5"/>
  <c r="AK60" i="5"/>
  <c r="AJ60" i="5"/>
  <c r="AI60" i="5"/>
  <c r="D60" i="5"/>
  <c r="AN59" i="5"/>
  <c r="AM59" i="5"/>
  <c r="AL59" i="5"/>
  <c r="AK59" i="5"/>
  <c r="AJ59" i="5"/>
  <c r="AI59" i="5"/>
  <c r="D59" i="5"/>
  <c r="AN58" i="5"/>
  <c r="AM58" i="5"/>
  <c r="AL58" i="5"/>
  <c r="AK58" i="5"/>
  <c r="AJ58" i="5"/>
  <c r="AI58" i="5"/>
  <c r="D58" i="5"/>
  <c r="AN57" i="5"/>
  <c r="AM57" i="5"/>
  <c r="AL57" i="5"/>
  <c r="AK57" i="5"/>
  <c r="AJ57" i="5"/>
  <c r="AI57" i="5"/>
  <c r="D57" i="5"/>
  <c r="AN56" i="5"/>
  <c r="AM56" i="5"/>
  <c r="AL56" i="5"/>
  <c r="AK56" i="5"/>
  <c r="AJ56" i="5"/>
  <c r="AI56" i="5"/>
  <c r="AH56" i="5"/>
  <c r="AG56" i="5"/>
  <c r="AD56" i="5"/>
  <c r="AC56" i="5"/>
  <c r="D56" i="5"/>
  <c r="AN55" i="5"/>
  <c r="AM55" i="5"/>
  <c r="AL55" i="5"/>
  <c r="AK55" i="5"/>
  <c r="AJ55" i="5"/>
  <c r="AI55" i="5"/>
  <c r="AH55" i="5"/>
  <c r="AG55" i="5"/>
  <c r="D55" i="5"/>
  <c r="AN54" i="5"/>
  <c r="AM54" i="5"/>
  <c r="AL54" i="5"/>
  <c r="AK54" i="5"/>
  <c r="AJ54" i="5"/>
  <c r="AI54" i="5"/>
  <c r="D54" i="5"/>
  <c r="AN53" i="5"/>
  <c r="AM53" i="5"/>
  <c r="AL53" i="5"/>
  <c r="AK53" i="5"/>
  <c r="AJ53" i="5"/>
  <c r="AI53" i="5"/>
  <c r="AH53" i="5"/>
  <c r="AG53" i="5"/>
  <c r="D53" i="5"/>
  <c r="AN52" i="5"/>
  <c r="AM52" i="5"/>
  <c r="AL52" i="5"/>
  <c r="AK52" i="5"/>
  <c r="AJ52" i="5"/>
  <c r="AI52" i="5"/>
  <c r="AH52" i="5"/>
  <c r="AG52" i="5"/>
  <c r="D52" i="5"/>
  <c r="AN51" i="5"/>
  <c r="AM51" i="5"/>
  <c r="AL51" i="5"/>
  <c r="AK51" i="5"/>
  <c r="AJ51" i="5"/>
  <c r="AI51" i="5"/>
  <c r="AH51" i="5"/>
  <c r="AG51" i="5"/>
  <c r="D51" i="5"/>
  <c r="AN49" i="5"/>
  <c r="AM49" i="5"/>
  <c r="AK49" i="5"/>
  <c r="AJ49" i="5"/>
  <c r="AI49" i="5"/>
  <c r="AC49" i="5"/>
  <c r="AN48" i="5"/>
  <c r="AM48" i="5"/>
  <c r="AL48" i="5"/>
  <c r="AK48" i="5"/>
  <c r="AJ48" i="5"/>
  <c r="AI48" i="5"/>
  <c r="AN47" i="5"/>
  <c r="AM47" i="5"/>
  <c r="AL47" i="5"/>
  <c r="AK47" i="5"/>
  <c r="AJ47" i="5"/>
  <c r="AI47" i="5"/>
  <c r="AN46" i="5"/>
  <c r="AM46" i="5"/>
  <c r="AL46" i="5"/>
  <c r="AK46" i="5"/>
  <c r="AJ46" i="5"/>
  <c r="AI46" i="5"/>
  <c r="D46" i="5"/>
  <c r="AN45" i="5"/>
  <c r="AM45" i="5"/>
  <c r="AJ45" i="5"/>
  <c r="AI45" i="5"/>
  <c r="AO44" i="5"/>
  <c r="AN44" i="5"/>
  <c r="AM44" i="5"/>
  <c r="AK44" i="5"/>
  <c r="AJ44" i="5"/>
  <c r="AI44" i="5"/>
  <c r="AC44" i="5"/>
  <c r="AN43" i="5"/>
  <c r="AM43" i="5"/>
  <c r="AL43" i="5"/>
  <c r="AK43" i="5"/>
  <c r="AJ43" i="5"/>
  <c r="AI43" i="5"/>
  <c r="D43" i="5"/>
  <c r="AN42" i="5"/>
  <c r="AM42" i="5"/>
  <c r="AL42" i="5"/>
  <c r="AK42" i="5"/>
  <c r="AJ42" i="5"/>
  <c r="AI42" i="5"/>
  <c r="D42" i="5"/>
  <c r="AN41" i="5"/>
  <c r="AM41" i="5"/>
  <c r="AL41" i="5"/>
  <c r="AK41" i="5"/>
  <c r="AJ41" i="5"/>
  <c r="AI41" i="5"/>
  <c r="D41" i="5"/>
  <c r="AN40" i="5"/>
  <c r="AM40" i="5"/>
  <c r="AL40" i="5"/>
  <c r="AK40" i="5"/>
  <c r="AJ40" i="5"/>
  <c r="AI40" i="5"/>
  <c r="D40" i="5"/>
  <c r="AN39" i="5"/>
  <c r="AM39" i="5"/>
  <c r="AL39" i="5"/>
  <c r="AK39" i="5"/>
  <c r="AJ39" i="5"/>
  <c r="AI39" i="5"/>
  <c r="D39" i="5"/>
  <c r="AN38" i="5"/>
  <c r="AM38" i="5"/>
  <c r="AL38" i="5"/>
  <c r="AK38" i="5"/>
  <c r="AJ38" i="5"/>
  <c r="AI38" i="5"/>
  <c r="D38" i="5"/>
  <c r="AN37" i="5"/>
  <c r="AM37" i="5"/>
  <c r="AL37" i="5"/>
  <c r="AK37" i="5"/>
  <c r="AJ37" i="5"/>
  <c r="AI37" i="5"/>
  <c r="D37" i="5"/>
  <c r="AN36" i="5"/>
  <c r="AM36" i="5"/>
  <c r="AL36" i="5"/>
  <c r="AK36" i="5"/>
  <c r="AJ36" i="5"/>
  <c r="AI36" i="5"/>
  <c r="D36" i="5"/>
  <c r="AN35" i="5"/>
  <c r="AM35" i="5"/>
  <c r="AL35" i="5"/>
  <c r="AK35" i="5"/>
  <c r="AJ35" i="5"/>
  <c r="AI35" i="5"/>
  <c r="D35" i="5"/>
  <c r="AN34" i="5"/>
  <c r="AM34" i="5"/>
  <c r="AL34" i="5"/>
  <c r="AK34" i="5"/>
  <c r="AJ34" i="5"/>
  <c r="AI34" i="5"/>
  <c r="D34" i="5"/>
  <c r="AN33" i="5"/>
  <c r="AM33" i="5"/>
  <c r="AL33" i="5"/>
  <c r="AK33" i="5"/>
  <c r="AJ33" i="5"/>
  <c r="AI33" i="5"/>
  <c r="D33" i="5"/>
  <c r="AN32" i="5"/>
  <c r="AM32" i="5"/>
  <c r="AL32" i="5"/>
  <c r="AK32" i="5"/>
  <c r="AJ32" i="5"/>
  <c r="AI32" i="5"/>
  <c r="D32" i="5"/>
  <c r="AN31" i="5"/>
  <c r="AM31" i="5"/>
  <c r="AL31" i="5"/>
  <c r="AK31" i="5"/>
  <c r="AJ31" i="5"/>
  <c r="AI31" i="5"/>
  <c r="AD31" i="5"/>
  <c r="AC31" i="5"/>
  <c r="D31" i="5"/>
  <c r="AN30" i="5"/>
  <c r="AM30" i="5"/>
  <c r="AL30" i="5"/>
  <c r="AK30" i="5"/>
  <c r="AJ30" i="5"/>
  <c r="AI30" i="5"/>
  <c r="D30" i="5"/>
  <c r="AN29" i="5"/>
  <c r="AM29" i="5"/>
  <c r="AL29" i="5"/>
  <c r="AK29" i="5"/>
  <c r="AJ29" i="5"/>
  <c r="AI29" i="5"/>
  <c r="D29" i="5"/>
  <c r="AN28" i="5"/>
  <c r="AM28" i="5"/>
  <c r="AL28" i="5"/>
  <c r="AK28" i="5"/>
  <c r="AJ28" i="5"/>
  <c r="AI28" i="5"/>
  <c r="D28" i="5"/>
  <c r="AN27" i="5"/>
  <c r="AM27" i="5"/>
  <c r="AL27" i="5"/>
  <c r="AK27" i="5"/>
  <c r="AJ27" i="5"/>
  <c r="AI27" i="5"/>
  <c r="AG27" i="5"/>
  <c r="AD27" i="5"/>
  <c r="AC27" i="5"/>
  <c r="D27" i="5"/>
  <c r="AN26" i="5"/>
  <c r="AM26" i="5"/>
  <c r="AL26" i="5"/>
  <c r="AK26" i="5"/>
  <c r="AJ26" i="5"/>
  <c r="AI26" i="5"/>
  <c r="D26" i="5"/>
  <c r="AN25" i="5"/>
  <c r="AM25" i="5"/>
  <c r="AL25" i="5"/>
  <c r="AK25" i="5"/>
  <c r="AJ25" i="5"/>
  <c r="AI25" i="5"/>
  <c r="D25" i="5"/>
  <c r="AN24" i="5"/>
  <c r="AM24" i="5"/>
  <c r="AL24" i="5"/>
  <c r="AK24" i="5"/>
  <c r="AJ24" i="5"/>
  <c r="AI24" i="5"/>
  <c r="AH24" i="5"/>
  <c r="AG24" i="5"/>
  <c r="D24" i="5"/>
  <c r="AN23" i="5"/>
  <c r="AM23" i="5"/>
  <c r="AL23" i="5"/>
  <c r="AK23" i="5"/>
  <c r="AJ23" i="5"/>
  <c r="AI23" i="5"/>
  <c r="AH23" i="5"/>
  <c r="AG23" i="5"/>
  <c r="D23" i="5"/>
  <c r="BC22" i="5"/>
  <c r="BA22" i="5"/>
  <c r="AY22" i="5"/>
  <c r="AW22" i="5"/>
  <c r="AU22" i="5"/>
  <c r="AS22" i="5"/>
  <c r="AQ22" i="5"/>
  <c r="AN22" i="5"/>
  <c r="AM22" i="5"/>
  <c r="AL22" i="5"/>
  <c r="AK22" i="5"/>
  <c r="AJ22" i="5"/>
  <c r="AI22" i="5"/>
  <c r="AH22" i="5"/>
  <c r="AG22" i="5"/>
  <c r="D22" i="5"/>
  <c r="AN21" i="5"/>
  <c r="AM21" i="5"/>
  <c r="AL21" i="5"/>
  <c r="AK21" i="5"/>
  <c r="AJ21" i="5"/>
  <c r="AI21" i="5"/>
  <c r="AH21" i="5"/>
  <c r="AG21" i="5"/>
  <c r="D21" i="5"/>
  <c r="AN20" i="5"/>
  <c r="AM20" i="5"/>
  <c r="AL20" i="5"/>
  <c r="AK20" i="5"/>
  <c r="AJ20" i="5"/>
  <c r="AI20" i="5"/>
  <c r="AH20" i="5"/>
  <c r="AG20" i="5"/>
  <c r="D20" i="5"/>
  <c r="AN19" i="5"/>
  <c r="AM19" i="5"/>
  <c r="AL19" i="5"/>
  <c r="AK19" i="5"/>
  <c r="AJ19" i="5"/>
  <c r="AI19" i="5"/>
  <c r="AH19" i="5"/>
  <c r="AG19" i="5"/>
  <c r="D19" i="5"/>
  <c r="AN18" i="5"/>
  <c r="AM18" i="5"/>
  <c r="AL18" i="5"/>
  <c r="AK18" i="5"/>
  <c r="AJ18" i="5"/>
  <c r="AI18" i="5"/>
  <c r="D18" i="5"/>
  <c r="AN17" i="5"/>
  <c r="AM17" i="5"/>
  <c r="AL17" i="5"/>
  <c r="AK17" i="5"/>
  <c r="AJ17" i="5"/>
  <c r="AI17" i="5"/>
  <c r="D17" i="5"/>
  <c r="AN16" i="5"/>
  <c r="AM16" i="5"/>
  <c r="AL16" i="5"/>
  <c r="AK16" i="5"/>
  <c r="AJ16" i="5"/>
  <c r="AI16" i="5"/>
  <c r="D16" i="5"/>
  <c r="AN15" i="5"/>
  <c r="AM15" i="5"/>
  <c r="AL15" i="5"/>
  <c r="AK15" i="5"/>
  <c r="AJ15" i="5"/>
  <c r="AI15" i="5"/>
  <c r="AD15" i="5"/>
  <c r="AC15" i="5"/>
  <c r="D15" i="5"/>
  <c r="AR14" i="5"/>
  <c r="AQ14" i="5"/>
  <c r="AN14" i="5"/>
  <c r="AM14" i="5"/>
  <c r="AL14" i="5"/>
  <c r="AK14" i="5"/>
  <c r="AJ14" i="5"/>
  <c r="AI14" i="5"/>
  <c r="AH14" i="5"/>
  <c r="AG14" i="5"/>
  <c r="AD14" i="5"/>
  <c r="AC14" i="5"/>
  <c r="D14" i="5"/>
  <c r="AR13" i="5"/>
  <c r="AQ13" i="5"/>
  <c r="AN13" i="5"/>
  <c r="AM13" i="5"/>
  <c r="AL13" i="5"/>
  <c r="AK13" i="5"/>
  <c r="AJ13" i="5"/>
  <c r="AI13" i="5"/>
  <c r="AH13" i="5"/>
  <c r="AG13" i="5"/>
  <c r="AD13" i="5"/>
  <c r="AC13" i="5"/>
  <c r="D13" i="5"/>
  <c r="AR12" i="5"/>
  <c r="AQ12" i="5"/>
  <c r="AN12" i="5"/>
  <c r="AM12" i="5"/>
  <c r="AL12" i="5"/>
  <c r="AK12" i="5"/>
  <c r="AJ12" i="5"/>
  <c r="AI12" i="5"/>
  <c r="AH12" i="5"/>
  <c r="AG12" i="5"/>
  <c r="D12" i="5"/>
  <c r="AR11" i="5"/>
  <c r="AQ11" i="5"/>
  <c r="AN11" i="5"/>
  <c r="AM11" i="5"/>
  <c r="AL11" i="5"/>
  <c r="AK11" i="5"/>
  <c r="AJ11" i="5"/>
  <c r="AI11" i="5"/>
  <c r="AH11" i="5"/>
  <c r="AG11" i="5"/>
  <c r="AD11" i="5"/>
  <c r="AC11" i="5"/>
  <c r="D11" i="5"/>
  <c r="AR10" i="5"/>
  <c r="AQ10" i="5"/>
  <c r="AN10" i="5"/>
  <c r="AM10" i="5"/>
  <c r="AL10" i="5"/>
  <c r="AK10" i="5"/>
  <c r="AJ10" i="5"/>
  <c r="AI10" i="5"/>
  <c r="AH10" i="5"/>
  <c r="AG10" i="5"/>
  <c r="AD10" i="5"/>
  <c r="AC10" i="5"/>
  <c r="D10" i="5"/>
  <c r="BC9" i="5"/>
  <c r="BA9" i="5"/>
  <c r="AY9" i="5"/>
  <c r="AW9" i="5"/>
  <c r="AU9" i="5"/>
  <c r="AS9" i="5"/>
  <c r="AQ9" i="5"/>
  <c r="AI9" i="5"/>
  <c r="AG9" i="5"/>
  <c r="AA9" i="5"/>
  <c r="Y9" i="5"/>
  <c r="W9" i="5"/>
  <c r="U9" i="5"/>
  <c r="S9" i="5"/>
  <c r="Q9" i="5"/>
  <c r="O9" i="5"/>
  <c r="M9" i="5"/>
  <c r="K9" i="5"/>
  <c r="I9" i="5"/>
  <c r="AJ3" i="5"/>
  <c r="AJ2" i="5"/>
  <c r="Q357" i="4"/>
  <c r="P357" i="4"/>
  <c r="N357" i="4"/>
  <c r="M357" i="4"/>
  <c r="L357" i="4"/>
  <c r="K357" i="4"/>
  <c r="J357" i="4"/>
  <c r="I357" i="4"/>
  <c r="H357" i="4"/>
  <c r="G357" i="4"/>
  <c r="F357" i="4"/>
  <c r="E357" i="4"/>
  <c r="D357" i="4"/>
  <c r="C357" i="4"/>
  <c r="Q356" i="4"/>
  <c r="P356" i="4"/>
  <c r="N356" i="4"/>
  <c r="M356" i="4"/>
  <c r="L356" i="4"/>
  <c r="K356" i="4"/>
  <c r="J356" i="4"/>
  <c r="I356" i="4"/>
  <c r="H356" i="4"/>
  <c r="G356" i="4"/>
  <c r="F356" i="4"/>
  <c r="E356" i="4"/>
  <c r="D356" i="4"/>
  <c r="C356" i="4"/>
  <c r="P355" i="4"/>
  <c r="P354" i="4"/>
  <c r="P353" i="4"/>
  <c r="P352" i="4"/>
  <c r="P351" i="4"/>
  <c r="P350" i="4"/>
  <c r="P349" i="4"/>
  <c r="P348" i="4"/>
  <c r="P347" i="4"/>
  <c r="P346" i="4"/>
  <c r="P345" i="4"/>
  <c r="P344" i="4"/>
  <c r="P343" i="4"/>
  <c r="P342" i="4"/>
  <c r="P341" i="4"/>
  <c r="P340" i="4"/>
  <c r="P339" i="4"/>
  <c r="P338" i="4"/>
  <c r="P337" i="4"/>
  <c r="P336" i="4"/>
  <c r="P335" i="4"/>
  <c r="P334" i="4"/>
  <c r="P333" i="4"/>
  <c r="P332" i="4"/>
  <c r="P331" i="4"/>
  <c r="Q330" i="4"/>
  <c r="P330" i="4"/>
  <c r="N330" i="4"/>
  <c r="M330" i="4"/>
  <c r="L330" i="4"/>
  <c r="K330" i="4"/>
  <c r="J330" i="4"/>
  <c r="I330" i="4"/>
  <c r="H330" i="4"/>
  <c r="G330" i="4"/>
  <c r="F330" i="4"/>
  <c r="E330" i="4"/>
  <c r="D330" i="4"/>
  <c r="C330" i="4"/>
  <c r="P329" i="4"/>
  <c r="P328" i="4"/>
  <c r="P327" i="4"/>
  <c r="P326" i="4"/>
  <c r="P325" i="4"/>
  <c r="P324" i="4"/>
  <c r="P323" i="4"/>
  <c r="P322" i="4"/>
  <c r="Q321" i="4"/>
  <c r="P321" i="4"/>
  <c r="P320" i="4"/>
  <c r="P319" i="4"/>
  <c r="P318" i="4"/>
  <c r="P317" i="4"/>
  <c r="P316" i="4"/>
  <c r="P315" i="4"/>
  <c r="P314" i="4"/>
  <c r="P313" i="4"/>
  <c r="P312" i="4"/>
  <c r="Q311" i="4"/>
  <c r="P311" i="4"/>
  <c r="P310" i="4"/>
  <c r="P309" i="4"/>
  <c r="P308" i="4"/>
  <c r="P307" i="4"/>
  <c r="P306" i="4"/>
  <c r="P305" i="4"/>
  <c r="P304" i="4"/>
  <c r="P303" i="4"/>
  <c r="R302" i="4"/>
  <c r="P302" i="4"/>
  <c r="P301" i="4"/>
  <c r="P300" i="4"/>
  <c r="P299" i="4"/>
  <c r="P298" i="4"/>
  <c r="P297" i="4"/>
  <c r="Q296" i="4"/>
  <c r="P296" i="4"/>
  <c r="N296" i="4"/>
  <c r="M296" i="4"/>
  <c r="L296" i="4"/>
  <c r="K296" i="4"/>
  <c r="J296" i="4"/>
  <c r="I296" i="4"/>
  <c r="H296" i="4"/>
  <c r="G296" i="4"/>
  <c r="F296" i="4"/>
  <c r="E296" i="4"/>
  <c r="D296" i="4"/>
  <c r="C296" i="4"/>
  <c r="P295" i="4"/>
  <c r="N295" i="4"/>
  <c r="P294" i="4"/>
  <c r="N294" i="4"/>
  <c r="P293" i="4"/>
  <c r="N293" i="4"/>
  <c r="P292" i="4"/>
  <c r="N292" i="4"/>
  <c r="P291" i="4"/>
  <c r="N291" i="4"/>
  <c r="P290" i="4"/>
  <c r="P289" i="4"/>
  <c r="P288" i="4"/>
  <c r="P287" i="4"/>
  <c r="P286" i="4"/>
  <c r="P285" i="4"/>
  <c r="Q284" i="4"/>
  <c r="P284" i="4"/>
  <c r="P283" i="4"/>
  <c r="P282" i="4"/>
  <c r="P281" i="4"/>
  <c r="P280" i="4"/>
  <c r="P279" i="4"/>
  <c r="P278" i="4"/>
  <c r="P277" i="4"/>
  <c r="Q276" i="4"/>
  <c r="P276" i="4"/>
  <c r="P275" i="4"/>
  <c r="P274" i="4"/>
  <c r="P273" i="4"/>
  <c r="Q272" i="4"/>
  <c r="P272" i="4"/>
  <c r="P271" i="4"/>
  <c r="Q270" i="4"/>
  <c r="P270" i="4"/>
  <c r="P269" i="4"/>
  <c r="P268" i="4"/>
  <c r="Q267" i="4"/>
  <c r="P267" i="4"/>
  <c r="N267" i="4"/>
  <c r="M267" i="4"/>
  <c r="L267" i="4"/>
  <c r="K267" i="4"/>
  <c r="J267" i="4"/>
  <c r="I267" i="4"/>
  <c r="H267" i="4"/>
  <c r="G267" i="4"/>
  <c r="F267" i="4"/>
  <c r="E267" i="4"/>
  <c r="D267" i="4"/>
  <c r="C267" i="4"/>
  <c r="P266" i="4"/>
  <c r="P265" i="4"/>
  <c r="P264" i="4"/>
  <c r="P263" i="4"/>
  <c r="P262" i="4"/>
  <c r="P261" i="4"/>
  <c r="P260" i="4"/>
  <c r="P259" i="4"/>
  <c r="P258" i="4"/>
  <c r="P257" i="4"/>
  <c r="P256" i="4"/>
  <c r="P255" i="4"/>
  <c r="P254" i="4"/>
  <c r="P253" i="4"/>
  <c r="P252" i="4"/>
  <c r="P251" i="4"/>
  <c r="P250" i="4"/>
  <c r="P249" i="4"/>
  <c r="P248" i="4"/>
  <c r="P247" i="4"/>
  <c r="P246" i="4"/>
  <c r="P245" i="4"/>
  <c r="P244" i="4"/>
  <c r="P243" i="4"/>
  <c r="N243" i="4"/>
  <c r="P242" i="4"/>
  <c r="P241" i="4"/>
  <c r="P240" i="4"/>
  <c r="P239" i="4"/>
  <c r="P238" i="4"/>
  <c r="P237" i="4"/>
  <c r="P236" i="4"/>
  <c r="P235" i="4"/>
  <c r="P234" i="4"/>
  <c r="P233" i="4"/>
  <c r="Q232" i="4"/>
  <c r="P232" i="4"/>
  <c r="P231" i="4"/>
  <c r="P230" i="4"/>
  <c r="P229" i="4"/>
  <c r="P228" i="4"/>
  <c r="P227" i="4"/>
  <c r="P226" i="4"/>
  <c r="P225" i="4"/>
  <c r="P224" i="4"/>
  <c r="R223" i="4"/>
  <c r="P223" i="4"/>
  <c r="P222" i="4"/>
  <c r="P221" i="4"/>
  <c r="P220" i="4"/>
  <c r="Q219" i="4"/>
  <c r="P219" i="4"/>
  <c r="P218" i="4"/>
  <c r="P217" i="4"/>
  <c r="Q216" i="4"/>
  <c r="P216" i="4"/>
  <c r="N216" i="4"/>
  <c r="M216" i="4"/>
  <c r="L216" i="4"/>
  <c r="K216" i="4"/>
  <c r="J216" i="4"/>
  <c r="I216" i="4"/>
  <c r="H216" i="4"/>
  <c r="G216" i="4"/>
  <c r="F216" i="4"/>
  <c r="E216" i="4"/>
  <c r="D216" i="4"/>
  <c r="C216" i="4"/>
  <c r="P215" i="4"/>
  <c r="N215" i="4"/>
  <c r="P214" i="4"/>
  <c r="N214" i="4"/>
  <c r="P213" i="4"/>
  <c r="N213" i="4"/>
  <c r="P212" i="4"/>
  <c r="N212" i="4"/>
  <c r="P211" i="4"/>
  <c r="N211" i="4"/>
  <c r="P210" i="4"/>
  <c r="P209" i="4"/>
  <c r="P208" i="4"/>
  <c r="P207" i="4"/>
  <c r="Q206" i="4"/>
  <c r="P206" i="4"/>
  <c r="P205" i="4"/>
  <c r="P204" i="4"/>
  <c r="P203" i="4"/>
  <c r="P202" i="4"/>
  <c r="Q201" i="4"/>
  <c r="P201" i="4"/>
  <c r="N201" i="4"/>
  <c r="M201" i="4"/>
  <c r="L201" i="4"/>
  <c r="K201" i="4"/>
  <c r="J201" i="4"/>
  <c r="I201" i="4"/>
  <c r="H201" i="4"/>
  <c r="G201" i="4"/>
  <c r="F201" i="4"/>
  <c r="E201" i="4"/>
  <c r="D201" i="4"/>
  <c r="C201" i="4"/>
  <c r="P200" i="4"/>
  <c r="N200" i="4"/>
  <c r="P199" i="4"/>
  <c r="N199" i="4"/>
  <c r="P198" i="4"/>
  <c r="N198" i="4"/>
  <c r="P197" i="4"/>
  <c r="N197" i="4"/>
  <c r="P196" i="4"/>
  <c r="N196" i="4"/>
  <c r="P195" i="4"/>
  <c r="P194" i="4"/>
  <c r="P193" i="4"/>
  <c r="P192" i="4"/>
  <c r="P191" i="4"/>
  <c r="P190" i="4"/>
  <c r="Q189" i="4"/>
  <c r="P189" i="4"/>
  <c r="P188" i="4"/>
  <c r="P187" i="4"/>
  <c r="R186" i="4"/>
  <c r="P186" i="4"/>
  <c r="Q185" i="4"/>
  <c r="P185" i="4"/>
  <c r="N185" i="4"/>
  <c r="M185" i="4"/>
  <c r="L185" i="4"/>
  <c r="K185" i="4"/>
  <c r="J185" i="4"/>
  <c r="I185" i="4"/>
  <c r="H185" i="4"/>
  <c r="G185" i="4"/>
  <c r="F185" i="4"/>
  <c r="E185" i="4"/>
  <c r="D185" i="4"/>
  <c r="C185" i="4"/>
  <c r="P184" i="4"/>
  <c r="P183" i="4"/>
  <c r="P182" i="4"/>
  <c r="P181" i="4"/>
  <c r="P180" i="4"/>
  <c r="P179" i="4"/>
  <c r="P178" i="4"/>
  <c r="P177" i="4"/>
  <c r="P176" i="4"/>
  <c r="P175" i="4"/>
  <c r="P174" i="4"/>
  <c r="P173" i="4"/>
  <c r="P172" i="4"/>
  <c r="P171" i="4"/>
  <c r="P170" i="4"/>
  <c r="P169" i="4"/>
  <c r="P168" i="4"/>
  <c r="P167" i="4"/>
  <c r="P166" i="4"/>
  <c r="N166" i="4"/>
  <c r="P165" i="4"/>
  <c r="N165" i="4"/>
  <c r="P164" i="4"/>
  <c r="N164" i="4"/>
  <c r="P163" i="4"/>
  <c r="N163" i="4"/>
  <c r="P162" i="4"/>
  <c r="N162" i="4"/>
  <c r="P161" i="4"/>
  <c r="P160" i="4"/>
  <c r="P159" i="4"/>
  <c r="P158" i="4"/>
  <c r="Q157" i="4"/>
  <c r="P157" i="4"/>
  <c r="P156" i="4"/>
  <c r="R155" i="4"/>
  <c r="P155" i="4"/>
  <c r="Q154" i="4"/>
  <c r="P154" i="4"/>
  <c r="N154" i="4"/>
  <c r="M154" i="4"/>
  <c r="L154" i="4"/>
  <c r="K154" i="4"/>
  <c r="J154" i="4"/>
  <c r="I154" i="4"/>
  <c r="H154" i="4"/>
  <c r="G154" i="4"/>
  <c r="F154" i="4"/>
  <c r="E154" i="4"/>
  <c r="D154" i="4"/>
  <c r="C154" i="4"/>
  <c r="P153" i="4"/>
  <c r="P152" i="4"/>
  <c r="P151" i="4"/>
  <c r="P150" i="4"/>
  <c r="P149" i="4"/>
  <c r="P148" i="4"/>
  <c r="P147" i="4"/>
  <c r="P146" i="4"/>
  <c r="P145" i="4"/>
  <c r="P144" i="4"/>
  <c r="P143" i="4"/>
  <c r="P142" i="4"/>
  <c r="P141" i="4"/>
  <c r="P140" i="4"/>
  <c r="P139" i="4"/>
  <c r="P138" i="4"/>
  <c r="N138" i="4"/>
  <c r="P137" i="4"/>
  <c r="N137" i="4"/>
  <c r="P136" i="4"/>
  <c r="N136" i="4"/>
  <c r="P135" i="4"/>
  <c r="N135" i="4"/>
  <c r="P134" i="4"/>
  <c r="N134" i="4"/>
  <c r="P133" i="4"/>
  <c r="P132" i="4"/>
  <c r="P131" i="4"/>
  <c r="P130" i="4"/>
  <c r="P129" i="4"/>
  <c r="P128" i="4"/>
  <c r="P127" i="4"/>
  <c r="P126" i="4"/>
  <c r="Q125" i="4"/>
  <c r="P125" i="4"/>
  <c r="P124" i="4"/>
  <c r="P123" i="4"/>
  <c r="P122" i="4"/>
  <c r="P121" i="4"/>
  <c r="Q120" i="4"/>
  <c r="P120" i="4"/>
  <c r="N120" i="4"/>
  <c r="M120" i="4"/>
  <c r="L120" i="4"/>
  <c r="K120" i="4"/>
  <c r="J120" i="4"/>
  <c r="I120" i="4"/>
  <c r="H120" i="4"/>
  <c r="G120" i="4"/>
  <c r="F120" i="4"/>
  <c r="E120" i="4"/>
  <c r="D120" i="4"/>
  <c r="C120" i="4"/>
  <c r="P119" i="4"/>
  <c r="N119" i="4"/>
  <c r="P118" i="4"/>
  <c r="N118" i="4"/>
  <c r="P117" i="4"/>
  <c r="N117" i="4"/>
  <c r="P116" i="4"/>
  <c r="N116" i="4"/>
  <c r="P115" i="4"/>
  <c r="N115" i="4"/>
  <c r="R114" i="4"/>
  <c r="P114" i="4"/>
  <c r="P113" i="4"/>
  <c r="P112" i="4"/>
  <c r="P111" i="4"/>
  <c r="P110" i="4"/>
  <c r="P109" i="4"/>
  <c r="P108" i="4"/>
  <c r="P107" i="4"/>
  <c r="P106" i="4"/>
  <c r="P105" i="4"/>
  <c r="Q104" i="4"/>
  <c r="P104" i="4"/>
  <c r="P103" i="4"/>
  <c r="P102" i="4"/>
  <c r="P101" i="4"/>
  <c r="Q100" i="4"/>
  <c r="P100" i="4"/>
  <c r="N100" i="4"/>
  <c r="M100" i="4"/>
  <c r="L100" i="4"/>
  <c r="K100" i="4"/>
  <c r="J100" i="4"/>
  <c r="I100" i="4"/>
  <c r="H100" i="4"/>
  <c r="G100" i="4"/>
  <c r="F100" i="4"/>
  <c r="E100" i="4"/>
  <c r="D100" i="4"/>
  <c r="C100" i="4"/>
  <c r="P99" i="4"/>
  <c r="N99" i="4"/>
  <c r="P98" i="4"/>
  <c r="N98" i="4"/>
  <c r="P97" i="4"/>
  <c r="N97" i="4"/>
  <c r="P96" i="4"/>
  <c r="N96" i="4"/>
  <c r="P95" i="4"/>
  <c r="N95" i="4"/>
  <c r="P94" i="4"/>
  <c r="P93" i="4"/>
  <c r="P92" i="4"/>
  <c r="P91" i="4"/>
  <c r="P90" i="4"/>
  <c r="P89" i="4"/>
  <c r="P88" i="4"/>
  <c r="P87" i="4"/>
  <c r="P86" i="4"/>
  <c r="P85" i="4"/>
  <c r="P84" i="4"/>
  <c r="Q83" i="4"/>
  <c r="P83" i="4"/>
  <c r="P82" i="4"/>
  <c r="P81" i="4"/>
  <c r="P80" i="4"/>
  <c r="Q79" i="4"/>
  <c r="P79" i="4"/>
  <c r="N79" i="4"/>
  <c r="M79" i="4"/>
  <c r="L79" i="4"/>
  <c r="K79" i="4"/>
  <c r="J79" i="4"/>
  <c r="I79" i="4"/>
  <c r="H79" i="4"/>
  <c r="G79" i="4"/>
  <c r="F79" i="4"/>
  <c r="E79" i="4"/>
  <c r="D79" i="4"/>
  <c r="C79" i="4"/>
  <c r="P78" i="4"/>
  <c r="P77" i="4"/>
  <c r="P76" i="4"/>
  <c r="P75" i="4"/>
  <c r="P74" i="4"/>
  <c r="P73" i="4"/>
  <c r="P72" i="4"/>
  <c r="P71" i="4"/>
  <c r="P70" i="4"/>
  <c r="P69" i="4"/>
  <c r="P68" i="4"/>
  <c r="P67" i="4"/>
  <c r="P66" i="4"/>
  <c r="P65" i="4"/>
  <c r="P64" i="4"/>
  <c r="N64" i="4"/>
  <c r="R63" i="4"/>
  <c r="P63" i="4"/>
  <c r="N63" i="4"/>
  <c r="P62" i="4"/>
  <c r="P61" i="4"/>
  <c r="P60" i="4"/>
  <c r="P59" i="4"/>
  <c r="P58" i="4"/>
  <c r="P57" i="4"/>
  <c r="N57" i="4"/>
  <c r="P56" i="4"/>
  <c r="N56" i="4"/>
  <c r="P55" i="4"/>
  <c r="N55" i="4"/>
  <c r="P54" i="4"/>
  <c r="P53" i="4"/>
  <c r="P52" i="4"/>
  <c r="P51" i="4"/>
  <c r="P50" i="4"/>
  <c r="P49" i="4"/>
  <c r="P48" i="4"/>
  <c r="Q47" i="4"/>
  <c r="P47" i="4"/>
  <c r="Q46" i="4"/>
  <c r="P46" i="4"/>
  <c r="P45" i="4"/>
  <c r="P44" i="4"/>
  <c r="P43" i="4"/>
  <c r="P42" i="4"/>
  <c r="Q41" i="4"/>
  <c r="P41" i="4"/>
  <c r="N41" i="4"/>
  <c r="M41" i="4"/>
  <c r="L41" i="4"/>
  <c r="K41" i="4"/>
  <c r="J41" i="4"/>
  <c r="I41" i="4"/>
  <c r="H41" i="4"/>
  <c r="G41" i="4"/>
  <c r="F41" i="4"/>
  <c r="E41" i="4"/>
  <c r="D41" i="4"/>
  <c r="C41" i="4"/>
  <c r="P40" i="4"/>
  <c r="P39" i="4"/>
  <c r="P38" i="4"/>
  <c r="P37" i="4"/>
  <c r="P36" i="4"/>
  <c r="P35" i="4"/>
  <c r="P34" i="4"/>
  <c r="P33" i="4"/>
  <c r="P32" i="4"/>
  <c r="P31" i="4"/>
  <c r="P30" i="4"/>
  <c r="P29" i="4"/>
  <c r="P28" i="4"/>
  <c r="P27" i="4"/>
  <c r="P26" i="4"/>
  <c r="N26" i="4"/>
  <c r="P25" i="4"/>
  <c r="N25" i="4"/>
  <c r="P24" i="4"/>
  <c r="N24" i="4"/>
  <c r="Q23" i="4"/>
  <c r="P23" i="4"/>
  <c r="N23" i="4"/>
  <c r="P22" i="4"/>
  <c r="N22" i="4"/>
  <c r="P21" i="4"/>
  <c r="P20" i="4"/>
  <c r="P19" i="4"/>
  <c r="P18" i="4"/>
  <c r="P17" i="4"/>
  <c r="P16" i="4"/>
  <c r="P15" i="4"/>
  <c r="Q14" i="4"/>
  <c r="P14" i="4"/>
  <c r="P13" i="4"/>
  <c r="P12" i="4"/>
  <c r="P11" i="4"/>
  <c r="P10" i="4"/>
  <c r="G115" i="6"/>
  <c r="G114" i="6"/>
  <c r="M113" i="6"/>
  <c r="L113" i="6"/>
  <c r="L93" i="6"/>
  <c r="L92" i="6"/>
  <c r="L91" i="6"/>
  <c r="L89" i="6"/>
  <c r="G64" i="6"/>
  <c r="F63" i="6"/>
  <c r="G62" i="6"/>
  <c r="F61" i="6"/>
  <c r="F60" i="6"/>
  <c r="F59" i="6"/>
  <c r="F58" i="6"/>
  <c r="F57" i="6"/>
  <c r="F56" i="6"/>
  <c r="F55" i="6"/>
  <c r="L54" i="6"/>
  <c r="F54" i="6"/>
  <c r="G53" i="6"/>
  <c r="G51" i="6"/>
  <c r="L49" i="6"/>
  <c r="G49" i="6"/>
  <c r="M48" i="6" a="1"/>
  <c r="M48" i="6"/>
  <c r="L48" i="6"/>
  <c r="M44" i="6" a="1"/>
  <c r="M44" i="6"/>
  <c r="L44" i="6"/>
  <c r="G42" i="6"/>
  <c r="G41" i="6"/>
  <c r="F41" i="6"/>
  <c r="E41" i="6"/>
  <c r="G40" i="6"/>
  <c r="F39" i="6"/>
  <c r="F38" i="6"/>
  <c r="F37" i="6"/>
  <c r="F36" i="6"/>
  <c r="F35" i="6"/>
  <c r="F34" i="6"/>
  <c r="F33" i="6"/>
  <c r="F32" i="6"/>
  <c r="F31" i="6"/>
  <c r="F30" i="6"/>
  <c r="F29" i="6"/>
  <c r="F28" i="6"/>
  <c r="F27" i="6"/>
  <c r="F26" i="6"/>
  <c r="F25" i="6"/>
  <c r="F24" i="6"/>
  <c r="F23" i="6"/>
  <c r="F22" i="6"/>
  <c r="L21" i="6"/>
  <c r="G21" i="6"/>
  <c r="F20" i="6"/>
  <c r="G18" i="6"/>
  <c r="F18" i="6"/>
  <c r="G17" i="6"/>
  <c r="F17" i="6"/>
  <c r="G16" i="6"/>
  <c r="F16" i="6"/>
  <c r="M15" i="6"/>
  <c r="G15" i="6"/>
  <c r="F15" i="6"/>
  <c r="L14" i="6"/>
  <c r="G14" i="6"/>
  <c r="F14" i="6"/>
  <c r="J8" i="6"/>
  <c r="J7" i="6"/>
  <c r="F405" i="8"/>
  <c r="F404" i="8"/>
  <c r="F403" i="8"/>
  <c r="F402" i="8"/>
  <c r="F401" i="8"/>
  <c r="F400" i="8"/>
  <c r="F398" i="8"/>
  <c r="F397" i="8"/>
  <c r="F396" i="8"/>
  <c r="F395" i="8"/>
  <c r="F394" i="8"/>
  <c r="F393" i="8"/>
  <c r="F392" i="8"/>
  <c r="F391" i="8"/>
  <c r="F390" i="8"/>
  <c r="F389" i="8"/>
  <c r="F388" i="8"/>
  <c r="F387" i="8"/>
  <c r="F386" i="8"/>
  <c r="F385" i="8"/>
  <c r="F384" i="8"/>
  <c r="F383" i="8"/>
  <c r="F382" i="8"/>
  <c r="F380" i="8"/>
  <c r="F379" i="8"/>
  <c r="F378" i="8"/>
  <c r="F377" i="8"/>
  <c r="F376" i="8"/>
  <c r="F375" i="8"/>
  <c r="F373" i="8"/>
  <c r="F372" i="8"/>
  <c r="F371" i="8"/>
  <c r="F370" i="8"/>
  <c r="F369" i="8"/>
  <c r="F368" i="8"/>
  <c r="F367" i="8"/>
  <c r="F363" i="8"/>
  <c r="F362" i="8"/>
  <c r="F361" i="8"/>
  <c r="F360" i="8"/>
  <c r="F359" i="8"/>
  <c r="F358" i="8"/>
  <c r="F357" i="8"/>
  <c r="F356" i="8"/>
  <c r="F355" i="8"/>
  <c r="F354" i="8"/>
  <c r="F353" i="8"/>
  <c r="F352" i="8"/>
  <c r="F351" i="8"/>
  <c r="F350" i="8"/>
  <c r="F349" i="8"/>
  <c r="F348" i="8"/>
  <c r="F347" i="8"/>
  <c r="F346" i="8"/>
  <c r="F345" i="8"/>
  <c r="F344" i="8"/>
  <c r="F343" i="8"/>
  <c r="F342" i="8"/>
  <c r="F341" i="8"/>
  <c r="F340" i="8"/>
  <c r="F339" i="8"/>
  <c r="F338" i="8"/>
  <c r="F337" i="8"/>
  <c r="F336" i="8"/>
  <c r="F335" i="8"/>
  <c r="F334" i="8"/>
  <c r="F333" i="8"/>
  <c r="F332" i="8"/>
  <c r="F331" i="8"/>
  <c r="F330" i="8"/>
  <c r="F329" i="8"/>
  <c r="F328" i="8"/>
  <c r="L327" i="8"/>
  <c r="F327" i="8"/>
  <c r="M326" i="8"/>
  <c r="L326" i="8"/>
  <c r="F326" i="8"/>
  <c r="M325" i="8"/>
  <c r="L325" i="8"/>
  <c r="F325" i="8"/>
  <c r="M324" i="8"/>
  <c r="L324" i="8"/>
  <c r="F324" i="8"/>
  <c r="F322" i="8"/>
  <c r="F321" i="8"/>
  <c r="F320" i="8"/>
  <c r="F319" i="8"/>
  <c r="I318" i="8"/>
  <c r="F318" i="8"/>
  <c r="F317" i="8"/>
  <c r="F316" i="8"/>
  <c r="F315" i="8"/>
  <c r="E315" i="8"/>
  <c r="F314" i="8"/>
  <c r="E314" i="8"/>
  <c r="F313" i="8"/>
  <c r="E313" i="8"/>
  <c r="F312" i="8"/>
  <c r="F311" i="8"/>
  <c r="F310" i="8"/>
  <c r="F309" i="8"/>
  <c r="F308" i="8"/>
  <c r="F307" i="8"/>
  <c r="F306" i="8"/>
  <c r="I304" i="8"/>
  <c r="F303" i="8"/>
  <c r="F302" i="8"/>
  <c r="F301" i="8"/>
  <c r="F300" i="8"/>
  <c r="F299" i="8"/>
  <c r="F298" i="8"/>
  <c r="F297" i="8"/>
  <c r="F296" i="8"/>
  <c r="F295" i="8"/>
  <c r="F293" i="8"/>
  <c r="B293" i="8"/>
  <c r="F292" i="8"/>
  <c r="B292" i="8"/>
  <c r="F291" i="8"/>
  <c r="B291" i="8"/>
  <c r="F289" i="8"/>
  <c r="F288" i="8"/>
  <c r="F287" i="8"/>
  <c r="F286" i="8"/>
  <c r="B286" i="8"/>
  <c r="F285" i="8"/>
  <c r="B285" i="8"/>
  <c r="F284" i="8"/>
  <c r="B284" i="8"/>
  <c r="F283" i="8"/>
  <c r="B283" i="8"/>
  <c r="F282" i="8"/>
  <c r="B282" i="8"/>
  <c r="F281" i="8"/>
  <c r="B281" i="8"/>
  <c r="F280" i="8"/>
  <c r="B280" i="8"/>
  <c r="F279" i="8"/>
  <c r="B279" i="8"/>
  <c r="F278" i="8"/>
  <c r="B278" i="8"/>
  <c r="F277" i="8"/>
  <c r="B277" i="8"/>
  <c r="F276" i="8"/>
  <c r="B276" i="8"/>
  <c r="F275" i="8"/>
  <c r="B275" i="8"/>
  <c r="F274" i="8"/>
  <c r="B274" i="8"/>
  <c r="F273" i="8"/>
  <c r="B273" i="8"/>
  <c r="F272" i="8"/>
  <c r="B272" i="8"/>
  <c r="F271" i="8"/>
  <c r="B271" i="8"/>
  <c r="F270" i="8"/>
  <c r="B270" i="8"/>
  <c r="F269" i="8"/>
  <c r="B269" i="8"/>
  <c r="B268" i="8"/>
  <c r="B267" i="8"/>
  <c r="F266" i="8"/>
  <c r="B266" i="8"/>
  <c r="F265" i="8"/>
  <c r="B265" i="8"/>
  <c r="F264" i="8"/>
  <c r="B264" i="8"/>
  <c r="F263" i="8"/>
  <c r="B263" i="8"/>
  <c r="F262" i="8"/>
  <c r="B262" i="8"/>
  <c r="F261" i="8"/>
  <c r="B261" i="8"/>
  <c r="F260" i="8"/>
  <c r="B260" i="8"/>
  <c r="B259" i="8"/>
  <c r="F258" i="8"/>
  <c r="B258" i="8"/>
  <c r="F257" i="8"/>
  <c r="B257" i="8"/>
  <c r="F256" i="8"/>
  <c r="B256" i="8"/>
  <c r="F255" i="8"/>
  <c r="B255" i="8"/>
  <c r="F254" i="8"/>
  <c r="B254" i="8"/>
  <c r="B253" i="8"/>
  <c r="B252" i="8"/>
  <c r="B251" i="8"/>
  <c r="F250" i="8"/>
  <c r="B250" i="8"/>
  <c r="F249" i="8"/>
  <c r="B249" i="8"/>
  <c r="F248" i="8"/>
  <c r="B248" i="8"/>
  <c r="F247" i="8"/>
  <c r="B247" i="8"/>
  <c r="F246" i="8"/>
  <c r="B246" i="8"/>
  <c r="F245" i="8"/>
  <c r="B245" i="8"/>
  <c r="F244" i="8"/>
  <c r="B244" i="8"/>
  <c r="F243" i="8"/>
  <c r="B243" i="8"/>
  <c r="F242" i="8"/>
  <c r="B242" i="8"/>
  <c r="F241" i="8"/>
  <c r="B241" i="8"/>
  <c r="F240" i="8"/>
  <c r="B240" i="8"/>
  <c r="F239" i="8"/>
  <c r="B239" i="8"/>
  <c r="F238" i="8"/>
  <c r="B238" i="8"/>
  <c r="F237" i="8"/>
  <c r="B237" i="8"/>
  <c r="F236" i="8"/>
  <c r="B236" i="8"/>
  <c r="F235" i="8"/>
  <c r="B235" i="8"/>
  <c r="F234" i="8"/>
  <c r="B234" i="8"/>
  <c r="F233" i="8"/>
  <c r="B233" i="8"/>
  <c r="F232" i="8"/>
  <c r="B232" i="8"/>
  <c r="F231" i="8"/>
  <c r="B231" i="8"/>
  <c r="F230" i="8"/>
  <c r="B230" i="8"/>
  <c r="F229" i="8"/>
  <c r="B229" i="8"/>
  <c r="F228" i="8"/>
  <c r="B228" i="8"/>
  <c r="F227" i="8"/>
  <c r="B227" i="8"/>
  <c r="F226" i="8"/>
  <c r="B226" i="8"/>
  <c r="F225" i="8"/>
  <c r="B225" i="8"/>
  <c r="F224" i="8"/>
  <c r="B224" i="8"/>
  <c r="F223" i="8"/>
  <c r="B223" i="8"/>
  <c r="F222" i="8"/>
  <c r="B222" i="8"/>
  <c r="F221" i="8"/>
  <c r="B221" i="8"/>
  <c r="F220" i="8"/>
  <c r="B220" i="8"/>
  <c r="F219" i="8"/>
  <c r="B219" i="8"/>
  <c r="F218" i="8"/>
  <c r="B218" i="8"/>
  <c r="F217" i="8"/>
  <c r="B217" i="8"/>
  <c r="F216" i="8"/>
  <c r="B216" i="8"/>
  <c r="F215" i="8"/>
  <c r="B215" i="8"/>
  <c r="F214" i="8"/>
  <c r="B214" i="8"/>
  <c r="F213" i="8"/>
  <c r="B213" i="8"/>
  <c r="F212" i="8"/>
  <c r="B212" i="8"/>
  <c r="F211" i="8"/>
  <c r="B211" i="8"/>
  <c r="F210" i="8"/>
  <c r="B210" i="8"/>
  <c r="F209" i="8"/>
  <c r="B209" i="8"/>
  <c r="F208" i="8"/>
  <c r="B208" i="8"/>
  <c r="F207" i="8"/>
  <c r="B207" i="8"/>
  <c r="F206" i="8"/>
  <c r="B206" i="8"/>
  <c r="F205" i="8"/>
  <c r="B205" i="8"/>
  <c r="F204" i="8"/>
  <c r="B204" i="8"/>
  <c r="F203" i="8"/>
  <c r="B203" i="8"/>
  <c r="F202" i="8"/>
  <c r="B202" i="8"/>
  <c r="F201" i="8"/>
  <c r="B201" i="8"/>
  <c r="F200" i="8"/>
  <c r="B200" i="8"/>
  <c r="F199" i="8"/>
  <c r="B199" i="8"/>
  <c r="F198" i="8"/>
  <c r="B198" i="8"/>
  <c r="F197" i="8"/>
  <c r="B197" i="8"/>
  <c r="F196" i="8"/>
  <c r="B196" i="8"/>
  <c r="F195" i="8"/>
  <c r="B195" i="8"/>
  <c r="F194" i="8"/>
  <c r="B194" i="8"/>
  <c r="F193" i="8"/>
  <c r="B193" i="8"/>
  <c r="F192" i="8"/>
  <c r="B192" i="8"/>
  <c r="F191" i="8"/>
  <c r="B191" i="8"/>
  <c r="F190" i="8"/>
  <c r="B190" i="8"/>
  <c r="F189" i="8"/>
  <c r="B189" i="8"/>
  <c r="F188" i="8"/>
  <c r="B188" i="8"/>
  <c r="F187" i="8"/>
  <c r="B187" i="8"/>
  <c r="F186" i="8"/>
  <c r="B186" i="8"/>
  <c r="F185" i="8"/>
  <c r="B185" i="8"/>
  <c r="F184" i="8"/>
  <c r="B184" i="8"/>
  <c r="F183" i="8"/>
  <c r="B183" i="8"/>
  <c r="F182" i="8"/>
  <c r="B182" i="8"/>
  <c r="F181" i="8"/>
  <c r="B181" i="8"/>
  <c r="F180" i="8"/>
  <c r="B180" i="8"/>
  <c r="F179" i="8"/>
  <c r="B179" i="8"/>
  <c r="F178" i="8"/>
  <c r="B178" i="8"/>
  <c r="F177" i="8"/>
  <c r="B177" i="8"/>
  <c r="F176" i="8"/>
  <c r="B176" i="8"/>
  <c r="F175" i="8"/>
  <c r="B175" i="8"/>
  <c r="F174" i="8"/>
  <c r="B174" i="8"/>
  <c r="F173" i="8"/>
  <c r="B173" i="8"/>
  <c r="F172" i="8"/>
  <c r="B172" i="8"/>
  <c r="F170" i="8"/>
  <c r="F169" i="8"/>
  <c r="E169" i="8"/>
  <c r="F168" i="8"/>
  <c r="F165" i="8"/>
  <c r="F164" i="8"/>
  <c r="F163" i="8"/>
  <c r="E163" i="8"/>
  <c r="F162" i="8"/>
  <c r="F161" i="8"/>
  <c r="F160" i="8"/>
  <c r="F159" i="8"/>
  <c r="E159" i="8"/>
  <c r="F158" i="8"/>
  <c r="F157" i="8"/>
  <c r="F156" i="8"/>
  <c r="F155" i="8"/>
  <c r="F154" i="8"/>
  <c r="F153" i="8"/>
  <c r="F152" i="8"/>
  <c r="F151" i="8"/>
  <c r="F150" i="8"/>
  <c r="F149" i="8"/>
  <c r="F148" i="8"/>
  <c r="F147" i="8"/>
  <c r="E147" i="8"/>
  <c r="F146" i="8"/>
  <c r="F145" i="8"/>
  <c r="F144" i="8"/>
  <c r="F143" i="8"/>
  <c r="F142" i="8"/>
  <c r="F141" i="8"/>
  <c r="F140" i="8"/>
  <c r="F139" i="8"/>
  <c r="F138" i="8"/>
  <c r="F137" i="8"/>
  <c r="F136" i="8"/>
  <c r="F135" i="8"/>
  <c r="F134" i="8"/>
  <c r="F133" i="8"/>
  <c r="F132" i="8"/>
  <c r="F131" i="8"/>
  <c r="F130" i="8"/>
  <c r="F129" i="8"/>
  <c r="F128" i="8"/>
  <c r="F127" i="8"/>
  <c r="F125" i="8"/>
  <c r="F124" i="8"/>
  <c r="F123" i="8"/>
  <c r="F122" i="8"/>
  <c r="F121" i="8"/>
  <c r="F120" i="8"/>
  <c r="F119" i="8"/>
  <c r="F118" i="8"/>
  <c r="F117" i="8"/>
  <c r="F116" i="8"/>
  <c r="F115" i="8"/>
  <c r="F114" i="8"/>
  <c r="F113" i="8"/>
  <c r="F112" i="8"/>
  <c r="F111" i="8"/>
  <c r="F110" i="8"/>
  <c r="F109" i="8"/>
  <c r="F108" i="8"/>
  <c r="F107" i="8"/>
  <c r="F106" i="8"/>
  <c r="F105" i="8"/>
  <c r="F104" i="8"/>
  <c r="F103" i="8"/>
  <c r="F102" i="8"/>
  <c r="F101" i="8"/>
  <c r="F100" i="8"/>
  <c r="F99" i="8"/>
  <c r="F98" i="8"/>
  <c r="F97" i="8"/>
  <c r="F96" i="8"/>
  <c r="F95" i="8"/>
  <c r="F94" i="8"/>
  <c r="F88" i="8"/>
  <c r="I87" i="8"/>
  <c r="F87" i="8"/>
  <c r="F86" i="8"/>
  <c r="F85" i="8"/>
  <c r="F84" i="8"/>
  <c r="F83" i="8"/>
  <c r="F82" i="8"/>
  <c r="F81" i="8"/>
  <c r="F80" i="8"/>
  <c r="F79" i="8"/>
  <c r="E79" i="8"/>
  <c r="F78" i="8"/>
  <c r="F77" i="8"/>
  <c r="F76" i="8"/>
  <c r="F74" i="8"/>
  <c r="F73" i="8"/>
  <c r="F72" i="8"/>
  <c r="I69" i="8"/>
  <c r="F69" i="8"/>
  <c r="F68" i="8"/>
  <c r="F67" i="8"/>
  <c r="F66" i="8"/>
  <c r="F65" i="8"/>
  <c r="F64" i="8"/>
  <c r="F63" i="8"/>
  <c r="F62" i="8"/>
  <c r="F61" i="8"/>
  <c r="F60" i="8"/>
  <c r="F59" i="8"/>
  <c r="E59" i="8"/>
  <c r="F58" i="8"/>
  <c r="F57" i="8"/>
  <c r="F56" i="8"/>
  <c r="F55" i="8"/>
  <c r="F54" i="8"/>
  <c r="F52" i="8"/>
  <c r="F51" i="8"/>
  <c r="F50" i="8"/>
  <c r="F49" i="8"/>
  <c r="F48" i="8"/>
  <c r="F47" i="8"/>
  <c r="F46" i="8"/>
  <c r="F45" i="8"/>
  <c r="F44" i="8"/>
  <c r="F43" i="8"/>
  <c r="F42" i="8"/>
  <c r="F41" i="8"/>
  <c r="F40" i="8"/>
  <c r="F39" i="8"/>
  <c r="F38" i="8"/>
  <c r="E38" i="8"/>
  <c r="F37" i="8"/>
  <c r="F36" i="8"/>
  <c r="F35" i="8"/>
  <c r="F34" i="8"/>
  <c r="F33" i="8"/>
  <c r="F31" i="8"/>
  <c r="F30" i="8"/>
  <c r="F29" i="8"/>
  <c r="F28" i="8"/>
  <c r="F27" i="8"/>
  <c r="F26" i="8"/>
  <c r="F25" i="8"/>
  <c r="F24" i="8"/>
  <c r="F23" i="8"/>
  <c r="F22" i="8"/>
  <c r="F21" i="8"/>
  <c r="F20" i="8"/>
  <c r="F19" i="8"/>
  <c r="F18" i="8"/>
  <c r="F17" i="8"/>
  <c r="L16" i="8"/>
  <c r="F16" i="8"/>
  <c r="L15" i="8"/>
  <c r="F15" i="8"/>
  <c r="F14" i="8"/>
  <c r="F13" i="8"/>
  <c r="F12" i="8"/>
  <c r="F11" i="8"/>
  <c r="F6" i="8"/>
  <c r="F5" i="8"/>
  <c r="U48" i="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<sst xmlns="http://schemas.openxmlformats.org/spreadsheetml/2006/main" count="7575" uniqueCount="2344">
  <si>
    <t>PETUNJUK PENGERJAAN LAPORAN ADMIN TERBARU</t>
  </si>
  <si>
    <t>1.</t>
  </si>
  <si>
    <t>LAPORAN LPKK</t>
  </si>
  <si>
    <t>Form laporan LPKK tidak diprotect/dikunci, supervisor dapat menambahkan kolom LPKK apabila nota pembelanjaan dalam satu hari melebihi kolom yang disediakan</t>
  </si>
  <si>
    <t>Pada format laporan LPKK terbaru, kolom Bahan Roti dan Bahan Perkedel dihilangkan.</t>
  </si>
  <si>
    <r>
      <rPr>
        <sz val="10"/>
        <rFont val="Arial"/>
        <charset val="134"/>
      </rPr>
      <t>Nota - nota belanja</t>
    </r>
    <r>
      <rPr>
        <b/>
        <sz val="10"/>
        <rFont val="Arial"/>
        <charset val="134"/>
      </rPr>
      <t xml:space="preserve"> Bahan Roti dialihkan </t>
    </r>
    <r>
      <rPr>
        <sz val="10"/>
        <rFont val="Arial"/>
        <charset val="134"/>
      </rPr>
      <t>masuk ke kolom</t>
    </r>
    <r>
      <rPr>
        <b/>
        <sz val="10"/>
        <rFont val="Arial"/>
        <charset val="134"/>
      </rPr>
      <t xml:space="preserve"> Bahan Pelengkap </t>
    </r>
    <r>
      <rPr>
        <sz val="10"/>
        <rFont val="Arial"/>
        <charset val="134"/>
      </rPr>
      <t>dan untuk</t>
    </r>
    <r>
      <rPr>
        <b/>
        <sz val="10"/>
        <rFont val="Arial"/>
        <charset val="134"/>
      </rPr>
      <t xml:space="preserve"> </t>
    </r>
    <r>
      <rPr>
        <sz val="10"/>
        <rFont val="Arial"/>
        <charset val="134"/>
      </rPr>
      <t xml:space="preserve">nota- nota </t>
    </r>
    <r>
      <rPr>
        <b/>
        <sz val="10"/>
        <rFont val="Arial"/>
        <charset val="134"/>
      </rPr>
      <t xml:space="preserve">Bahan Perkedel </t>
    </r>
    <r>
      <rPr>
        <sz val="10"/>
        <rFont val="Arial"/>
        <charset val="134"/>
      </rPr>
      <t>masuk kolom</t>
    </r>
    <r>
      <rPr>
        <b/>
        <sz val="10"/>
        <rFont val="Arial"/>
        <charset val="134"/>
      </rPr>
      <t xml:space="preserve"> Bumbu/Groceries</t>
    </r>
  </si>
  <si>
    <t>2.</t>
  </si>
  <si>
    <t>LAPORAN VENDOR</t>
  </si>
  <si>
    <t>Pembelian ayam cash diisi secara manual dan pembelian ayam kredit wajib diisi dikolom khusus pembelian ayam kredit dan marinade</t>
  </si>
  <si>
    <t>Pengerjaan laporan secara online/komputer nota ayam kredit diisi pada kolom kanan atas laporan vendor yang secara otomatis mengisi pada kolom khusus ayam kredit pada vendor</t>
  </si>
  <si>
    <t>Kolom TO/TI pada vendor dikerjakan secara manual dan pencatatan diperhatikan, apabila Ada TO (Transfer Out) pencatatan nominal harus diberi tanda (-).</t>
  </si>
  <si>
    <t>Penambahan keterangan bahan baku pada kolom vendor dapat diisi lewat laporan weekly pada kolom bahan sesuai dengan pengelompokkan bahan bakunya, maka secara langsung akan ngelink ke kolom keterangan bahan baku di laporan vendor</t>
  </si>
  <si>
    <t>Hasil print out laporan vendor pengerjaan secara online/komputer menjadi 3 lembar, pengerjaan secara manual vendor menjadi 5 lembar</t>
  </si>
  <si>
    <t>3.</t>
  </si>
  <si>
    <t>COST ANALYSIS</t>
  </si>
  <si>
    <t>Kolom penjualan pada laporan cost analysis diisi secara manual. Kolom penjualan bisa dibuat rumus oleh supervisor sesuai dengan kelas masing - masing dengan cara total unit penjualan ngelink dengan semua laporan penjualan offline/online (gofood, grabfood, shopee food) contoh penghitungan MENCARI PENJUALAN PRODUK P. BAWAH (KETIK = pada laporan cost analysis kolom penjualan P. BAWAH kemudian klik pada laporan LP, Total unit penjualan P. BAWAH pada setiap produk item satuan/paket yang ada produk P. BAWAH dengan menambahkan tanda + pada semua Laporan penjualan termasuk LP online) KEMUDIAN TEKAN ENTER.</t>
  </si>
  <si>
    <t>4.</t>
  </si>
  <si>
    <t xml:space="preserve">LAPORAN KAS &amp; PENJUALAN PER PERIODE </t>
  </si>
  <si>
    <t>Kolom Tax/Pajak (FULL PPN) wajib diisi store yang sudah mengenakan harga jual ke customer plus PPN/Pajak (full customer dikenakan pajak) Harga jual produk per item di laporan penjualan harga menu price harus sudah plus PPN</t>
  </si>
  <si>
    <t>Kolom Tax/Pajak (SEBAGIAN PPN), wajib diisi store yang sudah mengenakan harga jual ke customer plus PPN/Pajak (sebagian cutomer yang dikenakan pajak) Harga jual produk per item di laporan penjualan harga menu price tanpa plus PPN</t>
  </si>
  <si>
    <t>Store yang belum mengenakan pajak kepada customer kolom tax atau pajak tidak perlu diisi/dikosongkan</t>
  </si>
  <si>
    <t>5.</t>
  </si>
  <si>
    <t xml:space="preserve">LAPORAN TO/TI </t>
  </si>
  <si>
    <t>Laporan TO/TI hasil jumlah akan ngelink dengan laporan ikhtisar food cost</t>
  </si>
  <si>
    <t>Pengerjaan TO/TI terdapat petunjuk pengerjaan di sheet TO/TI</t>
  </si>
  <si>
    <t>6.</t>
  </si>
  <si>
    <t>LAPORAN LKK</t>
  </si>
  <si>
    <r>
      <rPr>
        <sz val="10"/>
        <rFont val="Arial"/>
        <charset val="134"/>
      </rPr>
      <t xml:space="preserve">Store yang belum mengenakan PPN kepada customer mengunakan lkk dengan rumus </t>
    </r>
    <r>
      <rPr>
        <b/>
        <sz val="10"/>
        <rFont val="Arial"/>
        <charset val="134"/>
      </rPr>
      <t>Penjualan Kotor - Komisi - Koreksi - Diskon = Penjualan Bersih</t>
    </r>
  </si>
  <si>
    <r>
      <rPr>
        <sz val="10"/>
        <rFont val="Arial"/>
        <charset val="134"/>
      </rPr>
      <t xml:space="preserve">Store yang sudah mengenakan PPN kepada customer sebagian mengunakan lkk dengan rumus </t>
    </r>
    <r>
      <rPr>
        <b/>
        <sz val="10"/>
        <rFont val="Arial"/>
        <charset val="134"/>
      </rPr>
      <t>Penjualan Kotor - Komisi - Koreksi - Diskon = Penjualan Bersih</t>
    </r>
  </si>
  <si>
    <r>
      <rPr>
        <sz val="10"/>
        <rFont val="Arial"/>
        <charset val="134"/>
      </rPr>
      <t xml:space="preserve">Store yang sudah mengenakan FULL PPN kepada customer mengunakan lkk dengan rumus </t>
    </r>
    <r>
      <rPr>
        <b/>
        <sz val="10"/>
        <rFont val="Arial"/>
        <charset val="134"/>
      </rPr>
      <t>Penjualan Kotor - Komisi - Koreksi - Diskon - PAJAK/TAX = Penjualan Bersih</t>
    </r>
  </si>
  <si>
    <t>7.</t>
  </si>
  <si>
    <t xml:space="preserve">LAPORAN PENJUALAN </t>
  </si>
  <si>
    <t>Pengisian tanggal pada kolom unit penjualan per hari hanya diisi tanggalnya saja, tidak dengan Bulan dan Tahun agar saat diprint out hasil lebih maksimal</t>
  </si>
  <si>
    <r>
      <rPr>
        <sz val="10"/>
        <rFont val="Arial"/>
        <charset val="134"/>
      </rPr>
      <t xml:space="preserve">Laporan penjualan untuk store yang sudah mengenakan </t>
    </r>
    <r>
      <rPr>
        <b/>
        <sz val="10"/>
        <rFont val="Arial"/>
        <charset val="134"/>
      </rPr>
      <t>FULL PPN</t>
    </r>
    <r>
      <rPr>
        <sz val="10"/>
        <rFont val="Arial"/>
        <charset val="134"/>
      </rPr>
      <t xml:space="preserve"> harga wajib disesuaikan + PPN</t>
    </r>
  </si>
  <si>
    <r>
      <rPr>
        <b/>
        <sz val="10"/>
        <rFont val="Arial"/>
        <charset val="134"/>
      </rPr>
      <t>Laporan penjualan PPN 10 %</t>
    </r>
    <r>
      <rPr>
        <sz val="10"/>
        <rFont val="Arial"/>
        <charset val="134"/>
      </rPr>
      <t xml:space="preserve"> untuk </t>
    </r>
    <r>
      <rPr>
        <b/>
        <sz val="10"/>
        <rFont val="Arial"/>
        <charset val="134"/>
      </rPr>
      <t>Harga (unit)</t>
    </r>
    <r>
      <rPr>
        <sz val="10"/>
        <rFont val="Arial"/>
        <charset val="134"/>
      </rPr>
      <t xml:space="preserve"> diisi manual sesuai harga menu price sebelum tambah PPN</t>
    </r>
  </si>
  <si>
    <t xml:space="preserve">Laporan admin terbaru terdapat 4 laporan penjualan (LP) yaitu LP Penjualan Reguler, LP Gofood, LP Grabfood dan LP Shopee food. Apabila store tidak ada penjualan via online atau hanya salah satu yang ada, maka LP yang lain/yang tidak dipakai TIDAK BOLEH DIHAPUS (CUKUP KOSONGKAN SAJA)                                                                               </t>
  </si>
  <si>
    <t>Laporan penjualan hasil print out menjadi 3 lembar/disesuaikan dengan ukuran yang layak agar dapat dibaca dan dikoreksi</t>
  </si>
  <si>
    <t>Apabila dalam laporan LP kolom yang disediakan kurang karena penambahan produk baru, supervisor bisa konfirm ke Area Manger untuk segera diteruskan dan di follow up/atau di perbaiki oleh team TC</t>
  </si>
  <si>
    <t>8.</t>
  </si>
  <si>
    <r>
      <rPr>
        <sz val="10"/>
        <rFont val="Arial"/>
        <charset val="134"/>
      </rPr>
      <t xml:space="preserve">Apabila saat pengerjaan laporan menemukan kendala pada rumus seperti Reff!, solusi awal bisa dilakukan </t>
    </r>
    <r>
      <rPr>
        <i/>
        <sz val="10"/>
        <rFont val="Arial"/>
        <charset val="134"/>
      </rPr>
      <t>undo typing</t>
    </r>
    <r>
      <rPr>
        <sz val="10"/>
        <rFont val="Arial"/>
        <charset val="134"/>
      </rPr>
      <t xml:space="preserve"> </t>
    </r>
    <r>
      <rPr>
        <b/>
        <sz val="10"/>
        <rFont val="Arial"/>
        <charset val="134"/>
      </rPr>
      <t xml:space="preserve">(ctrl + Z) </t>
    </r>
    <r>
      <rPr>
        <sz val="10"/>
        <rFont val="Arial"/>
        <charset val="134"/>
      </rPr>
      <t xml:space="preserve">untuk mengembalikan kesalahan saat pengerjaan atau bisa dengan menutup file pengerjaan laporan dan untuk tidak di simpan atau </t>
    </r>
    <r>
      <rPr>
        <i/>
        <sz val="10"/>
        <rFont val="Arial"/>
        <charset val="134"/>
      </rPr>
      <t>don't save</t>
    </r>
    <r>
      <rPr>
        <sz val="10"/>
        <rFont val="Arial"/>
        <charset val="134"/>
      </rPr>
      <t xml:space="preserve"> pada laporan tersebut. Apabila laporan masih </t>
    </r>
    <r>
      <rPr>
        <i/>
        <sz val="10"/>
        <rFont val="Arial"/>
        <charset val="134"/>
      </rPr>
      <t>erorr</t>
    </r>
    <r>
      <rPr>
        <sz val="10"/>
        <rFont val="Arial"/>
        <charset val="134"/>
      </rPr>
      <t xml:space="preserve"> supervisor bisa konfirm team TC agar dapat dibantu perbaiki laporan yang </t>
    </r>
    <r>
      <rPr>
        <i/>
        <sz val="10"/>
        <rFont val="Arial"/>
        <charset val="134"/>
      </rPr>
      <t>error</t>
    </r>
    <r>
      <rPr>
        <sz val="10"/>
        <rFont val="Arial"/>
        <charset val="134"/>
      </rPr>
      <t xml:space="preserve"> atau tidak sesuai</t>
    </r>
  </si>
  <si>
    <t>9.</t>
  </si>
  <si>
    <t>Sheet food cost per item dibuat untuk acuan cara pengerjaan/mencari food cost pada setiap menu. Food cost item per paket supervisor bisa modifikasi dengan acuan hitungan yang sudah ada sesuai dengan komposisi paket dan kelas masing - masing</t>
  </si>
  <si>
    <t>10.</t>
  </si>
  <si>
    <t>Apabila pada setiap format laporan mengharuskan adanya penambahan kolom, supervisor bisa menyampaikan kepada Area Manager untuk diteruskan ke team TC agar segera di follow up</t>
  </si>
  <si>
    <t>11.</t>
  </si>
  <si>
    <t>Supervisor dapat memodifikasi laporan pada kolom - kolom yang tidak dikunci oleh team TC dengan catatan tidak untuk merubah rumus yang sudah ada yang akan mempengaruhi hasil penghitungan</t>
  </si>
  <si>
    <t>12.</t>
  </si>
  <si>
    <t>Supervisor harus tetap memperhatikan hasil print out dari laporan - laporan yang sudah dikerjakan untuk melakukan pengecekan dari ukuran kertas, ukuran tulisan dan skala print out dan diperhatikan tulisan kiranya dapat dibaca dengan jelas atau tidaknya sebelum dikirim ke kantor dan dicek oleh team acoounting</t>
  </si>
  <si>
    <t xml:space="preserve">TO/TI PERKEDEL MANUAL TIDAK TERUMUS PENGERJAAN SECARA MANUAL </t>
  </si>
  <si>
    <t>PENCATATAN UNIT CABAI RAWIT PADA KOLOM VENDOR ADALAH GRAMASI CABAI YANG SUDAH DIPETIK (CABAI TANPA TANGKAI)</t>
  </si>
  <si>
    <t>SOP PENGERJAAN ADMINISTRASI STORE</t>
  </si>
  <si>
    <t>Pembelian paper polos seperti tutup cup minum polos/karakter, kertas KFC/kertas minyak (kertas warna coklat), kantong kertas ayam/burger, cup saos/cup pudding/cup 35ml, cover nasi polos tidak diperbolehkan beli dari luar warehouse RC dengan alasan apapun (NB : untuk plastik jumbo polos selama warehouse belum tersedia, masih ada toleransi untuk beli di luar)</t>
  </si>
  <si>
    <r>
      <rPr>
        <sz val="12"/>
        <rFont val="Times New Roman"/>
        <charset val="134"/>
      </rPr>
      <t xml:space="preserve">Reimburse pulsa store (Rp 40.000) harus disertai </t>
    </r>
    <r>
      <rPr>
        <i/>
        <sz val="12"/>
        <rFont val="Times New Roman"/>
        <charset val="134"/>
      </rPr>
      <t>screenshoot</t>
    </r>
    <r>
      <rPr>
        <sz val="12"/>
        <rFont val="Times New Roman"/>
        <charset val="134"/>
      </rPr>
      <t>-an SMS masuk pulsa tersebut/nota asli dari counter dan harus tertera nomor yang diisi pulsa tersebut yaitu nomor store</t>
    </r>
  </si>
  <si>
    <t>Standarisasi nota adalah harus tertera tanggal, nama toko barang/item yang dibeli dengan jelas (jika hanya tertera kode barang, harap dituliskan dengan jelas barang tersebut) disertai stempel dan nomor HP toko, tanda tangan dan nama SPV</t>
  </si>
  <si>
    <r>
      <rPr>
        <sz val="7"/>
        <rFont val="Times New Roman"/>
        <charset val="134"/>
      </rPr>
      <t xml:space="preserve"> </t>
    </r>
    <r>
      <rPr>
        <sz val="12"/>
        <rFont val="Times New Roman"/>
        <charset val="134"/>
      </rPr>
      <t>Transport pesanan/klaim free pesanan harus melampirkan nota pesanan dan struk postingan pesanan tersebut</t>
    </r>
  </si>
  <si>
    <t>Untuk vitamin, tidak diperbolehkan (yang termasuk ke dalam P3K adalah obat-obatan untuk kecelakaan yang terjadi saat di store, misalnya luka bakar/luka terkena pisau)</t>
  </si>
  <si>
    <r>
      <rPr>
        <sz val="12"/>
        <rFont val="Times New Roman"/>
        <charset val="134"/>
      </rPr>
      <t xml:space="preserve">Gunting kuku, cukur kumis, semir sepatu, sisir (keperluan pribadi) dan lain-lain atau peralatan yang digunakan untuk penunjang kerapihan penampilan karyawan tidak diperbolehkan reimburst store </t>
    </r>
    <r>
      <rPr>
        <b/>
        <sz val="12"/>
        <rFont val="Times New Roman"/>
        <charset val="134"/>
      </rPr>
      <t>(tunjangan penampilan sudah tertera pada gaji)</t>
    </r>
  </si>
  <si>
    <r>
      <rPr>
        <sz val="12"/>
        <rFont val="Times New Roman"/>
        <charset val="134"/>
      </rPr>
      <t xml:space="preserve">All administrasi staff (LKK, STOCK CONTROL, MCC, LO) dan all administrasi supervisor yang dikirim ke kantor </t>
    </r>
    <r>
      <rPr>
        <b/>
        <sz val="12"/>
        <rFont val="Times New Roman"/>
        <charset val="134"/>
      </rPr>
      <t xml:space="preserve">wajib </t>
    </r>
    <r>
      <rPr>
        <sz val="12"/>
        <rFont val="Times New Roman"/>
        <charset val="134"/>
      </rPr>
      <t>dikroscek dan diparaf supervisor</t>
    </r>
  </si>
  <si>
    <t>All laporan sebelum dikirim ke kantor/accounting, supervisor wajib kroscek form laporan-laporan dari kelengkapan form laporan, ukuran font dan kerapihan cetak/print laporan</t>
  </si>
  <si>
    <t xml:space="preserve">BAHAN BAKU TELUR DAN CABAI RAWIT DI VENDOR TIDAK LAGI MASUK KEDALAM BAHAN NASGOR </t>
  </si>
  <si>
    <t xml:space="preserve">  </t>
  </si>
  <si>
    <t xml:space="preserve"> </t>
  </si>
  <si>
    <t>WEEKLY / MONTHLY INVENTORI</t>
  </si>
  <si>
    <t>Cabang    :</t>
  </si>
  <si>
    <t>Periode    :</t>
  </si>
  <si>
    <t>NO</t>
  </si>
  <si>
    <t>BAHAN</t>
  </si>
  <si>
    <t>UNIT</t>
  </si>
  <si>
    <t>QTY</t>
  </si>
  <si>
    <t>PRICE</t>
  </si>
  <si>
    <t>TOTAL (Rp)</t>
  </si>
  <si>
    <t>I</t>
  </si>
  <si>
    <t>BAHAN AYAM</t>
  </si>
  <si>
    <t>DADA MENTOK</t>
  </si>
  <si>
    <t>PCS</t>
  </si>
  <si>
    <t xml:space="preserve">DADA </t>
  </si>
  <si>
    <t>PAHA ATAS</t>
  </si>
  <si>
    <t>PAHA BAWAH</t>
  </si>
  <si>
    <t>SAYAP</t>
  </si>
  <si>
    <t>PRINT LEMBAR 1</t>
  </si>
  <si>
    <t>CHICKEN PATTY</t>
  </si>
  <si>
    <t>SAYAP TANPA KOLAR</t>
  </si>
  <si>
    <t>PATTY BEEF</t>
  </si>
  <si>
    <t>BEEF STEAK</t>
  </si>
  <si>
    <t>DADA MENTOK TAKJIL</t>
  </si>
  <si>
    <t>DADA TAKJIL</t>
  </si>
  <si>
    <t>PAHA ATAS TAKJIL</t>
  </si>
  <si>
    <t>PAHA BAWAH TAKJIL</t>
  </si>
  <si>
    <t>SAYAP TAKJIL</t>
  </si>
  <si>
    <t>AYAM UTUH</t>
  </si>
  <si>
    <t>EKOR</t>
  </si>
  <si>
    <t>JUMLAH</t>
  </si>
  <si>
    <t>II</t>
  </si>
  <si>
    <t>BAHAN PELENGKAP</t>
  </si>
  <si>
    <t xml:space="preserve">VEGETABLE MIX </t>
  </si>
  <si>
    <t>KG</t>
  </si>
  <si>
    <t>BERAS</t>
  </si>
  <si>
    <t>FRENCH FRIES</t>
  </si>
  <si>
    <t>ROTI BURGER</t>
  </si>
  <si>
    <t>SOSIS</t>
  </si>
  <si>
    <t>PERKEDEL</t>
  </si>
  <si>
    <t>CRINKLE</t>
  </si>
  <si>
    <t xml:space="preserve">NUGGET COIN </t>
  </si>
  <si>
    <t>NUGGET STICK</t>
  </si>
  <si>
    <t>SOSIS MINI JUMBO</t>
  </si>
  <si>
    <t xml:space="preserve">INDOMIE GORENG </t>
  </si>
  <si>
    <t>PACK</t>
  </si>
  <si>
    <t>KERUPUK UDANG</t>
  </si>
  <si>
    <t>BUN BURGER BEEF</t>
  </si>
  <si>
    <t>CHEESE UNTUK BEEF</t>
  </si>
  <si>
    <t>BAHAN ROTI</t>
  </si>
  <si>
    <t>SLICED CHEESE</t>
  </si>
  <si>
    <t>KEJU BATANG (170 GR )</t>
  </si>
  <si>
    <t xml:space="preserve">TEPUNG ROTI </t>
  </si>
  <si>
    <t>CUKA DIXI 150 ML</t>
  </si>
  <si>
    <t>BOTOL</t>
  </si>
  <si>
    <t>BAWANG BOMBAY</t>
  </si>
  <si>
    <t>DRESSING BURGER</t>
  </si>
  <si>
    <t>RESEP</t>
  </si>
  <si>
    <t xml:space="preserve">   </t>
  </si>
  <si>
    <t>MARGARINE (200 GR )</t>
  </si>
  <si>
    <t>TOMAT</t>
  </si>
  <si>
    <t>ROTI TAWAR</t>
  </si>
  <si>
    <t>SELADA</t>
  </si>
  <si>
    <t>GULA HALUS 250 GR</t>
  </si>
  <si>
    <t>SUSU ULTRA (250 ML )</t>
  </si>
  <si>
    <t>JML BAHAN ROTI</t>
  </si>
  <si>
    <t>III</t>
  </si>
  <si>
    <t>BAHAN ES</t>
  </si>
  <si>
    <t>PRINT LEMBAR 2</t>
  </si>
  <si>
    <t>GULA PASIR</t>
  </si>
  <si>
    <t>ICE CREAM ROCKET</t>
  </si>
  <si>
    <t>CUP</t>
  </si>
  <si>
    <t>ICE CREAM EMBER</t>
  </si>
  <si>
    <t>PAIL</t>
  </si>
  <si>
    <t xml:space="preserve">BAHAN ES </t>
  </si>
  <si>
    <t>SUSU PUTIH</t>
  </si>
  <si>
    <t>KLG</t>
  </si>
  <si>
    <t xml:space="preserve">AIR GALON </t>
  </si>
  <si>
    <t>GLN</t>
  </si>
  <si>
    <t>ES BATU</t>
  </si>
  <si>
    <t>SIMPLE SYRUP</t>
  </si>
  <si>
    <t>LTR</t>
  </si>
  <si>
    <t xml:space="preserve">GULA AREN </t>
  </si>
  <si>
    <t>NESTLE CARNATION (SKM)</t>
  </si>
  <si>
    <t xml:space="preserve">JUMLAH BAHAN ES </t>
  </si>
  <si>
    <t>TOTAL LEMBAR 1</t>
  </si>
  <si>
    <t>IV</t>
  </si>
  <si>
    <t>BAHAN MINUMAN</t>
  </si>
  <si>
    <t>TEH BOTOL SOSRO (TBS)</t>
  </si>
  <si>
    <t>TEH SOSRO POUCH (TBO)</t>
  </si>
  <si>
    <t>FRUIT TEA BOTOL</t>
  </si>
  <si>
    <t>FRUIT TEA POUCH (FTG)</t>
  </si>
  <si>
    <t>TEBS</t>
  </si>
  <si>
    <t>AIR MINERAL BOTOL (AMB)</t>
  </si>
  <si>
    <t>AIR MINERAL CUP (AMC)</t>
  </si>
  <si>
    <t>MILO</t>
  </si>
  <si>
    <t>NESTEA</t>
  </si>
  <si>
    <t>ORANGE</t>
  </si>
  <si>
    <t>BUAH FROZEN JAMBU</t>
  </si>
  <si>
    <t>BUAH FROZEN MELON</t>
  </si>
  <si>
    <t>BUAH FROZEN STRAWBERRY</t>
  </si>
  <si>
    <t>BUAH FROZEN SIRSAK</t>
  </si>
  <si>
    <t>BUAH FROZEN MANGGA</t>
  </si>
  <si>
    <t>BUAH FROZEN DURIAN</t>
  </si>
  <si>
    <t>TEH POCI KUNING / VANILA</t>
  </si>
  <si>
    <t>MILK SHAKE COKLAT</t>
  </si>
  <si>
    <t>MILK SHAKE CAPPUCINO</t>
  </si>
  <si>
    <t>MILK SHAKE MANGGA</t>
  </si>
  <si>
    <t>MILK SHAKE STRAWBERRY</t>
  </si>
  <si>
    <t>STEE</t>
  </si>
  <si>
    <t>THAI GREEN TEA</t>
  </si>
  <si>
    <t>RED VALVET</t>
  </si>
  <si>
    <t>MILKY MANGGO</t>
  </si>
  <si>
    <t>AIR MINERAL BOTOL (AMB) 330 ML</t>
  </si>
  <si>
    <t xml:space="preserve">TEH RC </t>
  </si>
  <si>
    <t>TEH BOTOL 1 LITER</t>
  </si>
  <si>
    <t>V</t>
  </si>
  <si>
    <t>BAHAN PEMBUNGKUS</t>
  </si>
  <si>
    <t>PLASTIK JAGUNG</t>
  </si>
  <si>
    <t>PRINT LEMBAR 3</t>
  </si>
  <si>
    <t xml:space="preserve">PLASTIK SEDANG </t>
  </si>
  <si>
    <t xml:space="preserve">PLASTIK KECIL </t>
  </si>
  <si>
    <t xml:space="preserve">PLASTIK JUMBO </t>
  </si>
  <si>
    <t>SEDOTAN PLASTIK</t>
  </si>
  <si>
    <t xml:space="preserve">ALAS BOX NASI </t>
  </si>
  <si>
    <t>LBR</t>
  </si>
  <si>
    <t>BOX NASI ROCKET</t>
  </si>
  <si>
    <t>BOX CATERING (KARDUS)</t>
  </si>
  <si>
    <t>BOX MIE</t>
  </si>
  <si>
    <t xml:space="preserve">BOX STEAK / NASGOR </t>
  </si>
  <si>
    <t>COVER NASI BRANDING</t>
  </si>
  <si>
    <t>COVER BURGER</t>
  </si>
  <si>
    <t>COVER NASGOR</t>
  </si>
  <si>
    <t>CUP SEALER</t>
  </si>
  <si>
    <t>ROLL</t>
  </si>
  <si>
    <t>SENDOK PLASTIK</t>
  </si>
  <si>
    <t>TISSUE</t>
  </si>
  <si>
    <t>KANTONG KERTAS ROCKET</t>
  </si>
  <si>
    <t>CUP MINUM ROCKET</t>
  </si>
  <si>
    <t xml:space="preserve">PAPER PLATE </t>
  </si>
  <si>
    <t xml:space="preserve">PAPER FRENCH FRIES </t>
  </si>
  <si>
    <t>PLASTIK KLIP BESAR (SAYUR)</t>
  </si>
  <si>
    <t>PLASTIK KLIP KECIL (TIMUN/MIX VEG)</t>
  </si>
  <si>
    <t>PLASTIK KLIP SEDANG (SAOS STEAK )</t>
  </si>
  <si>
    <t>PLASTIK JUMBO POLOS AYAM UTUH</t>
  </si>
  <si>
    <t xml:space="preserve">CUP SAMBAL </t>
  </si>
  <si>
    <t>CUP PUDING 100 ML (STEAK )</t>
  </si>
  <si>
    <t>CUP PUDING 150 ML (AYAM UTUH)</t>
  </si>
  <si>
    <t>BOX AYAM UTUH</t>
  </si>
  <si>
    <t>BOX BERKAH</t>
  </si>
  <si>
    <t xml:space="preserve">BOX BUCKET </t>
  </si>
  <si>
    <t>TUSUK GIGI</t>
  </si>
  <si>
    <t>PLASTIK WRAPPING</t>
  </si>
  <si>
    <t>SENDOK ES CREAM</t>
  </si>
  <si>
    <t>HAND GLOVES</t>
  </si>
  <si>
    <t>CABLE TIES</t>
  </si>
  <si>
    <t>CUP FF</t>
  </si>
  <si>
    <t>IPPER BAG</t>
  </si>
  <si>
    <t>CUP MILKY</t>
  </si>
  <si>
    <t>VI</t>
  </si>
  <si>
    <t>BAHAN MINYAK</t>
  </si>
  <si>
    <t>MINYAK GORENG</t>
  </si>
  <si>
    <t>MINYAK KALENG</t>
  </si>
  <si>
    <t>VII</t>
  </si>
  <si>
    <t>BAHAN GROCERIES / BUMBU</t>
  </si>
  <si>
    <t>Peck</t>
  </si>
  <si>
    <t>Kg</t>
  </si>
  <si>
    <t>Btl</t>
  </si>
  <si>
    <t>Rso</t>
  </si>
  <si>
    <t>Jrg</t>
  </si>
  <si>
    <t>Pcs</t>
  </si>
  <si>
    <t>Klg</t>
  </si>
  <si>
    <t>Gr</t>
  </si>
  <si>
    <t>SUB TOTAL</t>
  </si>
  <si>
    <t>GRAND TOTAL</t>
  </si>
  <si>
    <t>Lbr</t>
  </si>
  <si>
    <t>Tab</t>
  </si>
  <si>
    <t>Glg</t>
  </si>
  <si>
    <t>Dus</t>
  </si>
  <si>
    <t>Total Lembar 1</t>
  </si>
  <si>
    <t>BAHAN SAYUR LAIN</t>
  </si>
  <si>
    <t>BAHAN PERKEDEL</t>
  </si>
  <si>
    <t>KENTANG SAYUR</t>
  </si>
  <si>
    <t>VETSIN</t>
  </si>
  <si>
    <t>GARAM (250 GR)</t>
  </si>
  <si>
    <t>LADA (4 GR)</t>
  </si>
  <si>
    <t xml:space="preserve">DAUN SELEDRI </t>
  </si>
  <si>
    <t>BAWANG PUTIH</t>
  </si>
  <si>
    <t>BAWANG MERAH</t>
  </si>
  <si>
    <t>JUMLAH BAHAN PERKEDEL</t>
  </si>
  <si>
    <t>BAHAN NASGOR</t>
  </si>
  <si>
    <t>PRINT LEMBAR 4</t>
  </si>
  <si>
    <t>DAUN BAWANG</t>
  </si>
  <si>
    <t>CABE MERAH BESAR/TEROPONG</t>
  </si>
  <si>
    <t>TIMUN</t>
  </si>
  <si>
    <t>KECAP</t>
  </si>
  <si>
    <t>JERUK NIPIS</t>
  </si>
  <si>
    <t>SERAI</t>
  </si>
  <si>
    <t>DAUN JERUK</t>
  </si>
  <si>
    <t>SAMBAL GEPREK</t>
  </si>
  <si>
    <t>SAMBAL MATAH</t>
  </si>
  <si>
    <t>SAMBAL TERASI</t>
  </si>
  <si>
    <t>CABAI MERAH KRITING</t>
  </si>
  <si>
    <t>JUMLAH BAHAN NASGOR</t>
  </si>
  <si>
    <t>TELUR</t>
  </si>
  <si>
    <t>BUTIR</t>
  </si>
  <si>
    <t>CABE RAWIT MERAH PETIK</t>
  </si>
  <si>
    <t>CABE RAWIT HIJAU PETIK</t>
  </si>
  <si>
    <t>MARINADE 1000 GR</t>
  </si>
  <si>
    <t>TEPUNG BRIDER 500 GR</t>
  </si>
  <si>
    <t>BUTTER MIX</t>
  </si>
  <si>
    <t>P. STEAK</t>
  </si>
  <si>
    <t>P. NASGOR</t>
  </si>
  <si>
    <t>MAYONAISE</t>
  </si>
  <si>
    <t>T. KENTANG</t>
  </si>
  <si>
    <t>TEPUNG CAKRA</t>
  </si>
  <si>
    <t>SAMBAL JERIGEN</t>
  </si>
  <si>
    <t>JRG</t>
  </si>
  <si>
    <t>TOMATO JERIGEN</t>
  </si>
  <si>
    <t>SAMBAL SACHET</t>
  </si>
  <si>
    <t>TOMATO SACHET</t>
  </si>
  <si>
    <t>LEVEL 1</t>
  </si>
  <si>
    <t>LEVEL 2</t>
  </si>
  <si>
    <t>CHEESE MELT 100 GR</t>
  </si>
  <si>
    <t>PREMIK SAMBAL TERASI</t>
  </si>
  <si>
    <t>P. GEPREK</t>
  </si>
  <si>
    <t>P. SAMBAL MATAH</t>
  </si>
  <si>
    <t>P. PERKEDEL</t>
  </si>
  <si>
    <t>P. PATTY</t>
  </si>
  <si>
    <t>BUMBU KRIUK (BIANG BREADER)</t>
  </si>
  <si>
    <t>TOMAT POUCH</t>
  </si>
  <si>
    <t>SAMBAL POUCH</t>
  </si>
  <si>
    <t>MAIZENA</t>
  </si>
  <si>
    <t>CHILLI POWDER</t>
  </si>
  <si>
    <t>DAUN BAYAM</t>
  </si>
  <si>
    <t xml:space="preserve">P. GREEN CRISPY </t>
  </si>
  <si>
    <t xml:space="preserve">BRIDER HOT SPICY </t>
  </si>
  <si>
    <t>TOTAL LEMBAR 2</t>
  </si>
  <si>
    <t>TOTAL FOOD DAN PAPER</t>
  </si>
  <si>
    <t>TOTAL FOOD</t>
  </si>
  <si>
    <t>TOTAL PAPER</t>
  </si>
  <si>
    <t>BIAYA</t>
  </si>
  <si>
    <t>VIII</t>
  </si>
  <si>
    <t>PROMO</t>
  </si>
  <si>
    <t xml:space="preserve">BALON </t>
  </si>
  <si>
    <t>UNDANGAN</t>
  </si>
  <si>
    <t>MOBIL - MOBILAN (PAKET PROMO)</t>
  </si>
  <si>
    <t>TOPI ULTAH</t>
  </si>
  <si>
    <t>TELUR CATERING STAFF</t>
  </si>
  <si>
    <t>TOTAL</t>
  </si>
  <si>
    <t>IX</t>
  </si>
  <si>
    <t>GAS</t>
  </si>
  <si>
    <t>GAS ELPIJI</t>
  </si>
  <si>
    <t>TAB</t>
  </si>
  <si>
    <t>GAS FIRE TORCH</t>
  </si>
  <si>
    <t>X</t>
  </si>
  <si>
    <t>PEMBERSIH</t>
  </si>
  <si>
    <t>PEMBERSIH KACA</t>
  </si>
  <si>
    <t>SABUN TANGAN</t>
  </si>
  <si>
    <t>SABUN LANTAI</t>
  </si>
  <si>
    <t>PENCUCI PIRING</t>
  </si>
  <si>
    <t>GLOSSY</t>
  </si>
  <si>
    <t>PEMBERSIH MEJA</t>
  </si>
  <si>
    <t>PLASTIK SAMPAH</t>
  </si>
  <si>
    <t>DETERJEN</t>
  </si>
  <si>
    <t>KARBOL</t>
  </si>
  <si>
    <t>HARPIC</t>
  </si>
  <si>
    <t>BAYCLIN 500ML</t>
  </si>
  <si>
    <t>BAYGON</t>
  </si>
  <si>
    <t>STELLA MATIC</t>
  </si>
  <si>
    <t>SPONS</t>
  </si>
  <si>
    <t>SABUT</t>
  </si>
  <si>
    <t>SIKAT</t>
  </si>
  <si>
    <t>XI</t>
  </si>
  <si>
    <t>ATK</t>
  </si>
  <si>
    <t>NOTA PESANAN</t>
  </si>
  <si>
    <t>ISOLASI</t>
  </si>
  <si>
    <t>STRUK REGISTER</t>
  </si>
  <si>
    <t xml:space="preserve">NOTA TULIS </t>
  </si>
  <si>
    <t xml:space="preserve">  NAMA BAHAN BAKU TIDAK BOLEH DIUBAH ATAU DI HAPUS, APABILA ADA PENAMBAHAN PRODUK DAPAT DI ISI DI KOLOM KOSONG </t>
  </si>
  <si>
    <t>PARAF SUPERVISOR</t>
  </si>
  <si>
    <t>(                                               )</t>
  </si>
  <si>
    <t>NOTE :</t>
  </si>
  <si>
    <t>1. SELECT BAGIAN YANG AKAN DIPRINT</t>
  </si>
  <si>
    <r>
      <rPr>
        <sz val="10"/>
        <rFont val="Calibri"/>
        <charset val="134"/>
      </rPr>
      <t>2. SETELAH ITU PILIH</t>
    </r>
    <r>
      <rPr>
        <b/>
        <sz val="10"/>
        <rFont val="Calibri"/>
        <charset val="134"/>
      </rPr>
      <t xml:space="preserve"> </t>
    </r>
    <r>
      <rPr>
        <b/>
        <sz val="10"/>
        <color indexed="10"/>
        <rFont val="Calibri"/>
        <charset val="134"/>
      </rPr>
      <t>FILE =&gt; PRINT</t>
    </r>
  </si>
  <si>
    <t>3. PADA BAGIAN SETTINGS ATUR SEBAGAI BERIKUT :</t>
  </si>
  <si>
    <t xml:space="preserve">    - PILIH PRINT SELECTION</t>
  </si>
  <si>
    <t xml:space="preserve">    - LANDSCAPE ORIENTATION</t>
  </si>
  <si>
    <t xml:space="preserve">    - SESUAIKAN UKURAN KERTAS YANG AKAN DIPRINT, A4/F4</t>
  </si>
  <si>
    <t xml:space="preserve">    - ATUR MARGIN SEBAGAI BERIKUT :</t>
  </si>
  <si>
    <t xml:space="preserve">       - TOP : 1</t>
  </si>
  <si>
    <t xml:space="preserve">       - RIGHT : 0,3 - 1</t>
  </si>
  <si>
    <t xml:space="preserve">       - LEFT : 0,3</t>
  </si>
  <si>
    <t xml:space="preserve">       - BOTTOM : 0,3</t>
  </si>
  <si>
    <t xml:space="preserve">    - LALU PILIH FIT ALL COLUMNS ON ONE PAGE</t>
  </si>
  <si>
    <t>#  HASIL  PRINT WEKLLY JADI 5 LEMBAR.</t>
  </si>
  <si>
    <t>LAPORAN PEMBELIAN BAHAN ( KREDIT )</t>
  </si>
  <si>
    <t>CABANG</t>
  </si>
  <si>
    <t>:</t>
  </si>
  <si>
    <t>PERIODE</t>
  </si>
  <si>
    <t>TANGGAL</t>
  </si>
  <si>
    <t>NAMA SUPLIER</t>
  </si>
  <si>
    <t>NAMA BAHAN</t>
  </si>
  <si>
    <t>NOMOR</t>
  </si>
  <si>
    <t>HARGA</t>
  </si>
  <si>
    <t>LAMA</t>
  </si>
  <si>
    <t>FAKTUR</t>
  </si>
  <si>
    <t>( UNIT )</t>
  </si>
  <si>
    <t>KREDIT</t>
  </si>
  <si>
    <t>JATUH TEMPO</t>
  </si>
  <si>
    <t>DIBAYAR</t>
  </si>
  <si>
    <t>PT CIOMAS ADISATWA</t>
  </si>
  <si>
    <t>MENTOK</t>
  </si>
  <si>
    <t>DADA</t>
  </si>
  <si>
    <t>PT SINAR GOWA SUKSES</t>
  </si>
  <si>
    <t>PRIMA BOTOL</t>
  </si>
  <si>
    <t>STEE KOTAK</t>
  </si>
  <si>
    <t>TEH BOTOL 220ML</t>
  </si>
  <si>
    <t>TEH BOTOL 250ML</t>
  </si>
  <si>
    <t>TEH BOTOL 1 LTR</t>
  </si>
  <si>
    <t>FRUITEA</t>
  </si>
  <si>
    <t>PT ROCKET CHICKEN INDONESIA</t>
  </si>
  <si>
    <t>MARINASI</t>
  </si>
  <si>
    <t>CELEBES RICE</t>
  </si>
  <si>
    <t>CV SUKSES BERSAMA</t>
  </si>
  <si>
    <t>SAOS CHILI</t>
  </si>
  <si>
    <t>SAOS TOMAT</t>
  </si>
  <si>
    <t>CHILI JRG</t>
  </si>
  <si>
    <t>PT MITRA ABADIJAYA SUKSES</t>
  </si>
  <si>
    <t>TEPUNG GERBANG</t>
  </si>
  <si>
    <t>Paraf Supervisor</t>
  </si>
  <si>
    <t xml:space="preserve">       - RIGHT : 0,3 </t>
  </si>
  <si>
    <t>LAPORAN PENGELUARAN KAS KECIL</t>
  </si>
  <si>
    <t>CABANG :</t>
  </si>
  <si>
    <t>RC SAMATA GOWA</t>
  </si>
  <si>
    <t>PERIODE :</t>
  </si>
  <si>
    <t>8-14 JANUARI 2025</t>
  </si>
  <si>
    <t>TGL</t>
  </si>
  <si>
    <t xml:space="preserve">BAHAN </t>
  </si>
  <si>
    <t>MINYAK</t>
  </si>
  <si>
    <t xml:space="preserve">GROCERIES / </t>
  </si>
  <si>
    <t>TRANSPORT</t>
  </si>
  <si>
    <t>FOTO COPY /</t>
  </si>
  <si>
    <t>NO ACC</t>
  </si>
  <si>
    <t>LAIN - LAIN</t>
  </si>
  <si>
    <t xml:space="preserve">SALDO </t>
  </si>
  <si>
    <t>NOTA</t>
  </si>
  <si>
    <t>AYAM</t>
  </si>
  <si>
    <t>PELENGKAP</t>
  </si>
  <si>
    <t>ES</t>
  </si>
  <si>
    <t>MINUMAN</t>
  </si>
  <si>
    <t>PEMBUNGKUS</t>
  </si>
  <si>
    <t>GORENG</t>
  </si>
  <si>
    <t>BUMBU</t>
  </si>
  <si>
    <t>( Rp )</t>
  </si>
  <si>
    <t>KETERANGAN</t>
  </si>
  <si>
    <t>TRANSFER OWNER CASH</t>
  </si>
  <si>
    <t>XL PRABAYAR</t>
  </si>
  <si>
    <t>WIFI</t>
  </si>
  <si>
    <t>TOKEN LISTRIK</t>
  </si>
  <si>
    <t>SAYURAN</t>
  </si>
  <si>
    <t>TF OWNER GOFOOD</t>
  </si>
  <si>
    <t>TF OWNER GRAB FOOD</t>
  </si>
  <si>
    <t>TF OWNER SHOPEE FOOD'</t>
  </si>
  <si>
    <t>TF OWNER QRIS</t>
  </si>
  <si>
    <t>ADMIN OVO</t>
  </si>
  <si>
    <t>BAHAN PATTY</t>
  </si>
  <si>
    <t xml:space="preserve">SAYURAN/TELUR </t>
  </si>
  <si>
    <t>PRINT</t>
  </si>
  <si>
    <t>ADMINOVO</t>
  </si>
  <si>
    <t>RENOVASI DAPUR</t>
  </si>
  <si>
    <t>AIR GALON</t>
  </si>
  <si>
    <t>IURAN SAMPAH</t>
  </si>
  <si>
    <t>PRINT/MATERAI 9 LBR</t>
  </si>
  <si>
    <t>KIRIM LAPORAN</t>
  </si>
  <si>
    <t>LISTRIK</t>
  </si>
  <si>
    <t>BAHAN ROTI/GULA/MINYAK/PEMBERSIH</t>
  </si>
  <si>
    <t>GAS 2</t>
  </si>
  <si>
    <t>SABUN CUCI PIRING</t>
  </si>
  <si>
    <t>PERTALITE</t>
  </si>
  <si>
    <t>SAYURAN TELUR</t>
  </si>
  <si>
    <t>BPJS KETENAGAKERJAAN</t>
  </si>
  <si>
    <t>MARGARIN, KEJU, MINYAK, TISU</t>
  </si>
  <si>
    <t>BUDGET MEETING STAFF</t>
  </si>
  <si>
    <t>KABEL TIES</t>
  </si>
  <si>
    <t>CUP SAOS 35 ML</t>
  </si>
  <si>
    <t>PRINT+JILID</t>
  </si>
  <si>
    <t>KABEL POWER WARMER</t>
  </si>
  <si>
    <t>SONGNKET KABEL POWER</t>
  </si>
  <si>
    <t>SAYURAN CABE DLL</t>
  </si>
  <si>
    <t>TF OWNER GRABFOOD</t>
  </si>
  <si>
    <t>TF OWNER SHOPEEFOOD</t>
  </si>
  <si>
    <t>31/122025</t>
  </si>
  <si>
    <t>TOTAL PERIODE</t>
  </si>
  <si>
    <t xml:space="preserve">       - RIGHT : 0,3</t>
  </si>
  <si>
    <t>VENDOR REPORT</t>
  </si>
  <si>
    <t xml:space="preserve">RINCIAN PENCATATAN PEMBELIAN AYAM KREDIT </t>
  </si>
  <si>
    <t>TGL FAKTUR</t>
  </si>
  <si>
    <t>PEMAKAIAN</t>
  </si>
  <si>
    <t>PERSEDIAAN</t>
  </si>
  <si>
    <t>KHUSUS TO / TI ( - )</t>
  </si>
  <si>
    <t>KREDIT BARGUD</t>
  </si>
  <si>
    <t>KREDIT BAHAN BAKU</t>
  </si>
  <si>
    <t>KETERANGAN BAHAN</t>
  </si>
  <si>
    <t>MINGGU LALU</t>
  </si>
  <si>
    <t>AWAL</t>
  </si>
  <si>
    <t>C. PATTY / CATERING STAFF ( - )</t>
  </si>
  <si>
    <t>PEMBELIAN</t>
  </si>
  <si>
    <t>AKHIR</t>
  </si>
  <si>
    <t>MINGGU INI</t>
  </si>
  <si>
    <t>HARI</t>
  </si>
  <si>
    <t>DLM SATUAN</t>
  </si>
  <si>
    <t>KAMIS</t>
  </si>
  <si>
    <t>JUMAT</t>
  </si>
  <si>
    <t>SABTU</t>
  </si>
  <si>
    <t>MINGGU</t>
  </si>
  <si>
    <t>SENIN</t>
  </si>
  <si>
    <t>SELASA</t>
  </si>
  <si>
    <t>RABU</t>
  </si>
  <si>
    <t>PERKEDEL / BARGUD</t>
  </si>
  <si>
    <t>AYAM DLL</t>
  </si>
  <si>
    <t xml:space="preserve">HARI </t>
  </si>
  <si>
    <t>Rp</t>
  </si>
  <si>
    <t>Unit</t>
  </si>
  <si>
    <t>RP</t>
  </si>
  <si>
    <t xml:space="preserve">UNIT </t>
  </si>
  <si>
    <t>A</t>
  </si>
  <si>
    <t>Y</t>
  </si>
  <si>
    <t>M</t>
  </si>
  <si>
    <t>NB. RINCIAN PENCATATAN  PEMBELIAN AYAM KREDIT TIDAK PERLU DI PRINT</t>
  </si>
  <si>
    <t>P</t>
  </si>
  <si>
    <t>E</t>
  </si>
  <si>
    <t>L</t>
  </si>
  <si>
    <t>N</t>
  </si>
  <si>
    <t>G</t>
  </si>
  <si>
    <t>K</t>
  </si>
  <si>
    <t xml:space="preserve">ICE CREAM </t>
  </si>
  <si>
    <t>ICE CREAM  EMBER</t>
  </si>
  <si>
    <t>U</t>
  </si>
  <si>
    <t xml:space="preserve">    NB : PEMBELIAN AYAM CASH DIMASUKKAN MANUAL DAN PEMBELIAN AYAM KREDIT WAJIB DIISI DI KOLOM PEMBELIAN KREDIT KHUSUS AYAM DAN MARINADE</t>
  </si>
  <si>
    <t xml:space="preserve">    NB : KREDIT BARANG GUDANG, PEMAKAIAN MINGGU LALU ATAU PERSEDIAAN AWAL SERTA KOLOM TO/TI DI ISI SECARA MANUAL. TO DIBERI TANDA (- )</t>
  </si>
  <si>
    <t>KHUSUS TO/TI</t>
  </si>
  <si>
    <t>C. PATTY / 
CATERING STAFF</t>
  </si>
  <si>
    <t>B</t>
  </si>
  <si>
    <t>S</t>
  </si>
  <si>
    <t xml:space="preserve">TOTAL </t>
  </si>
  <si>
    <t>BAHAN NASGOR DLL</t>
  </si>
  <si>
    <t>R</t>
  </si>
  <si>
    <t>O</t>
  </si>
  <si>
    <t>C</t>
  </si>
  <si>
    <t>TOTAL LEMBAR KE 2</t>
  </si>
  <si>
    <t>SUB TOTAL LEMBAR 1 &amp; 2</t>
  </si>
  <si>
    <t>TOTAL PEM. FOOD KREDIT</t>
  </si>
  <si>
    <t>P. FOOD KREDIT</t>
  </si>
  <si>
    <t>TOTAL PEMAKAIAN</t>
  </si>
  <si>
    <t>TOTAL PEM. PAPER KREDIT</t>
  </si>
  <si>
    <t>P. PAPER KREDIT</t>
  </si>
  <si>
    <t>TOTAL PEM. FOOD CASH</t>
  </si>
  <si>
    <t>P. FOOD CASH</t>
  </si>
  <si>
    <t>TOTAL PEM. PAPER CASH</t>
  </si>
  <si>
    <t>P. PAPER CASH</t>
  </si>
  <si>
    <t>TOTAL  PENJ. BERSIH</t>
  </si>
  <si>
    <t xml:space="preserve">TO </t>
  </si>
  <si>
    <t>TI</t>
  </si>
  <si>
    <t>BALON</t>
  </si>
  <si>
    <t>KARTU UNDANGAN</t>
  </si>
  <si>
    <t>MOBIL - MOBILAN / MAINAN ( PAKET PROMO )</t>
  </si>
  <si>
    <t>NOTA TULIS</t>
  </si>
  <si>
    <t>OTHERS</t>
  </si>
  <si>
    <t>BAHAN PEMBERSIH</t>
  </si>
  <si>
    <t>FOTOCOPY &amp; ATK</t>
  </si>
  <si>
    <t>TRANSPORT EKSPEDISI BAHAN BAKU LUAR JAWA</t>
  </si>
  <si>
    <t>SETOR BANK OFFICE  (REGULER)</t>
  </si>
  <si>
    <t>SETOR BANK OFFICE  (FRANCHISE)</t>
  </si>
  <si>
    <t>SETOR OWNER</t>
  </si>
  <si>
    <t>TF VIA GO-JEK FOOD</t>
  </si>
  <si>
    <t>TF VIA GRAB FOOD</t>
  </si>
  <si>
    <t>TF VIA SHOPEE FOOD</t>
  </si>
  <si>
    <t>TF VIA QRIS</t>
  </si>
  <si>
    <t>ADMIN OVO / QRIS</t>
  </si>
  <si>
    <t>PRA-OPENING</t>
  </si>
  <si>
    <t>PROMO DIMUKA</t>
  </si>
  <si>
    <t>JAMINAN BOTOL (TBS)</t>
  </si>
  <si>
    <t>ASSET RENOV</t>
  </si>
  <si>
    <t>ASSET RENOVASI</t>
  </si>
  <si>
    <t>ASSET RESTO</t>
  </si>
  <si>
    <t>ASSET DAPUR</t>
  </si>
  <si>
    <t>PELUNASAN HUTANG - HUTANG</t>
  </si>
  <si>
    <t>INSENTIVE</t>
  </si>
  <si>
    <t>GAJI STAFF</t>
  </si>
  <si>
    <t>THR</t>
  </si>
  <si>
    <t>BPJS (KESEJAHTERAAN KARYAWAN)</t>
  </si>
  <si>
    <t>PERBAIKAN GEDUNG</t>
  </si>
  <si>
    <t>PERBAIKAN RESTO</t>
  </si>
  <si>
    <t>PERBAIKAN DAPUR</t>
  </si>
  <si>
    <t>PDAM</t>
  </si>
  <si>
    <t>TELEPON</t>
  </si>
  <si>
    <t>PAJAK RESTO/PARKIR</t>
  </si>
  <si>
    <t>IURAN  SAMPAH</t>
  </si>
  <si>
    <t>BUDGET MEETINGSTORE, AREA &amp;GC NOV 2025</t>
  </si>
  <si>
    <t xml:space="preserve">BUDGET SAMPAH NOV </t>
  </si>
  <si>
    <t>+</t>
  </si>
  <si>
    <t>TRANSFER IN    -----------</t>
  </si>
  <si>
    <t>-</t>
  </si>
  <si>
    <t>TRANSFER OUT   ---------</t>
  </si>
  <si>
    <t>TO. CATTERING STAFF</t>
  </si>
  <si>
    <t>TO. VOUCHER / PROMOSI</t>
  </si>
  <si>
    <t>SUB TOTAL PEMBELIAN</t>
  </si>
  <si>
    <t>NB.</t>
  </si>
  <si>
    <t>PENAMBAHAN BAHAN BAKU PADA KOLOM KETERANGAN BAHAN DI VENDOR BISA DITAMBAHKAN PADA LAPORAN WEEKLY SESUAI DENGAN PENGELOMPOKAN BAHAN BAKU.</t>
  </si>
  <si>
    <t>HASIL PRINT OUT VENDOR REPORT JADI 3 LEMBAR / 5 LEMBAR</t>
  </si>
  <si>
    <t>LAPORAN IKHTISAR FOOD COST</t>
  </si>
  <si>
    <t xml:space="preserve">CABANG : </t>
  </si>
  <si>
    <t xml:space="preserve">PERIODE: </t>
  </si>
  <si>
    <t>FOOD &amp; BEVERAGE</t>
  </si>
  <si>
    <t>PAPER</t>
  </si>
  <si>
    <t>PERSEDIAAN AWAL</t>
  </si>
  <si>
    <t>TRANSFER IN (+) =</t>
  </si>
  <si>
    <t>C. PATTY</t>
  </si>
  <si>
    <t>PERKEDEL MANUAL</t>
  </si>
  <si>
    <t>TOTAL TRANSFER IN</t>
  </si>
  <si>
    <t>PEMBELIAN KREDIT</t>
  </si>
  <si>
    <t>PEMBELIAN KONTAN</t>
  </si>
  <si>
    <t>TOTAL PEMBELIAN</t>
  </si>
  <si>
    <t>JUMLAH YANG TERSEDIA</t>
  </si>
  <si>
    <t>TRANSFER OUT (-) =</t>
  </si>
  <si>
    <t>TO CATERING STAFF / FREE</t>
  </si>
  <si>
    <t>TO AMB MEETING</t>
  </si>
  <si>
    <t xml:space="preserve">PERGANTIAN PRODUK </t>
  </si>
  <si>
    <t>TOTAL TRANSFER OUT</t>
  </si>
  <si>
    <t>PERSEDIAAN AKHIR</t>
  </si>
  <si>
    <t>JUMLAH YANG DIPAKAI</t>
  </si>
  <si>
    <t xml:space="preserve"> (%)</t>
  </si>
  <si>
    <t>PENJUALAN KOTOR</t>
  </si>
  <si>
    <t>KOREKSI (-)</t>
  </si>
  <si>
    <t>DISCOUNT (-)</t>
  </si>
  <si>
    <t>KOMISI PENJUALAN ONLINE (-)</t>
  </si>
  <si>
    <t>TAX (-)</t>
  </si>
  <si>
    <t>PENJUALAN BERSIH</t>
  </si>
  <si>
    <t>JUMLAH BAHAN YANG DIPAKAI</t>
  </si>
  <si>
    <t>JUMLAH PENJUALAN BERSIH</t>
  </si>
  <si>
    <t>CATATAN : PENJUALAN BERSIH DIDAPAT DARI PENJUALAN KOTOR - KOREKSI - DISCOUNT</t>
  </si>
  <si>
    <t xml:space="preserve"> - PENJUALAN DILUAR PRODUK FOOD &amp; BEVERAGES (KOIN KIDDY RIDE, ROCKET KIDS DLL)</t>
  </si>
  <si>
    <t xml:space="preserve">TO / TI   PERKEDEL </t>
  </si>
  <si>
    <t>TO CATTERING STAFF</t>
  </si>
  <si>
    <t>TO  FREE UNDIAN GELEGAR JANUARI</t>
  </si>
  <si>
    <t>TO / TI   CHICKEN PATTY</t>
  </si>
  <si>
    <t>TO / TI   PERKEDEL  MANUAL</t>
  </si>
  <si>
    <t>TO CATTERING KHUSUS</t>
  </si>
  <si>
    <t>CABANG             :</t>
  </si>
  <si>
    <t>PERIODE / TGL :</t>
  </si>
  <si>
    <t>HARGA BELI</t>
  </si>
  <si>
    <t>NAMA PRODUCT</t>
  </si>
  <si>
    <t>HARGA JUAL</t>
  </si>
  <si>
    <t>PREMIK KENTANG</t>
  </si>
  <si>
    <t>DAGING / MENTOK</t>
  </si>
  <si>
    <t>CHICKEN STRIP</t>
  </si>
  <si>
    <t>DAGING AYAM/MENTOK</t>
  </si>
  <si>
    <t>P. ATAS</t>
  </si>
  <si>
    <t>CHICKEN STEAK</t>
  </si>
  <si>
    <t>DADA HOT SPICY</t>
  </si>
  <si>
    <t>P. BAWAH</t>
  </si>
  <si>
    <t>DAGING GILING</t>
  </si>
  <si>
    <t>CHICKEN BURGER</t>
  </si>
  <si>
    <t>P. ATAS HOT SPICY</t>
  </si>
  <si>
    <t xml:space="preserve">BAWANG MERAH </t>
  </si>
  <si>
    <t xml:space="preserve">NASI GORENG </t>
  </si>
  <si>
    <t>DADA SAMBAL GEPREK</t>
  </si>
  <si>
    <t>NASI</t>
  </si>
  <si>
    <t>SUSU ULTRA</t>
  </si>
  <si>
    <t xml:space="preserve">BAWANG PUTIH </t>
  </si>
  <si>
    <t>PREMIK PERKEDEL</t>
  </si>
  <si>
    <t>P. ATAS SAMBAL GEPREK</t>
  </si>
  <si>
    <t>ES TEH</t>
  </si>
  <si>
    <t>GARAM</t>
  </si>
  <si>
    <t>BATANG SLEDRI</t>
  </si>
  <si>
    <t>MARGARIN</t>
  </si>
  <si>
    <t>LADA</t>
  </si>
  <si>
    <t>KUNING TELUR</t>
  </si>
  <si>
    <t>PREMIK C. PATTY</t>
  </si>
  <si>
    <t>DADA CHEESE LEVEL</t>
  </si>
  <si>
    <t>P. ATAS CHEESE LEVEL</t>
  </si>
  <si>
    <t>PERKEDEL JADI</t>
  </si>
  <si>
    <t>HPP</t>
  </si>
  <si>
    <t>FOOD COST</t>
  </si>
  <si>
    <t>CHICKEN PATTY JADI</t>
  </si>
  <si>
    <t>LEMON TEA</t>
  </si>
  <si>
    <t>PARAF</t>
  </si>
  <si>
    <t>(..........................)</t>
  </si>
  <si>
    <t>(.........................)</t>
  </si>
  <si>
    <t xml:space="preserve">NB. DIKERJAKAN MANUAL TANPA RUMUS </t>
  </si>
  <si>
    <t>BUAT BERAPA RESEP</t>
  </si>
  <si>
    <t>FOOD COST PERIODE KEMARIN</t>
  </si>
  <si>
    <t>TOLONG DIBACA SEBELUM MENGISI TO/TI</t>
  </si>
  <si>
    <t>RUMUS C. PATTY</t>
  </si>
  <si>
    <t>CATATAN :</t>
  </si>
  <si>
    <t>RUMUS PERKEDEL</t>
  </si>
  <si>
    <t xml:space="preserve">1. TO/TI PERKEDEL TINGGAL MENGISI MANUAL KOLOM </t>
  </si>
  <si>
    <t>PREMIK PATTY</t>
  </si>
  <si>
    <t>BUAT BERPA RESEP DAN PERKEDEL JADI .</t>
  </si>
  <si>
    <r>
      <rPr>
        <sz val="10"/>
        <rFont val="Calibri"/>
        <charset val="134"/>
      </rPr>
      <t xml:space="preserve">2. TO/TI PERKEDEL KOLOM AYAM DI ISI </t>
    </r>
    <r>
      <rPr>
        <b/>
        <sz val="12"/>
        <rFont val="Calibri"/>
        <charset val="134"/>
      </rPr>
      <t>MANUAL</t>
    </r>
    <r>
      <rPr>
        <sz val="10"/>
        <rFont val="Calibri"/>
        <charset val="134"/>
      </rPr>
      <t xml:space="preserve"> </t>
    </r>
  </si>
  <si>
    <r>
      <rPr>
        <sz val="10"/>
        <rFont val="Calibri"/>
        <charset val="134"/>
      </rPr>
      <t xml:space="preserve">3. TO FREE DIISI </t>
    </r>
    <r>
      <rPr>
        <b/>
        <sz val="12"/>
        <rFont val="Calibri"/>
        <charset val="134"/>
      </rPr>
      <t>MANUAL</t>
    </r>
  </si>
  <si>
    <r>
      <rPr>
        <sz val="10"/>
        <rFont val="Calibri"/>
        <charset val="134"/>
      </rPr>
      <t xml:space="preserve">4. </t>
    </r>
    <r>
      <rPr>
        <b/>
        <sz val="12"/>
        <rFont val="Calibri"/>
        <charset val="134"/>
      </rPr>
      <t>FOOD COST PERIODE KEMARIN DIISI DAN DISESUAIKAN</t>
    </r>
  </si>
  <si>
    <r>
      <rPr>
        <sz val="10"/>
        <rFont val="Calibri"/>
        <charset val="134"/>
      </rPr>
      <t>5. TO CATTERING STAFF DIISI</t>
    </r>
    <r>
      <rPr>
        <b/>
        <sz val="12"/>
        <rFont val="Calibri"/>
        <charset val="134"/>
      </rPr>
      <t xml:space="preserve"> MANUAL</t>
    </r>
  </si>
  <si>
    <t xml:space="preserve">SUSU ULTRA </t>
  </si>
  <si>
    <r>
      <rPr>
        <sz val="10"/>
        <rFont val="Calibri"/>
        <charset val="134"/>
      </rPr>
      <t xml:space="preserve">6. TO/TI CHICKEN PATTY DIISI </t>
    </r>
    <r>
      <rPr>
        <b/>
        <sz val="12"/>
        <rFont val="Calibri"/>
        <charset val="134"/>
      </rPr>
      <t>MANUAL PAHA BAWAH</t>
    </r>
    <r>
      <rPr>
        <sz val="10"/>
        <rFont val="Calibri"/>
        <charset val="134"/>
      </rPr>
      <t xml:space="preserve"> ATAU </t>
    </r>
  </si>
  <si>
    <r>
      <rPr>
        <b/>
        <sz val="11"/>
        <rFont val="Calibri"/>
        <charset val="134"/>
      </rPr>
      <t>MENTOK</t>
    </r>
    <r>
      <rPr>
        <sz val="10"/>
        <rFont val="Calibri"/>
        <charset val="134"/>
      </rPr>
      <t xml:space="preserve"> YG DIGUNAKAN DAN BERAPA RESEP</t>
    </r>
  </si>
  <si>
    <t>7. TO/TI JUAL BARANG GUDANG DAN TO/TI FREE DIMASUKAN</t>
  </si>
  <si>
    <t>MANUAL DI VENDOR</t>
  </si>
  <si>
    <t>8. KALO TIDAK BIKIN TO/TI PERKEDEL DAN CHIKEN PATTY</t>
  </si>
  <si>
    <t>MAKA KOLOM BUAT BERAPA RESEP DI HAPUS SAJA</t>
  </si>
  <si>
    <t>9. UNTUK TOTAL (RP) &amp; UNIT (PCS) TO CATERING STAFF DADA/P. ATAS ORIGINAL &amp; HOT SPICY DI VENDOR DIMASUKKAN DIKOLOM DADA/PAHA ATAS(PCS)</t>
  </si>
  <si>
    <t>10. UNTUK TOTAL (RP) &amp; UNIT (PCS) TO CATERING STAFF CHICKEN STEAK &amp; CHICKEN STRIP DI VENDOR DIMASUKKAN DIKOLOM DADA MENTOK</t>
  </si>
  <si>
    <t>11. UNTUK TOTAL (RP) TO CATERING STAFF CHICKEN BURGER DI VENDOR DIMASUKKAN KE KOLOM BAHAN ROTI &amp; JUMLAH UNIT MASUK KE KOLOM CHICKEN PATTY (PCS) &amp; ROTI BURGER (PCS)</t>
  </si>
  <si>
    <t>12. UNTUK TOTAL (RP) TO CATERING STAFF NASI GORENG DI VENDOR MASUK KE KOLOM BAHAN NASGOR.  JUMLAH MASING- MASING UNIT MASUK KE DALAM DADA MENTOK (PCS), PREMIX NASGOR (PCS), TELUR (PCS)  &amp; BERAS (kg)</t>
  </si>
  <si>
    <t>13. UNTUK TOTAL (RP) TO CATERING STAFF DADA/ PAHA ATAS GEPREK/TERASI/MATAH DI VENDOR MASUK KE KOLOM AYAM.  JUMLAH MASING- MASING UNIT MASUK KE DALAM DADA/P. ATAS (PCS), MINYAK (LITER), CABAI RAWIT  MERAH &amp; HIJAU (KG), PREMIX GEPREK (PACK),  PREMIX MATAH (PACK),  PREMIX TERASI (PACK)</t>
  </si>
  <si>
    <t>14. UNTUK TOTAL (RP) TO CATERING STAFF DADA/ PAHA ATAS CHEESE LEVEL DI VENDOR MASUK KE KOLOM AYAM.  JUMLAH MASING- MASING UNIT MASUK KE DADA/P. ATAS (PCS), LEVEL 1/2 (PACK),  CHEESE MELT (PACK)</t>
  </si>
  <si>
    <t xml:space="preserve">15. UNTUK LEMON TEA DAN ES TEH TOTAL ( RP ) &amp; UNIT (PACK)  MASUK KE MASING-MASING BAHAN MINUMAN </t>
  </si>
  <si>
    <t>16. UNTUK ALL CATERING STAFF WAJIB DIPOSTING DENGAN HARGA 0</t>
  </si>
  <si>
    <t>17. UNTUK ADMINISTRASI TELUR CATTRING STAFF DIPISAH ANTARA TELUR OPRASIONAL, DAN MASUK KE VENDOR DI LEMBAR KE 3, WAJIB MENGERJAKAN COST ANALIST TELUR CATTRING STAFF</t>
  </si>
  <si>
    <t xml:space="preserve">FOOD COST ITEM </t>
  </si>
  <si>
    <t xml:space="preserve">PAKET GEPREK ES THE KELAS 3 &amp; 4 SULAWESI </t>
  </si>
  <si>
    <t>PAKET HOT CHESE STEE KELAS 2,3&amp;4 SULAWESI</t>
  </si>
  <si>
    <t>PAKET HOT CHESE THE RC KELAS 2,3&amp;4 SULAWESI</t>
  </si>
  <si>
    <t xml:space="preserve">SAOS STEAK </t>
  </si>
  <si>
    <t>PAKET SEGAR KELAS 2,3&amp;4 SULAWESI ES THE POCI</t>
  </si>
  <si>
    <t>OKE</t>
  </si>
  <si>
    <t xml:space="preserve">1 LITER </t>
  </si>
  <si>
    <t xml:space="preserve">1 PCS DADA </t>
  </si>
  <si>
    <t>1 PACK PREMIX STEAK ( 200 GR )</t>
  </si>
  <si>
    <t>ES BATU ( 1 GRAM )</t>
  </si>
  <si>
    <t xml:space="preserve">MARINADE </t>
  </si>
  <si>
    <t xml:space="preserve">AIR (1200 ML) </t>
  </si>
  <si>
    <t xml:space="preserve">PAKET </t>
  </si>
  <si>
    <t>LEVEL 3</t>
  </si>
  <si>
    <t>TEPUNG BRIDER</t>
  </si>
  <si>
    <t>HPP 1 RESEP</t>
  </si>
  <si>
    <t>SEGAR 1</t>
  </si>
  <si>
    <t>SEGAR 2</t>
  </si>
  <si>
    <t>SEGAR 3</t>
  </si>
  <si>
    <t>SEGAR 4</t>
  </si>
  <si>
    <t>SEGAR 5</t>
  </si>
  <si>
    <t>SEGAR 6</t>
  </si>
  <si>
    <t>SEGAR 7</t>
  </si>
  <si>
    <t>GEPREK 1</t>
  </si>
  <si>
    <t>GEPREK 2</t>
  </si>
  <si>
    <t>GEPREK 3</t>
  </si>
  <si>
    <t>MATAH 1</t>
  </si>
  <si>
    <t>MATAH 2</t>
  </si>
  <si>
    <t>MATAH 3</t>
  </si>
  <si>
    <t>TERASI 1</t>
  </si>
  <si>
    <t>TERASI 2</t>
  </si>
  <si>
    <t>TERASI 3</t>
  </si>
  <si>
    <t xml:space="preserve">SIMPLE SIRUP </t>
  </si>
  <si>
    <t>HPP 1 PORSI</t>
  </si>
  <si>
    <t>BURGER</t>
  </si>
  <si>
    <t xml:space="preserve">SAYAP </t>
  </si>
  <si>
    <t xml:space="preserve">P.BAWAH </t>
  </si>
  <si>
    <t xml:space="preserve">DADA/PA </t>
  </si>
  <si>
    <t xml:space="preserve">1 KG GULA </t>
  </si>
  <si>
    <t>AIR</t>
  </si>
  <si>
    <t>C.STEAK</t>
  </si>
  <si>
    <t>P.BAWAH</t>
  </si>
  <si>
    <t>NASGOR</t>
  </si>
  <si>
    <t>C.STRIP</t>
  </si>
  <si>
    <t>DADA / PA</t>
  </si>
  <si>
    <t>SAYAP GPRK</t>
  </si>
  <si>
    <t>DADA/PA</t>
  </si>
  <si>
    <t xml:space="preserve">THE RC </t>
  </si>
  <si>
    <t xml:space="preserve">1 LITER  AIR </t>
  </si>
  <si>
    <t>SAOS SASET</t>
  </si>
  <si>
    <t xml:space="preserve">CHESSEE MELT </t>
  </si>
  <si>
    <t>C LEVEL + CM</t>
  </si>
  <si>
    <t>BIANG BRIDER</t>
  </si>
  <si>
    <t xml:space="preserve"> 1 PACK CHESSE MELT ( 100 GR )</t>
  </si>
  <si>
    <t>HPP NON CVR</t>
  </si>
  <si>
    <t>GPRK</t>
  </si>
  <si>
    <t>MATAH</t>
  </si>
  <si>
    <t>TRASI</t>
  </si>
  <si>
    <t>HPP 1 RESEP ( 1500 ML )</t>
  </si>
  <si>
    <t>HPP DADA</t>
  </si>
  <si>
    <t>AIR (400 ML )</t>
  </si>
  <si>
    <t>HPP + COVER</t>
  </si>
  <si>
    <t>HPP 1 LITER</t>
  </si>
  <si>
    <t>HPP DADA U/GPRK &amp; LVL</t>
  </si>
  <si>
    <t xml:space="preserve">BIANG TEH POCI KUNING </t>
  </si>
  <si>
    <t>P.ATAS</t>
  </si>
  <si>
    <t xml:space="preserve">HPP 1 PORSI </t>
  </si>
  <si>
    <t xml:space="preserve">40 GR POCI KUNING </t>
  </si>
  <si>
    <t>1 PCS P.ATAS</t>
  </si>
  <si>
    <t>PAKET ROCKET KELAS 3 &amp; 2 KALBAR</t>
  </si>
  <si>
    <t>PAKET SEHAT KELAS 3 &amp; 2 KALBAR</t>
  </si>
  <si>
    <t>PAKET CATT KELAS 2,3&amp;4 SULAWESI</t>
  </si>
  <si>
    <t>PAKET SEGAR KELAS 2,3&amp;4 SULAWESI STEE</t>
  </si>
  <si>
    <t xml:space="preserve">4 LITER AIR </t>
  </si>
  <si>
    <t xml:space="preserve">SAOS LEVEL 1 &amp; 2 </t>
  </si>
  <si>
    <t>LEVEL(500 GR )</t>
  </si>
  <si>
    <t xml:space="preserve">HPP 1 RESEP  </t>
  </si>
  <si>
    <t>AIR (1.900 ML )</t>
  </si>
  <si>
    <t>ROCKET 1</t>
  </si>
  <si>
    <t>ROCKET 2</t>
  </si>
  <si>
    <t>ROCKET 3</t>
  </si>
  <si>
    <t>ROCKET 4</t>
  </si>
  <si>
    <t>ROCKET 5</t>
  </si>
  <si>
    <t>ROCKET 6</t>
  </si>
  <si>
    <t>ROCKET 7</t>
  </si>
  <si>
    <t>SEHAT 1</t>
  </si>
  <si>
    <t>SEHAT 2</t>
  </si>
  <si>
    <t>SEHAT 3</t>
  </si>
  <si>
    <t>SEHAT 4</t>
  </si>
  <si>
    <t>CATT 1</t>
  </si>
  <si>
    <t>CATT 2</t>
  </si>
  <si>
    <t>CATT 3</t>
  </si>
  <si>
    <t>CATT 4</t>
  </si>
  <si>
    <t xml:space="preserve">BIANG TEH POCI VANILA </t>
  </si>
  <si>
    <t>NESTLE</t>
  </si>
  <si>
    <t>SAYAP/PB</t>
  </si>
  <si>
    <t>AMB</t>
  </si>
  <si>
    <t xml:space="preserve">50 GR POCI VANILA </t>
  </si>
  <si>
    <t>HPP P.ATAS</t>
  </si>
  <si>
    <t xml:space="preserve">8000 ML AIR </t>
  </si>
  <si>
    <t xml:space="preserve">BUTTER MIX </t>
  </si>
  <si>
    <t xml:space="preserve"> 1 PCK BUTTER MIX ( 125 GR )</t>
  </si>
  <si>
    <t>TEPUNG CAKRA ( 375 GR )</t>
  </si>
  <si>
    <t>AIR (750 ML )</t>
  </si>
  <si>
    <t>1 PCS P. BAWAH</t>
  </si>
  <si>
    <t xml:space="preserve">KUNING TELUR (4 BUTIR) </t>
  </si>
  <si>
    <t xml:space="preserve">NESTEA </t>
  </si>
  <si>
    <t>PAKET ROMA KELAS 2,3&amp;4 SULAWESI</t>
  </si>
  <si>
    <t>PAKET HOT CHESE ES THE KELAS 2,3&amp;4 SULAWESI</t>
  </si>
  <si>
    <t>PAKET AYAM UTUH KELAS 2,3&amp;4 SULAWESI</t>
  </si>
  <si>
    <t>PAKET BUCKET KELAS 2,3&amp;4 SULAWESI</t>
  </si>
  <si>
    <t xml:space="preserve">PAKET GEPREK  STEE KELAS 3 &amp; 4 SULAWESI </t>
  </si>
  <si>
    <t xml:space="preserve">1 PACK / 1KG NESTEA </t>
  </si>
  <si>
    <t>HPP 15 PORSI</t>
  </si>
  <si>
    <t xml:space="preserve">9LITER AIR </t>
  </si>
  <si>
    <t>HPP 20 PORSI</t>
  </si>
  <si>
    <t xml:space="preserve">500 ML SIMPLE SIRUP </t>
  </si>
  <si>
    <t>HPP 30 PORSI</t>
  </si>
  <si>
    <t>ROMA 1</t>
  </si>
  <si>
    <t>ROMA 2</t>
  </si>
  <si>
    <t>ROMA 3</t>
  </si>
  <si>
    <t>ROMA 4</t>
  </si>
  <si>
    <t>ROMA 5</t>
  </si>
  <si>
    <t>AYAM UTUH ORI</t>
  </si>
  <si>
    <t xml:space="preserve">AYAM UTUH GEPREK </t>
  </si>
  <si>
    <t xml:space="preserve"> AYAM UTUH LEVEL </t>
  </si>
  <si>
    <t>BUCKET 1</t>
  </si>
  <si>
    <t>BUCKET 2</t>
  </si>
  <si>
    <t>BUCKET 3</t>
  </si>
  <si>
    <t>BUCKET 4</t>
  </si>
  <si>
    <t xml:space="preserve">4 PCS DADA/ P ATAS </t>
  </si>
  <si>
    <t xml:space="preserve">HPP 1 RESEP </t>
  </si>
  <si>
    <t xml:space="preserve">SAMBAL KOSEK </t>
  </si>
  <si>
    <t>TEH BOTOL</t>
  </si>
  <si>
    <t>DADA/ PA</t>
  </si>
  <si>
    <t>4 PCS SAYAP/ P BAWAH</t>
  </si>
  <si>
    <t>HPP P.BAWAH</t>
  </si>
  <si>
    <t>ES THE</t>
  </si>
  <si>
    <t xml:space="preserve">SAMBAL SASET </t>
  </si>
  <si>
    <t xml:space="preserve">9 PCS STRIP </t>
  </si>
  <si>
    <t xml:space="preserve">LEVEL </t>
  </si>
  <si>
    <t xml:space="preserve">ES BATU </t>
  </si>
  <si>
    <t xml:space="preserve">HPP P.BAWAH U/GPRK &amp; LVL </t>
  </si>
  <si>
    <t>RAWIT HIJAU ( 500 GR )</t>
  </si>
  <si>
    <t xml:space="preserve">SAMBAL TOMAT </t>
  </si>
  <si>
    <t xml:space="preserve">12 PCS STRIP </t>
  </si>
  <si>
    <t xml:space="preserve"> STEE</t>
  </si>
  <si>
    <t xml:space="preserve">HPP 1 PORSI LEMON TEA </t>
  </si>
  <si>
    <t xml:space="preserve">RAWIT MERAH( 500 GR ) </t>
  </si>
  <si>
    <t xml:space="preserve">SAMBAL MATAH </t>
  </si>
  <si>
    <t xml:space="preserve"> BAWANG PUTIH (100 GR )</t>
  </si>
  <si>
    <t>HPP NON CVR 3</t>
  </si>
  <si>
    <t>HPP NON CVR GPRK</t>
  </si>
  <si>
    <t>1 PACK PREMIX KOSEK ( 60 GR )</t>
  </si>
  <si>
    <t>HPP NON CVR 2</t>
  </si>
  <si>
    <t xml:space="preserve">HPP NON  LEVEL </t>
  </si>
  <si>
    <t>1 PCS SAYAP</t>
  </si>
  <si>
    <t>MINYAK (250 ML )</t>
  </si>
  <si>
    <t>HPP NON CVR MTH</t>
  </si>
  <si>
    <t xml:space="preserve">TAKE AWAY </t>
  </si>
  <si>
    <t>PAKET GREEN CRISPY KELAS 2,3&amp;4 SULAWESI</t>
  </si>
  <si>
    <t xml:space="preserve">CUP MINUMAN </t>
  </si>
  <si>
    <t>HPP 1 PORSI+TIMUN</t>
  </si>
  <si>
    <t xml:space="preserve">SEALER </t>
  </si>
  <si>
    <t xml:space="preserve">SEDOTAN </t>
  </si>
  <si>
    <t>PAKET ROCKET KELAS 2 &amp; 4 SULAWESI</t>
  </si>
  <si>
    <t>PAKET SEGAR KELAS 2,3&amp;4 SULAWESI TEEH RC</t>
  </si>
  <si>
    <t xml:space="preserve">NASI PUTIH </t>
  </si>
  <si>
    <t>HOT SPICY 1</t>
  </si>
  <si>
    <t>HOT SPICY 2</t>
  </si>
  <si>
    <t>HOT SPICY 3</t>
  </si>
  <si>
    <t>HPP LEMON TEA  TAKE AWAY</t>
  </si>
  <si>
    <t>HPP SAYAP</t>
  </si>
  <si>
    <t xml:space="preserve"> BERAS ( 1 KG )</t>
  </si>
  <si>
    <t xml:space="preserve">HPP SAYAP U/GPRK &amp; LVL </t>
  </si>
  <si>
    <t>SAYAP SPICY</t>
  </si>
  <si>
    <t>P.BAWAH  SPICY</t>
  </si>
  <si>
    <t>DADA/ PA  SPICY</t>
  </si>
  <si>
    <t>ROCKET 8</t>
  </si>
  <si>
    <t>ROCKET 9</t>
  </si>
  <si>
    <t>ROCKET 10</t>
  </si>
  <si>
    <t>HPP 1  RESEP</t>
  </si>
  <si>
    <t>ES THE/STEE</t>
  </si>
  <si>
    <t>GREEN CRISPY</t>
  </si>
  <si>
    <t>FF</t>
  </si>
  <si>
    <t>TEEH RC</t>
  </si>
  <si>
    <t xml:space="preserve">MILO </t>
  </si>
  <si>
    <t xml:space="preserve"> 1 PACK MILO ( 960 GR)</t>
  </si>
  <si>
    <t xml:space="preserve">CHICKEN STEAK </t>
  </si>
  <si>
    <t>AIR PANAS ( 1 LTR)</t>
  </si>
  <si>
    <t xml:space="preserve"> MENTOK ( FILET 55 GR  ) </t>
  </si>
  <si>
    <t>HPP 1 PORSI 150GR</t>
  </si>
  <si>
    <t>AIR DINGIN ( 6,5 LITER)</t>
  </si>
  <si>
    <t>SIMPLE SIRUP ( 900 ML)</t>
  </si>
  <si>
    <t xml:space="preserve">TELOR </t>
  </si>
  <si>
    <t xml:space="preserve">MINYAK </t>
  </si>
  <si>
    <t>HPP 1 RESEP MILO</t>
  </si>
  <si>
    <t>TEPUNG CAKRA (40 gr)</t>
  </si>
  <si>
    <t xml:space="preserve">FRENCH FRIES </t>
  </si>
  <si>
    <t xml:space="preserve"> HPP 1 PORSI </t>
  </si>
  <si>
    <t>FRENCH FREIS( 100 GR )</t>
  </si>
  <si>
    <t>PAKET GEPREK KELAS 2</t>
  </si>
  <si>
    <t xml:space="preserve">MANRE 1 </t>
  </si>
  <si>
    <t xml:space="preserve">PAKET GEPREK TEEH RC KELAS 3 &amp; 4 SULAWESI </t>
  </si>
  <si>
    <t xml:space="preserve">1 PCS CHICKEN STEAK </t>
  </si>
  <si>
    <t xml:space="preserve">HPP 1 PORSI ES MILO </t>
  </si>
  <si>
    <t xml:space="preserve"> CRINKLE ( 4PCS / 35 GR )</t>
  </si>
  <si>
    <t>KERTAS FF</t>
  </si>
  <si>
    <t xml:space="preserve">SAYAP/PB </t>
  </si>
  <si>
    <t xml:space="preserve"> MIX VEGETABLE( 30 gram ) </t>
  </si>
  <si>
    <t>AMC</t>
  </si>
  <si>
    <t xml:space="preserve">1 PORSI  SAOS STEAK </t>
  </si>
  <si>
    <t>MARGARIN ( 5 gram )</t>
  </si>
  <si>
    <t xml:space="preserve">HPP CHICKEN STEAK 1 PORSI </t>
  </si>
  <si>
    <t xml:space="preserve"> NASI PUTIH ( 200 GR )</t>
  </si>
  <si>
    <t xml:space="preserve">1 PCS FILET  MENTOK </t>
  </si>
  <si>
    <t xml:space="preserve"> TELOR ( 0,5 )</t>
  </si>
  <si>
    <t xml:space="preserve">BOX STEAK </t>
  </si>
  <si>
    <t xml:space="preserve">CABE MERAH </t>
  </si>
  <si>
    <t xml:space="preserve">1 PORSI MILO TAKE AWAY </t>
  </si>
  <si>
    <t xml:space="preserve">SAOS SACHET </t>
  </si>
  <si>
    <t>DAUN BAWANG (10 GR)</t>
  </si>
  <si>
    <t xml:space="preserve"> BAWANG PUTIH ( 2,5 GR )</t>
  </si>
  <si>
    <t xml:space="preserve">1 PORSI CHICKEN STEAK </t>
  </si>
  <si>
    <t xml:space="preserve"> 1 PACK PREMIX NASGOR ( 10 GR )</t>
  </si>
  <si>
    <t xml:space="preserve">NESTLE ORANGE </t>
  </si>
  <si>
    <t xml:space="preserve"> MINYAK  ( 10 GR )</t>
  </si>
  <si>
    <t>1 PACK NESTLE ORANGE( 560 GR )</t>
  </si>
  <si>
    <t xml:space="preserve">HPP STEAK TAKE AWAY </t>
  </si>
  <si>
    <t xml:space="preserve">MINUMAN </t>
  </si>
  <si>
    <t>AIR (8 LITER )</t>
  </si>
  <si>
    <t xml:space="preserve">10 GR KECAP BANGAU </t>
  </si>
  <si>
    <t>SIMPLE (200 ML )</t>
  </si>
  <si>
    <t>TELOR CEPLOK</t>
  </si>
  <si>
    <t>PRODUK</t>
  </si>
  <si>
    <t>CHICKEN STRIP 4 PCS</t>
  </si>
  <si>
    <t xml:space="preserve">TIMUN </t>
  </si>
  <si>
    <t xml:space="preserve">4 PCS FILET  MENTOK </t>
  </si>
  <si>
    <t xml:space="preserve">HPP NASI GORENG </t>
  </si>
  <si>
    <t xml:space="preserve">HPP 1 PORSI ES ORANGE </t>
  </si>
  <si>
    <t xml:space="preserve">TEPUNG CAKRA </t>
  </si>
  <si>
    <t xml:space="preserve">HPP 1 PORSI ( 4 PCS ) </t>
  </si>
  <si>
    <t xml:space="preserve">BOX NASGOR </t>
  </si>
  <si>
    <t xml:space="preserve">ORANGE </t>
  </si>
  <si>
    <t xml:space="preserve">COVER NASGOR </t>
  </si>
  <si>
    <t xml:space="preserve">CHICKEN STRIP </t>
  </si>
  <si>
    <t xml:space="preserve">KANTONG KERTAS </t>
  </si>
  <si>
    <t xml:space="preserve">1 PORSI ORANGE TAKE AWAY </t>
  </si>
  <si>
    <t xml:space="preserve">CHICKEN STRIP TAKE AWAY </t>
  </si>
  <si>
    <t xml:space="preserve">DRESSING BURGER </t>
  </si>
  <si>
    <t xml:space="preserve"> MAYONESE ( 1LTR)</t>
  </si>
  <si>
    <t>SAOS TOMAT (300 GR)</t>
  </si>
  <si>
    <t xml:space="preserve">LHYCHEE TEA </t>
  </si>
  <si>
    <t>CHICKEN STRIP 3 PCS</t>
  </si>
  <si>
    <t>CREAM CHESSE ( 100 GR)</t>
  </si>
  <si>
    <t xml:space="preserve">560 GR / 1 PACK LHYCHEE TEA </t>
  </si>
  <si>
    <t xml:space="preserve">3 PCS FILET  MENTOK </t>
  </si>
  <si>
    <t xml:space="preserve"> CUKA DIXI (  17 GR )</t>
  </si>
  <si>
    <t xml:space="preserve">10 LITER AIR </t>
  </si>
  <si>
    <t>GULA HALUS (  17 GR )</t>
  </si>
  <si>
    <t xml:space="preserve">1 LITER SIMPLE </t>
  </si>
  <si>
    <t xml:space="preserve"> LADA (5 GR)</t>
  </si>
  <si>
    <t xml:space="preserve"> GARAM (5 GR)</t>
  </si>
  <si>
    <t xml:space="preserve">46 PORSI </t>
  </si>
  <si>
    <t xml:space="preserve">1 PORSI </t>
  </si>
  <si>
    <t xml:space="preserve">HPP 1 PORSI ( 3 PCS ) </t>
  </si>
  <si>
    <t>HPP 1 RESEP ( 70 PORSI)</t>
  </si>
  <si>
    <t xml:space="preserve">1 PORSI ES LHYCHEE TEA </t>
  </si>
  <si>
    <t xml:space="preserve"> CHICKEN PATTY </t>
  </si>
  <si>
    <t xml:space="preserve"> AYAM CINCANG (2,5 KG)</t>
  </si>
  <si>
    <t xml:space="preserve">16 SLICE ROTI TAWAR </t>
  </si>
  <si>
    <t>1. PERHITUNGAN HPP DIBANTU PENGECEKAN SETIAP MENU YANG ADA DISESUAIKAN DENGAN KELAS MASING-MASING.</t>
  </si>
  <si>
    <t xml:space="preserve">100 GR BAWANG BOMBAY </t>
  </si>
  <si>
    <r>
      <rPr>
        <sz val="20"/>
        <rFont val="Calibri"/>
        <charset val="134"/>
      </rPr>
      <t>2. UNTUK MENCARI FC ITEM UNTUK DIMASUKKAN KEDALAM ADMINISTRASI LAPORAN PENJUALAN PERLU DIBAGI HARGA JUAL DAN DIPERSENT (</t>
    </r>
    <r>
      <rPr>
        <strike/>
        <sz val="20"/>
        <rFont val="Calibri"/>
        <charset val="134"/>
      </rPr>
      <t>%)</t>
    </r>
  </si>
  <si>
    <t xml:space="preserve">50 GR SUSU ULTRA </t>
  </si>
  <si>
    <t xml:space="preserve">3. UNTUK KELAS 1 DAN 4 DISESUAIKAN DENGAN PERHITUNGAN MENU DIATAS </t>
  </si>
  <si>
    <t xml:space="preserve"> BUTIR TELOR </t>
  </si>
  <si>
    <t xml:space="preserve">4. APABILA ADA RUMUS YANG KURANG TEPAT BISA KONFIRMASI PIC TC </t>
  </si>
  <si>
    <t xml:space="preserve">35 GR MARGARIN </t>
  </si>
  <si>
    <t xml:space="preserve">1 P0RSI LHYCHEE TEA TAKE AWAY </t>
  </si>
  <si>
    <t xml:space="preserve">105 GR / 1 PCK PREMIX PATTY </t>
  </si>
  <si>
    <t xml:space="preserve">ES TEH POCI KUNING </t>
  </si>
  <si>
    <t xml:space="preserve">60 PCS </t>
  </si>
  <si>
    <t>BIANG TEH ( 200 ML )</t>
  </si>
  <si>
    <t xml:space="preserve">1 PCS </t>
  </si>
  <si>
    <t>SIMPLE ( 40 ML )</t>
  </si>
  <si>
    <t xml:space="preserve">CABE RAWIT MERAH  150 GR </t>
  </si>
  <si>
    <t xml:space="preserve"> ES BATU ( 100 GR )</t>
  </si>
  <si>
    <t xml:space="preserve">BAWANG PUTIH  80 GR </t>
  </si>
  <si>
    <t xml:space="preserve">CHICKEN BURGER </t>
  </si>
  <si>
    <t xml:space="preserve">BAWANG MERAH 150 GR </t>
  </si>
  <si>
    <t xml:space="preserve">BURGER BUN </t>
  </si>
  <si>
    <t xml:space="preserve">BATANG SERAI 30 GR </t>
  </si>
  <si>
    <t>MARGARIN 5 GR</t>
  </si>
  <si>
    <t>DAUN JERUK 3 GR</t>
  </si>
  <si>
    <t xml:space="preserve">1 DAUN SELADA </t>
  </si>
  <si>
    <t xml:space="preserve">MINYAK GORENG 150 ML </t>
  </si>
  <si>
    <t xml:space="preserve">1 IRIS TOMAT </t>
  </si>
  <si>
    <t xml:space="preserve">AIR JERUK NIPIS  5 SENDOK TEH </t>
  </si>
  <si>
    <t xml:space="preserve">20 GR / 1 PORSI DRESSING </t>
  </si>
  <si>
    <t xml:space="preserve">PREMIX SAMBAL MATAH 30 GR </t>
  </si>
  <si>
    <t xml:space="preserve">CHICKEN PATTY </t>
  </si>
  <si>
    <t xml:space="preserve">5 GR BAWANG BOMBAY </t>
  </si>
  <si>
    <t>HPP 1 RESEP SAMBAL MATAH</t>
  </si>
  <si>
    <t>HPP 1 PORSI ( 20 PORSI)+TIMUN</t>
  </si>
  <si>
    <t>HPP BURGER</t>
  </si>
  <si>
    <t xml:space="preserve">COVER BURGER </t>
  </si>
  <si>
    <t xml:space="preserve">HPP </t>
  </si>
  <si>
    <t xml:space="preserve">SAMBAL TERASI </t>
  </si>
  <si>
    <t xml:space="preserve"> SAMBAL TERASI(500 GR) </t>
  </si>
  <si>
    <t xml:space="preserve"> TOMAT (125 gr)</t>
  </si>
  <si>
    <t>ES TEH POCI VANILA</t>
  </si>
  <si>
    <t xml:space="preserve"> DAUN JERUK ( 3 GRAM) </t>
  </si>
  <si>
    <t xml:space="preserve">CHICKEN CHESE BURGER </t>
  </si>
  <si>
    <t>BAWANG MERAH ( 30 gr )</t>
  </si>
  <si>
    <t>BAWANG PUTIH ( 20 gr )</t>
  </si>
  <si>
    <t>CABE RAWIT MERAH ( 125 gr )</t>
  </si>
  <si>
    <t>CABE MERAH KRITING ( 15 gr )</t>
  </si>
  <si>
    <t>MINYAK (40 gr)</t>
  </si>
  <si>
    <t>HPP 1 PORSI + TIMUN</t>
  </si>
  <si>
    <t>1 SLICE KEJU LEMBAR</t>
  </si>
  <si>
    <t>PEMBUNGKUS PAKET LEVEL</t>
  </si>
  <si>
    <t xml:space="preserve">BOX CHATT </t>
  </si>
  <si>
    <t>ALAS BOX + COVER NASI</t>
  </si>
  <si>
    <t xml:space="preserve">CUP MINUM </t>
  </si>
  <si>
    <t xml:space="preserve">CUP CHESE 2 </t>
  </si>
  <si>
    <t>TELOR</t>
  </si>
  <si>
    <t xml:space="preserve">MILKSHAKE  COKLAT </t>
  </si>
  <si>
    <t>MINYAK ( 10 GR )</t>
  </si>
  <si>
    <t xml:space="preserve">MILKSHAKE  </t>
  </si>
  <si>
    <t xml:space="preserve">PEMBUNGKUS PAKET GEPREK </t>
  </si>
  <si>
    <t xml:space="preserve">AIR 200ML </t>
  </si>
  <si>
    <t>ES BATU ( 150 GR)</t>
  </si>
  <si>
    <t>COVER NASI</t>
  </si>
  <si>
    <t>PEMBUNGKUS PAKET BURGER</t>
  </si>
  <si>
    <t>CVER BURGER</t>
  </si>
  <si>
    <t xml:space="preserve">K KERTAS </t>
  </si>
  <si>
    <t>MILKSHAKE  CAPUCINO</t>
  </si>
  <si>
    <t>PEMBUNGKUS PAKET NASGOR</t>
  </si>
  <si>
    <t>BOX NASGOR</t>
  </si>
  <si>
    <t xml:space="preserve">ALAS BOX </t>
  </si>
  <si>
    <t xml:space="preserve">PERKEDEL </t>
  </si>
  <si>
    <t xml:space="preserve">500 GR  TEPUNG KENTANG </t>
  </si>
  <si>
    <t xml:space="preserve">1500 ML AIR PANAS </t>
  </si>
  <si>
    <t xml:space="preserve">300 GR DAGING AYAM </t>
  </si>
  <si>
    <t xml:space="preserve">5 KUNING TELOR </t>
  </si>
  <si>
    <t>PEMBUNGKUS PAKET AYAM UTUH</t>
  </si>
  <si>
    <t xml:space="preserve">50 GR BAWANG MERAH </t>
  </si>
  <si>
    <t xml:space="preserve">125 GR BATANG SELEDRI </t>
  </si>
  <si>
    <t>PLASTIK BESAR RC</t>
  </si>
  <si>
    <t xml:space="preserve">12,5 BAWANG PUTIH GORENG </t>
  </si>
  <si>
    <t>CUP SAMBEL 150ML</t>
  </si>
  <si>
    <t xml:space="preserve">1 PC PREMIX PERKEDEL  / 45 GR </t>
  </si>
  <si>
    <t>MILKSHAKE  MANGGA</t>
  </si>
  <si>
    <t xml:space="preserve">35 PCS </t>
  </si>
  <si>
    <t>PEMBUNGKUS PAKET BIASA</t>
  </si>
  <si>
    <t>HPP PERKEDEL MATANG</t>
  </si>
  <si>
    <t>JUS MELON</t>
  </si>
  <si>
    <t>JUS</t>
  </si>
  <si>
    <t xml:space="preserve">AIR  100 ML </t>
  </si>
  <si>
    <t>SUSU (5 GR)</t>
  </si>
  <si>
    <t>SAOS CHESE LEVEL</t>
  </si>
  <si>
    <t>LEVEL(30 GR )</t>
  </si>
  <si>
    <t>CHESEE MELT (20 GR )</t>
  </si>
  <si>
    <t>MILKSHAKE  STAWBARY</t>
  </si>
  <si>
    <t>JUS STRAWBARY</t>
  </si>
  <si>
    <t xml:space="preserve">AIR 50 ML </t>
  </si>
  <si>
    <t>INDOMIE GEPREK</t>
  </si>
  <si>
    <t>INDOMIE ( 1 PACK )</t>
  </si>
  <si>
    <t>AYAM  FILLET</t>
  </si>
  <si>
    <t xml:space="preserve">SAMBAL GEPREK </t>
  </si>
  <si>
    <t xml:space="preserve">HPP + TELOR </t>
  </si>
  <si>
    <t>AYAM FILLET</t>
  </si>
  <si>
    <t>BOX INDOMIE</t>
  </si>
  <si>
    <t>0,5  PCS MENTOK</t>
  </si>
  <si>
    <t>JUS MANGGA</t>
  </si>
  <si>
    <t>INDOMIE GEPREK MATAH</t>
  </si>
  <si>
    <t>SUSU ( 5 GRAM )</t>
  </si>
  <si>
    <t>HPP MENTOK</t>
  </si>
  <si>
    <t>BIANG KRIUK</t>
  </si>
  <si>
    <t>JUS JAMBU</t>
  </si>
  <si>
    <t xml:space="preserve">T CAMPURAN </t>
  </si>
  <si>
    <t xml:space="preserve">AIR  135 ML </t>
  </si>
  <si>
    <t>TAKE AWAY</t>
  </si>
  <si>
    <t>AYAM UTUH SPICY</t>
  </si>
  <si>
    <t>TEPUNG BRIDER SPICY</t>
  </si>
  <si>
    <t>HPP TAKE AWAY</t>
  </si>
  <si>
    <t xml:space="preserve">HOT SPICY </t>
  </si>
  <si>
    <t xml:space="preserve">MARINADE SPICY AB </t>
  </si>
  <si>
    <t xml:space="preserve">MARINADE SPICY AK </t>
  </si>
  <si>
    <t>JUS DURIAN</t>
  </si>
  <si>
    <t xml:space="preserve">AIR  50  ML </t>
  </si>
  <si>
    <t xml:space="preserve">T CAMPURAN SPICY </t>
  </si>
  <si>
    <t>BOK BUCKET</t>
  </si>
  <si>
    <t>HPP CONDIMEN 1 AYAM BESAR</t>
  </si>
  <si>
    <t xml:space="preserve">HPP CONDIMEN 1 AYAM KECIL </t>
  </si>
  <si>
    <t xml:space="preserve">JUS SIRSAK </t>
  </si>
  <si>
    <t>HPP DADA SPICY</t>
  </si>
  <si>
    <t>HPP P ATAS  SPICY</t>
  </si>
  <si>
    <t xml:space="preserve">AIR  100  ML </t>
  </si>
  <si>
    <t>HPP P BAWAH  SPICY</t>
  </si>
  <si>
    <t>ES BATU ( 120 GR)</t>
  </si>
  <si>
    <t>HPP SAYAP SPICY</t>
  </si>
  <si>
    <t xml:space="preserve">BAYAM </t>
  </si>
  <si>
    <t xml:space="preserve">P GREEN CRISPY </t>
  </si>
  <si>
    <t>MENTOK GEMPUR</t>
  </si>
  <si>
    <t>1 PCS MENTOK</t>
  </si>
  <si>
    <t>Green Tea</t>
  </si>
  <si>
    <t>BAYAM+MAIZENA</t>
  </si>
  <si>
    <t>SUSU ( 25 GRAM )</t>
  </si>
  <si>
    <t>Milky Manggo</t>
  </si>
  <si>
    <t>DADA GEMPUR</t>
  </si>
  <si>
    <t xml:space="preserve">AIR  1000  ML </t>
  </si>
  <si>
    <t xml:space="preserve">AIR  8000  ML </t>
  </si>
  <si>
    <t>ES BATU ( 100 GR)</t>
  </si>
  <si>
    <t>ES THE 1 RESEP</t>
  </si>
  <si>
    <t>Red Velvet</t>
  </si>
  <si>
    <t>P.ATAS GEMPUR</t>
  </si>
  <si>
    <t>P.BAWAH GEMPUR</t>
  </si>
  <si>
    <t>SAYAP GEMPUR</t>
  </si>
  <si>
    <t>LEFT OVER AND SPOILAGE PRODUK</t>
  </si>
  <si>
    <t xml:space="preserve">STORE  </t>
  </si>
  <si>
    <t>ITEM</t>
  </si>
  <si>
    <t>SELISIH</t>
  </si>
  <si>
    <t>DADA SPICY</t>
  </si>
  <si>
    <t>PAHA ATAS SPICY</t>
  </si>
  <si>
    <t>PAHA BAWAH SPICY</t>
  </si>
  <si>
    <t>CHICKEN STRIPS</t>
  </si>
  <si>
    <t>TEH POCI / TEH RC</t>
  </si>
  <si>
    <t>ICE CREAM</t>
  </si>
  <si>
    <t>MILK SHAKE</t>
  </si>
  <si>
    <t>CHESEMELT</t>
  </si>
  <si>
    <t>PARAF CREW</t>
  </si>
  <si>
    <t>PARAF MANAGER</t>
  </si>
  <si>
    <t>(                                 )</t>
  </si>
  <si>
    <t>(                          )</t>
  </si>
  <si>
    <t>1. FORM LO TERBARU DIGUNAKAN UNTUK PENCATATAN SELAMA 1 PERIODE</t>
  </si>
  <si>
    <t>2. UNTUK LO CHICKEN STRIP DIHITUNG PER PCS BUKAN PER PORSI</t>
  </si>
  <si>
    <t>3. KOLOM PERSEDIAAN AWAL DIDAPAT DARI PERSEDIAAN AKHIR PERIODE SEBELUMNYA (KHUSUS LO AYAM)</t>
  </si>
  <si>
    <t>4. KOLOM PERSEDIAAN AKHIR DIDAPAT DARI PENGHITUNGAN AKTUAL STOK AYAM LO YANG ADA DI FREZER</t>
  </si>
  <si>
    <t>5. TO PEMBUATAN PERKEDEL DAN PEMUSNAHAN AYAM LO DIMASUKKAN KE DALAM KOLOM PEMAKAIAN</t>
  </si>
  <si>
    <t>6. PEMUSNAHAN AYAM LO HARUS DISERTAI DENGAN BERITA ACARA YANG SUDAH DITANDATANGANI OLEH MANAGEMENT (RM/AM/TC/AUDIT/HR/TO)</t>
  </si>
  <si>
    <t>7. LO NASI BISA DIKONFERSI MENJADI BERAS DENGAN CARA LO NASI (KG) : 2.200 =</t>
  </si>
  <si>
    <t>LAPORAN CASH FLOW</t>
  </si>
  <si>
    <t xml:space="preserve">SALDO AWAL PER </t>
  </si>
  <si>
    <t xml:space="preserve">Rp. </t>
  </si>
  <si>
    <t>Penerimaan :</t>
  </si>
  <si>
    <t>Sales tanggal,</t>
  </si>
  <si>
    <t>Total Penerimaan Sales</t>
  </si>
  <si>
    <t>…..................................</t>
  </si>
  <si>
    <t>Rp.</t>
  </si>
  <si>
    <t>Penerimaan lain - lain :</t>
  </si>
  <si>
    <t>TO AMB MEETING AREA</t>
  </si>
  <si>
    <t xml:space="preserve">RP </t>
  </si>
  <si>
    <t>…....................................</t>
  </si>
  <si>
    <t>Total Uang Yang Ada</t>
  </si>
  <si>
    <t>…...................................</t>
  </si>
  <si>
    <t>Pengeluaran :</t>
  </si>
  <si>
    <t>Belanja tanggal,</t>
  </si>
  <si>
    <t>Total Pengeluaran</t>
  </si>
  <si>
    <t>SALDO AKHIR PER</t>
  </si>
  <si>
    <t>(DIO BAGUS SETIAWAN)</t>
  </si>
  <si>
    <t xml:space="preserve">NB. UNTUK SALDO AKHIR PERIODE BISA DIKETIK MANUAL </t>
  </si>
  <si>
    <t>ROCKET CHICKEN</t>
  </si>
  <si>
    <t>SALES CONTROL</t>
  </si>
  <si>
    <t>BULAN    :</t>
  </si>
  <si>
    <t>DESEMBER</t>
  </si>
  <si>
    <t>NET SALES</t>
  </si>
  <si>
    <t>CU</t>
  </si>
  <si>
    <t>DAYA BELI</t>
  </si>
  <si>
    <t>MONTH TO DATE</t>
  </si>
  <si>
    <t>TARGET</t>
  </si>
  <si>
    <t>%</t>
  </si>
  <si>
    <t>AVERAGE</t>
  </si>
  <si>
    <t>MTD</t>
  </si>
  <si>
    <t>PENJUALAN PAKET ROCKET KIDS</t>
  </si>
  <si>
    <t>SALES</t>
  </si>
  <si>
    <t>LAST MONTH</t>
  </si>
  <si>
    <t>TERJUAL
 HARI INI 
(PAKET 1,2,3)</t>
  </si>
  <si>
    <t>MTD PAKET</t>
  </si>
  <si>
    <t>HARGA MAINAN</t>
  </si>
  <si>
    <t>NOMINAL</t>
  </si>
  <si>
    <t xml:space="preserve">DIBUAT OLEH </t>
  </si>
  <si>
    <t xml:space="preserve">RUMUS PENGISIAN SALES CONTROL </t>
  </si>
  <si>
    <t xml:space="preserve">PENJUALAN BERSIH HARI INI </t>
  </si>
  <si>
    <t xml:space="preserve">CU </t>
  </si>
  <si>
    <t xml:space="preserve">CUSTOMER HARI INI </t>
  </si>
  <si>
    <t xml:space="preserve">SALES MTD </t>
  </si>
  <si>
    <t>SALES HARI INI + SALES MTD</t>
  </si>
  <si>
    <t xml:space="preserve">MTD CU </t>
  </si>
  <si>
    <t>CUSTOMER HARI INI + CUSTOMER MTD</t>
  </si>
  <si>
    <t>......%</t>
  </si>
  <si>
    <t xml:space="preserve">TARGET </t>
  </si>
  <si>
    <t>AVERAGE SALES</t>
  </si>
  <si>
    <t xml:space="preserve">SALES MTD : TANGGAL HARI INI </t>
  </si>
  <si>
    <t xml:space="preserve">DAYA BELI </t>
  </si>
  <si>
    <t xml:space="preserve">SALES HARI INI : CU HARI INI </t>
  </si>
  <si>
    <t>No</t>
  </si>
  <si>
    <t>Item</t>
  </si>
  <si>
    <t>Stock Awal</t>
  </si>
  <si>
    <t>Pembelian</t>
  </si>
  <si>
    <t>Stock Akhir</t>
  </si>
  <si>
    <t>Pemakaian</t>
  </si>
  <si>
    <t>Penjualan</t>
  </si>
  <si>
    <t>( + / - )</t>
  </si>
  <si>
    <t>LO</t>
  </si>
  <si>
    <t>Keterangan</t>
  </si>
  <si>
    <t>LP</t>
  </si>
  <si>
    <t>GRAB</t>
  </si>
  <si>
    <t>GOJEK</t>
  </si>
  <si>
    <t>SHOPEE</t>
  </si>
  <si>
    <t>STRIP 2</t>
  </si>
  <si>
    <t>BT MIX</t>
  </si>
  <si>
    <t>STRIP 4</t>
  </si>
  <si>
    <t>STEAK</t>
  </si>
  <si>
    <t>P STEAK</t>
  </si>
  <si>
    <t>SAYAP TANPA KOLARR</t>
  </si>
  <si>
    <t>REGULER</t>
  </si>
  <si>
    <t>*200GR</t>
  </si>
  <si>
    <t>*150GR</t>
  </si>
  <si>
    <t>NASGOR ALL</t>
  </si>
  <si>
    <t>P AYM UTUH</t>
  </si>
  <si>
    <t>GULA</t>
  </si>
  <si>
    <t>NESTEA (42)</t>
  </si>
  <si>
    <t>*500ML</t>
  </si>
  <si>
    <t>MILO (37)</t>
  </si>
  <si>
    <t>*900ML</t>
  </si>
  <si>
    <t>MIX VEG</t>
  </si>
  <si>
    <t>TEHPOCIV (24)</t>
  </si>
  <si>
    <t>*1440</t>
  </si>
  <si>
    <t>MILKSHAKE</t>
  </si>
  <si>
    <t>*20ML</t>
  </si>
  <si>
    <t>TEPUNG</t>
  </si>
  <si>
    <t>HOT SPICY</t>
  </si>
  <si>
    <t>BREADER</t>
  </si>
  <si>
    <t>AYAM (35G)</t>
  </si>
  <si>
    <t>STRIP (40G)</t>
  </si>
  <si>
    <t>UTUH</t>
  </si>
  <si>
    <t>STEAK (40G)</t>
  </si>
  <si>
    <t>UTUH (280G)</t>
  </si>
  <si>
    <t>BIANG BREADER</t>
  </si>
  <si>
    <t>SAMBAL</t>
  </si>
  <si>
    <t>STRIP</t>
  </si>
  <si>
    <t>A UTUH</t>
  </si>
  <si>
    <t>PATTY</t>
  </si>
  <si>
    <t>CABE</t>
  </si>
  <si>
    <t>MERAH</t>
  </si>
  <si>
    <t>IJO</t>
  </si>
  <si>
    <t>PENJ SAMBAL</t>
  </si>
  <si>
    <t>SAMBAL UTUH</t>
  </si>
  <si>
    <t>GEPREK</t>
  </si>
  <si>
    <t>TERASI</t>
  </si>
  <si>
    <t>BUAH FROZEN STAWBERRY</t>
  </si>
  <si>
    <t>PERKEDEL (10)</t>
  </si>
  <si>
    <t>TEH POCI KUNING / VANILLA</t>
  </si>
  <si>
    <t>STEAK (5)</t>
  </si>
  <si>
    <t>NASGOR (1,5)</t>
  </si>
  <si>
    <t>PATTY (9)</t>
  </si>
  <si>
    <t>P KOSEK</t>
  </si>
  <si>
    <t>P MATAH</t>
  </si>
  <si>
    <t xml:space="preserve"> P TERASI</t>
  </si>
  <si>
    <t>CABE RAWIT</t>
  </si>
  <si>
    <t>P.STEAK</t>
  </si>
  <si>
    <t>P.SAMBAL MATAH</t>
  </si>
  <si>
    <t>DRESSING</t>
  </si>
  <si>
    <t>INDOMIE GORENG</t>
  </si>
  <si>
    <t>DADA MENTOK GEMPUR</t>
  </si>
  <si>
    <t>PAHA ATAS GEMPUR</t>
  </si>
  <si>
    <t>PAHA BAWAH GEMPUR</t>
  </si>
  <si>
    <t>SAYAP TGEMPUR</t>
  </si>
  <si>
    <t>(DIO BAGUS SETIAWAN )</t>
  </si>
  <si>
    <t>LAPORAN KAS &amp; PENJUALAN PER PERIODE</t>
  </si>
  <si>
    <t>Penjualan Kotor</t>
  </si>
  <si>
    <t>Komisi Gofood</t>
  </si>
  <si>
    <t>Komisi Grabfood</t>
  </si>
  <si>
    <t>Komisi Shopee Food</t>
  </si>
  <si>
    <t>Koreksi</t>
  </si>
  <si>
    <t>Penjualan Koin Kidy Ride</t>
  </si>
  <si>
    <t xml:space="preserve">Discount </t>
  </si>
  <si>
    <t>Tax/Pajak (Full PPN)</t>
  </si>
  <si>
    <t>Penjualan Bersih</t>
  </si>
  <si>
    <t>Transferan Gofood</t>
  </si>
  <si>
    <t>Transferan Grabfood</t>
  </si>
  <si>
    <t>Transferan Shopee Food</t>
  </si>
  <si>
    <t>Pembayaran QRIS</t>
  </si>
  <si>
    <t>Penjualan Rocket Kids</t>
  </si>
  <si>
    <t>Selisih Kas</t>
  </si>
  <si>
    <t>Kas yang harus disetor</t>
  </si>
  <si>
    <t>No. Rizet PLU / TTL</t>
  </si>
  <si>
    <t>Penjualan Mikas</t>
  </si>
  <si>
    <t>Penjualan lain - lain</t>
  </si>
  <si>
    <t>Setor Bank</t>
  </si>
  <si>
    <t>Setor Pihak Gedung</t>
  </si>
  <si>
    <t>Jumlah Pembeli</t>
  </si>
  <si>
    <t>LAPORAN PENJUALAN</t>
  </si>
  <si>
    <t>Cabang  :</t>
  </si>
  <si>
    <t>Periode :</t>
  </si>
  <si>
    <t>PRODUCT</t>
  </si>
  <si>
    <t>FC ITEM</t>
  </si>
  <si>
    <t>CON FC</t>
  </si>
  <si>
    <t>Dada</t>
  </si>
  <si>
    <t>Paha Atas</t>
  </si>
  <si>
    <t>Paha Bawah</t>
  </si>
  <si>
    <t>Sayap</t>
  </si>
  <si>
    <t>Chicken Strips</t>
  </si>
  <si>
    <t>Chicken Steak</t>
  </si>
  <si>
    <t>French Fries</t>
  </si>
  <si>
    <t xml:space="preserve">Nasi </t>
  </si>
  <si>
    <t xml:space="preserve">Perkedel </t>
  </si>
  <si>
    <t>Chicken Burger</t>
  </si>
  <si>
    <t xml:space="preserve">Cheese Burger </t>
  </si>
  <si>
    <t xml:space="preserve">Nasi Goreng </t>
  </si>
  <si>
    <t>Mix Platter</t>
  </si>
  <si>
    <t>Telur Ceplok</t>
  </si>
  <si>
    <t>Nasi Goreng Telur Ceplok</t>
  </si>
  <si>
    <t>Paket Segar 1 Dine In (Es Teh / S-tee)</t>
  </si>
  <si>
    <t>Paket Segar 1 Take Away (Es Teh / S-tee)</t>
  </si>
  <si>
    <t>Paket Segar 2 (Es Teh / S-tee)</t>
  </si>
  <si>
    <t>Paket Segar 3 (Es Teh / S-tee)</t>
  </si>
  <si>
    <t>Paket Segar 4 (Es Teh / S-tee)</t>
  </si>
  <si>
    <t>Paket Segar 5 (Es Teh / S-tee)</t>
  </si>
  <si>
    <t>Paket Segar 6 (Es Teh / S-tee)</t>
  </si>
  <si>
    <t>Paket Segar 7 (Es Teh / S-tee)</t>
  </si>
  <si>
    <t>Paket Rocket 1 Dine In</t>
  </si>
  <si>
    <t>Paket Rocket 1 Take Away</t>
  </si>
  <si>
    <t>Paket Rocket 2</t>
  </si>
  <si>
    <t>Paket Rocket 3</t>
  </si>
  <si>
    <t>Paket Rocket 4</t>
  </si>
  <si>
    <t>Paket Rocket 5</t>
  </si>
  <si>
    <t>Paket Rocket 6</t>
  </si>
  <si>
    <t>Paket Rocket 7</t>
  </si>
  <si>
    <t>Paket Rocket 8</t>
  </si>
  <si>
    <t>Paket Rocket 9</t>
  </si>
  <si>
    <t>Paket Rocket 10</t>
  </si>
  <si>
    <t>Paket Roma 1</t>
  </si>
  <si>
    <t>Paket Roma 2</t>
  </si>
  <si>
    <t>Paket Roma 3</t>
  </si>
  <si>
    <t>Paket Roma 4</t>
  </si>
  <si>
    <t>Paket Roma 5</t>
  </si>
  <si>
    <t>Paket Geprek Bawang 1 (Es Teh / S-tee / Lemon Tea)</t>
  </si>
  <si>
    <t>Paket Geprek Bawang 2 (Es Teh / S-tee / Lemon Tea)</t>
  </si>
  <si>
    <t>Paket Geprek Bawang 3 (Es Teh / S-tee / Lemon Tea)</t>
  </si>
  <si>
    <t>Sayap Geprek Bawang</t>
  </si>
  <si>
    <t>Paha Bawah Geprek Bawang</t>
  </si>
  <si>
    <t>Paha Atas / Dada Geprek Bawang</t>
  </si>
  <si>
    <t>Sambal Geprek Bawang</t>
  </si>
  <si>
    <t>Paket Matah 1 (Es Teh / S-tee / Lemon Tea)</t>
  </si>
  <si>
    <t>Paket Matah 2 (Es Teh / S-tee / Lemon Tea)</t>
  </si>
  <si>
    <t>Paket Matah 3 (Es Teh / S-tee / Lemon Tea)</t>
  </si>
  <si>
    <t>Sayap Matah</t>
  </si>
  <si>
    <t>Paha Bawah Matah</t>
  </si>
  <si>
    <t>Paha Atas / Dada  Matah</t>
  </si>
  <si>
    <t>Sambal Matah</t>
  </si>
  <si>
    <t>Paket Terasi 1 (Es Teh / S-tee / Lemon Tea)</t>
  </si>
  <si>
    <t>Paket Terasi 2 (Es Teh / S-tee / Lemon Tea)</t>
  </si>
  <si>
    <t>Paket Terasi 3 (Es Teh / S-tee / Lemon Tea)</t>
  </si>
  <si>
    <t xml:space="preserve">Sayap Terasi  </t>
  </si>
  <si>
    <t xml:space="preserve">Paha Bawah Terasi </t>
  </si>
  <si>
    <t xml:space="preserve">Paha Atas / Dada Terasi </t>
  </si>
  <si>
    <t>Sambal  Terasi</t>
  </si>
  <si>
    <t>Paket 1 Hot Cheesy (Es Teh / S-tee / Lemon Tea)</t>
  </si>
  <si>
    <t>Paket 2 Hot Cheesy (Es Teh / S-tee / Lemon Tea)</t>
  </si>
  <si>
    <t>Paket 3 Hot Cheesy (Es Teh / S-tee / Lemon Tea)</t>
  </si>
  <si>
    <t>Sayap Hot Cheesy</t>
  </si>
  <si>
    <t>Paha Bawah Hot Cheesy</t>
  </si>
  <si>
    <t>Paha Atas / Dada Hot Cheesy</t>
  </si>
  <si>
    <t>Saos  Hot Cheesy</t>
  </si>
  <si>
    <t>Paket Sehat 1</t>
  </si>
  <si>
    <t>Paket Sehat 2</t>
  </si>
  <si>
    <t>Paket Sehat 3</t>
  </si>
  <si>
    <t>Paket Sehat 4</t>
  </si>
  <si>
    <t>Paket Catering 1</t>
  </si>
  <si>
    <t>Paket Catering 2</t>
  </si>
  <si>
    <t>Paket Catering 3</t>
  </si>
  <si>
    <t>Paket Catering 4</t>
  </si>
  <si>
    <t>Paket Takjil 1</t>
  </si>
  <si>
    <t>Paket Takjil 2</t>
  </si>
  <si>
    <t>Paket Takjil 3</t>
  </si>
  <si>
    <t>Paket Takjil 4</t>
  </si>
  <si>
    <t>Paket Takjil 5</t>
  </si>
  <si>
    <t>Paket Takjil 6</t>
  </si>
  <si>
    <t>Paket Takjil 7</t>
  </si>
  <si>
    <t>Paket Takjil 8</t>
  </si>
  <si>
    <t>Ayam Utuh Original</t>
  </si>
  <si>
    <t xml:space="preserve">Ayam Utuh Hot Cheesy </t>
  </si>
  <si>
    <t>Ayam Utuh Geprek</t>
  </si>
  <si>
    <t>P. Ayam Utuh Original</t>
  </si>
  <si>
    <t>P. Ayam Utuh Hot Cheesy</t>
  </si>
  <si>
    <t>P. Ayam Utuh Geprek</t>
  </si>
  <si>
    <t>Ayam Utuh Hot Spicy</t>
  </si>
  <si>
    <t>Paket Ayam Utuh Hot Spicy</t>
  </si>
  <si>
    <t>Beef Burger</t>
  </si>
  <si>
    <t>Beef Burger + Lemon Tea</t>
  </si>
  <si>
    <t>Beef cheese Burger</t>
  </si>
  <si>
    <t xml:space="preserve">Beef cheese Burger + Lemon Tea </t>
  </si>
  <si>
    <t xml:space="preserve">Beef Steak </t>
  </si>
  <si>
    <t>Beef Steak + Lemon Tea</t>
  </si>
  <si>
    <t>Beef Steak + Lemon Tea + Nasi</t>
  </si>
  <si>
    <t>Dada / Paha Atas Hot Spicy</t>
  </si>
  <si>
    <t>Paha Bawah Hot Spicy</t>
  </si>
  <si>
    <t>Sayap Hot Spicy</t>
  </si>
  <si>
    <t>P. Hot Spicy 1 (Lemon Tea)</t>
  </si>
  <si>
    <t>P. Hot Spicy 2 (Lemon Tea)</t>
  </si>
  <si>
    <t>P. Hot Spicy 3 (Lemon Tea)</t>
  </si>
  <si>
    <t>P. Hot Spicy 1 Green Crispy (Es Teh / S-tee)</t>
  </si>
  <si>
    <t>P. Hot Spicy 2 Green Crispy (Es Teh / S-tee)</t>
  </si>
  <si>
    <t>P. Hot Spicy 3 Green Crispy (Es Teh / S-tee)</t>
  </si>
  <si>
    <t>P. Hot Cheesy 1 Green Crispy  (Es Teh / S-tee)</t>
  </si>
  <si>
    <t>P. Hot Cheesy 2 Green Crispy (Es Teh / S-tee)</t>
  </si>
  <si>
    <t>P. Hot Cheesy 3 Green Crispy (Es Teh / S-tee)</t>
  </si>
  <si>
    <t>Green Crispy</t>
  </si>
  <si>
    <t>Paket Bucket 1</t>
  </si>
  <si>
    <t>Paket Bucket 2</t>
  </si>
  <si>
    <t>Paket Bucket 3</t>
  </si>
  <si>
    <t>Paket Bucket 4 (Sambal Geprek)</t>
  </si>
  <si>
    <t>Paket Bucket 4 (Hot Cheesy)</t>
  </si>
  <si>
    <t>Paket Ultah 1</t>
  </si>
  <si>
    <t>Paket Ultah 2</t>
  </si>
  <si>
    <t>Paket Rocket Kids 1</t>
  </si>
  <si>
    <t>Paket Rocket Kids 2</t>
  </si>
  <si>
    <t>Paket Rocket Kids 3</t>
  </si>
  <si>
    <t>Koin kids</t>
  </si>
  <si>
    <t xml:space="preserve">Nasi Catering Karyawan Harian </t>
  </si>
  <si>
    <t>Dada / P. Atas Catering Karyawan Minggu</t>
  </si>
  <si>
    <t xml:space="preserve">Telur Karyawan Harian </t>
  </si>
  <si>
    <t xml:space="preserve">Catering Tanggal Merah </t>
  </si>
  <si>
    <t>PAKET PROMO REGION/AREA , DISKON KARYAWAN &amp; PAKET INDOMIE</t>
  </si>
  <si>
    <t>PAKET MANRE 1 IN</t>
  </si>
  <si>
    <t>PAKET MANRE 2 IN</t>
  </si>
  <si>
    <t xml:space="preserve">PAKET MANRE 3 IN </t>
  </si>
  <si>
    <t>PAKET MANRE 4 IN</t>
  </si>
  <si>
    <t>PAKET MANRE 1 TA</t>
  </si>
  <si>
    <t>PAKET MANRE 2 TA</t>
  </si>
  <si>
    <t>PAKET MANRE 3 TA</t>
  </si>
  <si>
    <t>PAKET MANRE 4 TA</t>
  </si>
  <si>
    <t xml:space="preserve">BASSORO 1 </t>
  </si>
  <si>
    <t>BASSORO 2</t>
  </si>
  <si>
    <t>BASSORO 3</t>
  </si>
  <si>
    <t>BASSORO 4</t>
  </si>
  <si>
    <t>DOBEL 1</t>
  </si>
  <si>
    <t>DOBEL 2</t>
  </si>
  <si>
    <t>DOBEL 3</t>
  </si>
  <si>
    <t>FREE SAMBAL GEPREK</t>
  </si>
  <si>
    <t>FREE SAMBAL MATAH</t>
  </si>
  <si>
    <t>FREE SAMBAL TERASI</t>
  </si>
  <si>
    <t>FREE AMB BASSORO</t>
  </si>
  <si>
    <t>ROCKET 1 STEE</t>
  </si>
  <si>
    <t>ROCKET 4 STEE</t>
  </si>
  <si>
    <t>ROCKET 7 STEE</t>
  </si>
  <si>
    <t>PAKET LIBAS 1</t>
  </si>
  <si>
    <t>PAKET LIBAS 2</t>
  </si>
  <si>
    <t>Manre 1</t>
  </si>
  <si>
    <t>FREE DADA</t>
  </si>
  <si>
    <t>FREE NASI</t>
  </si>
  <si>
    <t>FREE STEE</t>
  </si>
  <si>
    <t>FREE TBO ATH</t>
  </si>
  <si>
    <t>FREE PB</t>
  </si>
  <si>
    <t xml:space="preserve">CHICKEN STIRP 2 PCS </t>
  </si>
  <si>
    <t>CHICKEN STRIP 2 PCS</t>
  </si>
  <si>
    <t xml:space="preserve">ROCKET 1 GO </t>
  </si>
  <si>
    <t>tambah sambal</t>
  </si>
  <si>
    <t>FREE AMC</t>
  </si>
  <si>
    <t>TAMBAH FF</t>
  </si>
  <si>
    <t>free sayap</t>
  </si>
  <si>
    <t>free kalender</t>
  </si>
  <si>
    <t>COOKING CLASS NASI DADA</t>
  </si>
  <si>
    <t>HOT C STEAK STEE</t>
  </si>
  <si>
    <t>HOT C POPCORN STEE</t>
  </si>
  <si>
    <t>HOT C STRIP STEE</t>
  </si>
  <si>
    <t>HOT C STEAK ESTEH</t>
  </si>
  <si>
    <t>HOT C POPCORN ESTEH</t>
  </si>
  <si>
    <t>HOT C STRIP ESTEH</t>
  </si>
  <si>
    <t>FAMILY BUCKET 1</t>
  </si>
  <si>
    <t xml:space="preserve">FAMILY BUCKET 2 </t>
  </si>
  <si>
    <t xml:space="preserve">FAMILY BUCKET 3 </t>
  </si>
  <si>
    <t>FAMILY BUCKET 4</t>
  </si>
  <si>
    <t>P.AYAM UTUH CHEESY GRAB</t>
  </si>
  <si>
    <t>HOT C STEAK SPICY</t>
  </si>
  <si>
    <t>HOT C STRIP SPICY</t>
  </si>
  <si>
    <t>HOT C POPCORN SPICY</t>
  </si>
  <si>
    <t>LOMBA MEWARNAI</t>
  </si>
  <si>
    <t>paket os 2</t>
  </si>
  <si>
    <t xml:space="preserve">dada gf </t>
  </si>
  <si>
    <t>BEVERAGES</t>
  </si>
  <si>
    <r>
      <rPr>
        <b/>
        <u val="singleAccounting"/>
        <sz val="11"/>
        <rFont val="Calibri"/>
        <charset val="134"/>
      </rPr>
      <t>HARGA</t>
    </r>
    <r>
      <rPr>
        <b/>
        <sz val="11"/>
        <rFont val="Calibri"/>
        <charset val="134"/>
      </rPr>
      <t xml:space="preserve">
( UNIT )</t>
    </r>
  </si>
  <si>
    <t>Air Mineral Botol  (600 ML)</t>
  </si>
  <si>
    <t>Air Mineral Botol (330 ML)</t>
  </si>
  <si>
    <t>Air Mineral Cup</t>
  </si>
  <si>
    <t>Teh Botol</t>
  </si>
  <si>
    <t>Teh Sosro Genggam</t>
  </si>
  <si>
    <t>Fruit Tea Botol</t>
  </si>
  <si>
    <t xml:space="preserve">Fuit Tea Genggam </t>
  </si>
  <si>
    <t>Tebs</t>
  </si>
  <si>
    <t>S-tee</t>
  </si>
  <si>
    <t>Juice Durian Float</t>
  </si>
  <si>
    <t xml:space="preserve">Juice Durian </t>
  </si>
  <si>
    <t>Juice Melon Float</t>
  </si>
  <si>
    <t>Juice Melon</t>
  </si>
  <si>
    <t>Juice Strawberry Float</t>
  </si>
  <si>
    <t xml:space="preserve">Juice Strawberry </t>
  </si>
  <si>
    <t>Juice Mangga Float</t>
  </si>
  <si>
    <t xml:space="preserve">Juice Mangga </t>
  </si>
  <si>
    <t>Juice Jambu Float</t>
  </si>
  <si>
    <t xml:space="preserve">Juice Jambu </t>
  </si>
  <si>
    <t>Juice Sirsak Float</t>
  </si>
  <si>
    <t xml:space="preserve">Juice Sirsak </t>
  </si>
  <si>
    <t>Milkshake Coklat</t>
  </si>
  <si>
    <t>Milkshake Coklat Float</t>
  </si>
  <si>
    <t>Milkshake Strawberry</t>
  </si>
  <si>
    <t>Milkshake Strawberry Float</t>
  </si>
  <si>
    <t>Nestle Lemon Tea</t>
  </si>
  <si>
    <t>Milo</t>
  </si>
  <si>
    <t>Ice Cream</t>
  </si>
  <si>
    <t>Es Teh</t>
  </si>
  <si>
    <t>Es Teh RC</t>
  </si>
  <si>
    <t>Thai Green Tea</t>
  </si>
  <si>
    <t>Milky Mango</t>
  </si>
  <si>
    <t>Es Teh Paket Harga Nol</t>
  </si>
  <si>
    <t>S-tee Paket Harga Nol</t>
  </si>
  <si>
    <t>Nestea Paket Harga Nol</t>
  </si>
  <si>
    <t>Lemon Tea Catering Karyawan Minggu</t>
  </si>
  <si>
    <t>Es Teh Catering Karyawan Minggu</t>
  </si>
  <si>
    <t xml:space="preserve">free stee </t>
  </si>
  <si>
    <t>FREE KALENDER</t>
  </si>
  <si>
    <t>TBO 330</t>
  </si>
  <si>
    <t>terasi 2 grab</t>
  </si>
  <si>
    <t>TOTAL BEVERAGES</t>
  </si>
  <si>
    <t>TOTAL SALES</t>
  </si>
  <si>
    <t>TOTAL CUSTOMER</t>
  </si>
  <si>
    <t>Keterangan :</t>
  </si>
  <si>
    <t>1. UNTUK NAMA PRODUK TIDAK BOLEH DIUBAH ATAU DI HAPUS, APABILA ADA PENAMBAHAN PRODUK ISILAH DI KOLOM KOSONG YANG PALING BAWAH  (FOOD &amp; BAVERAGE)</t>
  </si>
  <si>
    <t xml:space="preserve">2. HASIL PRINT OUT LP JADI 3 LEMBAR </t>
  </si>
  <si>
    <t>3. KOLOM FOOD COST ITEM DI ISI MANUAL</t>
  </si>
  <si>
    <t>4. KETERANGAN KOLOM TGL HANYA DI ISI DENGAN ANGKA TGL SAJA TDK DENGAN BULAN / TAHUN</t>
  </si>
  <si>
    <t>(                                                        )</t>
  </si>
  <si>
    <t xml:space="preserve">NB. </t>
  </si>
  <si>
    <t xml:space="preserve">BAGI MENU YANG TIDAK DIPAKAI JANGAN DIHAPUS TAPI DIABAIKAN SAJA </t>
  </si>
  <si>
    <t>UNTUK PAKET YANG TERDAPAT 2 VARIAN MENU ( ES THE / S-TEE ) BISA DIPOSTING Harga Nol SESUAI MINUMAN PILIHAN TAMU</t>
  </si>
  <si>
    <t>dada</t>
  </si>
  <si>
    <t>paha bawah</t>
  </si>
  <si>
    <t>sayap</t>
  </si>
  <si>
    <t>LAPORAN PENJUALAN GRABB FOOD</t>
  </si>
  <si>
    <t>Telor Ceplok</t>
  </si>
  <si>
    <t>Nasi Goreng Telor Ceplok</t>
  </si>
  <si>
    <t>Paket Segar 1</t>
  </si>
  <si>
    <t>Paket Segar 2</t>
  </si>
  <si>
    <t>Paket Segar 3</t>
  </si>
  <si>
    <t>Paket Segar 4</t>
  </si>
  <si>
    <t>Paket Segar 5</t>
  </si>
  <si>
    <t>Paket Segar 6</t>
  </si>
  <si>
    <t>Paket Segar 7</t>
  </si>
  <si>
    <t>Paket Rocket 1</t>
  </si>
  <si>
    <t>Paket Geprek 1</t>
  </si>
  <si>
    <t>Paket Geprek 2</t>
  </si>
  <si>
    <t>Paket Geprek 3</t>
  </si>
  <si>
    <t>Geprek Sayap</t>
  </si>
  <si>
    <t>Geprek Paha Bawah</t>
  </si>
  <si>
    <t>Geprek Paha Atas / Dada</t>
  </si>
  <si>
    <t>Sambal Geprek</t>
  </si>
  <si>
    <t>Paket Geprek Matah 1</t>
  </si>
  <si>
    <t>Paket Geprek Matah 2</t>
  </si>
  <si>
    <t>Paket Geprek Matah 3</t>
  </si>
  <si>
    <t>Geprek Matah Sayap</t>
  </si>
  <si>
    <t>Geprek Matah Paha Bawah</t>
  </si>
  <si>
    <t>Geprek Matah Paha Atas / Dada</t>
  </si>
  <si>
    <t>Sambal Geprek Matah</t>
  </si>
  <si>
    <t>Paket Geprek Terasi 1</t>
  </si>
  <si>
    <t>Paket Geprek Terasi 2</t>
  </si>
  <si>
    <t>Paket Geprek Terasi 3</t>
  </si>
  <si>
    <t>Geprek Terasi Sayap</t>
  </si>
  <si>
    <t>Geprek Terasi Paha Bawah</t>
  </si>
  <si>
    <t>Geprek Terasi Paha Atas / Dada</t>
  </si>
  <si>
    <t>Sambal Geprek Terasi</t>
  </si>
  <si>
    <t xml:space="preserve">Paket 1 Cheesy Level </t>
  </si>
  <si>
    <t xml:space="preserve">Paket 2 Chessy Level </t>
  </si>
  <si>
    <t xml:space="preserve">Paket 3 Chessy Level </t>
  </si>
  <si>
    <t>Cheese Level Sayap</t>
  </si>
  <si>
    <t>Cheese Level Paha Bawah</t>
  </si>
  <si>
    <t>Cheese Level Paha Atas / Dada</t>
  </si>
  <si>
    <t>Paket Mie Goreng</t>
  </si>
  <si>
    <t>Paket Spaghetti Goreng</t>
  </si>
  <si>
    <t>Paket Spaghetti Biasa</t>
  </si>
  <si>
    <t>Mie Goreng</t>
  </si>
  <si>
    <t>Spaghetti Goreng</t>
  </si>
  <si>
    <t>Spaghetti Biasa</t>
  </si>
  <si>
    <t>Paket Cattering 1</t>
  </si>
  <si>
    <t>Paket Cattering 2</t>
  </si>
  <si>
    <t>Paket Cattering 3</t>
  </si>
  <si>
    <t>Koin Kiddy Ride</t>
  </si>
  <si>
    <t>C STEAK GF NEW</t>
  </si>
  <si>
    <t>dada gf</t>
  </si>
  <si>
    <t>c.steak</t>
  </si>
  <si>
    <t>P.AYAM UTUH CHESSY 2</t>
  </si>
  <si>
    <t xml:space="preserve">Air Mineral Botol </t>
  </si>
  <si>
    <t xml:space="preserve">Juice Stawbery </t>
  </si>
  <si>
    <t>Milkshake Mangga</t>
  </si>
  <si>
    <t>Milkshake Mangga Float</t>
  </si>
  <si>
    <t>Milkshake Cappucino</t>
  </si>
  <si>
    <t>Milkshake Cappucino Float</t>
  </si>
  <si>
    <t>Lemon Tea</t>
  </si>
  <si>
    <t xml:space="preserve">Orange </t>
  </si>
  <si>
    <t>(                                                      )</t>
  </si>
  <si>
    <t>paha pabawh</t>
  </si>
  <si>
    <t>LAPORAN PENJUALAN GO FOOD</t>
  </si>
  <si>
    <t>PAKET SUPER HEMAT 1</t>
  </si>
  <si>
    <t>PAKET SUPER HEMAT 2</t>
  </si>
  <si>
    <t>PAKET SUPER HEMAT 3</t>
  </si>
  <si>
    <t>PAKET SUPER HEMAT 4</t>
  </si>
  <si>
    <t>LAPORAN PENJUALAN SHOPEE FOOD</t>
  </si>
  <si>
    <t>PAHA BAWAH SELISIH HARGA</t>
  </si>
  <si>
    <t>SAYAP SELISIH HARGA</t>
  </si>
  <si>
    <t>NASI SELISIH HARGA</t>
  </si>
  <si>
    <t>PERKEDEL SELISIH HARGA</t>
  </si>
  <si>
    <t>SAMBAL MATAH SELISIH HARGA</t>
  </si>
  <si>
    <t>MILKY MANGGO SELISIH HARGA</t>
  </si>
  <si>
    <t xml:space="preserve">MILO SELISIH HARGA </t>
  </si>
  <si>
    <t xml:space="preserve">SAUS CHEESY SELISIH HARGA </t>
  </si>
  <si>
    <t>AMB SELISIH HARGA</t>
  </si>
  <si>
    <t xml:space="preserve">paha bawah </t>
  </si>
  <si>
    <t xml:space="preserve">LAPORAN PENJUALAN KHUSUS REGISTER YANG TIDAK BISA HARGA NOL </t>
  </si>
  <si>
    <t>ROCKET 9 GF</t>
  </si>
  <si>
    <t xml:space="preserve">Paket Segar 1 DINE IN ( Es teh ) </t>
  </si>
  <si>
    <t>Paket Segar 1 TAKE AWAY ( Es teh )</t>
  </si>
  <si>
    <t>Paket Segar 2 ( Es teh )</t>
  </si>
  <si>
    <t>Paket Segar 3 ( Es teh )</t>
  </si>
  <si>
    <t>Paket Segar 4 ( Es teh )</t>
  </si>
  <si>
    <t>Paket Segar 5 ( Es teh )</t>
  </si>
  <si>
    <t>Paket Segar 6 ( Es teh )</t>
  </si>
  <si>
    <t>Paket Segar 7 ( Es teh )</t>
  </si>
  <si>
    <t>Paket Segar 1 DINE IN ( Stee )</t>
  </si>
  <si>
    <t>Paket Segar 1 TAKE AWAY ( Stee )</t>
  </si>
  <si>
    <t>Paket Segar 2 ( Stee )</t>
  </si>
  <si>
    <t>Paket Segar 3 ( Stee )</t>
  </si>
  <si>
    <t>Paket Segar 4 ( Stee )</t>
  </si>
  <si>
    <t>Paket Segar 5 ( Stee )</t>
  </si>
  <si>
    <t>Paket Segar 6 ( Stee )</t>
  </si>
  <si>
    <t>Paket Segar 7 ( Stee )</t>
  </si>
  <si>
    <t>Paket Rocket 1 DINE IN</t>
  </si>
  <si>
    <t>Paket Rocket 1 TAKE AWAY</t>
  </si>
  <si>
    <t>Paket Geprek 1 ( Es teh )</t>
  </si>
  <si>
    <t>Paket Geprek 2 ( Es teh )</t>
  </si>
  <si>
    <t>Paket Geprek 3 ( Es teh )</t>
  </si>
  <si>
    <t>Paket Geprek 1 ( Stee )</t>
  </si>
  <si>
    <t>Paket Geprek 2 ( Stee )</t>
  </si>
  <si>
    <t>Paket Geprek 3 ( Stee )</t>
  </si>
  <si>
    <t>Paket Geprek Matah 1 ( Es teh )</t>
  </si>
  <si>
    <t>Paket Geprek Matah 2 ( Es teh )</t>
  </si>
  <si>
    <t>Paket Geprek Matah 3 ( Es teh )</t>
  </si>
  <si>
    <t>Paket Geprek Matah 1 ( Stee )</t>
  </si>
  <si>
    <t>Paket Geprek Matah 2 ( Stee )</t>
  </si>
  <si>
    <t>Paket Geprek Matah 3 ( Stee )</t>
  </si>
  <si>
    <t>Paket Geprek Terasi 1 ( Es teh )</t>
  </si>
  <si>
    <t>Paket Geprek Terasi 2 ( Es teh )</t>
  </si>
  <si>
    <t>Paket Geprek Terasi 3 ( Es teh )</t>
  </si>
  <si>
    <t>Paket Geprek Terasi 1 ( Stee )</t>
  </si>
  <si>
    <t>Paket Geprek Terasi 2 ( Stee )</t>
  </si>
  <si>
    <t>Paket Geprek Terasi 3 ( Stee )</t>
  </si>
  <si>
    <t xml:space="preserve">Geprek Terasi Sayap </t>
  </si>
  <si>
    <t>Paket 1 Cheesy Level ( Es teh )</t>
  </si>
  <si>
    <t>Paket 2 Chessy Level ( Es teh )</t>
  </si>
  <si>
    <t>Paket 3 Chessy Level ( Es teh )</t>
  </si>
  <si>
    <t>Paket 1 Cheesy Level  ( Stee )</t>
  </si>
  <si>
    <t>Paket 2 Chessy Level ( Stee )</t>
  </si>
  <si>
    <t>Paket 3 Chessy Level ( Stee )</t>
  </si>
  <si>
    <t>Saos chesee level</t>
  </si>
  <si>
    <t>Paket Cattering 4</t>
  </si>
  <si>
    <t>AYAM UTUH ORIGINAL</t>
  </si>
  <si>
    <t>AYAM UTUH CHEESE LEVEL</t>
  </si>
  <si>
    <t>AYAM UTUH GEPREK</t>
  </si>
  <si>
    <t>P.AYAM UTUH ORIGINAL</t>
  </si>
  <si>
    <t>P.AYAM UTUH CHEESE LEVEL</t>
  </si>
  <si>
    <t>P.AYAM UTUH GEPREK</t>
  </si>
  <si>
    <t>AYAM UTUH HOT SPICY</t>
  </si>
  <si>
    <t>PAKET AYAM UTUH HOT SPICY</t>
  </si>
  <si>
    <t>BEEF BURGER</t>
  </si>
  <si>
    <t>BEEF BURGER + LEMON TEA</t>
  </si>
  <si>
    <t>BEEF CHEESE BURGER</t>
  </si>
  <si>
    <t xml:space="preserve">BEEF CHEESE BURGER + LEMON TEA </t>
  </si>
  <si>
    <t xml:space="preserve">BEEF STEAK </t>
  </si>
  <si>
    <t>BEEF STEAK + LEMON TEA</t>
  </si>
  <si>
    <t>BEEF STEAK + LEMON TEA + NASI</t>
  </si>
  <si>
    <t>Dada/Paha Atas Hot Spicy</t>
  </si>
  <si>
    <t>P. Hot Spicy 1 (Green crispy, es teh)</t>
  </si>
  <si>
    <t>P. Hot Spicy 2 (Green crispy, es teh)</t>
  </si>
  <si>
    <t>P. Hot Spicy 3 (Green crispy, es teh)</t>
  </si>
  <si>
    <t>P. Hot Spicy 1 (Green crispy, stee)</t>
  </si>
  <si>
    <t>P. Hot Spicy 2 (Green crispy, stee)</t>
  </si>
  <si>
    <t>P. Hot Spicy 3 (Green crispy, stee)</t>
  </si>
  <si>
    <t>P. Cheese Level 1 (Green crispy, es teh)</t>
  </si>
  <si>
    <t>P. Cheese Level 2 (Green crispy, es teh)</t>
  </si>
  <si>
    <t>P. Cheese Level 3 (Green crispy, es teh)</t>
  </si>
  <si>
    <t>P. Cheese Level 1 (Green crispy, stee)</t>
  </si>
  <si>
    <t>P. Cheese Level 2 (Green crispy, stee)</t>
  </si>
  <si>
    <t>P. Cheese Level 3 (Green crispy, stee)</t>
  </si>
  <si>
    <t>PAKET BUCKET 1</t>
  </si>
  <si>
    <t>PAKET BUCKET 2</t>
  </si>
  <si>
    <t>PAKET BUCKET 3</t>
  </si>
  <si>
    <t>PAKET BUCKET 4</t>
  </si>
  <si>
    <t>PAKET GEMPUR 1 (DINE IN )</t>
  </si>
  <si>
    <t>PAKET GEMPUR 2 (DINE IN )</t>
  </si>
  <si>
    <t>PAKET GEMPUR 3 (DINE IN )</t>
  </si>
  <si>
    <t>PAKET GEMPUR 1 (TAKE AWAY )</t>
  </si>
  <si>
    <t>PAKET GEMPUR 2 (TAKE AWAY )</t>
  </si>
  <si>
    <t>PAKET GEMPUR 3 (TAKE AWAY )</t>
  </si>
  <si>
    <t xml:space="preserve">Indomie Goreng + Ayam Fillet Sambal Matah </t>
  </si>
  <si>
    <t xml:space="preserve">Indomie Goreng + Ayam Fillet Sambal Geprek </t>
  </si>
  <si>
    <t xml:space="preserve">Indomie Goreng + Telor Ceplok + Ayam Fillet Sambal Matah </t>
  </si>
  <si>
    <t xml:space="preserve">Indomie Goreng + Telor Ceplok + Ayam Fillet Sambal Geprek </t>
  </si>
  <si>
    <t xml:space="preserve">Indomie Goreng + Ayam Fillet Sambal Matah + Nestea </t>
  </si>
  <si>
    <t xml:space="preserve">Indomie Goreng + Ayam Fillet Sambal Geprek + Nestea </t>
  </si>
  <si>
    <t xml:space="preserve">Indomie Goreng + Telor Ceplok + Ayam Fillet Sambal Matah + Nestea </t>
  </si>
  <si>
    <t xml:space="preserve">Indomie Goreng + Telor Ceplok + Ayam Fillet Sambal Geprek + Nestea </t>
  </si>
  <si>
    <t>Indomie Telor Geprek</t>
  </si>
  <si>
    <t xml:space="preserve">Indomie Telor Matah </t>
  </si>
  <si>
    <t xml:space="preserve">Indomie Telor Geprek + Stee </t>
  </si>
  <si>
    <t xml:space="preserve">Indomie Telor Matah + Stee </t>
  </si>
  <si>
    <t>UNTUK PAKET YANG TERDAPAT 2 VARIAN MENU ( ES THE / S-TEE ) BISA DIPOSTING HARGA NOL SESUAI MINUMAN PILIHAN TAMU</t>
  </si>
  <si>
    <t>( PPN 10% )</t>
  </si>
  <si>
    <t>Paket Geprek 1  ( Stee )</t>
  </si>
  <si>
    <t>Paket Geprek Terasi 2( Es teh )</t>
  </si>
  <si>
    <r>
      <rPr>
        <b/>
        <u val="singleAccounting"/>
        <sz val="10"/>
        <rFont val="Calibri"/>
        <charset val="134"/>
      </rPr>
      <t>HARGA</t>
    </r>
    <r>
      <rPr>
        <b/>
        <sz val="10"/>
        <rFont val="Calibri"/>
        <charset val="134"/>
      </rPr>
      <t xml:space="preserve">
( PPN 10% )</t>
    </r>
  </si>
  <si>
    <t xml:space="preserve">Cabang     </t>
  </si>
  <si>
    <t xml:space="preserve">Periode      </t>
  </si>
  <si>
    <t>22 JUNI 2022</t>
  </si>
  <si>
    <t>23 JUNI 2022</t>
  </si>
  <si>
    <t>24 JUNI 2022</t>
  </si>
  <si>
    <t>25 JUNI 2022</t>
  </si>
  <si>
    <t>26 JUNI 2022</t>
  </si>
  <si>
    <t>27 JUNI 2022</t>
  </si>
  <si>
    <t>28 JUNI 2022</t>
  </si>
  <si>
    <t>29 JUNI 2022</t>
  </si>
  <si>
    <t>30 JUNI 2022</t>
  </si>
  <si>
    <t>Koreksi / Pembatalan</t>
  </si>
  <si>
    <t>Discount</t>
  </si>
  <si>
    <t>Komisi Grab Food</t>
  </si>
  <si>
    <t>Komisi Go Food</t>
  </si>
  <si>
    <t>Tax (PPN)</t>
  </si>
  <si>
    <t>Penjualan Koin</t>
  </si>
  <si>
    <t>KAS YANG DISETOR</t>
  </si>
  <si>
    <t xml:space="preserve">KELAS 4 </t>
  </si>
  <si>
    <t xml:space="preserve">KELAS 2 </t>
  </si>
  <si>
    <t>KELAS 3 A</t>
  </si>
  <si>
    <t>KELAS 3 B</t>
  </si>
  <si>
    <t>NO PLU</t>
  </si>
  <si>
    <t>Chicken Strip</t>
  </si>
  <si>
    <t xml:space="preserve">French Fries </t>
  </si>
  <si>
    <t>Nasi</t>
  </si>
  <si>
    <t>Perkedel</t>
  </si>
  <si>
    <t>Cheese Burger</t>
  </si>
  <si>
    <t>Nasi Goreng</t>
  </si>
  <si>
    <t>NASPLOK</t>
  </si>
  <si>
    <t>Paket geprek 1</t>
  </si>
  <si>
    <t>Paket geprek 2</t>
  </si>
  <si>
    <t>Paket geprek 3</t>
  </si>
  <si>
    <t>Dada geprek</t>
  </si>
  <si>
    <t>P.atas geprek</t>
  </si>
  <si>
    <t>P.bawah geprek</t>
  </si>
  <si>
    <t>Sayap geprek</t>
  </si>
  <si>
    <t>Paket geprek Matah 1</t>
  </si>
  <si>
    <t>Paket geprek Matah 2</t>
  </si>
  <si>
    <t>Paket geprek Matah  3</t>
  </si>
  <si>
    <t>Paket level 1</t>
  </si>
  <si>
    <t>Paket level 2</t>
  </si>
  <si>
    <t>Paket level 3</t>
  </si>
  <si>
    <t>Sayap level</t>
  </si>
  <si>
    <t>P.bawah level</t>
  </si>
  <si>
    <t>Dada level</t>
  </si>
  <si>
    <t>P.atas Level</t>
  </si>
  <si>
    <t>Sehat 1</t>
  </si>
  <si>
    <t>Sehat 2</t>
  </si>
  <si>
    <t>Sehat 3</t>
  </si>
  <si>
    <t>Sehat 4</t>
  </si>
  <si>
    <t>HARGA BAHAN BAKU</t>
  </si>
  <si>
    <t>TEPUNG 10.400/ KG (260.000)</t>
  </si>
  <si>
    <t>AYAM 36.000/ KG</t>
  </si>
  <si>
    <t>MINYAK 24.000/ LITER</t>
  </si>
  <si>
    <t>TEPUNG 9.800/ KG (245.000)</t>
  </si>
  <si>
    <t>AYAM 35.000/ KG</t>
  </si>
  <si>
    <t>UP DATE STORE</t>
  </si>
  <si>
    <t>TEPUNG 9.102 / KG  ( 227.550 )</t>
  </si>
  <si>
    <t xml:space="preserve">AYAM 33.800 / KG </t>
  </si>
  <si>
    <t>MINYAK 23.400/ LITER</t>
  </si>
  <si>
    <t xml:space="preserve">FOOD COST ITEM KELAS 2 </t>
  </si>
  <si>
    <t>KOMPOSISI PAKET</t>
  </si>
  <si>
    <t>SAYAP , NASI , ES THE</t>
  </si>
  <si>
    <t>CHICKEN STEAK , NASI ,ES THE</t>
  </si>
  <si>
    <t>CHICKEN BURGER, ES THE</t>
  </si>
  <si>
    <t>PAHA BAWAH , NASI , ES THE</t>
  </si>
  <si>
    <t>NASI GORENG  TELUR CEPLOK, ES THE</t>
  </si>
  <si>
    <t>CHICKEN STRIP 3 PCS, ES THE</t>
  </si>
  <si>
    <t>DADA / PAHA ATAS , NASI, ES THE</t>
  </si>
  <si>
    <t xml:space="preserve">SAYAP , NASI , L TEA </t>
  </si>
  <si>
    <t xml:space="preserve">CHICKEN STEAK , NASI L TEA </t>
  </si>
  <si>
    <t xml:space="preserve">CHICKEN BURGER,L TEA </t>
  </si>
  <si>
    <t xml:space="preserve">PAHA BAWAH , NASI , L TEA </t>
  </si>
  <si>
    <t xml:space="preserve">NASI GORENG  TELUR CEPLOK,L TEA </t>
  </si>
  <si>
    <t xml:space="preserve">CHICKEN STRIP 3 PCS,L TEA </t>
  </si>
  <si>
    <t xml:space="preserve">DADA / PAHA ATAS , NASI, L TEA </t>
  </si>
  <si>
    <t xml:space="preserve">NASI GORENG . TEH BOTOL </t>
  </si>
  <si>
    <t>PAHA BAWAH , NASI, TEH BOTOL</t>
  </si>
  <si>
    <t xml:space="preserve">CHICKEN STEAK , NASI , TEH BOTOL </t>
  </si>
  <si>
    <t xml:space="preserve">DADA / PH ATAS , NASI TEH BOTOL </t>
  </si>
  <si>
    <t xml:space="preserve">CHICKEN STRIP 4 PCS , NASI , TEH BOTOL </t>
  </si>
  <si>
    <t>SAYAP GEPREK , NASI , ES THE</t>
  </si>
  <si>
    <t>PAHA BAWAH GEPREK , NASI ,ES THE</t>
  </si>
  <si>
    <t>DADA / PH ATAS GEPREK , NASI , ES THE</t>
  </si>
  <si>
    <t>SAYAP MATAH , NASI , ES TEH</t>
  </si>
  <si>
    <t>PAHA BAWAH MATAH , NASI  ES THE</t>
  </si>
  <si>
    <t>DADA/PH ATAS , NASI ,  ES THE</t>
  </si>
  <si>
    <t>PAHA BAWAH TERASI , NASI , ES THE</t>
  </si>
  <si>
    <t>DADA/PH ATAS TERASI , NASI , ES THE</t>
  </si>
  <si>
    <t>SAYAP TERASI , NASI ,  ES THE</t>
  </si>
  <si>
    <t>SAYAP LEVEL, NASI , ES THE</t>
  </si>
  <si>
    <t>PAHA BAWAH LEVEL , NASI , ES THE</t>
  </si>
  <si>
    <t>DADA/PH ATAS LEVEL , NASI ,  ES THE</t>
  </si>
  <si>
    <t xml:space="preserve">ES TEH </t>
  </si>
  <si>
    <t xml:space="preserve">LEMON TEA </t>
  </si>
  <si>
    <t xml:space="preserve">AMB </t>
  </si>
  <si>
    <t xml:space="preserve">AMC </t>
  </si>
  <si>
    <t xml:space="preserve">MILKSHAKE COKLAT </t>
  </si>
  <si>
    <t>MILKSHAKE CAPUCINO</t>
  </si>
  <si>
    <t>MILKSHAKE MANGGA</t>
  </si>
  <si>
    <t>MILKSHAKE STRAWBERY</t>
  </si>
  <si>
    <t>MILKSHAKE COKLAT FLOAT</t>
  </si>
  <si>
    <t>MILKSHAKE CAPUCINO FLOAT</t>
  </si>
  <si>
    <t>MILKSHAKE MANGGA FLOAT</t>
  </si>
  <si>
    <t>MILKSHAKE STRAWBERY FLOAT</t>
  </si>
  <si>
    <t xml:space="preserve">TBS </t>
  </si>
  <si>
    <t xml:space="preserve">TEBS </t>
  </si>
  <si>
    <t xml:space="preserve">FRUITEA </t>
  </si>
  <si>
    <t>TBO/FTO</t>
  </si>
  <si>
    <t xml:space="preserve">TEH KOTAK </t>
  </si>
  <si>
    <t xml:space="preserve">STEE </t>
  </si>
  <si>
    <t xml:space="preserve">JUICE DURIAN </t>
  </si>
  <si>
    <t>JUICE DURIAN FLOAT</t>
  </si>
  <si>
    <t>JUICE  SIRSAK</t>
  </si>
  <si>
    <t xml:space="preserve">JUICE MELON </t>
  </si>
  <si>
    <t xml:space="preserve">JUICE STRAWBERRI </t>
  </si>
  <si>
    <t xml:space="preserve">JUICE MANGGA </t>
  </si>
  <si>
    <t xml:space="preserve">JUICE JAMBU </t>
  </si>
  <si>
    <t xml:space="preserve">ES CREAM </t>
  </si>
  <si>
    <t>HPP DI ISI MANUAL/ DI BUAT RUMUS SENDIRI  DENGAN MENJUMLAHKAN PADA HITUNGAN FC ITEM .</t>
  </si>
  <si>
    <t>FOOD COST ITEM KELAS 3A</t>
  </si>
  <si>
    <t>Nasgor telor ceplok</t>
  </si>
  <si>
    <t xml:space="preserve">SAYAP , NASI , ES TEH </t>
  </si>
  <si>
    <t xml:space="preserve">CHICKEN STEAK , NASI , ES TEH </t>
  </si>
  <si>
    <t xml:space="preserve">CHICKEN BURGER , ES TEH </t>
  </si>
  <si>
    <t xml:space="preserve">PAHA BAWAH , NASI , ES TEH </t>
  </si>
  <si>
    <t xml:space="preserve">NASI GORENG TELOR CEPLOK , ES TEH </t>
  </si>
  <si>
    <t xml:space="preserve">CHICKEN STRIP 3 PCS , NASI , NESTEA </t>
  </si>
  <si>
    <t xml:space="preserve">DADA/PH ATAS , NASI ,NESTEA </t>
  </si>
  <si>
    <t xml:space="preserve">PAHA BAWAH , NASI , MILO </t>
  </si>
  <si>
    <t xml:space="preserve">CHICKEN STEAK , NASI , NESTEA </t>
  </si>
  <si>
    <t xml:space="preserve">DADA/PH ATAS , NASI , NESTLE ORANGE </t>
  </si>
  <si>
    <t xml:space="preserve">CHICKEN STRIP 3 PCS , NASI , TEH BOTOL </t>
  </si>
  <si>
    <t xml:space="preserve">SAYAP GEPREK , NASI , LEMON TEA </t>
  </si>
  <si>
    <t xml:space="preserve">PAHA BAWAH GEPREK , NASI , LEMON TEA </t>
  </si>
  <si>
    <t xml:space="preserve">DADA / PH ATAS GEPREK , NASI , LEMON TEA </t>
  </si>
  <si>
    <t xml:space="preserve">SAYAP MATAH , NASI , LEMON TEA </t>
  </si>
  <si>
    <t xml:space="preserve">PAHA BAWAH MATAH , NASI , LEMON TEA </t>
  </si>
  <si>
    <t xml:space="preserve">DADA/PH ATAS , NASI , LEMON TEA </t>
  </si>
  <si>
    <t xml:space="preserve">SAYAP TERASI , NASI , LEMON TEA </t>
  </si>
  <si>
    <t xml:space="preserve">PAHA BAWAH TERASI , NASI , LEMON TEA </t>
  </si>
  <si>
    <t xml:space="preserve">DADA/PH ATAS TERASI , NASI , LEMON TEA </t>
  </si>
  <si>
    <t xml:space="preserve">SAYAP LEVEL, NASI , LEMON TEA </t>
  </si>
  <si>
    <t xml:space="preserve">PAHA BAWAH LEVEL , NASI , LEMON TEA </t>
  </si>
  <si>
    <t xml:space="preserve">DADA/PH ATAS LEVEL , NASI , LEMON TEA </t>
  </si>
  <si>
    <t xml:space="preserve">SAYAP , NASI , MILO </t>
  </si>
  <si>
    <t xml:space="preserve">CHICKEN BURGER , MILO </t>
  </si>
  <si>
    <t xml:space="preserve">DADA/PH ATAS , NASI , MILO </t>
  </si>
  <si>
    <t xml:space="preserve">CHICKEN STRIP 3 PCS , NASI , MILO </t>
  </si>
  <si>
    <t>FOOD COST ITEM KELAS 3B</t>
  </si>
  <si>
    <t>FOOD COST ITEM KELAS 4</t>
  </si>
  <si>
    <t>RANDOM COOK</t>
  </si>
  <si>
    <t xml:space="preserve">Hari / tanggal : </t>
  </si>
  <si>
    <t xml:space="preserve">Shift : </t>
  </si>
  <si>
    <t xml:space="preserve">Pemasakan </t>
  </si>
  <si>
    <t>Ket</t>
  </si>
  <si>
    <t>Dada Mentok</t>
  </si>
  <si>
    <t xml:space="preserve">Dada   </t>
  </si>
  <si>
    <t xml:space="preserve">Paha Bawah </t>
  </si>
  <si>
    <t xml:space="preserve">Sayap </t>
  </si>
  <si>
    <t>Ayam Utuh</t>
  </si>
  <si>
    <t>Beef Patty</t>
  </si>
  <si>
    <t>Beef Steak</t>
  </si>
  <si>
    <t>Beras</t>
  </si>
  <si>
    <t xml:space="preserve">Chicken Patty </t>
  </si>
  <si>
    <t>Indomie Goreng</t>
  </si>
  <si>
    <t>Frech Fries</t>
  </si>
  <si>
    <t>Roti Burger</t>
  </si>
  <si>
    <t>Nugget Coint</t>
  </si>
  <si>
    <t>Nugget Stick</t>
  </si>
  <si>
    <t>Sosis Jumbo</t>
  </si>
  <si>
    <t>Green crispy</t>
  </si>
  <si>
    <t>Crincle Mix Platter</t>
  </si>
  <si>
    <t>C. Steak/Filet Indomie         =</t>
  </si>
  <si>
    <t>Filet 26 gr  =</t>
  </si>
  <si>
    <t>=</t>
  </si>
  <si>
    <t>C. Strip            =</t>
  </si>
  <si>
    <t>x 3 =</t>
  </si>
  <si>
    <t>Nasi Nasgor         =</t>
  </si>
  <si>
    <t>X 3 =</t>
  </si>
  <si>
    <t>Nasi                =</t>
  </si>
  <si>
    <t>.=</t>
  </si>
  <si>
    <t>PARAF COOK</t>
  </si>
  <si>
    <t>PARAF SPV</t>
  </si>
  <si>
    <t>(                                    )</t>
  </si>
  <si>
    <t>MASTER COOKING CHART</t>
  </si>
  <si>
    <t>STORE  :</t>
  </si>
  <si>
    <t>DATE    :</t>
  </si>
  <si>
    <t>SHIFT   :</t>
  </si>
  <si>
    <t>FRYER</t>
  </si>
  <si>
    <t>140 C -150 C</t>
  </si>
  <si>
    <t>KWALI RANGE</t>
  </si>
  <si>
    <t>BEEF PATTY</t>
  </si>
  <si>
    <t>NASI GORENG</t>
  </si>
  <si>
    <t>(.............................)</t>
  </si>
  <si>
    <t>NAMA PRODUK</t>
  </si>
  <si>
    <t>TANGGAL DATANG</t>
  </si>
  <si>
    <t>TANGGAL PEMBUATAN</t>
  </si>
  <si>
    <t>TANGGAL EXPIRED</t>
  </si>
  <si>
    <t>PRODUCT HOLDING TIME</t>
  </si>
  <si>
    <t>TIME IN</t>
  </si>
  <si>
    <t>TIME OUT</t>
  </si>
  <si>
    <t>LEFT OVER</t>
  </si>
  <si>
    <t>120'</t>
  </si>
  <si>
    <t>180'</t>
  </si>
  <si>
    <t>20'</t>
  </si>
  <si>
    <t>10'</t>
  </si>
  <si>
    <t>PORSI</t>
  </si>
  <si>
    <t>(                                                             )</t>
  </si>
  <si>
    <t>MONITORING OIL</t>
  </si>
  <si>
    <t>STORE</t>
  </si>
  <si>
    <t>SHIFT</t>
  </si>
  <si>
    <t>SATUAN</t>
  </si>
  <si>
    <t>STOCK AWAL</t>
  </si>
  <si>
    <t>1. FRIED CHICKEN</t>
  </si>
  <si>
    <t>....X 1 =....</t>
  </si>
  <si>
    <t>2. CHICKEN STRIP</t>
  </si>
  <si>
    <t>3. PERKEDEL</t>
  </si>
  <si>
    <t>4. CHICKEN PATTY</t>
  </si>
  <si>
    <t>5. CHICKEN STEAK</t>
  </si>
  <si>
    <t>6. FRENCH FREIS</t>
  </si>
  <si>
    <t>7. MIX PLATTER</t>
  </si>
  <si>
    <t>....X 2 =....</t>
  </si>
  <si>
    <t>8. AYAM UTUH</t>
  </si>
  <si>
    <t>....X 8 =....</t>
  </si>
  <si>
    <t>TOTAL PEMASAKAN</t>
  </si>
  <si>
    <t>STOCK AKHIR</t>
  </si>
  <si>
    <t>(                                           )</t>
  </si>
  <si>
    <t xml:space="preserve"> (KHUSUS GREEN CRISPY)  </t>
  </si>
  <si>
    <t xml:space="preserve">: </t>
  </si>
  <si>
    <t>(RESEP)</t>
  </si>
  <si>
    <t>Porsi</t>
  </si>
  <si>
    <t>....X 0.5 =....</t>
  </si>
  <si>
    <t>PARAF COOK AKHIR SHIFT</t>
  </si>
  <si>
    <t xml:space="preserve">PARAF SUPERVISOR PER HARI </t>
  </si>
  <si>
    <t xml:space="preserve">Catatan : </t>
  </si>
  <si>
    <t>2 porsi = 1 unit</t>
  </si>
  <si>
    <t>Hitungan minyak per 1 resep green crispy untuk 12 unit</t>
  </si>
  <si>
    <t>Per 1 Liter untuk 40 unit (80 porsi)</t>
  </si>
  <si>
    <t>LAPORAN KAS KASIR</t>
  </si>
  <si>
    <t>LAPORAN INI HARUS DIBUAT HARIAN OLEH</t>
  </si>
  <si>
    <t>SETIAP ORANG YANG MEMEGANG CASH REGISTER</t>
  </si>
  <si>
    <t>TIDAK BOLEH ADA PENGHAPUSAN &amp; WAJIB PARAF SUPERVISOR</t>
  </si>
  <si>
    <t>…………………</t>
  </si>
  <si>
    <t>NAMA</t>
  </si>
  <si>
    <t>MODAL AWAL</t>
  </si>
  <si>
    <t>KOMISI GOJEK</t>
  </si>
  <si>
    <t>KOMISI GRAB FOOD</t>
  </si>
  <si>
    <t>KOMISI SHOPEE FOOD</t>
  </si>
  <si>
    <t>KOREKSI / PEMBATALAN ( - )</t>
  </si>
  <si>
    <t>DISCOUNT ( - )</t>
  </si>
  <si>
    <t>KUPON ( - )</t>
  </si>
  <si>
    <t>COMPLIMENT ( - )</t>
  </si>
  <si>
    <t>TAX ( - )</t>
  </si>
  <si>
    <t>TRANSFER GOJEK</t>
  </si>
  <si>
    <t>TRANSFER GRAB FOOD</t>
  </si>
  <si>
    <t>TRANSFER SHOPEE FOOD</t>
  </si>
  <si>
    <t>SALDO</t>
  </si>
  <si>
    <t>UANG YANG DISETOR</t>
  </si>
  <si>
    <t>KELEBIHAN / KEKURANGAN</t>
  </si>
  <si>
    <t>TANDA TANGAN KASIR</t>
  </si>
  <si>
    <t>TANDA TANGAN SUPERVISOR</t>
  </si>
  <si>
    <t xml:space="preserve"> (                                )</t>
  </si>
  <si>
    <t>KOMISI GOFOOD</t>
  </si>
  <si>
    <t>KOMISI GRABFOOD</t>
  </si>
  <si>
    <t>OVO</t>
  </si>
  <si>
    <t>TRANSFER GOFOOD</t>
  </si>
  <si>
    <t>TRANSFER GRABFOOD</t>
  </si>
  <si>
    <t>TRANSFER GRAB  FOOD</t>
  </si>
  <si>
    <t>TRANSFER SHOPEE</t>
  </si>
  <si>
    <t>PEMBAYARAN QRIS</t>
  </si>
  <si>
    <t>PENJUALAN KOIN KIDY RIDE</t>
  </si>
  <si>
    <t>PENJUALAN ROCKET KIDS</t>
  </si>
  <si>
    <t>STOCK CONTROL CHASIER</t>
  </si>
  <si>
    <t>STORE        :</t>
  </si>
  <si>
    <t>TANGGAL :</t>
  </si>
  <si>
    <t>SHIFT          :</t>
  </si>
  <si>
    <t>STOK AWAL</t>
  </si>
  <si>
    <t>STOK AKHIR</t>
  </si>
  <si>
    <t>PEMAKAIAN STANDAR</t>
  </si>
  <si>
    <t>PEMAKAIAN SEBENARYA</t>
  </si>
  <si>
    <t>+ / -</t>
  </si>
  <si>
    <t xml:space="preserve">KETERANGAN </t>
  </si>
  <si>
    <t>TBK / TBO</t>
  </si>
  <si>
    <t>MILK SHAKE STRAWBERY</t>
  </si>
  <si>
    <t>MILK SHAKE  COKLAT</t>
  </si>
  <si>
    <t>MILK SHAKE  CAPUCINO</t>
  </si>
  <si>
    <t>BUAH DURIAN</t>
  </si>
  <si>
    <t>BUAH  MANGGA</t>
  </si>
  <si>
    <t>BUAH STRAWBERRY</t>
  </si>
  <si>
    <t>BUAH MELON</t>
  </si>
  <si>
    <t>BUAH SIRSAT</t>
  </si>
  <si>
    <t>MILKY MANGO</t>
  </si>
  <si>
    <t>AMB 330 ML</t>
  </si>
  <si>
    <t>PINA COLADA</t>
  </si>
  <si>
    <t>PARAF KASIR</t>
  </si>
  <si>
    <t>(                                                   )</t>
  </si>
  <si>
    <t>(                                                               )</t>
  </si>
  <si>
    <t>MILK SHAKE CAPUCINO</t>
  </si>
  <si>
    <t>BUAH MANGGA</t>
  </si>
  <si>
    <t>TEH POCI KUNING</t>
  </si>
  <si>
    <t>TEH POCI VANILA</t>
  </si>
  <si>
    <t>(                                                    )</t>
  </si>
  <si>
    <t>Form Koreksi</t>
  </si>
  <si>
    <t xml:space="preserve">Store               </t>
  </si>
  <si>
    <t xml:space="preserve">Tanggal           </t>
  </si>
  <si>
    <t xml:space="preserve">Terjadi kesalahan pada     </t>
  </si>
  <si>
    <t xml:space="preserve">Sebesar               </t>
  </si>
  <si>
    <t>Seharusnya yang benar</t>
  </si>
  <si>
    <t xml:space="preserve">Disebabkan karena </t>
  </si>
  <si>
    <t>Kasir</t>
  </si>
  <si>
    <t>Supervisor</t>
  </si>
  <si>
    <t>(                     )</t>
  </si>
  <si>
    <t>(                       )</t>
  </si>
  <si>
    <t>KODE PLU REGULER</t>
  </si>
  <si>
    <t>PLU</t>
  </si>
  <si>
    <t>PRODUK MAKANAN</t>
  </si>
  <si>
    <t>PRODUK MINUMAN</t>
  </si>
  <si>
    <t xml:space="preserve">Sayap Hot Cheesy </t>
  </si>
  <si>
    <t xml:space="preserve">Air Mineral Cup </t>
  </si>
  <si>
    <t xml:space="preserve">Paha Bawah Hot Cheesy </t>
  </si>
  <si>
    <t>Air Mineral Botol 600 ML</t>
  </si>
  <si>
    <t xml:space="preserve">Dada/Paha Atas Hot Cheesy </t>
  </si>
  <si>
    <t>Air Mineral Botol 330 ML</t>
  </si>
  <si>
    <t>Sauce Hot Cheesy</t>
  </si>
  <si>
    <t xml:space="preserve">Paket Geprek Bawang 1 </t>
  </si>
  <si>
    <t>Teh Botol Kotak</t>
  </si>
  <si>
    <t xml:space="preserve">Paket Geprek Bawang 2 </t>
  </si>
  <si>
    <t>Teh Botol Pouch</t>
  </si>
  <si>
    <r>
      <rPr>
        <sz val="10"/>
        <rFont val="Arial"/>
        <charset val="134"/>
      </rPr>
      <t xml:space="preserve">Paket Geprek </t>
    </r>
    <r>
      <rPr>
        <b/>
        <sz val="10"/>
        <rFont val="Arial"/>
        <charset val="134"/>
      </rPr>
      <t>Bawang</t>
    </r>
    <r>
      <rPr>
        <sz val="10"/>
        <rFont val="Arial"/>
        <charset val="134"/>
      </rPr>
      <t xml:space="preserve"> 3 </t>
    </r>
  </si>
  <si>
    <t>Fruitea Botol</t>
  </si>
  <si>
    <t xml:space="preserve">Fruitea Pouch </t>
  </si>
  <si>
    <t xml:space="preserve"> Paha Bawah Geprek Bawang</t>
  </si>
  <si>
    <t>New Paket Catering 1</t>
  </si>
  <si>
    <t xml:space="preserve">Tebs </t>
  </si>
  <si>
    <t xml:space="preserve">Dada/Paha Atas Geprek Bawang </t>
  </si>
  <si>
    <t>New Paket Catering 2</t>
  </si>
  <si>
    <t>New Paket Catering 3</t>
  </si>
  <si>
    <t>Jus Strawberry</t>
  </si>
  <si>
    <t>Chicken Cheese Burger</t>
  </si>
  <si>
    <t xml:space="preserve">Paket Matah 1 </t>
  </si>
  <si>
    <t>New Paket Catering 4</t>
  </si>
  <si>
    <t>Jus Mangga</t>
  </si>
  <si>
    <t>Paket Matah 2</t>
  </si>
  <si>
    <t>Beef Burger + Nestea</t>
  </si>
  <si>
    <t>Jus Melon</t>
  </si>
  <si>
    <t xml:space="preserve">Paket Matah 3 </t>
  </si>
  <si>
    <t>Beef Cheese Burger + Nestea</t>
  </si>
  <si>
    <t>Jus Sirsak</t>
  </si>
  <si>
    <t>Beef Cheese Burger</t>
  </si>
  <si>
    <t>Beef Steak + Nestea</t>
  </si>
  <si>
    <t>Jus Jambu</t>
  </si>
  <si>
    <t xml:space="preserve">Paha Bawah  Matah </t>
  </si>
  <si>
    <t>Beef Steak + Nasi + Nestea</t>
  </si>
  <si>
    <t>Jus Durian</t>
  </si>
  <si>
    <t xml:space="preserve">Dada/Paha Atas  Matah </t>
  </si>
  <si>
    <t>Family Bucket 1</t>
  </si>
  <si>
    <t>Jus Strawberry Float</t>
  </si>
  <si>
    <t>Family Bucket 2</t>
  </si>
  <si>
    <t>Jus Mangga Float</t>
  </si>
  <si>
    <t>Paket Terasi 1</t>
  </si>
  <si>
    <t>Family Bucket 3</t>
  </si>
  <si>
    <t>Jus Melon Float</t>
  </si>
  <si>
    <t xml:space="preserve">Paket Terasi 2 </t>
  </si>
  <si>
    <t>Family Bucket 4</t>
  </si>
  <si>
    <t>Jus Sirsak Float</t>
  </si>
  <si>
    <t xml:space="preserve">Paket Terasi 3 </t>
  </si>
  <si>
    <t>Jus Jambu Float</t>
  </si>
  <si>
    <t xml:space="preserve">Sayap Terasi </t>
  </si>
  <si>
    <t>Jus Durian Float</t>
  </si>
  <si>
    <t>Paha Bawah Terasi</t>
  </si>
  <si>
    <t xml:space="preserve">Dada/Paha Atas Terasi </t>
  </si>
  <si>
    <t>Sambal Terasi</t>
  </si>
  <si>
    <t>Bucket 1</t>
  </si>
  <si>
    <t>Teh RC</t>
  </si>
  <si>
    <t>Bucket 2</t>
  </si>
  <si>
    <t>Bucket 3</t>
  </si>
  <si>
    <t>Bucket 4 ( Geprek )</t>
  </si>
  <si>
    <t>Bucket 4 ( Hot Cheesy )</t>
  </si>
  <si>
    <t>Ron 88 (200 ml)</t>
  </si>
  <si>
    <t>Ayam Utuh Hot Cheesy</t>
  </si>
  <si>
    <t>Paket Ayam Utuh Original</t>
  </si>
  <si>
    <t>Paket Ayam Utuh Geprek</t>
  </si>
  <si>
    <t>Paket Ayam Utuh Hot Cheesy</t>
  </si>
  <si>
    <t>Paket Segar 1  Dine in</t>
  </si>
  <si>
    <t>Koin Kids</t>
  </si>
  <si>
    <t>Paket Segar 1  Take Away</t>
  </si>
  <si>
    <t>Hot Spicy 1 Green crispy (S-tee / Teh)</t>
  </si>
  <si>
    <t xml:space="preserve">Paket Segar 2  </t>
  </si>
  <si>
    <t>Hot Spicy 2 Green crispy (S-tee / Teh)</t>
  </si>
  <si>
    <t xml:space="preserve">Paket Segar 3  </t>
  </si>
  <si>
    <t>Hot Spicy 3 Green crispy (S-tee / Teh)</t>
  </si>
  <si>
    <t xml:space="preserve">Paket Segar 4  </t>
  </si>
  <si>
    <t>Sayap Spicy</t>
  </si>
  <si>
    <t xml:space="preserve">Paket Segar 5  </t>
  </si>
  <si>
    <t>Paha Bawah Spicy</t>
  </si>
  <si>
    <t xml:space="preserve">Paket Segar 6  </t>
  </si>
  <si>
    <t>Dada/Paha Atas Spicy</t>
  </si>
  <si>
    <t>Es Teh paket harga 0</t>
  </si>
  <si>
    <t xml:space="preserve">Paket Segar 7 </t>
  </si>
  <si>
    <t>Hot Cheese Green Crispy 1 (S-tee/Teh)</t>
  </si>
  <si>
    <t xml:space="preserve">Nasi Catt Karyawan Harian </t>
  </si>
  <si>
    <t>S-tee paket harga 0</t>
  </si>
  <si>
    <t>Paket Hot Cheesy 1</t>
  </si>
  <si>
    <t>Hot Cheese Green Crispy 2 (S-tee/Teh)</t>
  </si>
  <si>
    <t>Dada/P Atas Catt Karyawan Minggu</t>
  </si>
  <si>
    <t>Teh RC paket harga 0</t>
  </si>
  <si>
    <t>Paket Hot Cheesy 2</t>
  </si>
  <si>
    <t>Hot Cheese Green Crispy 3 (S-tee/Teh)</t>
  </si>
  <si>
    <t>Lemon Tea Catt Karyawan Minggu</t>
  </si>
  <si>
    <t>Paket Hot Cheesy 3</t>
  </si>
  <si>
    <t>Es teh Catt Karyawan Minggu</t>
  </si>
  <si>
    <t>KODE PLU PROMO REGION</t>
  </si>
  <si>
    <t>KODE PLU GO FOOD</t>
  </si>
  <si>
    <t>MENU MINUMAN</t>
  </si>
  <si>
    <t>KODE PLU GRAB</t>
  </si>
  <si>
    <t>KODE PLU SHOPEE FOOD</t>
  </si>
  <si>
    <t>LOG BOOK</t>
  </si>
  <si>
    <t>SHIFT         : PAGI</t>
  </si>
  <si>
    <t>SHIFT         : HAND OVER</t>
  </si>
  <si>
    <t>SHIFT         : MALAM</t>
  </si>
  <si>
    <t>MAN POWER</t>
  </si>
  <si>
    <t>TARGET SALES HARIAN</t>
  </si>
  <si>
    <t>TARGET SALES PAGI</t>
  </si>
  <si>
    <t>HO BRANGKAS</t>
  </si>
  <si>
    <t>CASHFLOW</t>
  </si>
  <si>
    <t>MODAL</t>
  </si>
  <si>
    <t>BON GANTUNG</t>
  </si>
  <si>
    <t>UANG KERTAS</t>
  </si>
  <si>
    <t>UANG LOGAM</t>
  </si>
  <si>
    <t>RENCANA SETOR</t>
  </si>
  <si>
    <t>SIMPANAN</t>
  </si>
  <si>
    <t>SELISIH +/-/0</t>
  </si>
  <si>
    <t>KET SELISIH :</t>
  </si>
  <si>
    <t>MEMO :</t>
  </si>
  <si>
    <t>TTD INCHARGE SHIFT PAGI</t>
  </si>
  <si>
    <t>INCHARGE PAGI</t>
  </si>
  <si>
    <t>INCHARGE SIANG</t>
  </si>
  <si>
    <t>TTD INCHARGE SHIFT SIANG</t>
  </si>
  <si>
    <t>(                                            )</t>
  </si>
  <si>
    <t>(                                          )</t>
  </si>
  <si>
    <t>(                                             )</t>
  </si>
  <si>
    <t>MANAGER CHECK LIST</t>
  </si>
  <si>
    <t>DAY/ DATE</t>
  </si>
  <si>
    <t xml:space="preserve">SPV ON DUTY MORNING              </t>
  </si>
  <si>
    <t xml:space="preserve">SPV ON DUTY AFTERNOON         </t>
  </si>
  <si>
    <t>EXTERIOR</t>
  </si>
  <si>
    <t>PRODUCT DISPLAY</t>
  </si>
  <si>
    <t>URAIAN</t>
  </si>
  <si>
    <t>OPENING</t>
  </si>
  <si>
    <t>H.OVER</t>
  </si>
  <si>
    <t>CLOSING</t>
  </si>
  <si>
    <t>KESET</t>
  </si>
  <si>
    <t>LANGIT-LANGIT</t>
  </si>
  <si>
    <t>PARKING AREA</t>
  </si>
  <si>
    <t>PENERANGAN</t>
  </si>
  <si>
    <t>EQUIPMENT</t>
  </si>
  <si>
    <t>PINTU/JENDELA/KACA</t>
  </si>
  <si>
    <t>POLE SIGN/NEON SIGN</t>
  </si>
  <si>
    <t>BOWL SINK</t>
  </si>
  <si>
    <t>ROLLING DOOR</t>
  </si>
  <si>
    <t>GREASTRAP</t>
  </si>
  <si>
    <t>DINNING HALL</t>
  </si>
  <si>
    <t>BOX AYAM</t>
  </si>
  <si>
    <t>TRAY ALUMINIUM</t>
  </si>
  <si>
    <t>KIPAS  ANGIN / AC</t>
  </si>
  <si>
    <t xml:space="preserve">SERVICE TANG </t>
  </si>
  <si>
    <t>AREA MAINAN ANAK</t>
  </si>
  <si>
    <t>PEL</t>
  </si>
  <si>
    <t>CERMIN</t>
  </si>
  <si>
    <t>SAPU</t>
  </si>
  <si>
    <t>DINDING</t>
  </si>
  <si>
    <t>PENGKI</t>
  </si>
  <si>
    <t>HAND DRYER</t>
  </si>
  <si>
    <t>PERALATAN CLEAR UP</t>
  </si>
  <si>
    <t>JENDELA KACA</t>
  </si>
  <si>
    <t>CHILLER</t>
  </si>
  <si>
    <t>WASTAFEL</t>
  </si>
  <si>
    <t>FREEZER</t>
  </si>
  <si>
    <t>KARPET EASTAFEL</t>
  </si>
  <si>
    <t>EXHAUST</t>
  </si>
  <si>
    <t>LANTAI</t>
  </si>
  <si>
    <t>MEJA KURSI</t>
  </si>
  <si>
    <t>WARMER</t>
  </si>
  <si>
    <t>MUSIK</t>
  </si>
  <si>
    <t>MEJA DUSTING</t>
  </si>
  <si>
    <t>KOMPOR GAS</t>
  </si>
  <si>
    <t>POSTER DINDING</t>
  </si>
  <si>
    <t>TEFLON</t>
  </si>
  <si>
    <t>RICE COOKER</t>
  </si>
  <si>
    <t>MEJA DAPUR</t>
  </si>
  <si>
    <t>FRONT COUNTER</t>
  </si>
  <si>
    <t>MESIN OIL FILTER</t>
  </si>
  <si>
    <t>TIMBANGAN</t>
  </si>
  <si>
    <t>CASH REGISTER</t>
  </si>
  <si>
    <t>TEMPAT SAMPAH</t>
  </si>
  <si>
    <t>MEJA COUNTER</t>
  </si>
  <si>
    <t>GUDANG</t>
  </si>
  <si>
    <t>MICROPHONE</t>
  </si>
  <si>
    <t>TRAY</t>
  </si>
  <si>
    <t>KELENGKAPAN BAHAN</t>
  </si>
  <si>
    <t>DISPENSER</t>
  </si>
  <si>
    <t>FIFO</t>
  </si>
  <si>
    <t>KUALITAS BARANG</t>
  </si>
  <si>
    <t>SHOW CASE</t>
  </si>
  <si>
    <t>PINTU</t>
  </si>
  <si>
    <t>TERMOS ES</t>
  </si>
  <si>
    <t>RAK GUDANG</t>
  </si>
  <si>
    <t>MAGIG JAR</t>
  </si>
  <si>
    <t>ADMINISTRASI</t>
  </si>
  <si>
    <t>TERMOS NASI</t>
  </si>
  <si>
    <t>ADMINISTRASI KASIR</t>
  </si>
  <si>
    <t>GELAS/ PIRING</t>
  </si>
  <si>
    <t>ADMINISTRASI COOK</t>
  </si>
  <si>
    <t>ADMINISTRASI MANAGER</t>
  </si>
  <si>
    <t>ABSENSI</t>
  </si>
  <si>
    <t>GROOMING</t>
  </si>
  <si>
    <t>BAHAN CHICKEN CORN SOUP</t>
  </si>
  <si>
    <t>POSITION CHART</t>
  </si>
  <si>
    <t>OFFICE</t>
  </si>
  <si>
    <t>BRANKAS</t>
  </si>
  <si>
    <t>PARFRY PRODUCT</t>
  </si>
  <si>
    <t>SOUND SISTEM</t>
  </si>
  <si>
    <t>LOG BOOK MANAGER</t>
  </si>
  <si>
    <t>REST ROOM</t>
  </si>
  <si>
    <t>BUN BURGER</t>
  </si>
  <si>
    <t>CLOSET</t>
  </si>
  <si>
    <t>ACTION PLAN/DEAD LINE</t>
  </si>
  <si>
    <t xml:space="preserve">ACTION </t>
  </si>
  <si>
    <t>DEAD LINE</t>
  </si>
  <si>
    <t>LANGI-LANGIT</t>
  </si>
  <si>
    <t>MANAGER ON DUTY</t>
  </si>
  <si>
    <t>INSENTIF KARYAWAN ROCKET CHICKEN</t>
  </si>
  <si>
    <t>STORE:  RC SAMATA                BULAN:</t>
  </si>
  <si>
    <t>oktober</t>
  </si>
  <si>
    <t>Nama</t>
  </si>
  <si>
    <t>Tgl Masuk</t>
  </si>
  <si>
    <t>Jabatan</t>
  </si>
  <si>
    <t>Insentif</t>
  </si>
  <si>
    <t>Tanda</t>
  </si>
  <si>
    <t>Tangan</t>
  </si>
  <si>
    <t>DIO BAGUS SETIAWAN</t>
  </si>
  <si>
    <t>senior spv</t>
  </si>
  <si>
    <t>SALDI</t>
  </si>
  <si>
    <t>13 desember 2022</t>
  </si>
  <si>
    <t>junior spv</t>
  </si>
  <si>
    <t>TRIANA ASTUTI</t>
  </si>
  <si>
    <t>17 mei 2024</t>
  </si>
  <si>
    <t>senior kasir</t>
  </si>
  <si>
    <t>SITTI ANNISA PUTRI</t>
  </si>
  <si>
    <t>11 oktober 2024</t>
  </si>
  <si>
    <t>junior kasir</t>
  </si>
  <si>
    <t>SULFIANI</t>
  </si>
  <si>
    <t>18 oktober 2024</t>
  </si>
  <si>
    <t>HANDAYANI LUKIN</t>
  </si>
  <si>
    <t>07 januari 2025</t>
  </si>
  <si>
    <t>BAGAS DWI PUTRA</t>
  </si>
  <si>
    <t>7 mei 2024</t>
  </si>
  <si>
    <t>junior cook</t>
  </si>
  <si>
    <t>MUH ASRUL RAMADHAN</t>
  </si>
  <si>
    <t>M RIFKI FIRMANSYAH</t>
  </si>
  <si>
    <t>2 agustus 2025</t>
  </si>
  <si>
    <t>MUHAMMAD ILHAM</t>
  </si>
  <si>
    <t>2 juli 2025</t>
  </si>
  <si>
    <t>NOTE : SETIAP REIMBURSEMENT INSENTIF WAJIB MENGGUNAKAN FORM INSENTIF APABILA MEMAKAI NOTA MANUAL AKAN DICORET OLEH ACCOUNTING.</t>
  </si>
  <si>
    <t>Pembagian Insentif dengan perhitungan</t>
  </si>
  <si>
    <t>1. Perhitungan Insentif apabila ada 3 orang Supervisor incharge</t>
  </si>
  <si>
    <t>50 % Total Insentif untuk crew</t>
  </si>
  <si>
    <t>50 % Total Insentif untuk Supervisor dengan persentase pembagian Supervisor sbb :</t>
  </si>
  <si>
    <t>- 40 % untuk 1st Man</t>
  </si>
  <si>
    <t>- 35 % Untuk 2nd Man</t>
  </si>
  <si>
    <t>- 25 % untuk 3rd Man</t>
  </si>
  <si>
    <t>2. Perhitungan Insentif apabila ada 2 orang Supervisor incharge (store harus ada 2 orang Supervisor incharge)</t>
  </si>
  <si>
    <t>60 % Total Insentif untuk crew</t>
  </si>
  <si>
    <t>40 % Total Insentif untuk Supervisor dengan persentase pembagian Supervisor sbb :</t>
  </si>
  <si>
    <t>- 55 % untuk 1st Man</t>
  </si>
  <si>
    <t>- 45 % untuk 2nd Man (sudah lulus Supervisor)</t>
  </si>
  <si>
    <t>ATAU</t>
  </si>
  <si>
    <t>- 60 % untuk 1st Man</t>
  </si>
  <si>
    <t>- 40% untuk 2nd Man (SPV FT Trainee/SPV FT)</t>
  </si>
  <si>
    <t>3. Perhitungan Insentif apabila ada 2 orang incharge (1 orang Supervisor dan Crew Incharge)</t>
  </si>
  <si>
    <t>- 40 % total insentif untuk Supervisor</t>
  </si>
  <si>
    <t>dengan prosentase pembagian sebagai berikut :</t>
  </si>
  <si>
    <t>- 70% untuk 1st Man</t>
  </si>
  <si>
    <t>- 30% untuk ditambahkan ke insentif crew</t>
  </si>
  <si>
    <t>- 60% total insentif untuk total crew dan ditambah dengan 30% insentif Supervisor</t>
  </si>
  <si>
    <t>Berikut pembagian untuk staff dengan penjelasan point - point</t>
  </si>
  <si>
    <t>Dengan persentase pembagian crew adalah sesuai poin yang sudah di tentukan sbb :</t>
  </si>
  <si>
    <t>- Trainee Crew (1-3 bulan)</t>
  </si>
  <si>
    <t>: 2 poin</t>
  </si>
  <si>
    <t>- Junior Crew (3 bulan-1 tahun)</t>
  </si>
  <si>
    <t>: 3 poin</t>
  </si>
  <si>
    <t>- Senior Crew (diatas 1 tahun)</t>
  </si>
  <si>
    <t>: 4 poin</t>
  </si>
  <si>
    <t>- Crew Incharge</t>
  </si>
  <si>
    <t>: 5 poin</t>
  </si>
  <si>
    <t>Dibagikan ke semua crew dengan masa kerja lebih dari 1 bulan dengan aturan pembagian sbb :</t>
  </si>
  <si>
    <t>Setiap crew dihitung sesuai dengan poin yang didapat kemudian dihitung total seluruh crew yang ada di store dan akan ditemukan</t>
  </si>
  <si>
    <t>jumlah poin secara keseluruhan.</t>
  </si>
  <si>
    <t>MANAGEMENT BOOK</t>
  </si>
  <si>
    <t>KEPADA      :</t>
  </si>
  <si>
    <t>DARI            :</t>
  </si>
  <si>
    <t>TANGGAL   :</t>
  </si>
  <si>
    <t>PROBLEM STORE</t>
  </si>
  <si>
    <t>SOLUTION</t>
  </si>
  <si>
    <t>DEADLINE FOLLOW UP</t>
  </si>
  <si>
    <t>SIGNATURE</t>
  </si>
  <si>
    <t>PARAF MANAGEMENT</t>
  </si>
  <si>
    <t xml:space="preserve">             (                                          )</t>
  </si>
  <si>
    <t>DAFTAR  HADIR  KARYAWAN</t>
  </si>
  <si>
    <t>Cabang :</t>
  </si>
  <si>
    <t>Bulan :</t>
  </si>
  <si>
    <t>01</t>
  </si>
  <si>
    <t>02</t>
  </si>
  <si>
    <t>03</t>
  </si>
  <si>
    <t>04</t>
  </si>
  <si>
    <t>05</t>
  </si>
  <si>
    <t>06</t>
  </si>
  <si>
    <t>07</t>
  </si>
  <si>
    <t>08</t>
  </si>
  <si>
    <t>09</t>
  </si>
  <si>
    <t>Paraf  In-Charge --&gt;</t>
  </si>
  <si>
    <t>#  Setiap hari diisi oleh Manager In-Charge / yang diberi kewenangan mengisi</t>
  </si>
  <si>
    <t>#  Akhir bulan dikirim ke Office dijadikan satu dengan SALES CONTROL</t>
  </si>
  <si>
    <t>Masuk Kerja Pagi</t>
  </si>
  <si>
    <t>Masuk Kerja Malam</t>
  </si>
  <si>
    <t>MA</t>
  </si>
  <si>
    <t>Masuk Kerja Split</t>
  </si>
  <si>
    <t xml:space="preserve">Libur </t>
  </si>
  <si>
    <t>EX</t>
  </si>
  <si>
    <t>Extra  Libur</t>
  </si>
  <si>
    <t>Ijin Tidak Masuk Kerja</t>
  </si>
  <si>
    <t>Ijin Sakit</t>
  </si>
  <si>
    <t>Cuti</t>
  </si>
  <si>
    <t>Tidak Masuk Kerja Tanpa Keterangan</t>
  </si>
  <si>
    <t>Catatan :</t>
  </si>
  <si>
    <t>TO/TI PERKEDEL</t>
  </si>
  <si>
    <t>JUMLAH PERKEDEL</t>
  </si>
  <si>
    <t>(                                        )</t>
  </si>
  <si>
    <t>QTY / PORSI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</si>
</sst>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3">
    <numFmt numFmtId="8" formatCode="&quot;$&quot;#,##0.00_);[Red]\(&quot;$&quot;#,##0.00\)"/>
    <numFmt numFmtId="41" formatCode="_(* #,##0_);_(* \(#,##0\);_(* &quot;-&quot;_);_(@_)"/>
    <numFmt numFmtId="43" formatCode="_(* #,##0.00_);_(* \(#,##0.00\);_(* &quot;-&quot;??_);_(@_)"/>
    <numFmt numFmtId="164" formatCode="_-* #,##0_-;\-* #,##0_-;_-* &quot;-&quot;_-;_-@_-"/>
    <numFmt numFmtId="165" formatCode="_(&quot;Rp&quot;* #,##0.00_);_(&quot;Rp&quot;* \(#,##0.00\);_(&quot;Rp&quot;* &quot;-&quot;??_);_(@_)"/>
    <numFmt numFmtId="166" formatCode="_-&quot;Rp&quot;* #,##0_-;\-&quot;Rp&quot;* #,##0_-;_-&quot;Rp&quot;* &quot;-&quot;??_-;_-@_-"/>
    <numFmt numFmtId="167" formatCode="[$-421]dd\ mmmm\ yyyy;@"/>
    <numFmt numFmtId="168" formatCode="&quot;Rp&quot;#,##0_);[Red]\(&quot;Rp&quot;#,##0\)"/>
    <numFmt numFmtId="169" formatCode="&quot;Rp&quot;#,##0"/>
    <numFmt numFmtId="170" formatCode="_(* #,##0_);_(* \(#,##0\);_(* &quot;-&quot;??_);_(@_)"/>
    <numFmt numFmtId="171" formatCode="#,##0_);[Red]\!\(#,##0\!\)"/>
    <numFmt numFmtId="172" formatCode="_-&quot;Rp&quot;* #,##0_-;\-&quot;Rp&quot;* #,##0_-;_-&quot;Rp&quot;* &quot;-&quot;_-;_-@_-"/>
    <numFmt numFmtId="173" formatCode="_(* #,##0.00_);_(* \(#,##0.00\);_(* &quot;-&quot;_);_(@_)"/>
    <numFmt numFmtId="174" formatCode="0.0%"/>
    <numFmt numFmtId="175" formatCode="dd/mm/yyyy;@"/>
    <numFmt numFmtId="176" formatCode="_-* #,##0.00_-;\-* #,##0.00_-;_-* &quot;-&quot;??_-;_-@_-"/>
    <numFmt numFmtId="177" formatCode="dd\-mmm"/>
    <numFmt numFmtId="178" formatCode="[$-409]d\-mmm\-yy;@"/>
    <numFmt numFmtId="179" formatCode="[$-F800]dddd\,\ mmmm\ dd\,\ yyyy"/>
    <numFmt numFmtId="180" formatCode="_(* #,##0.0_);_(* \(#,##0.0\);_(* &quot;-&quot;_);_(@_)"/>
    <numFmt numFmtId="181" formatCode="[$-409]d\-mmm\-yyyy;@"/>
    <numFmt numFmtId="182" formatCode="[$-409]dd\-mmm\-yy;@"/>
    <numFmt numFmtId="183" formatCode="dd\-mmm\-yy"/>
    <numFmt numFmtId="184" formatCode="#.##"/>
    <numFmt numFmtId="185" formatCode="_(* #.##0_);_(* \(#.##0\);_(* &quot;-&quot;_);_(@_)"/>
    <numFmt numFmtId="186" formatCode="#.##0"/>
    <numFmt numFmtId="187" formatCode="_-* #,##0.0_-;\-* #,##0.0_-;_-* &quot;-&quot;?_-;_-@_-"/>
    <numFmt numFmtId="188" formatCode="_(&quot;Rp&quot;* #,##0_);_(&quot;Rp&quot;* \(#,##0\);_(&quot;Rp&quot;* &quot;-&quot;_);_(@_)"/>
    <numFmt numFmtId="189" formatCode="0.0"/>
    <numFmt numFmtId="190" formatCode="_(* #,##0_);_(* \(#,##0\);_(* &quot;-&quot;?_);_(@_)"/>
    <numFmt numFmtId="191" formatCode="#,##0.0"/>
    <numFmt numFmtId="192" formatCode="_(* #,##0.0_);_(* \(#,##0.0\);_(* &quot;-&quot;?_);_(@_)"/>
    <numFmt numFmtId="193" formatCode="_-* #,##0_-;\-* #,##0_-;_-* &quot;-&quot;?_-;_-@_-"/>
  </numFmts>
  <fonts count="137">
    <font>
      <sz val="10"/>
      <name val="Arial"/>
      <charset val="134"/>
    </font>
    <font>
      <sz val="11"/>
      <name val="Calibri"/>
      <charset val="134"/>
    </font>
    <font>
      <b/>
      <sz val="18"/>
      <name val="Calibri"/>
      <charset val="134"/>
    </font>
    <font>
      <b/>
      <sz val="11"/>
      <name val="Calibri"/>
      <charset val="134"/>
    </font>
    <font>
      <i/>
      <sz val="11"/>
      <name val="Calibri"/>
      <charset val="134"/>
    </font>
    <font>
      <b/>
      <i/>
      <sz val="11"/>
      <name val="Calibri"/>
      <charset val="134"/>
    </font>
    <font>
      <b/>
      <sz val="20"/>
      <name val="Americana XBd BT"/>
      <charset val="134"/>
    </font>
    <font>
      <b/>
      <sz val="18"/>
      <name val="Times New Roman"/>
      <charset val="134"/>
    </font>
    <font>
      <b/>
      <sz val="12"/>
      <name val="Times New Roman"/>
      <charset val="134"/>
    </font>
    <font>
      <sz val="10"/>
      <name val="Times New Roman"/>
      <charset val="134"/>
    </font>
    <font>
      <sz val="10"/>
      <name val="Dauphin"/>
      <charset val="134"/>
    </font>
    <font>
      <b/>
      <sz val="9"/>
      <name val="Times New Roman"/>
      <charset val="134"/>
    </font>
    <font>
      <b/>
      <sz val="10"/>
      <name val="Times New Roman"/>
      <charset val="134"/>
    </font>
    <font>
      <b/>
      <sz val="11"/>
      <name val="Times New Roman"/>
      <charset val="134"/>
    </font>
    <font>
      <b/>
      <sz val="20"/>
      <name val="Calibri"/>
      <charset val="134"/>
    </font>
    <font>
      <b/>
      <sz val="12"/>
      <name val="Calibri"/>
      <charset val="134"/>
    </font>
    <font>
      <sz val="14"/>
      <name val="Calibri"/>
      <charset val="134"/>
    </font>
    <font>
      <sz val="11"/>
      <color indexed="8"/>
      <name val="Calibri"/>
      <charset val="134"/>
    </font>
    <font>
      <sz val="7"/>
      <name val="Comic Sans MS"/>
      <charset val="134"/>
    </font>
    <font>
      <sz val="10"/>
      <name val="Comic Sans MS"/>
      <charset val="134"/>
    </font>
    <font>
      <b/>
      <sz val="22"/>
      <name val="Arial"/>
      <charset val="134"/>
    </font>
    <font>
      <b/>
      <sz val="18"/>
      <name val="Arial"/>
      <charset val="134"/>
    </font>
    <font>
      <b/>
      <sz val="10"/>
      <name val="Comic Sans MS"/>
      <charset val="134"/>
    </font>
    <font>
      <b/>
      <sz val="10"/>
      <color indexed="10"/>
      <name val="Comic Sans MS"/>
      <charset val="134"/>
    </font>
    <font>
      <b/>
      <sz val="11"/>
      <name val="Arial"/>
      <charset val="134"/>
    </font>
    <font>
      <sz val="12"/>
      <name val="Arial"/>
      <charset val="134"/>
    </font>
    <font>
      <b/>
      <i/>
      <sz val="12"/>
      <name val="Arial"/>
      <charset val="134"/>
    </font>
    <font>
      <b/>
      <sz val="14"/>
      <name val="Arial"/>
      <charset val="134"/>
    </font>
    <font>
      <sz val="14"/>
      <name val="Arial"/>
      <charset val="134"/>
    </font>
    <font>
      <sz val="14"/>
      <color indexed="8"/>
      <name val="Calibri"/>
      <charset val="134"/>
    </font>
    <font>
      <b/>
      <sz val="14"/>
      <color indexed="10"/>
      <name val="Arial"/>
      <charset val="134"/>
    </font>
    <font>
      <sz val="14"/>
      <color indexed="9"/>
      <name val="Calibri"/>
      <charset val="134"/>
    </font>
    <font>
      <b/>
      <sz val="7"/>
      <name val="Arial"/>
      <charset val="134"/>
    </font>
    <font>
      <u/>
      <sz val="7"/>
      <name val="Arial"/>
      <charset val="134"/>
    </font>
    <font>
      <sz val="7"/>
      <name val="Arial"/>
      <charset val="134"/>
    </font>
    <font>
      <b/>
      <sz val="9"/>
      <name val="Arial"/>
      <charset val="134"/>
    </font>
    <font>
      <b/>
      <u/>
      <sz val="7"/>
      <name val="Arial"/>
      <charset val="134"/>
    </font>
    <font>
      <sz val="8"/>
      <color indexed="8"/>
      <name val="Calibri"/>
      <charset val="134"/>
    </font>
    <font>
      <b/>
      <sz val="14"/>
      <color indexed="8"/>
      <name val="Calibri"/>
      <charset val="134"/>
    </font>
    <font>
      <sz val="7"/>
      <color indexed="8"/>
      <name val="Calibri"/>
      <charset val="134"/>
    </font>
    <font>
      <b/>
      <sz val="7"/>
      <color indexed="8"/>
      <name val="Calibri"/>
      <charset val="134"/>
    </font>
    <font>
      <sz val="7"/>
      <name val="Calibri"/>
      <charset val="134"/>
    </font>
    <font>
      <b/>
      <sz val="14"/>
      <name val="Calibri"/>
      <charset val="134"/>
    </font>
    <font>
      <sz val="10"/>
      <name val="Calibri"/>
      <charset val="134"/>
    </font>
    <font>
      <b/>
      <sz val="10"/>
      <name val="Arial"/>
      <charset val="134"/>
    </font>
    <font>
      <sz val="11"/>
      <color indexed="8"/>
      <name val="Cambria"/>
      <charset val="134"/>
    </font>
    <font>
      <b/>
      <sz val="20"/>
      <color indexed="8"/>
      <name val="Calibri"/>
      <charset val="134"/>
    </font>
    <font>
      <b/>
      <sz val="11"/>
      <color indexed="8"/>
      <name val="Calibri"/>
      <charset val="134"/>
    </font>
    <font>
      <b/>
      <sz val="10"/>
      <color indexed="8"/>
      <name val="Calibri"/>
      <charset val="134"/>
    </font>
    <font>
      <sz val="10"/>
      <color indexed="8"/>
      <name val="Calibri"/>
      <charset val="134"/>
    </font>
    <font>
      <sz val="10"/>
      <color indexed="8"/>
      <name val="Cambria"/>
      <charset val="134"/>
    </font>
    <font>
      <b/>
      <sz val="10"/>
      <color indexed="8"/>
      <name val="Cambria"/>
      <charset val="134"/>
    </font>
    <font>
      <b/>
      <sz val="20"/>
      <color indexed="8"/>
      <name val="Cambria"/>
      <charset val="134"/>
    </font>
    <font>
      <sz val="8"/>
      <color indexed="8"/>
      <name val="Cambria"/>
      <charset val="134"/>
    </font>
    <font>
      <sz val="9"/>
      <name val="Calibri"/>
      <charset val="134"/>
    </font>
    <font>
      <b/>
      <sz val="9"/>
      <name val="Calibri"/>
      <charset val="134"/>
    </font>
    <font>
      <b/>
      <sz val="10"/>
      <name val="Calibri"/>
      <charset val="134"/>
    </font>
    <font>
      <b/>
      <sz val="16"/>
      <color indexed="8"/>
      <name val="Calibri"/>
      <charset val="134"/>
    </font>
    <font>
      <b/>
      <sz val="11"/>
      <color theme="1"/>
      <name val="Calibri"/>
      <charset val="134"/>
      <scheme val="minor"/>
    </font>
    <font>
      <sz val="11"/>
      <color theme="1"/>
      <name val="Calibri"/>
      <charset val="134"/>
      <scheme val="minor"/>
    </font>
    <font>
      <sz val="11"/>
      <name val="Calibri"/>
      <charset val="134"/>
      <scheme val="minor"/>
    </font>
    <font>
      <sz val="9"/>
      <color indexed="8"/>
      <name val="Calibri"/>
      <charset val="134"/>
    </font>
    <font>
      <b/>
      <sz val="9"/>
      <color indexed="8"/>
      <name val="Calibri"/>
      <charset val="134"/>
    </font>
    <font>
      <b/>
      <sz val="18"/>
      <color indexed="8"/>
      <name val="Calibri"/>
      <charset val="134"/>
    </font>
    <font>
      <b/>
      <sz val="8"/>
      <color indexed="8"/>
      <name val="Calibri"/>
      <charset val="134"/>
    </font>
    <font>
      <b/>
      <sz val="11"/>
      <color indexed="8"/>
      <name val="Cambria"/>
      <charset val="134"/>
    </font>
    <font>
      <sz val="10"/>
      <color indexed="8"/>
      <name val="Calibri"/>
      <charset val="134"/>
      <scheme val="minor"/>
    </font>
    <font>
      <sz val="12"/>
      <name val="Calibri"/>
      <charset val="134"/>
    </font>
    <font>
      <u/>
      <sz val="10"/>
      <name val="Calibri"/>
      <charset val="134"/>
    </font>
    <font>
      <b/>
      <sz val="16"/>
      <name val="Arial"/>
      <charset val="134"/>
    </font>
    <font>
      <b/>
      <sz val="12"/>
      <color indexed="8"/>
      <name val="Calibri"/>
      <charset val="134"/>
    </font>
    <font>
      <sz val="12"/>
      <color indexed="8"/>
      <name val="Arial"/>
      <charset val="134"/>
    </font>
    <font>
      <sz val="12"/>
      <color indexed="8"/>
      <name val="Calibri"/>
      <charset val="134"/>
    </font>
    <font>
      <b/>
      <sz val="12"/>
      <color indexed="8"/>
      <name val="Arial"/>
      <charset val="134"/>
    </font>
    <font>
      <sz val="11"/>
      <color indexed="8"/>
      <name val="Arial"/>
      <charset val="134"/>
    </font>
    <font>
      <sz val="10"/>
      <color indexed="8"/>
      <name val="Arial"/>
      <charset val="134"/>
    </font>
    <font>
      <b/>
      <sz val="8"/>
      <color indexed="8"/>
      <name val="Arial"/>
      <charset val="134"/>
    </font>
    <font>
      <b/>
      <sz val="8"/>
      <name val="Arial"/>
      <charset val="134"/>
    </font>
    <font>
      <b/>
      <sz val="16"/>
      <name val="Calibri"/>
      <charset val="134"/>
    </font>
    <font>
      <b/>
      <sz val="14"/>
      <color indexed="9"/>
      <name val="Calibri"/>
      <charset val="134"/>
    </font>
    <font>
      <sz val="10"/>
      <color indexed="10"/>
      <name val="Calibri"/>
      <charset val="134"/>
    </font>
    <font>
      <b/>
      <sz val="10"/>
      <name val="Calibri"/>
      <charset val="134"/>
      <scheme val="minor"/>
    </font>
    <font>
      <b/>
      <i/>
      <u/>
      <sz val="20"/>
      <color rgb="FFFF0000"/>
      <name val="Calibri"/>
      <charset val="134"/>
    </font>
    <font>
      <b/>
      <i/>
      <u/>
      <sz val="20"/>
      <color rgb="FFFF0000"/>
      <name val="Arial"/>
      <charset val="134"/>
    </font>
    <font>
      <b/>
      <sz val="12"/>
      <name val="Arial Black"/>
      <charset val="134"/>
    </font>
    <font>
      <b/>
      <i/>
      <u val="singleAccounting"/>
      <sz val="20"/>
      <color rgb="FFFF0000"/>
      <name val="Calibri"/>
      <charset val="134"/>
    </font>
    <font>
      <b/>
      <sz val="12"/>
      <color indexed="10"/>
      <name val="Calibri"/>
      <charset val="134"/>
    </font>
    <font>
      <b/>
      <sz val="36"/>
      <color rgb="FFFF0000"/>
      <name val="Calibri"/>
      <charset val="134"/>
    </font>
    <font>
      <b/>
      <sz val="22"/>
      <color rgb="FFFF0000"/>
      <name val="Calibri"/>
      <charset val="134"/>
    </font>
    <font>
      <sz val="20"/>
      <name val="Calibri"/>
      <charset val="134"/>
    </font>
    <font>
      <b/>
      <sz val="10"/>
      <color indexed="10"/>
      <name val="Calibri"/>
      <charset val="134"/>
    </font>
    <font>
      <sz val="22"/>
      <name val="Calibri"/>
      <charset val="134"/>
    </font>
    <font>
      <b/>
      <sz val="22"/>
      <name val="Calibri"/>
      <charset val="134"/>
    </font>
    <font>
      <b/>
      <sz val="11"/>
      <name val="Calibri"/>
      <charset val="134"/>
      <scheme val="minor"/>
    </font>
    <font>
      <sz val="12"/>
      <name val="Arial Black"/>
      <charset val="134"/>
    </font>
    <font>
      <b/>
      <sz val="12"/>
      <name val="Arial BALCK"/>
      <charset val="134"/>
    </font>
    <font>
      <b/>
      <sz val="14"/>
      <color indexed="9"/>
      <name val="Arial"/>
      <charset val="134"/>
    </font>
    <font>
      <b/>
      <sz val="12"/>
      <name val="Arial"/>
      <charset val="134"/>
    </font>
    <font>
      <sz val="24"/>
      <name val="Calibri"/>
      <charset val="134"/>
    </font>
    <font>
      <sz val="12"/>
      <name val="Calibri"/>
      <charset val="134"/>
      <scheme val="minor"/>
    </font>
    <font>
      <b/>
      <sz val="24"/>
      <name val="Calibri"/>
      <charset val="134"/>
    </font>
    <font>
      <b/>
      <sz val="12"/>
      <name val="Calibri"/>
      <charset val="134"/>
      <scheme val="minor"/>
    </font>
    <font>
      <b/>
      <i/>
      <sz val="10"/>
      <name val="Calibri"/>
      <charset val="134"/>
    </font>
    <font>
      <sz val="8"/>
      <name val="Calibri"/>
      <charset val="134"/>
    </font>
    <font>
      <sz val="8.5"/>
      <name val="Calibri"/>
      <charset val="134"/>
    </font>
    <font>
      <b/>
      <sz val="28"/>
      <name val="Arial"/>
      <charset val="134"/>
    </font>
    <font>
      <b/>
      <sz val="11"/>
      <color indexed="10"/>
      <name val="Calibri"/>
      <charset val="134"/>
    </font>
    <font>
      <sz val="11"/>
      <color indexed="10"/>
      <name val="Calibri"/>
      <charset val="134"/>
    </font>
    <font>
      <sz val="10"/>
      <color rgb="FFFF0000"/>
      <name val="Arial"/>
      <charset val="134"/>
    </font>
    <font>
      <b/>
      <sz val="10"/>
      <color indexed="10"/>
      <name val="Arial"/>
      <charset val="134"/>
    </font>
    <font>
      <b/>
      <sz val="10"/>
      <color rgb="FFFF0000"/>
      <name val="Arial"/>
      <charset val="134"/>
    </font>
    <font>
      <b/>
      <sz val="11"/>
      <color rgb="FFFF0000"/>
      <name val="Calibri"/>
      <charset val="134"/>
    </font>
    <font>
      <sz val="18"/>
      <name val="Calibri"/>
      <charset val="134"/>
    </font>
    <font>
      <sz val="10"/>
      <color indexed="9"/>
      <name val="Calibri"/>
      <charset val="134"/>
    </font>
    <font>
      <b/>
      <sz val="8.5"/>
      <name val="Calibri"/>
      <charset val="134"/>
    </font>
    <font>
      <b/>
      <i/>
      <sz val="12"/>
      <name val="Calibri"/>
      <charset val="134"/>
    </font>
    <font>
      <b/>
      <sz val="8.5"/>
      <name val="Calibri"/>
      <charset val="134"/>
      <scheme val="minor"/>
    </font>
    <font>
      <b/>
      <i/>
      <sz val="16"/>
      <name val="Calibri"/>
      <charset val="134"/>
    </font>
    <font>
      <sz val="16"/>
      <name val="Calibri"/>
      <charset val="134"/>
    </font>
    <font>
      <b/>
      <sz val="28"/>
      <name val="Calibri"/>
      <charset val="134"/>
    </font>
    <font>
      <strike/>
      <sz val="16"/>
      <name val="Calibri"/>
      <charset val="134"/>
    </font>
    <font>
      <sz val="10"/>
      <color theme="1"/>
      <name val="Calibri"/>
      <charset val="134"/>
    </font>
    <font>
      <sz val="10"/>
      <color rgb="FFFF0000"/>
      <name val="Calibri"/>
      <charset val="134"/>
    </font>
    <font>
      <b/>
      <sz val="12"/>
      <color indexed="9"/>
      <name val="Calibri"/>
      <charset val="134"/>
    </font>
    <font>
      <b/>
      <i/>
      <u/>
      <sz val="14"/>
      <color rgb="FFFF0000"/>
      <name val="Calibri"/>
      <charset val="134"/>
    </font>
    <font>
      <b/>
      <i/>
      <u/>
      <sz val="10"/>
      <color rgb="FFFF0000"/>
      <name val="Calibri"/>
      <charset val="134"/>
    </font>
    <font>
      <i/>
      <u/>
      <sz val="10"/>
      <color rgb="FFFF0000"/>
      <name val="Calibri"/>
      <charset val="134"/>
    </font>
    <font>
      <sz val="12"/>
      <name val="Times New Roman"/>
      <charset val="134"/>
    </font>
    <font>
      <u/>
      <sz val="10"/>
      <color indexed="8"/>
      <name val="Arial"/>
      <charset val="134"/>
    </font>
    <font>
      <u/>
      <sz val="7"/>
      <color indexed="12"/>
      <name val="Arial"/>
      <charset val="134"/>
    </font>
    <font>
      <i/>
      <sz val="10"/>
      <name val="Arial"/>
      <charset val="134"/>
    </font>
    <font>
      <sz val="7"/>
      <name val="Times New Roman"/>
      <charset val="134"/>
    </font>
    <font>
      <b/>
      <u val="singleAccounting"/>
      <sz val="10"/>
      <name val="Calibri"/>
      <charset val="134"/>
    </font>
    <font>
      <i/>
      <sz val="12"/>
      <name val="Times New Roman"/>
      <charset val="134"/>
    </font>
    <font>
      <b/>
      <u val="singleAccounting"/>
      <sz val="11"/>
      <name val="Calibri"/>
      <charset val="134"/>
    </font>
    <font>
      <strike/>
      <sz val="20"/>
      <name val="Calibri"/>
      <charset val="134"/>
    </font>
    <font>
      <sz val="10"/>
      <name val="Arial"/>
      <charset val="134"/>
    </font>
  </fonts>
  <fills count="16">
    <fill>
      <patternFill patternType="none"/>
    </fill>
    <fill>
      <patternFill patternType="gray125"/>
    </fill>
    <fill>
      <patternFill patternType="solid">
        <fgColor rgb="FFFFFF00"/>
        <bgColor indexed="64"/>
      </patternFill>
    </fill>
    <fill>
      <patternFill patternType="solid">
        <fgColor rgb="FFFFFF00"/>
        <bgColor rgb="FF000000"/>
      </patternFill>
    </fill>
    <fill>
      <patternFill patternType="solid">
        <fgColor rgb="FFFFFFFF"/>
        <bgColor indexed="64"/>
      </patternFill>
    </fill>
    <fill>
      <patternFill patternType="solid">
        <fgColor rgb="FFFFFFFF"/>
        <bgColor rgb="FF000000"/>
      </patternFill>
    </fill>
    <fill>
      <patternFill patternType="solid">
        <fgColor rgb="FF92D050"/>
        <bgColor rgb="FF000000"/>
      </patternFill>
    </fill>
    <fill>
      <patternFill patternType="solid">
        <fgColor rgb="FF00B0F0"/>
        <bgColor rgb="FF000000"/>
      </patternFill>
    </fill>
    <fill>
      <patternFill patternType="solid">
        <fgColor rgb="FF92D050"/>
        <bgColor indexed="64"/>
      </patternFill>
    </fill>
    <fill>
      <patternFill patternType="solid">
        <fgColor rgb="FF00B0F0"/>
        <bgColor indexed="64"/>
      </patternFill>
    </fill>
    <fill>
      <patternFill patternType="solid">
        <fgColor theme="0"/>
        <bgColor indexed="64"/>
      </patternFill>
    </fill>
    <fill>
      <patternFill patternType="solid">
        <fgColor theme="7"/>
        <bgColor indexed="64"/>
      </patternFill>
    </fill>
    <fill>
      <patternFill patternType="solid">
        <fgColor rgb="FFF2F2F2"/>
        <bgColor indexed="64"/>
      </patternFill>
    </fill>
    <fill>
      <patternFill patternType="solid">
        <fgColor rgb="FFFFC000"/>
        <bgColor indexed="64"/>
      </patternFill>
    </fill>
    <fill>
      <patternFill patternType="solid">
        <fgColor rgb="FFFF0000"/>
        <bgColor indexed="64"/>
      </patternFill>
    </fill>
    <fill>
      <patternFill patternType="solid">
        <fgColor indexed="9"/>
        <bgColor indexed="64"/>
      </patternFill>
    </fill>
  </fills>
  <borders count="142">
    <border>
      <left/>
      <right/>
      <top/>
      <bottom/>
      <diagonal/>
    </border>
    <border>
      <left style="medium">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thin">
        <color auto="1"/>
      </right>
      <top style="thin">
        <color auto="1"/>
      </top>
      <bottom style="medium">
        <color auto="1"/>
      </bottom>
      <diagonal/>
    </border>
    <border>
      <left/>
      <right style="thin">
        <color auto="1"/>
      </right>
      <top style="medium">
        <color auto="1"/>
      </top>
      <bottom style="medium">
        <color auto="1"/>
      </bottom>
      <diagonal/>
    </border>
    <border>
      <left style="thin">
        <color auto="1"/>
      </left>
      <right style="thin">
        <color auto="1"/>
      </right>
      <top/>
      <bottom/>
      <diagonal/>
    </border>
    <border>
      <left/>
      <right/>
      <top style="thin">
        <color auto="1"/>
      </top>
      <bottom style="thin">
        <color auto="1"/>
      </bottom>
      <diagonal/>
    </border>
    <border>
      <left style="thin">
        <color auto="1"/>
      </left>
      <right style="medium">
        <color auto="1"/>
      </right>
      <top style="medium">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double">
        <color auto="1"/>
      </left>
      <right style="medium">
        <color auto="1"/>
      </right>
      <top style="double">
        <color auto="1"/>
      </top>
      <bottom/>
      <diagonal/>
    </border>
    <border>
      <left style="medium">
        <color auto="1"/>
      </left>
      <right style="medium">
        <color auto="1"/>
      </right>
      <top style="double">
        <color auto="1"/>
      </top>
      <bottom/>
      <diagonal/>
    </border>
    <border>
      <left/>
      <right style="double">
        <color auto="1"/>
      </right>
      <top style="double">
        <color auto="1"/>
      </top>
      <bottom/>
      <diagonal/>
    </border>
    <border>
      <left style="double">
        <color auto="1"/>
      </left>
      <right style="medium">
        <color auto="1"/>
      </right>
      <top/>
      <bottom style="medium">
        <color auto="1"/>
      </bottom>
      <diagonal/>
    </border>
    <border>
      <left style="medium">
        <color auto="1"/>
      </left>
      <right style="medium">
        <color auto="1"/>
      </right>
      <top/>
      <bottom style="medium">
        <color auto="1"/>
      </bottom>
      <diagonal/>
    </border>
    <border>
      <left style="medium">
        <color auto="1"/>
      </left>
      <right style="medium">
        <color auto="1"/>
      </right>
      <top/>
      <bottom/>
      <diagonal/>
    </border>
    <border>
      <left/>
      <right style="double">
        <color auto="1"/>
      </right>
      <top/>
      <bottom style="medium">
        <color auto="1"/>
      </bottom>
      <diagonal/>
    </border>
    <border>
      <left style="medium">
        <color auto="1"/>
      </left>
      <right style="medium">
        <color auto="1"/>
      </right>
      <top style="medium">
        <color auto="1"/>
      </top>
      <bottom style="thin">
        <color auto="1"/>
      </bottom>
      <diagonal/>
    </border>
    <border>
      <left/>
      <right style="medium">
        <color auto="1"/>
      </right>
      <top/>
      <bottom style="thin">
        <color auto="1"/>
      </bottom>
      <diagonal/>
    </border>
    <border>
      <left style="medium">
        <color auto="1"/>
      </left>
      <right/>
      <top/>
      <bottom style="thin">
        <color auto="1"/>
      </bottom>
      <diagonal/>
    </border>
    <border>
      <left/>
      <right style="medium">
        <color auto="1"/>
      </right>
      <top style="medium">
        <color auto="1"/>
      </top>
      <bottom style="thin">
        <color auto="1"/>
      </bottom>
      <diagonal/>
    </border>
    <border>
      <left/>
      <right style="double">
        <color auto="1"/>
      </right>
      <top/>
      <bottom style="thin">
        <color auto="1"/>
      </bottom>
      <diagonal/>
    </border>
    <border>
      <left style="medium">
        <color auto="1"/>
      </left>
      <right style="medium">
        <color auto="1"/>
      </right>
      <top style="thin">
        <color auto="1"/>
      </top>
      <bottom style="thin">
        <color auto="1"/>
      </bottom>
      <diagonal/>
    </border>
    <border>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double">
        <color auto="1"/>
      </left>
      <right/>
      <top/>
      <bottom style="double">
        <color auto="1"/>
      </bottom>
      <diagonal/>
    </border>
    <border>
      <left/>
      <right/>
      <top style="medium">
        <color auto="1"/>
      </top>
      <bottom style="double">
        <color auto="1"/>
      </bottom>
      <diagonal/>
    </border>
    <border>
      <left style="medium">
        <color auto="1"/>
      </left>
      <right style="medium">
        <color auto="1"/>
      </right>
      <top style="medium">
        <color auto="1"/>
      </top>
      <bottom style="double">
        <color auto="1"/>
      </bottom>
      <diagonal/>
    </border>
    <border>
      <left/>
      <right style="medium">
        <color auto="1"/>
      </right>
      <top style="medium">
        <color auto="1"/>
      </top>
      <bottom style="double">
        <color auto="1"/>
      </bottom>
      <diagonal/>
    </border>
    <border>
      <left style="medium">
        <color auto="1"/>
      </left>
      <right style="double">
        <color auto="1"/>
      </right>
      <top style="medium">
        <color auto="1"/>
      </top>
      <bottom style="double">
        <color auto="1"/>
      </bottom>
      <diagonal/>
    </border>
    <border>
      <left style="thin">
        <color auto="1"/>
      </left>
      <right/>
      <top style="thin">
        <color auto="1"/>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right style="medium">
        <color auto="1"/>
      </right>
      <top style="thin">
        <color auto="1"/>
      </top>
      <bottom/>
      <diagonal/>
    </border>
    <border>
      <left style="medium">
        <color auto="1"/>
      </left>
      <right/>
      <top/>
      <bottom/>
      <diagonal/>
    </border>
    <border>
      <left/>
      <right style="medium">
        <color auto="1"/>
      </right>
      <top/>
      <bottom/>
      <diagonal/>
    </border>
    <border>
      <left style="thin">
        <color auto="1"/>
      </left>
      <right/>
      <top/>
      <bottom style="thin">
        <color auto="1"/>
      </bottom>
      <diagonal/>
    </border>
    <border>
      <left style="thin">
        <color auto="1"/>
      </left>
      <right/>
      <top style="thin">
        <color auto="1"/>
      </top>
      <bottom/>
      <diagonal/>
    </border>
    <border>
      <left style="thin">
        <color auto="1"/>
      </left>
      <right/>
      <top style="thin">
        <color auto="1"/>
      </top>
      <bottom style="medium">
        <color auto="1"/>
      </bottom>
      <diagonal/>
    </border>
    <border>
      <left style="thin">
        <color auto="1"/>
      </left>
      <right/>
      <top style="medium">
        <color auto="1"/>
      </top>
      <bottom style="thin">
        <color auto="1"/>
      </bottom>
      <diagonal/>
    </border>
    <border>
      <left style="thin">
        <color auto="1"/>
      </left>
      <right/>
      <top/>
      <bottom/>
      <diagonal/>
    </border>
    <border>
      <left/>
      <right style="thin">
        <color auto="1"/>
      </right>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right style="thin">
        <color auto="1"/>
      </right>
      <top style="thin">
        <color auto="1"/>
      </top>
      <bottom style="medium">
        <color auto="1"/>
      </bottom>
      <diagonal/>
    </border>
    <border>
      <left style="thin">
        <color auto="1"/>
      </left>
      <right style="medium">
        <color auto="1"/>
      </right>
      <top style="medium">
        <color auto="1"/>
      </top>
      <bottom/>
      <diagonal/>
    </border>
    <border>
      <left style="thin">
        <color auto="1"/>
      </left>
      <right style="medium">
        <color auto="1"/>
      </right>
      <top/>
      <bottom style="medium">
        <color auto="1"/>
      </bottom>
      <diagonal/>
    </border>
    <border>
      <left/>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medium">
        <color auto="1"/>
      </right>
      <top/>
      <bottom style="double">
        <color auto="1"/>
      </bottom>
      <diagonal/>
    </border>
    <border>
      <left/>
      <right/>
      <top/>
      <bottom style="thin">
        <color auto="1"/>
      </bottom>
      <diagonal/>
    </border>
    <border>
      <left style="medium">
        <color auto="1"/>
      </left>
      <right style="medium">
        <color auto="1"/>
      </right>
      <top style="thin">
        <color auto="1"/>
      </top>
      <bottom/>
      <diagonal/>
    </border>
    <border>
      <left style="medium">
        <color auto="1"/>
      </left>
      <right style="medium">
        <color auto="1"/>
      </right>
      <top/>
      <bottom style="thin">
        <color auto="1"/>
      </bottom>
      <diagonal/>
    </border>
    <border>
      <left/>
      <right style="thin">
        <color auto="1"/>
      </right>
      <top/>
      <bottom style="double">
        <color auto="1"/>
      </bottom>
      <diagonal/>
    </border>
    <border>
      <left style="thin">
        <color auto="1"/>
      </left>
      <right/>
      <top style="thin">
        <color auto="1"/>
      </top>
      <bottom style="double">
        <color auto="1"/>
      </bottom>
      <diagonal/>
    </border>
    <border>
      <left/>
      <right/>
      <top style="thin">
        <color auto="1"/>
      </top>
      <bottom style="double">
        <color auto="1"/>
      </bottom>
      <diagonal/>
    </border>
    <border>
      <left/>
      <right style="medium">
        <color auto="1"/>
      </right>
      <top style="thin">
        <color auto="1"/>
      </top>
      <bottom style="double">
        <color auto="1"/>
      </bottom>
      <diagonal/>
    </border>
    <border>
      <left style="medium">
        <color auto="1"/>
      </left>
      <right style="medium">
        <color auto="1"/>
      </right>
      <top style="double">
        <color auto="1"/>
      </top>
      <bottom style="thin">
        <color auto="1"/>
      </bottom>
      <diagonal/>
    </border>
    <border>
      <left/>
      <right/>
      <top style="double">
        <color auto="1"/>
      </top>
      <bottom style="thin">
        <color auto="1"/>
      </bottom>
      <diagonal/>
    </border>
    <border>
      <left style="thin">
        <color auto="1"/>
      </left>
      <right/>
      <top style="double">
        <color auto="1"/>
      </top>
      <bottom style="thin">
        <color auto="1"/>
      </bottom>
      <diagonal/>
    </border>
    <border>
      <left/>
      <right style="medium">
        <color auto="1"/>
      </right>
      <top style="double">
        <color auto="1"/>
      </top>
      <bottom style="thin">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top style="double">
        <color auto="1"/>
      </top>
      <bottom style="thin">
        <color auto="1"/>
      </bottom>
      <diagonal/>
    </border>
    <border>
      <left/>
      <right/>
      <top style="thin">
        <color auto="1"/>
      </top>
      <bottom/>
      <diagonal/>
    </border>
    <border>
      <left style="thin">
        <color auto="1"/>
      </left>
      <right/>
      <top style="double">
        <color auto="1"/>
      </top>
      <bottom/>
      <diagonal/>
    </border>
    <border>
      <left/>
      <right/>
      <top style="double">
        <color auto="1"/>
      </top>
      <bottom/>
      <diagonal/>
    </border>
    <border>
      <left/>
      <right style="medium">
        <color auto="1"/>
      </right>
      <top style="double">
        <color auto="1"/>
      </top>
      <bottom/>
      <diagonal/>
    </border>
    <border>
      <left style="thin">
        <color auto="1"/>
      </left>
      <right/>
      <top/>
      <bottom style="medium">
        <color auto="1"/>
      </bottom>
      <diagonal/>
    </border>
    <border>
      <left style="medium">
        <color auto="1"/>
      </left>
      <right style="medium">
        <color auto="1"/>
      </right>
      <top style="medium">
        <color auto="1"/>
      </top>
      <bottom/>
      <diagonal/>
    </border>
    <border>
      <left/>
      <right style="thin">
        <color auto="1"/>
      </right>
      <top style="medium">
        <color auto="1"/>
      </top>
      <bottom style="thin">
        <color auto="1"/>
      </bottom>
      <diagonal/>
    </border>
    <border>
      <left style="medium">
        <color auto="1"/>
      </left>
      <right style="thin">
        <color auto="1"/>
      </right>
      <top/>
      <bottom/>
      <diagonal/>
    </border>
    <border>
      <left style="thin">
        <color auto="1"/>
      </left>
      <right style="medium">
        <color auto="1"/>
      </right>
      <top/>
      <bottom/>
      <diagonal/>
    </border>
    <border>
      <left/>
      <right/>
      <top style="medium">
        <color auto="1"/>
      </top>
      <bottom style="thin">
        <color auto="1"/>
      </bottom>
      <diagonal/>
    </border>
    <border>
      <left style="medium">
        <color auto="1"/>
      </left>
      <right/>
      <top style="medium">
        <color auto="1"/>
      </top>
      <bottom style="thin">
        <color auto="1"/>
      </bottom>
      <diagonal/>
    </border>
    <border>
      <left style="medium">
        <color auto="1"/>
      </left>
      <right/>
      <top style="thin">
        <color auto="1"/>
      </top>
      <bottom style="medium">
        <color auto="1"/>
      </bottom>
      <diagonal/>
    </border>
    <border>
      <left/>
      <right style="mediumDashDot">
        <color auto="1"/>
      </right>
      <top/>
      <bottom/>
      <diagonal/>
    </border>
    <border>
      <left style="mediumDashDot">
        <color auto="1"/>
      </left>
      <right/>
      <top/>
      <bottom/>
      <diagonal/>
    </border>
    <border>
      <left/>
      <right/>
      <top style="medium">
        <color auto="1"/>
      </top>
      <bottom style="medium">
        <color auto="1"/>
      </bottom>
      <diagonal/>
    </border>
    <border>
      <left/>
      <right style="thin">
        <color auto="1"/>
      </right>
      <top/>
      <bottom style="medium">
        <color auto="1"/>
      </bottom>
      <diagonal/>
    </border>
    <border>
      <left style="thin">
        <color auto="1"/>
      </left>
      <right/>
      <top style="medium">
        <color auto="1"/>
      </top>
      <bottom style="medium">
        <color auto="1"/>
      </bottom>
      <diagonal/>
    </border>
    <border>
      <left/>
      <right style="thin">
        <color auto="1"/>
      </right>
      <top style="medium">
        <color auto="1"/>
      </top>
      <bottom/>
      <diagonal/>
    </border>
    <border>
      <left/>
      <right style="double">
        <color rgb="FFFF0000"/>
      </right>
      <top/>
      <bottom/>
      <diagonal/>
    </border>
    <border>
      <left/>
      <right/>
      <top/>
      <bottom style="double">
        <color rgb="FFFF0000"/>
      </bottom>
      <diagonal/>
    </border>
    <border>
      <left/>
      <right style="medium">
        <color auto="1"/>
      </right>
      <top/>
      <bottom style="double">
        <color rgb="FFFF0000"/>
      </bottom>
      <diagonal/>
    </border>
    <border>
      <left style="thin">
        <color auto="1"/>
      </left>
      <right style="double">
        <color rgb="FFFF0000"/>
      </right>
      <top/>
      <bottom/>
      <diagonal/>
    </border>
    <border>
      <left style="double">
        <color rgb="FFFF0000"/>
      </left>
      <right/>
      <top style="thin">
        <color auto="1"/>
      </top>
      <bottom/>
      <diagonal/>
    </border>
    <border>
      <left style="double">
        <color rgb="FFFF0000"/>
      </left>
      <right/>
      <top/>
      <bottom style="double">
        <color rgb="FFFF0000"/>
      </bottom>
      <diagonal/>
    </border>
    <border>
      <left style="double">
        <color rgb="FFFF0000"/>
      </left>
      <right style="thin">
        <color auto="1"/>
      </right>
      <top/>
      <bottom/>
      <diagonal/>
    </border>
    <border>
      <left style="double">
        <color rgb="FFFF0000"/>
      </left>
      <right style="thin">
        <color auto="1"/>
      </right>
      <top/>
      <bottom style="double">
        <color auto="1"/>
      </bottom>
      <diagonal/>
    </border>
    <border>
      <left style="thin">
        <color auto="1"/>
      </left>
      <right/>
      <top style="double">
        <color rgb="FFFF0000"/>
      </top>
      <bottom/>
      <diagonal/>
    </border>
    <border>
      <left/>
      <right style="medium">
        <color auto="1"/>
      </right>
      <top style="double">
        <color rgb="FFFF0000"/>
      </top>
      <bottom/>
      <diagonal/>
    </border>
    <border>
      <left/>
      <right/>
      <top style="double">
        <color rgb="FFFF0000"/>
      </top>
      <bottom/>
      <diagonal/>
    </border>
    <border>
      <left style="thin">
        <color auto="1"/>
      </left>
      <right/>
      <top/>
      <bottom style="double">
        <color rgb="FFFF0000"/>
      </bottom>
      <diagonal/>
    </border>
    <border>
      <left style="medium">
        <color auto="1"/>
      </left>
      <right/>
      <top/>
      <bottom style="double">
        <color rgb="FFFF0000"/>
      </bottom>
      <diagonal/>
    </border>
    <border>
      <left style="thin">
        <color auto="1"/>
      </left>
      <right style="thin">
        <color auto="1"/>
      </right>
      <top/>
      <bottom style="double">
        <color auto="1"/>
      </bottom>
      <diagonal/>
    </border>
    <border>
      <left style="medium">
        <color rgb="FF000000"/>
      </left>
      <right style="thin">
        <color auto="1"/>
      </right>
      <top/>
      <bottom style="double">
        <color auto="1"/>
      </bottom>
      <diagonal/>
    </border>
    <border>
      <left style="medium">
        <color auto="1"/>
      </left>
      <right/>
      <top style="double">
        <color rgb="FFFF0000"/>
      </top>
      <bottom/>
      <diagonal/>
    </border>
    <border>
      <left/>
      <right style="thin">
        <color auto="1"/>
      </right>
      <top style="double">
        <color rgb="FFFF0000"/>
      </top>
      <bottom/>
      <diagonal/>
    </border>
    <border>
      <left style="medium">
        <color auto="1"/>
      </left>
      <right style="thin">
        <color auto="1"/>
      </right>
      <top/>
      <bottom style="double">
        <color auto="1"/>
      </bottom>
      <diagonal/>
    </border>
    <border>
      <left/>
      <right style="thin">
        <color auto="1"/>
      </right>
      <top/>
      <bottom style="double">
        <color rgb="FFFF0000"/>
      </bottom>
      <diagonal/>
    </border>
    <border>
      <left style="thin">
        <color auto="1"/>
      </left>
      <right style="medium">
        <color auto="1"/>
      </right>
      <top/>
      <bottom style="double">
        <color auto="1"/>
      </bottom>
      <diagonal/>
    </border>
    <border>
      <left style="thin">
        <color auto="1"/>
      </left>
      <right style="medium">
        <color auto="1"/>
      </right>
      <top style="double">
        <color rgb="FFFF0000"/>
      </top>
      <bottom/>
      <diagonal/>
    </border>
    <border>
      <left/>
      <right style="medium">
        <color rgb="FF000000"/>
      </right>
      <top style="double">
        <color rgb="FFFF0000"/>
      </top>
      <bottom/>
      <diagonal/>
    </border>
    <border>
      <left/>
      <right style="medium">
        <color rgb="FF000000"/>
      </right>
      <top/>
      <bottom style="double">
        <color rgb="FFFF0000"/>
      </bottom>
      <diagonal/>
    </border>
    <border>
      <left style="thin">
        <color auto="1"/>
      </left>
      <right style="medium">
        <color rgb="FF000000"/>
      </right>
      <top style="double">
        <color rgb="FFFF0000"/>
      </top>
      <bottom/>
      <diagonal/>
    </border>
    <border>
      <left style="thin">
        <color auto="1"/>
      </left>
      <right style="medium">
        <color rgb="FF000000"/>
      </right>
      <top/>
      <bottom/>
      <diagonal/>
    </border>
    <border>
      <left style="thin">
        <color auto="1"/>
      </left>
      <right style="medium">
        <color rgb="FF000000"/>
      </right>
      <top/>
      <bottom style="thin">
        <color auto="1"/>
      </bottom>
      <diagonal/>
    </border>
    <border>
      <left style="thin">
        <color auto="1"/>
      </left>
      <right style="thin">
        <color auto="1"/>
      </right>
      <top style="thin">
        <color auto="1"/>
      </top>
      <bottom style="double">
        <color auto="1"/>
      </bottom>
      <diagonal/>
    </border>
    <border>
      <left/>
      <right style="double">
        <color rgb="FFFF0000"/>
      </right>
      <top style="double">
        <color rgb="FFFF0000"/>
      </top>
      <bottom/>
      <diagonal/>
    </border>
    <border>
      <left/>
      <right style="double">
        <color rgb="FFFF0000"/>
      </right>
      <top/>
      <bottom style="double">
        <color rgb="FFFF0000"/>
      </bottom>
      <diagonal/>
    </border>
    <border>
      <left style="thin">
        <color auto="1"/>
      </left>
      <right style="double">
        <color rgb="FFFF0000"/>
      </right>
      <top/>
      <bottom style="thin">
        <color auto="1"/>
      </bottom>
      <diagonal/>
    </border>
    <border>
      <left style="thin">
        <color auto="1"/>
      </left>
      <right/>
      <top/>
      <bottom style="double">
        <color auto="1"/>
      </bottom>
      <diagonal/>
    </border>
    <border>
      <left style="thin">
        <color auto="1"/>
      </left>
      <right/>
      <top style="medium">
        <color auto="1"/>
      </top>
      <bottom/>
      <diagonal/>
    </border>
    <border>
      <left/>
      <right style="double">
        <color auto="1"/>
      </right>
      <top/>
      <bottom/>
      <diagonal/>
    </border>
    <border>
      <left style="double">
        <color auto="1"/>
      </left>
      <right/>
      <top/>
      <bottom/>
      <diagonal/>
    </border>
  </borders>
  <cellStyleXfs count="11">
    <xf numFmtId="0" fontId="0" fillId="0" borderId="0">
      <alignment vertical="center"/>
    </xf>
    <xf numFmtId="43" fontId="136" fillId="0" borderId="0">
      <protection locked="0"/>
    </xf>
    <xf numFmtId="165" fontId="136" fillId="0" borderId="0">
      <protection locked="0"/>
    </xf>
    <xf numFmtId="9" fontId="136" fillId="0" borderId="0">
      <protection locked="0"/>
    </xf>
    <xf numFmtId="41" fontId="136" fillId="0" borderId="0">
      <protection locked="0"/>
    </xf>
    <xf numFmtId="0" fontId="129" fillId="0" borderId="0">
      <protection locked="0"/>
    </xf>
    <xf numFmtId="43" fontId="17" fillId="0" borderId="0">
      <protection locked="0"/>
    </xf>
    <xf numFmtId="0" fontId="136" fillId="0" borderId="0">
      <protection locked="0"/>
    </xf>
    <xf numFmtId="0" fontId="136" fillId="0" borderId="0">
      <protection locked="0"/>
    </xf>
    <xf numFmtId="0" fontId="136" fillId="0" borderId="0">
      <protection locked="0"/>
    </xf>
    <xf numFmtId="0" fontId="136" fillId="0" borderId="0"/>
  </cellStyleXfs>
  <cellXfs count="2805">
    <xf numFmtId="0" fontId="0" fillId="0" borderId="0" xfId="0">
      <alignment vertical="center"/>
    </xf>
    <xf numFmtId="0" fontId="1" fillId="0" borderId="0" xfId="0" applyFont="1" applyAlignment="1"/>
    <xf numFmtId="0" fontId="2" fillId="0" borderId="0" xfId="0" applyFont="1" applyAlignment="1">
      <alignment horizontal="center" vertical="center"/>
    </xf>
    <xf numFmtId="0" fontId="3" fillId="0" borderId="0" xfId="0" applyFont="1" applyAlignment="1"/>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1" fillId="0" borderId="4" xfId="0" applyFont="1" applyBorder="1" applyAlignment="1"/>
    <xf numFmtId="0" fontId="1" fillId="0" borderId="5" xfId="0" applyFont="1" applyBorder="1" applyAlignment="1"/>
    <xf numFmtId="0" fontId="1" fillId="0" borderId="6" xfId="0" applyFont="1" applyBorder="1" applyAlignment="1"/>
    <xf numFmtId="0" fontId="1" fillId="0" borderId="7" xfId="0" applyFont="1" applyBorder="1" applyAlignment="1"/>
    <xf numFmtId="0" fontId="1" fillId="0" borderId="8" xfId="0" applyFont="1" applyBorder="1" applyAlignment="1"/>
    <xf numFmtId="0" fontId="1" fillId="0" borderId="9" xfId="0" applyFont="1" applyBorder="1" applyAlignment="1"/>
    <xf numFmtId="0" fontId="1" fillId="0" borderId="10" xfId="0" applyFont="1" applyBorder="1" applyAlignment="1"/>
    <xf numFmtId="0" fontId="1" fillId="0" borderId="11" xfId="0" applyFont="1" applyBorder="1" applyAlignment="1"/>
    <xf numFmtId="0" fontId="1" fillId="0" borderId="12" xfId="0" applyFont="1" applyBorder="1" applyAlignment="1"/>
    <xf numFmtId="0" fontId="1" fillId="0" borderId="13" xfId="0" applyFont="1" applyBorder="1" applyAlignment="1"/>
    <xf numFmtId="0" fontId="1" fillId="0" borderId="14" xfId="0" applyFont="1" applyBorder="1" applyAlignment="1"/>
    <xf numFmtId="0" fontId="1" fillId="0" borderId="15" xfId="0" applyFont="1" applyBorder="1" applyAlignment="1"/>
    <xf numFmtId="0" fontId="3" fillId="0" borderId="1" xfId="0" applyFont="1" applyBorder="1" applyAlignment="1">
      <alignment horizontal="center"/>
    </xf>
    <xf numFmtId="0" fontId="1" fillId="0" borderId="3" xfId="0" applyFont="1" applyBorder="1" applyAlignment="1"/>
    <xf numFmtId="0" fontId="4" fillId="0" borderId="16" xfId="0" applyFont="1" applyBorder="1" applyAlignment="1"/>
    <xf numFmtId="0" fontId="1" fillId="0" borderId="17" xfId="0" applyFont="1" applyBorder="1" applyAlignment="1"/>
    <xf numFmtId="0" fontId="1" fillId="0" borderId="0" xfId="0" applyFont="1" applyAlignment="1">
      <alignment horizontal="center"/>
    </xf>
    <xf numFmtId="0" fontId="1" fillId="0" borderId="1" xfId="0" applyFont="1" applyBorder="1" applyAlignment="1"/>
    <xf numFmtId="0" fontId="5" fillId="0" borderId="16" xfId="0" applyFont="1" applyBorder="1" applyAlignment="1">
      <alignment horizontal="center"/>
    </xf>
    <xf numFmtId="0" fontId="8" fillId="0" borderId="0" xfId="0" applyFont="1">
      <alignment vertical="center"/>
    </xf>
    <xf numFmtId="0" fontId="9" fillId="0" borderId="0" xfId="0" applyFont="1">
      <alignment vertical="center"/>
    </xf>
    <xf numFmtId="0" fontId="0" fillId="0" borderId="18" xfId="0" applyFont="1" applyBorder="1" applyAlignment="1">
      <alignment horizontal="center" vertical="center"/>
    </xf>
    <xf numFmtId="0" fontId="0" fillId="0" borderId="19" xfId="0" applyFont="1" applyBorder="1" applyAlignment="1">
      <alignment horizontal="center" vertical="center"/>
    </xf>
    <xf numFmtId="0" fontId="0" fillId="0" borderId="8" xfId="0" applyFont="1" applyBorder="1" applyAlignment="1">
      <alignment horizontal="center" vertical="center"/>
    </xf>
    <xf numFmtId="0" fontId="0" fillId="0" borderId="10" xfId="0" applyFont="1" applyBorder="1">
      <alignment vertical="center"/>
    </xf>
    <xf numFmtId="0" fontId="0" fillId="0" borderId="14" xfId="0" applyFont="1" applyBorder="1">
      <alignment vertical="center"/>
    </xf>
    <xf numFmtId="0" fontId="0" fillId="0" borderId="20" xfId="0" applyFont="1" applyBorder="1">
      <alignment vertical="center"/>
    </xf>
    <xf numFmtId="0" fontId="0" fillId="0" borderId="19" xfId="0" applyFont="1" applyBorder="1">
      <alignment vertical="center"/>
    </xf>
    <xf numFmtId="0" fontId="11" fillId="0" borderId="0" xfId="0" applyFont="1">
      <alignment vertical="center"/>
    </xf>
    <xf numFmtId="0" fontId="12" fillId="0" borderId="22" xfId="0" applyFont="1" applyBorder="1">
      <alignment vertical="center"/>
    </xf>
    <xf numFmtId="0" fontId="12" fillId="0" borderId="0" xfId="0" applyFont="1">
      <alignment vertical="center"/>
    </xf>
    <xf numFmtId="0" fontId="13" fillId="0" borderId="0" xfId="0" applyFont="1">
      <alignment vertical="center"/>
    </xf>
    <xf numFmtId="0" fontId="12" fillId="0" borderId="10" xfId="0" applyFont="1" applyBorder="1" applyAlignment="1">
      <alignment horizontal="center" vertical="center"/>
    </xf>
    <xf numFmtId="0" fontId="12" fillId="0" borderId="0" xfId="0" applyFont="1" applyAlignment="1">
      <alignment horizontal="center" vertical="center"/>
    </xf>
    <xf numFmtId="0" fontId="0" fillId="0" borderId="23" xfId="0" applyFont="1" applyBorder="1">
      <alignment vertical="center"/>
    </xf>
    <xf numFmtId="0" fontId="0" fillId="0" borderId="24" xfId="0" applyFont="1" applyBorder="1" applyAlignment="1">
      <alignment horizontal="center" vertical="center"/>
    </xf>
    <xf numFmtId="0" fontId="0" fillId="0" borderId="0" xfId="0" applyFont="1" applyAlignment="1">
      <alignment horizontal="center" vertical="center"/>
    </xf>
    <xf numFmtId="0" fontId="0" fillId="0" borderId="11" xfId="0" applyFont="1" applyBorder="1">
      <alignment vertical="center"/>
    </xf>
    <xf numFmtId="0" fontId="0" fillId="0" borderId="15" xfId="0" applyFont="1" applyBorder="1">
      <alignment vertical="center"/>
    </xf>
    <xf numFmtId="0" fontId="0" fillId="0" borderId="25" xfId="0" applyFont="1" applyBorder="1">
      <alignment vertical="center"/>
    </xf>
    <xf numFmtId="0" fontId="0" fillId="0" borderId="24" xfId="0" applyFont="1" applyBorder="1">
      <alignment vertical="center"/>
    </xf>
    <xf numFmtId="0" fontId="0" fillId="0" borderId="0" xfId="0" applyFont="1">
      <alignment vertical="center"/>
    </xf>
    <xf numFmtId="0" fontId="1" fillId="0" borderId="0" xfId="0" applyFont="1">
      <alignment vertical="center"/>
    </xf>
    <xf numFmtId="0" fontId="3" fillId="0" borderId="0" xfId="0" applyFont="1" applyAlignment="1">
      <alignment horizontal="left" vertical="center"/>
    </xf>
    <xf numFmtId="0" fontId="15" fillId="0" borderId="26" xfId="0" applyFont="1" applyBorder="1" applyAlignment="1">
      <alignment horizontal="center" vertical="center"/>
    </xf>
    <xf numFmtId="0" fontId="15" fillId="0" borderId="27" xfId="0" applyFont="1" applyBorder="1" applyAlignment="1">
      <alignment horizontal="center" vertical="center"/>
    </xf>
    <xf numFmtId="0" fontId="15" fillId="0" borderId="27" xfId="0" applyFont="1" applyBorder="1" applyAlignment="1">
      <alignment horizontal="center" vertical="center" wrapText="1"/>
    </xf>
    <xf numFmtId="0" fontId="15" fillId="0" borderId="28" xfId="0" applyFont="1" applyBorder="1" applyAlignment="1">
      <alignment horizontal="center" vertical="center"/>
    </xf>
    <xf numFmtId="0" fontId="16" fillId="0" borderId="8" xfId="0" applyFont="1" applyBorder="1">
      <alignment vertical="center"/>
    </xf>
    <xf numFmtId="0" fontId="16" fillId="0" borderId="10" xfId="0" applyFont="1" applyBorder="1">
      <alignment vertical="center"/>
    </xf>
    <xf numFmtId="0" fontId="16" fillId="0" borderId="11" xfId="0" applyFont="1" applyBorder="1">
      <alignment vertical="center"/>
    </xf>
    <xf numFmtId="0" fontId="16" fillId="0" borderId="29" xfId="0" applyFont="1" applyBorder="1">
      <alignment vertical="center"/>
    </xf>
    <xf numFmtId="0" fontId="16" fillId="0" borderId="20" xfId="0" applyFont="1" applyBorder="1">
      <alignment vertical="center"/>
    </xf>
    <xf numFmtId="0" fontId="16" fillId="0" borderId="25" xfId="0" applyFont="1" applyBorder="1">
      <alignment vertical="center"/>
    </xf>
    <xf numFmtId="0" fontId="17" fillId="0" borderId="0" xfId="0" applyFont="1" applyAlignment="1"/>
    <xf numFmtId="0" fontId="18" fillId="0" borderId="0" xfId="9" applyFont="1" applyProtection="1"/>
    <xf numFmtId="0" fontId="19" fillId="0" borderId="0" xfId="9" applyFont="1" applyProtection="1"/>
    <xf numFmtId="0" fontId="136" fillId="0" borderId="0" xfId="9" applyProtection="1"/>
    <xf numFmtId="0" fontId="20" fillId="0" borderId="0" xfId="9" applyFont="1" applyAlignment="1" applyProtection="1">
      <alignment horizontal="right" vertical="center"/>
    </xf>
    <xf numFmtId="0" fontId="21" fillId="0" borderId="0" xfId="9" applyFont="1" applyAlignment="1" applyProtection="1">
      <alignment horizontal="center"/>
    </xf>
    <xf numFmtId="0" fontId="22" fillId="0" borderId="0" xfId="9" applyFont="1" applyProtection="1"/>
    <xf numFmtId="0" fontId="23" fillId="0" borderId="0" xfId="9" applyFont="1" applyProtection="1"/>
    <xf numFmtId="0" fontId="22" fillId="0" borderId="0" xfId="9" applyFont="1" applyAlignment="1" applyProtection="1">
      <alignment horizontal="center"/>
    </xf>
    <xf numFmtId="0" fontId="24" fillId="0" borderId="32" xfId="9" applyFont="1" applyBorder="1" applyAlignment="1" applyProtection="1">
      <alignment horizontal="center" vertical="center" wrapText="1"/>
    </xf>
    <xf numFmtId="0" fontId="24" fillId="0" borderId="36" xfId="9" applyFont="1" applyBorder="1" applyAlignment="1" applyProtection="1">
      <alignment horizontal="center" vertical="center" wrapText="1"/>
    </xf>
    <xf numFmtId="0" fontId="25" fillId="0" borderId="37" xfId="9" applyFont="1" applyBorder="1" applyAlignment="1" applyProtection="1">
      <alignment horizontal="center" vertical="center"/>
    </xf>
    <xf numFmtId="0" fontId="26" fillId="0" borderId="38" xfId="9" applyFont="1" applyBorder="1" applyProtection="1"/>
    <xf numFmtId="167" fontId="24" fillId="0" borderId="39" xfId="9" applyNumberFormat="1" applyFont="1" applyBorder="1" applyAlignment="1" applyProtection="1">
      <alignment horizontal="center"/>
    </xf>
    <xf numFmtId="3" fontId="25" fillId="0" borderId="10" xfId="9" applyNumberFormat="1" applyFont="1" applyBorder="1" applyAlignment="1" applyProtection="1">
      <alignment horizontal="center" vertical="center"/>
    </xf>
    <xf numFmtId="168" fontId="27" fillId="0" borderId="40" xfId="9" applyNumberFormat="1" applyFont="1" applyBorder="1" applyAlignment="1" applyProtection="1">
      <alignment horizontal="center" vertical="center"/>
    </xf>
    <xf numFmtId="0" fontId="28" fillId="0" borderId="41" xfId="9" applyFont="1" applyBorder="1" applyAlignment="1" applyProtection="1">
      <alignment horizontal="left"/>
    </xf>
    <xf numFmtId="0" fontId="25" fillId="0" borderId="42" xfId="9" applyFont="1" applyBorder="1" applyAlignment="1" applyProtection="1">
      <alignment horizontal="center" vertical="center"/>
    </xf>
    <xf numFmtId="0" fontId="28" fillId="0" borderId="41" xfId="9" applyFont="1" applyBorder="1" applyAlignment="1" applyProtection="1">
      <alignment horizontal="center"/>
    </xf>
    <xf numFmtId="0" fontId="29" fillId="0" borderId="43" xfId="0" applyFont="1" applyBorder="1" applyAlignment="1"/>
    <xf numFmtId="167" fontId="29" fillId="0" borderId="42" xfId="0" applyNumberFormat="1" applyFont="1" applyBorder="1" applyAlignment="1">
      <alignment horizontal="center"/>
    </xf>
    <xf numFmtId="3" fontId="28" fillId="0" borderId="42" xfId="9" applyNumberFormat="1" applyFont="1" applyBorder="1" applyAlignment="1" applyProtection="1">
      <alignment horizontal="center" vertical="center"/>
    </xf>
    <xf numFmtId="0" fontId="28" fillId="0" borderId="43" xfId="9" applyFont="1" applyBorder="1" applyProtection="1"/>
    <xf numFmtId="167" fontId="28" fillId="0" borderId="42" xfId="9" applyNumberFormat="1" applyFont="1" applyBorder="1" applyAlignment="1" applyProtection="1">
      <alignment horizontal="center"/>
    </xf>
    <xf numFmtId="3" fontId="28" fillId="0" borderId="44" xfId="9" applyNumberFormat="1" applyFont="1" applyBorder="1" applyAlignment="1" applyProtection="1">
      <alignment horizontal="center" vertical="center"/>
    </xf>
    <xf numFmtId="0" fontId="28" fillId="0" borderId="45" xfId="9" applyFont="1" applyBorder="1" applyAlignment="1" applyProtection="1">
      <alignment horizontal="center" vertical="center"/>
    </xf>
    <xf numFmtId="0" fontId="27" fillId="0" borderId="46" xfId="9" applyFont="1" applyBorder="1" applyAlignment="1" applyProtection="1">
      <alignment horizontal="center" vertical="center"/>
    </xf>
    <xf numFmtId="0" fontId="27" fillId="0" borderId="47" xfId="9" applyFont="1" applyBorder="1" applyAlignment="1" applyProtection="1">
      <alignment horizontal="center" vertical="center"/>
    </xf>
    <xf numFmtId="3" fontId="27" fillId="0" borderId="47" xfId="9" applyNumberFormat="1" applyFont="1" applyBorder="1" applyAlignment="1" applyProtection="1">
      <alignment horizontal="center" vertical="center"/>
    </xf>
    <xf numFmtId="3" fontId="27" fillId="0" borderId="48" xfId="9" applyNumberFormat="1" applyFont="1" applyBorder="1" applyAlignment="1" applyProtection="1">
      <alignment horizontal="center" vertical="center"/>
    </xf>
    <xf numFmtId="3" fontId="30" fillId="0" borderId="49" xfId="9" applyNumberFormat="1" applyFont="1" applyBorder="1" applyAlignment="1" applyProtection="1">
      <alignment vertical="center"/>
    </xf>
    <xf numFmtId="0" fontId="29" fillId="0" borderId="0" xfId="0" applyFont="1" applyAlignment="1"/>
    <xf numFmtId="3" fontId="30" fillId="0" borderId="0" xfId="9" applyNumberFormat="1" applyFont="1" applyAlignment="1" applyProtection="1">
      <alignment horizontal="center" vertical="center"/>
    </xf>
    <xf numFmtId="169" fontId="29" fillId="0" borderId="0" xfId="0" applyNumberFormat="1" applyFont="1" applyAlignment="1"/>
    <xf numFmtId="0" fontId="31" fillId="0" borderId="0" xfId="0" applyFont="1" applyAlignment="1"/>
    <xf numFmtId="0" fontId="32" fillId="0" borderId="0" xfId="0" applyFont="1" applyAlignment="1">
      <alignment horizontal="left" vertical="center" indent="1"/>
    </xf>
    <xf numFmtId="0" fontId="32" fillId="0" borderId="0" xfId="0" applyFont="1">
      <alignment vertical="center"/>
    </xf>
    <xf numFmtId="0" fontId="35" fillId="0" borderId="0" xfId="0" applyFont="1">
      <alignment vertical="center"/>
    </xf>
    <xf numFmtId="0" fontId="36" fillId="0" borderId="0" xfId="0" applyFont="1" applyAlignment="1">
      <alignment horizontal="left" vertical="center" indent="8"/>
    </xf>
    <xf numFmtId="0" fontId="34" fillId="0" borderId="0" xfId="0" applyFont="1" applyAlignment="1">
      <alignment vertical="center" wrapText="1"/>
    </xf>
    <xf numFmtId="0" fontId="34" fillId="0" borderId="0" xfId="0" applyFont="1" applyAlignment="1">
      <alignment horizontal="left" vertical="center" wrapText="1" indent="2"/>
    </xf>
    <xf numFmtId="0" fontId="37" fillId="0" borderId="0" xfId="0" applyFont="1">
      <alignment vertical="center"/>
    </xf>
    <xf numFmtId="0" fontId="39" fillId="0" borderId="0" xfId="0" applyFont="1">
      <alignment vertical="center"/>
    </xf>
    <xf numFmtId="0" fontId="40" fillId="0" borderId="10" xfId="0" applyFont="1" applyBorder="1" applyAlignment="1">
      <alignment horizontal="center" vertical="center"/>
    </xf>
    <xf numFmtId="41" fontId="41" fillId="0" borderId="10" xfId="4" applyFont="1" applyBorder="1" applyAlignment="1" applyProtection="1">
      <alignment horizontal="left" vertical="center"/>
    </xf>
    <xf numFmtId="0" fontId="39" fillId="0" borderId="9" xfId="0" applyFont="1" applyBorder="1">
      <alignment vertical="center"/>
    </xf>
    <xf numFmtId="0" fontId="39" fillId="0" borderId="10" xfId="0" applyFont="1" applyBorder="1">
      <alignment vertical="center"/>
    </xf>
    <xf numFmtId="0" fontId="40" fillId="0" borderId="10" xfId="0" applyFont="1" applyBorder="1">
      <alignment vertical="center"/>
    </xf>
    <xf numFmtId="0" fontId="0" fillId="0" borderId="10" xfId="0" applyFont="1" applyBorder="1" applyAlignment="1">
      <alignment horizontal="center" vertical="center"/>
    </xf>
    <xf numFmtId="0" fontId="42" fillId="0" borderId="0" xfId="0" applyFont="1" applyAlignment="1">
      <alignment horizontal="center" vertical="center"/>
    </xf>
    <xf numFmtId="41" fontId="43" fillId="0" borderId="37" xfId="4" applyFont="1" applyBorder="1" applyAlignment="1" applyProtection="1">
      <alignment horizontal="left" vertical="center"/>
    </xf>
    <xf numFmtId="0" fontId="1" fillId="0" borderId="28" xfId="0" applyFont="1" applyBorder="1">
      <alignment vertical="center"/>
    </xf>
    <xf numFmtId="41" fontId="43" fillId="0" borderId="42" xfId="4" applyFont="1" applyBorder="1" applyAlignment="1" applyProtection="1">
      <alignment horizontal="left" vertical="center"/>
    </xf>
    <xf numFmtId="0" fontId="1" fillId="0" borderId="11" xfId="0" applyFont="1" applyBorder="1">
      <alignment vertical="center"/>
    </xf>
    <xf numFmtId="41" fontId="43" fillId="0" borderId="51" xfId="4" applyFont="1" applyBorder="1" applyAlignment="1" applyProtection="1">
      <alignment horizontal="left" vertical="center"/>
    </xf>
    <xf numFmtId="0" fontId="1" fillId="0" borderId="42" xfId="0" applyFont="1" applyBorder="1">
      <alignment vertical="center"/>
    </xf>
    <xf numFmtId="0" fontId="1" fillId="0" borderId="51" xfId="0" applyFont="1" applyBorder="1">
      <alignment vertical="center"/>
    </xf>
    <xf numFmtId="0" fontId="1" fillId="0" borderId="8" xfId="0" applyFont="1" applyBorder="1">
      <alignment vertical="center"/>
    </xf>
    <xf numFmtId="0" fontId="1" fillId="0" borderId="0" xfId="0" applyFont="1" applyAlignment="1">
      <alignment horizontal="center" vertical="center"/>
    </xf>
    <xf numFmtId="0" fontId="0" fillId="0" borderId="26" xfId="0" applyFont="1" applyBorder="1" applyAlignment="1">
      <alignment horizontal="center" vertical="center"/>
    </xf>
    <xf numFmtId="41" fontId="0" fillId="0" borderId="27" xfId="4" applyFont="1" applyBorder="1" applyAlignment="1">
      <alignment horizontal="left" vertical="center"/>
      <protection locked="0"/>
    </xf>
    <xf numFmtId="0" fontId="0" fillId="0" borderId="27" xfId="0" applyFont="1" applyBorder="1" applyAlignment="1">
      <alignment horizontal="center" vertical="center"/>
    </xf>
    <xf numFmtId="41" fontId="0" fillId="0" borderId="28" xfId="4" applyFont="1" applyBorder="1" applyAlignment="1">
      <alignment horizontal="left" vertical="center"/>
      <protection locked="0"/>
    </xf>
    <xf numFmtId="41" fontId="0" fillId="0" borderId="10" xfId="4" applyFont="1" applyBorder="1" applyAlignment="1">
      <alignment horizontal="left" vertical="center"/>
      <protection locked="0"/>
    </xf>
    <xf numFmtId="41" fontId="0" fillId="0" borderId="11" xfId="4" applyFont="1" applyBorder="1" applyAlignment="1">
      <alignment horizontal="left" vertical="center"/>
      <protection locked="0"/>
    </xf>
    <xf numFmtId="0" fontId="136" fillId="0" borderId="11" xfId="7" applyBorder="1">
      <protection locked="0"/>
    </xf>
    <xf numFmtId="0" fontId="0" fillId="0" borderId="10" xfId="0" applyFont="1" applyBorder="1" applyAlignment="1" applyProtection="1">
      <protection locked="0"/>
    </xf>
    <xf numFmtId="0" fontId="0" fillId="0" borderId="11" xfId="0" applyFont="1" applyBorder="1" applyAlignment="1" applyProtection="1">
      <protection locked="0"/>
    </xf>
    <xf numFmtId="0" fontId="0" fillId="0" borderId="29" xfId="0" applyFont="1" applyBorder="1" applyAlignment="1">
      <alignment horizontal="center" vertical="center"/>
    </xf>
    <xf numFmtId="41" fontId="0" fillId="0" borderId="20" xfId="4" applyFont="1" applyBorder="1" applyAlignment="1">
      <alignment horizontal="left" vertical="center"/>
      <protection locked="0"/>
    </xf>
    <xf numFmtId="0" fontId="0" fillId="0" borderId="20" xfId="0" applyFont="1" applyBorder="1" applyAlignment="1">
      <alignment horizontal="center" vertical="center"/>
    </xf>
    <xf numFmtId="0" fontId="0" fillId="0" borderId="25" xfId="0" applyFont="1" applyBorder="1" applyAlignment="1" applyProtection="1">
      <protection locked="0"/>
    </xf>
    <xf numFmtId="41" fontId="0" fillId="0" borderId="0" xfId="4" applyFont="1" applyAlignment="1">
      <alignment horizontal="left" vertical="center"/>
      <protection locked="0"/>
    </xf>
    <xf numFmtId="0" fontId="0" fillId="0" borderId="6" xfId="0" applyFont="1" applyBorder="1" applyAlignment="1">
      <alignment horizontal="center" vertical="center"/>
    </xf>
    <xf numFmtId="41" fontId="0" fillId="0" borderId="6" xfId="4" applyFont="1" applyBorder="1" applyAlignment="1">
      <alignment horizontal="left" vertical="center"/>
      <protection locked="0"/>
    </xf>
    <xf numFmtId="41" fontId="0" fillId="0" borderId="50" xfId="4" applyFont="1" applyBorder="1" applyAlignment="1">
      <alignment horizontal="left" vertical="center"/>
      <protection locked="0"/>
    </xf>
    <xf numFmtId="41" fontId="0" fillId="0" borderId="7" xfId="4" applyFont="1" applyBorder="1" applyAlignment="1">
      <alignment horizontal="left" vertical="center"/>
      <protection locked="0"/>
    </xf>
    <xf numFmtId="41" fontId="0" fillId="0" borderId="56" xfId="4" applyFont="1" applyBorder="1" applyAlignment="1">
      <alignment horizontal="left" vertical="center"/>
      <protection locked="0"/>
    </xf>
    <xf numFmtId="0" fontId="0" fillId="0" borderId="57" xfId="0" applyFont="1" applyBorder="1">
      <alignment vertical="center"/>
    </xf>
    <xf numFmtId="41" fontId="0" fillId="0" borderId="58" xfId="4" applyFont="1" applyBorder="1" applyAlignment="1">
      <alignment horizontal="left" vertical="center"/>
      <protection locked="0"/>
    </xf>
    <xf numFmtId="41" fontId="0" fillId="0" borderId="59" xfId="4" applyFont="1" applyBorder="1" applyAlignment="1">
      <alignment horizontal="left" vertical="center"/>
      <protection locked="0"/>
    </xf>
    <xf numFmtId="0" fontId="0" fillId="0" borderId="4" xfId="0" applyFont="1" applyBorder="1" applyAlignment="1">
      <alignment horizontal="center" vertical="center"/>
    </xf>
    <xf numFmtId="41" fontId="0" fillId="0" borderId="25" xfId="4" applyFont="1" applyBorder="1" applyAlignment="1">
      <alignment horizontal="left" vertical="center"/>
      <protection locked="0"/>
    </xf>
    <xf numFmtId="0" fontId="21" fillId="0" borderId="0" xfId="0" applyFont="1" applyAlignment="1">
      <alignment horizontal="left" vertical="center"/>
    </xf>
    <xf numFmtId="0" fontId="0" fillId="0" borderId="9" xfId="0" applyFont="1" applyBorder="1" applyAlignment="1">
      <alignment horizontal="center" vertical="center"/>
    </xf>
    <xf numFmtId="0" fontId="0" fillId="0" borderId="50" xfId="0" applyFont="1" applyBorder="1" applyAlignment="1">
      <alignment horizontal="center" vertical="center"/>
    </xf>
    <xf numFmtId="0" fontId="43" fillId="0" borderId="0" xfId="0" applyFont="1" applyAlignment="1"/>
    <xf numFmtId="0" fontId="43" fillId="0" borderId="0" xfId="0" applyFont="1" applyAlignment="1">
      <alignment horizontal="center"/>
    </xf>
    <xf numFmtId="0" fontId="43" fillId="0" borderId="10" xfId="0" applyFont="1" applyBorder="1" applyAlignment="1"/>
    <xf numFmtId="0" fontId="43" fillId="0" borderId="23" xfId="0" applyFont="1" applyBorder="1" applyAlignment="1">
      <alignment horizontal="center"/>
    </xf>
    <xf numFmtId="0" fontId="43" fillId="0" borderId="9" xfId="0" applyFont="1" applyBorder="1" applyAlignment="1"/>
    <xf numFmtId="0" fontId="43" fillId="0" borderId="60" xfId="0" applyFont="1" applyBorder="1" applyAlignment="1"/>
    <xf numFmtId="0" fontId="43" fillId="0" borderId="50" xfId="0" applyFont="1" applyBorder="1" applyAlignment="1">
      <alignment horizontal="center"/>
    </xf>
    <xf numFmtId="0" fontId="43" fillId="0" borderId="61" xfId="0" applyFont="1" applyBorder="1" applyAlignment="1"/>
    <xf numFmtId="0" fontId="43" fillId="0" borderId="22" xfId="0" applyFont="1" applyBorder="1" applyAlignment="1"/>
    <xf numFmtId="0" fontId="43" fillId="0" borderId="50" xfId="0" applyFont="1" applyBorder="1" applyAlignment="1"/>
    <xf numFmtId="0" fontId="43" fillId="0" borderId="23" xfId="0" applyFont="1" applyBorder="1" applyAlignment="1"/>
    <xf numFmtId="0" fontId="45" fillId="0" borderId="0" xfId="0" applyFont="1">
      <alignment vertical="center"/>
    </xf>
    <xf numFmtId="0" fontId="17" fillId="0" borderId="0" xfId="0" applyFont="1">
      <alignment vertical="center"/>
    </xf>
    <xf numFmtId="0" fontId="46" fillId="0" borderId="0" xfId="0" applyFont="1">
      <alignment vertical="center"/>
    </xf>
    <xf numFmtId="0" fontId="47" fillId="0" borderId="0" xfId="0" applyFont="1">
      <alignment vertical="center"/>
    </xf>
    <xf numFmtId="0" fontId="49" fillId="0" borderId="6" xfId="0" applyFont="1" applyBorder="1" applyAlignment="1">
      <alignment horizontal="center" vertical="center"/>
    </xf>
    <xf numFmtId="0" fontId="49" fillId="0" borderId="10" xfId="0" applyFont="1" applyBorder="1" applyAlignment="1">
      <alignment horizontal="center" vertical="center"/>
    </xf>
    <xf numFmtId="0" fontId="49" fillId="0" borderId="10" xfId="0" applyFont="1" applyBorder="1">
      <alignment vertical="center"/>
    </xf>
    <xf numFmtId="0" fontId="49" fillId="0" borderId="6" xfId="0" applyFont="1" applyBorder="1">
      <alignment vertical="center"/>
    </xf>
    <xf numFmtId="0" fontId="49" fillId="0" borderId="14" xfId="0" applyFont="1" applyBorder="1">
      <alignment vertical="center"/>
    </xf>
    <xf numFmtId="0" fontId="49" fillId="0" borderId="22" xfId="0" applyFont="1" applyBorder="1">
      <alignment vertical="center"/>
    </xf>
    <xf numFmtId="0" fontId="50" fillId="0" borderId="44" xfId="0" applyFont="1" applyBorder="1">
      <alignment vertical="center"/>
    </xf>
    <xf numFmtId="0" fontId="51" fillId="0" borderId="66" xfId="0" applyFont="1" applyBorder="1">
      <alignment vertical="center"/>
    </xf>
    <xf numFmtId="0" fontId="51" fillId="0" borderId="20" xfId="0" applyFont="1" applyBorder="1">
      <alignment vertical="center"/>
    </xf>
    <xf numFmtId="0" fontId="50" fillId="0" borderId="0" xfId="0" applyFont="1">
      <alignment vertical="center"/>
    </xf>
    <xf numFmtId="0" fontId="52" fillId="0" borderId="0" xfId="0" applyFont="1">
      <alignment vertical="center"/>
    </xf>
    <xf numFmtId="0" fontId="53" fillId="0" borderId="0" xfId="0" applyFont="1">
      <alignment vertical="center"/>
    </xf>
    <xf numFmtId="0" fontId="49" fillId="0" borderId="7" xfId="0" applyFont="1" applyBorder="1">
      <alignment vertical="center"/>
    </xf>
    <xf numFmtId="0" fontId="49" fillId="0" borderId="11" xfId="0" applyFont="1" applyBorder="1">
      <alignment vertical="center"/>
    </xf>
    <xf numFmtId="0" fontId="49" fillId="0" borderId="15" xfId="0" applyFont="1" applyBorder="1">
      <alignment vertical="center"/>
    </xf>
    <xf numFmtId="0" fontId="51" fillId="0" borderId="25" xfId="0" applyFont="1" applyBorder="1">
      <alignment vertical="center"/>
    </xf>
    <xf numFmtId="0" fontId="50" fillId="0" borderId="29" xfId="0" applyFont="1" applyBorder="1">
      <alignment vertical="center"/>
    </xf>
    <xf numFmtId="0" fontId="43" fillId="0" borderId="69" xfId="0" applyFont="1" applyBorder="1" applyAlignment="1"/>
    <xf numFmtId="0" fontId="54" fillId="0" borderId="70" xfId="0" applyFont="1" applyBorder="1" applyAlignment="1"/>
    <xf numFmtId="0" fontId="55" fillId="0" borderId="71" xfId="0" applyFont="1" applyBorder="1" applyAlignment="1">
      <alignment horizontal="center"/>
    </xf>
    <xf numFmtId="0" fontId="55" fillId="0" borderId="71" xfId="0" applyFont="1" applyBorder="1" applyAlignment="1"/>
    <xf numFmtId="0" fontId="54" fillId="0" borderId="71" xfId="0" applyFont="1" applyBorder="1" applyAlignment="1"/>
    <xf numFmtId="0" fontId="55" fillId="0" borderId="72" xfId="0" applyFont="1" applyBorder="1" applyAlignment="1"/>
    <xf numFmtId="0" fontId="54" fillId="0" borderId="54" xfId="0" applyFont="1" applyBorder="1" applyAlignment="1"/>
    <xf numFmtId="0" fontId="55" fillId="0" borderId="0" xfId="0" applyFont="1" applyAlignment="1">
      <alignment horizontal="center"/>
    </xf>
    <xf numFmtId="0" fontId="55" fillId="0" borderId="0" xfId="0" applyFont="1" applyAlignment="1"/>
    <xf numFmtId="0" fontId="54" fillId="0" borderId="0" xfId="0" applyFont="1" applyAlignment="1"/>
    <xf numFmtId="0" fontId="55" fillId="0" borderId="55" xfId="0" applyFont="1" applyBorder="1" applyAlignment="1"/>
    <xf numFmtId="0" fontId="54" fillId="0" borderId="73" xfId="0" applyFont="1" applyBorder="1" applyAlignment="1"/>
    <xf numFmtId="0" fontId="55" fillId="0" borderId="74" xfId="0" applyFont="1" applyBorder="1" applyAlignment="1">
      <alignment horizontal="center"/>
    </xf>
    <xf numFmtId="0" fontId="55" fillId="0" borderId="74" xfId="0" applyFont="1" applyBorder="1" applyAlignment="1"/>
    <xf numFmtId="0" fontId="54" fillId="0" borderId="74" xfId="0" applyFont="1" applyBorder="1" applyAlignment="1"/>
    <xf numFmtId="0" fontId="55" fillId="0" borderId="75" xfId="0" applyFont="1" applyBorder="1" applyAlignment="1"/>
    <xf numFmtId="0" fontId="43" fillId="0" borderId="76" xfId="0" applyFont="1" applyBorder="1" applyAlignment="1"/>
    <xf numFmtId="0" fontId="43" fillId="0" borderId="35" xfId="0" applyFont="1" applyBorder="1" applyAlignment="1"/>
    <xf numFmtId="0" fontId="43" fillId="0" borderId="43" xfId="0" applyFont="1" applyBorder="1" applyAlignment="1">
      <alignment horizontal="center"/>
    </xf>
    <xf numFmtId="0" fontId="43" fillId="0" borderId="11" xfId="0" applyFont="1" applyBorder="1" applyAlignment="1"/>
    <xf numFmtId="41" fontId="43" fillId="0" borderId="77" xfId="4" applyFont="1" applyBorder="1" applyAlignment="1" applyProtection="1">
      <alignment horizontal="left" vertical="center"/>
    </xf>
    <xf numFmtId="41" fontId="43" fillId="0" borderId="23" xfId="4" applyFont="1" applyBorder="1" applyAlignment="1" applyProtection="1">
      <alignment horizontal="left" vertical="center"/>
    </xf>
    <xf numFmtId="41" fontId="43" fillId="0" borderId="43" xfId="4" applyFont="1" applyBorder="1" applyAlignment="1" applyProtection="1">
      <alignment horizontal="left" vertical="center"/>
    </xf>
    <xf numFmtId="41" fontId="43" fillId="0" borderId="78" xfId="4" applyFont="1" applyBorder="1" applyAlignment="1" applyProtection="1">
      <alignment horizontal="left" vertical="center"/>
    </xf>
    <xf numFmtId="41" fontId="43" fillId="0" borderId="83" xfId="4" applyFont="1" applyBorder="1" applyAlignment="1" applyProtection="1">
      <alignment horizontal="left" vertical="center"/>
    </xf>
    <xf numFmtId="0" fontId="43" fillId="0" borderId="84" xfId="0" applyFont="1" applyBorder="1" applyAlignment="1"/>
    <xf numFmtId="0" fontId="43" fillId="0" borderId="43" xfId="0" applyFont="1" applyBorder="1" applyAlignment="1"/>
    <xf numFmtId="41" fontId="43" fillId="0" borderId="44" xfId="4" applyFont="1" applyBorder="1" applyAlignment="1" applyProtection="1">
      <alignment horizontal="left" vertical="center"/>
    </xf>
    <xf numFmtId="0" fontId="43" fillId="0" borderId="87" xfId="0" applyFont="1" applyBorder="1" applyAlignment="1"/>
    <xf numFmtId="0" fontId="43" fillId="0" borderId="87" xfId="0" applyFont="1" applyBorder="1" applyAlignment="1">
      <alignment horizontal="right"/>
    </xf>
    <xf numFmtId="0" fontId="43" fillId="0" borderId="35" xfId="0" applyFont="1" applyBorder="1" applyAlignment="1">
      <alignment horizontal="center"/>
    </xf>
    <xf numFmtId="0" fontId="43" fillId="0" borderId="6" xfId="0" applyFont="1" applyBorder="1" applyAlignment="1"/>
    <xf numFmtId="0" fontId="43" fillId="0" borderId="54" xfId="0" applyFont="1" applyBorder="1" applyAlignment="1"/>
    <xf numFmtId="167" fontId="55" fillId="0" borderId="0" xfId="0" applyNumberFormat="1" applyFont="1" applyAlignment="1">
      <alignment horizontal="left"/>
    </xf>
    <xf numFmtId="0" fontId="55" fillId="0" borderId="0" xfId="0" applyFont="1" applyAlignment="1">
      <alignment horizontal="left"/>
    </xf>
    <xf numFmtId="164" fontId="55" fillId="0" borderId="75" xfId="0" applyNumberFormat="1" applyFont="1" applyBorder="1" applyAlignment="1">
      <alignment horizontal="left"/>
    </xf>
    <xf numFmtId="0" fontId="43" fillId="0" borderId="89" xfId="0" applyFont="1" applyBorder="1" applyAlignment="1"/>
    <xf numFmtId="0" fontId="43" fillId="0" borderId="5" xfId="0" applyFont="1" applyBorder="1" applyAlignment="1"/>
    <xf numFmtId="0" fontId="43" fillId="0" borderId="51" xfId="0" applyFont="1" applyBorder="1" applyAlignment="1"/>
    <xf numFmtId="0" fontId="43" fillId="0" borderId="55" xfId="0" applyFont="1" applyBorder="1" applyAlignment="1"/>
    <xf numFmtId="0" fontId="43" fillId="0" borderId="16" xfId="0" applyFont="1" applyBorder="1" applyAlignment="1"/>
    <xf numFmtId="0" fontId="43" fillId="0" borderId="69" xfId="0" applyFont="1" applyBorder="1" applyAlignment="1">
      <alignment horizontal="right"/>
    </xf>
    <xf numFmtId="0" fontId="136" fillId="0" borderId="0" xfId="10" applyAlignment="1">
      <alignment vertical="center"/>
    </xf>
    <xf numFmtId="0" fontId="48" fillId="0" borderId="26" xfId="10" applyFont="1" applyBorder="1" applyAlignment="1">
      <alignment horizontal="center" vertical="center"/>
    </xf>
    <xf numFmtId="0" fontId="47" fillId="0" borderId="27" xfId="10" applyFont="1" applyBorder="1" applyAlignment="1">
      <alignment horizontal="center" vertical="center"/>
    </xf>
    <xf numFmtId="0" fontId="48" fillId="0" borderId="29" xfId="10" applyFont="1" applyBorder="1" applyAlignment="1">
      <alignment horizontal="center" vertical="center"/>
    </xf>
    <xf numFmtId="0" fontId="17" fillId="0" borderId="20" xfId="10" applyFont="1" applyBorder="1" applyAlignment="1">
      <alignment horizontal="center" vertical="center"/>
    </xf>
    <xf numFmtId="0" fontId="48" fillId="0" borderId="26" xfId="10" applyFont="1" applyBorder="1" applyAlignment="1">
      <alignment vertical="center"/>
    </xf>
    <xf numFmtId="0" fontId="49" fillId="0" borderId="27" xfId="10" applyFont="1" applyBorder="1" applyAlignment="1">
      <alignment horizontal="center" vertical="center"/>
    </xf>
    <xf numFmtId="0" fontId="17" fillId="0" borderId="27" xfId="0" applyFont="1" applyBorder="1">
      <alignment vertical="center"/>
    </xf>
    <xf numFmtId="0" fontId="49" fillId="0" borderId="8" xfId="10" applyFont="1" applyBorder="1" applyAlignment="1">
      <alignment vertical="center"/>
    </xf>
    <xf numFmtId="0" fontId="49" fillId="0" borderId="10" xfId="10" applyFont="1" applyBorder="1" applyAlignment="1">
      <alignment horizontal="center" vertical="center"/>
    </xf>
    <xf numFmtId="0" fontId="17" fillId="0" borderId="10" xfId="0" applyFont="1" applyBorder="1">
      <alignment vertical="center"/>
    </xf>
    <xf numFmtId="0" fontId="17" fillId="0" borderId="10" xfId="10" applyFont="1" applyBorder="1" applyAlignment="1">
      <alignment horizontal="center" vertical="center"/>
    </xf>
    <xf numFmtId="0" fontId="48" fillId="0" borderId="8" xfId="10" applyFont="1" applyBorder="1" applyAlignment="1">
      <alignment vertical="center"/>
    </xf>
    <xf numFmtId="0" fontId="49" fillId="0" borderId="29" xfId="10" applyFont="1" applyBorder="1" applyAlignment="1">
      <alignment vertical="center"/>
    </xf>
    <xf numFmtId="0" fontId="49" fillId="0" borderId="20" xfId="10" applyFont="1" applyBorder="1" applyAlignment="1">
      <alignment horizontal="center" vertical="center"/>
    </xf>
    <xf numFmtId="0" fontId="49" fillId="0" borderId="0" xfId="10" applyFont="1" applyAlignment="1">
      <alignment vertical="center"/>
    </xf>
    <xf numFmtId="0" fontId="17" fillId="0" borderId="0" xfId="10" applyFont="1" applyAlignment="1">
      <alignment vertical="center"/>
    </xf>
    <xf numFmtId="0" fontId="58" fillId="0" borderId="0" xfId="0" applyFont="1">
      <alignment vertical="center"/>
    </xf>
    <xf numFmtId="0" fontId="59" fillId="0" borderId="0" xfId="0" applyFont="1">
      <alignment vertical="center"/>
    </xf>
    <xf numFmtId="0" fontId="60" fillId="0" borderId="0" xfId="10" applyFont="1" applyAlignment="1">
      <alignment vertical="center"/>
    </xf>
    <xf numFmtId="0" fontId="61" fillId="0" borderId="0" xfId="10" applyFont="1" applyAlignment="1">
      <alignment vertical="center"/>
    </xf>
    <xf numFmtId="0" fontId="47" fillId="0" borderId="0" xfId="10" applyFont="1" applyAlignment="1">
      <alignment vertical="center"/>
    </xf>
    <xf numFmtId="0" fontId="47" fillId="0" borderId="28" xfId="10" applyFont="1" applyBorder="1" applyAlignment="1">
      <alignment horizontal="center" vertical="center"/>
    </xf>
    <xf numFmtId="0" fontId="17" fillId="0" borderId="25" xfId="10" applyFont="1" applyBorder="1" applyAlignment="1">
      <alignment vertical="center"/>
    </xf>
    <xf numFmtId="0" fontId="17" fillId="0" borderId="28" xfId="0" applyFont="1" applyBorder="1">
      <alignment vertical="center"/>
    </xf>
    <xf numFmtId="0" fontId="17" fillId="0" borderId="11" xfId="0" applyFont="1" applyBorder="1">
      <alignment vertical="center"/>
    </xf>
    <xf numFmtId="0" fontId="17" fillId="0" borderId="11" xfId="10" applyFont="1" applyBorder="1" applyAlignment="1">
      <alignment vertical="center"/>
    </xf>
    <xf numFmtId="0" fontId="47" fillId="0" borderId="0" xfId="0" applyFont="1" applyAlignment="1"/>
    <xf numFmtId="0" fontId="57" fillId="0" borderId="0" xfId="0" applyFont="1" applyAlignment="1">
      <alignment horizontal="center"/>
    </xf>
    <xf numFmtId="0" fontId="47" fillId="0" borderId="27" xfId="0" applyFont="1" applyBorder="1" applyAlignment="1">
      <alignment horizontal="center"/>
    </xf>
    <xf numFmtId="0" fontId="17" fillId="0" borderId="20" xfId="0" applyFont="1" applyBorder="1" applyAlignment="1"/>
    <xf numFmtId="0" fontId="48" fillId="0" borderId="26" xfId="0" applyFont="1" applyBorder="1" applyAlignment="1"/>
    <xf numFmtId="0" fontId="49" fillId="0" borderId="27" xfId="0" applyFont="1" applyBorder="1" applyAlignment="1"/>
    <xf numFmtId="0" fontId="17" fillId="0" borderId="27" xfId="0" applyFont="1" applyBorder="1" applyAlignment="1"/>
    <xf numFmtId="0" fontId="49" fillId="0" borderId="8" xfId="0" applyFont="1" applyBorder="1" applyAlignment="1"/>
    <xf numFmtId="0" fontId="49" fillId="0" borderId="10" xfId="0" applyFont="1" applyBorder="1" applyAlignment="1">
      <alignment horizontal="center"/>
    </xf>
    <xf numFmtId="0" fontId="17" fillId="0" borderId="10" xfId="0" applyFont="1" applyBorder="1" applyAlignment="1"/>
    <xf numFmtId="0" fontId="49" fillId="0" borderId="8" xfId="0" applyFont="1" applyBorder="1" applyAlignment="1">
      <alignment horizontal="left"/>
    </xf>
    <xf numFmtId="0" fontId="49" fillId="0" borderId="10" xfId="0" applyFont="1" applyBorder="1" applyAlignment="1"/>
    <xf numFmtId="0" fontId="48" fillId="0" borderId="29" xfId="0" applyFont="1" applyBorder="1" applyAlignment="1"/>
    <xf numFmtId="0" fontId="49" fillId="0" borderId="20" xfId="0" applyFont="1" applyBorder="1" applyAlignment="1"/>
    <xf numFmtId="0" fontId="62" fillId="0" borderId="0" xfId="0" applyFont="1" applyAlignment="1"/>
    <xf numFmtId="0" fontId="61" fillId="0" borderId="0" xfId="0" applyFont="1" applyAlignment="1"/>
    <xf numFmtId="0" fontId="37" fillId="0" borderId="0" xfId="0" applyFont="1" applyAlignment="1"/>
    <xf numFmtId="0" fontId="47" fillId="0" borderId="28" xfId="0" applyFont="1" applyBorder="1" applyAlignment="1">
      <alignment horizontal="center"/>
    </xf>
    <xf numFmtId="0" fontId="17" fillId="0" borderId="25" xfId="0" applyFont="1" applyBorder="1" applyAlignment="1"/>
    <xf numFmtId="0" fontId="17" fillId="0" borderId="28" xfId="0" applyFont="1" applyBorder="1" applyAlignment="1"/>
    <xf numFmtId="0" fontId="17" fillId="0" borderId="11" xfId="0" applyFont="1" applyBorder="1" applyAlignment="1"/>
    <xf numFmtId="0" fontId="17" fillId="0" borderId="0" xfId="0" applyFont="1" applyAlignment="1">
      <alignment horizontal="center" vertical="center"/>
    </xf>
    <xf numFmtId="0" fontId="48" fillId="0" borderId="96" xfId="0" applyFont="1" applyBorder="1" applyAlignment="1">
      <alignment horizontal="center" vertical="center"/>
    </xf>
    <xf numFmtId="0" fontId="48" fillId="0" borderId="27" xfId="0" applyFont="1" applyBorder="1" applyAlignment="1">
      <alignment horizontal="center" vertical="center"/>
    </xf>
    <xf numFmtId="0" fontId="48" fillId="0" borderId="9" xfId="0" applyFont="1" applyBorder="1" applyAlignment="1">
      <alignment horizontal="center" vertical="center"/>
    </xf>
    <xf numFmtId="0" fontId="48" fillId="0" borderId="10" xfId="0" applyFont="1" applyBorder="1" applyAlignment="1">
      <alignment horizontal="center" vertical="center"/>
    </xf>
    <xf numFmtId="0" fontId="48" fillId="0" borderId="66" xfId="0" applyFont="1" applyBorder="1" applyAlignment="1">
      <alignment horizontal="center" vertical="center"/>
    </xf>
    <xf numFmtId="0" fontId="48" fillId="0" borderId="20" xfId="0" applyFont="1" applyBorder="1" applyAlignment="1">
      <alignment horizontal="center" vertical="center"/>
    </xf>
    <xf numFmtId="0" fontId="17" fillId="0" borderId="26" xfId="0" applyFont="1" applyBorder="1">
      <alignment vertical="center"/>
    </xf>
    <xf numFmtId="0" fontId="17" fillId="0" borderId="8" xfId="0" applyFont="1" applyBorder="1">
      <alignment vertical="center"/>
    </xf>
    <xf numFmtId="0" fontId="37" fillId="0" borderId="10" xfId="0" applyFont="1" applyBorder="1">
      <alignment vertical="center"/>
    </xf>
    <xf numFmtId="0" fontId="17" fillId="0" borderId="29" xfId="0" applyFont="1" applyBorder="1">
      <alignment vertical="center"/>
    </xf>
    <xf numFmtId="0" fontId="17" fillId="0" borderId="20" xfId="0" applyFont="1" applyBorder="1">
      <alignment vertical="center"/>
    </xf>
    <xf numFmtId="0" fontId="37" fillId="0" borderId="20" xfId="0" applyFont="1" applyBorder="1">
      <alignment vertical="center"/>
    </xf>
    <xf numFmtId="0" fontId="62" fillId="0" borderId="0" xfId="0" applyFont="1" applyAlignment="1">
      <alignment horizontal="center" vertical="center"/>
    </xf>
    <xf numFmtId="0" fontId="61" fillId="0" borderId="0" xfId="0" applyFont="1">
      <alignment vertical="center"/>
    </xf>
    <xf numFmtId="0" fontId="61" fillId="0" borderId="0" xfId="0" applyFont="1" applyAlignment="1">
      <alignment horizontal="center" vertical="center"/>
    </xf>
    <xf numFmtId="0" fontId="64" fillId="0" borderId="0" xfId="0" applyFont="1">
      <alignment vertical="center"/>
    </xf>
    <xf numFmtId="20" fontId="17" fillId="0" borderId="10" xfId="0" applyNumberFormat="1" applyFont="1" applyBorder="1">
      <alignment vertical="center"/>
    </xf>
    <xf numFmtId="0" fontId="17" fillId="0" borderId="25" xfId="0" applyFont="1" applyBorder="1">
      <alignment vertical="center"/>
    </xf>
    <xf numFmtId="0" fontId="47" fillId="0" borderId="99" xfId="0" applyFont="1" applyBorder="1">
      <alignment vertical="center"/>
    </xf>
    <xf numFmtId="0" fontId="47" fillId="0" borderId="40" xfId="0" applyFont="1" applyBorder="1">
      <alignment vertical="center"/>
    </xf>
    <xf numFmtId="0" fontId="47" fillId="0" borderId="10" xfId="0" applyFont="1" applyBorder="1" applyAlignment="1">
      <alignment horizontal="left" vertical="center"/>
    </xf>
    <xf numFmtId="0" fontId="47" fillId="0" borderId="23" xfId="0" applyFont="1" applyBorder="1">
      <alignment vertical="center"/>
    </xf>
    <xf numFmtId="0" fontId="47" fillId="0" borderId="43" xfId="0" applyFont="1" applyBorder="1">
      <alignment vertical="center"/>
    </xf>
    <xf numFmtId="0" fontId="47" fillId="0" borderId="90" xfId="0" applyFont="1" applyBorder="1">
      <alignment vertical="center"/>
    </xf>
    <xf numFmtId="0" fontId="47" fillId="0" borderId="53" xfId="0" applyFont="1" applyBorder="1">
      <alignment vertical="center"/>
    </xf>
    <xf numFmtId="0" fontId="47" fillId="0" borderId="8" xfId="0" applyFont="1" applyBorder="1" applyAlignment="1">
      <alignment horizontal="center" vertical="center"/>
    </xf>
    <xf numFmtId="0" fontId="47" fillId="0" borderId="6" xfId="0" applyFont="1" applyBorder="1" applyAlignment="1">
      <alignment horizontal="left" vertical="center"/>
    </xf>
    <xf numFmtId="0" fontId="47" fillId="0" borderId="29" xfId="0" applyFont="1" applyBorder="1" applyAlignment="1">
      <alignment horizontal="center" vertical="center"/>
    </xf>
    <xf numFmtId="0" fontId="47" fillId="0" borderId="20" xfId="0" applyFont="1" applyBorder="1">
      <alignment vertical="center"/>
    </xf>
    <xf numFmtId="0" fontId="66" fillId="0" borderId="4" xfId="0" applyFont="1" applyBorder="1" applyAlignment="1">
      <alignment horizontal="center" vertical="center"/>
    </xf>
    <xf numFmtId="0" fontId="66" fillId="0" borderId="6" xfId="0" applyFont="1" applyBorder="1">
      <alignment vertical="center"/>
    </xf>
    <xf numFmtId="0" fontId="66" fillId="0" borderId="8" xfId="0" applyFont="1" applyBorder="1" applyAlignment="1">
      <alignment horizontal="center" vertical="center"/>
    </xf>
    <xf numFmtId="0" fontId="66" fillId="0" borderId="10" xfId="0" applyFont="1" applyBorder="1">
      <alignment vertical="center"/>
    </xf>
    <xf numFmtId="0" fontId="66" fillId="0" borderId="29" xfId="0" applyFont="1" applyBorder="1" applyAlignment="1">
      <alignment horizontal="center" vertical="center"/>
    </xf>
    <xf numFmtId="0" fontId="66" fillId="0" borderId="20" xfId="0" applyFont="1" applyBorder="1">
      <alignment vertical="center"/>
    </xf>
    <xf numFmtId="0" fontId="62" fillId="0" borderId="0" xfId="0" applyFont="1">
      <alignment vertical="center"/>
    </xf>
    <xf numFmtId="0" fontId="66" fillId="0" borderId="7" xfId="0" applyFont="1" applyBorder="1">
      <alignment vertical="center"/>
    </xf>
    <xf numFmtId="0" fontId="66" fillId="0" borderId="11" xfId="0" applyFont="1" applyBorder="1">
      <alignment vertical="center"/>
    </xf>
    <xf numFmtId="0" fontId="66" fillId="0" borderId="25" xfId="0" applyFont="1" applyBorder="1">
      <alignment vertical="center"/>
    </xf>
    <xf numFmtId="0" fontId="56" fillId="0" borderId="0" xfId="0" applyFont="1">
      <alignment vertical="center"/>
    </xf>
    <xf numFmtId="0" fontId="43" fillId="0" borderId="0" xfId="0" applyFont="1">
      <alignment vertical="center"/>
    </xf>
    <xf numFmtId="0" fontId="67" fillId="0" borderId="0" xfId="0" applyFont="1">
      <alignment vertical="center"/>
    </xf>
    <xf numFmtId="0" fontId="67" fillId="0" borderId="4" xfId="0" applyFont="1" applyBorder="1" applyAlignment="1">
      <alignment horizontal="center" vertical="center"/>
    </xf>
    <xf numFmtId="41" fontId="67" fillId="0" borderId="37" xfId="4" applyFont="1" applyBorder="1" applyAlignment="1" applyProtection="1">
      <alignment horizontal="left" vertical="center"/>
    </xf>
    <xf numFmtId="0" fontId="67" fillId="0" borderId="6" xfId="0" applyFont="1" applyBorder="1" applyAlignment="1">
      <alignment horizontal="center" vertical="center"/>
    </xf>
    <xf numFmtId="41" fontId="67" fillId="0" borderId="6" xfId="4" applyFont="1" applyBorder="1" applyAlignment="1" applyProtection="1">
      <alignment horizontal="center" vertical="center"/>
    </xf>
    <xf numFmtId="41" fontId="67" fillId="0" borderId="6" xfId="0" applyNumberFormat="1" applyFont="1" applyBorder="1" applyAlignment="1">
      <alignment horizontal="center" vertical="center"/>
    </xf>
    <xf numFmtId="0" fontId="67" fillId="0" borderId="8" xfId="0" applyFont="1" applyBorder="1" applyAlignment="1">
      <alignment horizontal="center" vertical="center"/>
    </xf>
    <xf numFmtId="41" fontId="67" fillId="0" borderId="42" xfId="4" applyFont="1" applyBorder="1" applyAlignment="1" applyProtection="1">
      <alignment horizontal="left" vertical="center"/>
    </xf>
    <xf numFmtId="0" fontId="67" fillId="0" borderId="10" xfId="0" applyFont="1" applyBorder="1" applyAlignment="1">
      <alignment horizontal="center" vertical="center"/>
    </xf>
    <xf numFmtId="8" fontId="67" fillId="0" borderId="10" xfId="0" applyNumberFormat="1" applyFont="1" applyBorder="1" applyAlignment="1">
      <alignment horizontal="center" vertical="center"/>
    </xf>
    <xf numFmtId="0" fontId="67" fillId="0" borderId="14" xfId="0" applyFont="1" applyBorder="1" applyAlignment="1">
      <alignment horizontal="center" vertical="center"/>
    </xf>
    <xf numFmtId="41" fontId="67" fillId="0" borderId="10" xfId="4" applyFont="1" applyBorder="1" applyAlignment="1" applyProtection="1">
      <alignment horizontal="center" vertical="center"/>
    </xf>
    <xf numFmtId="0" fontId="67" fillId="0" borderId="29" xfId="0" applyFont="1" applyBorder="1" applyAlignment="1">
      <alignment horizontal="center" vertical="center"/>
    </xf>
    <xf numFmtId="41" fontId="67" fillId="0" borderId="44" xfId="4" applyFont="1" applyBorder="1" applyAlignment="1" applyProtection="1">
      <alignment horizontal="left" vertical="center"/>
    </xf>
    <xf numFmtId="0" fontId="67" fillId="0" borderId="20" xfId="0" applyFont="1" applyBorder="1" applyAlignment="1">
      <alignment horizontal="center" vertical="center"/>
    </xf>
    <xf numFmtId="0" fontId="43" fillId="0" borderId="70" xfId="0" applyFont="1" applyBorder="1">
      <alignment vertical="center"/>
    </xf>
    <xf numFmtId="0" fontId="43" fillId="0" borderId="71" xfId="0" applyFont="1" applyBorder="1">
      <alignment vertical="center"/>
    </xf>
    <xf numFmtId="0" fontId="43" fillId="0" borderId="72" xfId="0" applyFont="1" applyBorder="1">
      <alignment vertical="center"/>
    </xf>
    <xf numFmtId="0" fontId="68" fillId="0" borderId="69" xfId="0" applyFont="1" applyBorder="1">
      <alignment vertical="center"/>
    </xf>
    <xf numFmtId="0" fontId="43" fillId="0" borderId="69" xfId="0" applyFont="1" applyBorder="1" applyAlignment="1">
      <alignment horizontal="center" vertical="center"/>
    </xf>
    <xf numFmtId="0" fontId="56" fillId="0" borderId="0" xfId="0" applyFont="1" applyAlignment="1">
      <alignment horizontal="center" vertical="center"/>
    </xf>
    <xf numFmtId="0" fontId="67" fillId="0" borderId="7" xfId="0" applyFont="1" applyBorder="1">
      <alignment vertical="center"/>
    </xf>
    <xf numFmtId="0" fontId="67" fillId="0" borderId="6" xfId="0" applyFont="1" applyBorder="1" applyAlignment="1">
      <alignment horizontal="left" vertical="center"/>
    </xf>
    <xf numFmtId="0" fontId="67" fillId="0" borderId="11" xfId="0" applyFont="1" applyBorder="1">
      <alignment vertical="center"/>
    </xf>
    <xf numFmtId="0" fontId="67" fillId="0" borderId="10" xfId="0" applyFont="1" applyBorder="1" applyAlignment="1">
      <alignment horizontal="left" vertical="center"/>
    </xf>
    <xf numFmtId="0" fontId="67" fillId="0" borderId="15" xfId="0" applyFont="1" applyBorder="1">
      <alignment vertical="center"/>
    </xf>
    <xf numFmtId="0" fontId="67" fillId="0" borderId="14" xfId="0" applyFont="1" applyBorder="1" applyAlignment="1">
      <alignment horizontal="left" vertical="center"/>
    </xf>
    <xf numFmtId="0" fontId="67" fillId="0" borderId="25" xfId="0" applyFont="1" applyBorder="1">
      <alignment vertical="center"/>
    </xf>
    <xf numFmtId="0" fontId="0" fillId="0" borderId="0" xfId="0" applyFont="1" applyAlignment="1" applyProtection="1">
      <protection locked="0"/>
    </xf>
    <xf numFmtId="0" fontId="31" fillId="2" borderId="10" xfId="8" applyFont="1" applyFill="1" applyBorder="1" applyAlignment="1">
      <alignment horizontal="center" vertical="center"/>
      <protection locked="0"/>
    </xf>
    <xf numFmtId="0" fontId="38" fillId="3" borderId="10" xfId="8" applyFont="1" applyFill="1" applyBorder="1" applyAlignment="1">
      <alignment horizontal="center" vertical="center"/>
      <protection locked="0"/>
    </xf>
    <xf numFmtId="0" fontId="38" fillId="3" borderId="10" xfId="8" applyFont="1" applyFill="1" applyBorder="1" applyAlignment="1" applyProtection="1">
      <alignment horizontal="center" vertical="center"/>
    </xf>
    <xf numFmtId="0" fontId="70" fillId="3" borderId="10" xfId="8" applyFont="1" applyFill="1" applyBorder="1" applyAlignment="1">
      <alignment horizontal="center" vertical="center"/>
      <protection locked="0"/>
    </xf>
    <xf numFmtId="3" fontId="70" fillId="3" borderId="10" xfId="8" applyNumberFormat="1" applyFont="1" applyFill="1" applyBorder="1" applyAlignment="1">
      <alignment horizontal="center" vertical="center"/>
      <protection locked="0"/>
    </xf>
    <xf numFmtId="1" fontId="70" fillId="3" borderId="10" xfId="8" applyNumberFormat="1" applyFont="1" applyFill="1" applyBorder="1" applyAlignment="1">
      <alignment horizontal="center" vertical="center"/>
      <protection locked="0"/>
    </xf>
    <xf numFmtId="0" fontId="17" fillId="0" borderId="10" xfId="8" applyFont="1" applyBorder="1" applyAlignment="1">
      <alignment horizontal="center" vertical="center"/>
      <protection locked="0"/>
    </xf>
    <xf numFmtId="0" fontId="71" fillId="0" borderId="10" xfId="8" applyFont="1" applyBorder="1" applyAlignment="1">
      <alignment horizontal="left" vertical="center"/>
      <protection locked="0"/>
    </xf>
    <xf numFmtId="0" fontId="71" fillId="0" borderId="6" xfId="8" applyFont="1" applyBorder="1" applyAlignment="1" applyProtection="1">
      <alignment horizontal="left" vertical="center"/>
    </xf>
    <xf numFmtId="0" fontId="71" fillId="0" borderId="6" xfId="8" applyFont="1" applyBorder="1" applyAlignment="1">
      <alignment horizontal="left" vertical="center"/>
      <protection locked="0"/>
    </xf>
    <xf numFmtId="170" fontId="72" fillId="4" borderId="6" xfId="1" applyNumberFormat="1" applyFont="1" applyFill="1" applyBorder="1">
      <protection locked="0"/>
    </xf>
    <xf numFmtId="41" fontId="17" fillId="0" borderId="10" xfId="4" applyFont="1" applyBorder="1" applyAlignment="1" applyProtection="1">
      <alignment vertical="center"/>
    </xf>
    <xf numFmtId="9" fontId="72" fillId="0" borderId="9" xfId="3" applyFont="1" applyBorder="1" applyAlignment="1" applyProtection="1">
      <alignment horizontal="center" vertical="center"/>
    </xf>
    <xf numFmtId="170" fontId="72" fillId="4" borderId="10" xfId="1" applyNumberFormat="1" applyFont="1" applyFill="1" applyBorder="1">
      <protection locked="0"/>
    </xf>
    <xf numFmtId="41" fontId="17" fillId="0" borderId="61" xfId="0" applyNumberFormat="1" applyFont="1" applyBorder="1">
      <alignment vertical="center"/>
    </xf>
    <xf numFmtId="41" fontId="72" fillId="0" borderId="10" xfId="4" applyFont="1" applyBorder="1" applyAlignment="1" applyProtection="1">
      <alignment horizontal="center" vertical="center"/>
    </xf>
    <xf numFmtId="3" fontId="72" fillId="0" borderId="10" xfId="8" applyNumberFormat="1" applyFont="1" applyBorder="1" applyAlignment="1">
      <alignment horizontal="center" vertical="center"/>
      <protection locked="0"/>
    </xf>
    <xf numFmtId="41" fontId="72" fillId="0" borderId="10" xfId="4" applyFont="1" applyBorder="1" applyAlignment="1">
      <alignment horizontal="center" vertical="center"/>
      <protection locked="0"/>
    </xf>
    <xf numFmtId="9" fontId="72" fillId="0" borderId="9" xfId="3" applyFont="1" applyBorder="1" applyAlignment="1">
      <alignment horizontal="center" vertical="center"/>
      <protection locked="0"/>
    </xf>
    <xf numFmtId="41" fontId="72" fillId="0" borderId="10" xfId="4" applyFont="1" applyBorder="1">
      <protection locked="0"/>
    </xf>
    <xf numFmtId="1" fontId="72" fillId="0" borderId="10" xfId="8" applyNumberFormat="1" applyFont="1" applyBorder="1" applyAlignment="1">
      <alignment horizontal="center" vertical="center"/>
      <protection locked="0"/>
    </xf>
    <xf numFmtId="0" fontId="17" fillId="0" borderId="10" xfId="0" applyFont="1" applyBorder="1" applyProtection="1">
      <alignment vertical="center"/>
      <protection locked="0"/>
    </xf>
    <xf numFmtId="170" fontId="72" fillId="4" borderId="22" xfId="1" applyNumberFormat="1" applyFont="1" applyFill="1" applyBorder="1">
      <protection locked="0"/>
    </xf>
    <xf numFmtId="1" fontId="72" fillId="0" borderId="10" xfId="8" applyNumberFormat="1" applyFont="1" applyBorder="1" applyAlignment="1" applyProtection="1">
      <alignment horizontal="center" vertical="center"/>
    </xf>
    <xf numFmtId="0" fontId="71" fillId="0" borderId="23" xfId="8" applyFont="1" applyBorder="1" applyAlignment="1">
      <alignment horizontal="left" vertical="center"/>
      <protection locked="0"/>
    </xf>
    <xf numFmtId="0" fontId="72" fillId="0" borderId="51" xfId="7" applyFont="1" applyBorder="1">
      <protection locked="0"/>
    </xf>
    <xf numFmtId="0" fontId="72" fillId="0" borderId="23" xfId="7" applyFont="1" applyBorder="1">
      <protection locked="0"/>
    </xf>
    <xf numFmtId="0" fontId="71" fillId="0" borderId="50" xfId="8" applyFont="1" applyBorder="1" applyAlignment="1">
      <alignment horizontal="left" vertical="center"/>
      <protection locked="0"/>
    </xf>
    <xf numFmtId="0" fontId="67" fillId="0" borderId="51" xfId="7" applyFont="1" applyBorder="1">
      <protection locked="0"/>
    </xf>
    <xf numFmtId="0" fontId="67" fillId="0" borderId="23" xfId="7" applyFont="1" applyBorder="1">
      <protection locked="0"/>
    </xf>
    <xf numFmtId="170" fontId="67" fillId="4" borderId="10" xfId="1" applyNumberFormat="1" applyFont="1" applyFill="1" applyBorder="1">
      <protection locked="0"/>
    </xf>
    <xf numFmtId="0" fontId="38" fillId="0" borderId="10" xfId="8" applyFont="1" applyBorder="1" applyAlignment="1">
      <alignment horizontal="center" vertical="center"/>
      <protection locked="0"/>
    </xf>
    <xf numFmtId="0" fontId="73" fillId="0" borderId="10" xfId="8" applyFont="1" applyBorder="1" applyAlignment="1">
      <alignment horizontal="left" vertical="center"/>
      <protection locked="0"/>
    </xf>
    <xf numFmtId="0" fontId="73" fillId="0" borderId="6" xfId="8" applyFont="1" applyBorder="1" applyAlignment="1" applyProtection="1">
      <alignment horizontal="left" vertical="center"/>
    </xf>
    <xf numFmtId="0" fontId="72" fillId="0" borderId="6" xfId="8" applyFont="1" applyBorder="1" applyAlignment="1" applyProtection="1">
      <alignment horizontal="left" vertical="center"/>
    </xf>
    <xf numFmtId="3" fontId="72" fillId="4" borderId="10" xfId="8" applyNumberFormat="1" applyFont="1" applyFill="1" applyBorder="1" applyAlignment="1">
      <alignment horizontal="center" vertical="center"/>
      <protection locked="0"/>
    </xf>
    <xf numFmtId="41" fontId="72" fillId="4" borderId="10" xfId="4" applyFont="1" applyFill="1" applyBorder="1">
      <protection locked="0"/>
    </xf>
    <xf numFmtId="3" fontId="67" fillId="4" borderId="10" xfId="8" applyNumberFormat="1" applyFont="1" applyFill="1" applyBorder="1" applyAlignment="1">
      <alignment horizontal="center" vertical="center"/>
      <protection locked="0"/>
    </xf>
    <xf numFmtId="0" fontId="38" fillId="2" borderId="10" xfId="8" applyFont="1" applyFill="1" applyBorder="1" applyAlignment="1">
      <alignment horizontal="center" vertical="center"/>
      <protection locked="0"/>
    </xf>
    <xf numFmtId="0" fontId="73" fillId="2" borderId="10" xfId="8" applyFont="1" applyFill="1" applyBorder="1" applyAlignment="1">
      <alignment horizontal="left" vertical="center"/>
      <protection locked="0"/>
    </xf>
    <xf numFmtId="0" fontId="73" fillId="2" borderId="10" xfId="8" applyFont="1" applyFill="1" applyBorder="1" applyAlignment="1" applyProtection="1">
      <alignment horizontal="left" vertical="center"/>
    </xf>
    <xf numFmtId="0" fontId="17" fillId="2" borderId="10" xfId="0" applyFont="1" applyFill="1" applyBorder="1" applyProtection="1">
      <alignment vertical="center"/>
      <protection locked="0"/>
    </xf>
    <xf numFmtId="170" fontId="67" fillId="2" borderId="10" xfId="1" applyNumberFormat="1" applyFont="1" applyFill="1" applyBorder="1">
      <protection locked="0"/>
    </xf>
    <xf numFmtId="41" fontId="72" fillId="2" borderId="10" xfId="4" applyFont="1" applyFill="1" applyBorder="1" applyAlignment="1">
      <alignment horizontal="center" vertical="center"/>
      <protection locked="0"/>
    </xf>
    <xf numFmtId="9" fontId="72" fillId="2" borderId="9" xfId="3" applyFont="1" applyFill="1" applyBorder="1" applyAlignment="1" applyProtection="1">
      <alignment horizontal="center" vertical="center"/>
    </xf>
    <xf numFmtId="10" fontId="0" fillId="0" borderId="0" xfId="3" applyNumberFormat="1" applyFont="1">
      <protection locked="0"/>
    </xf>
    <xf numFmtId="10" fontId="38" fillId="3" borderId="10" xfId="3" applyNumberFormat="1" applyFont="1" applyFill="1" applyBorder="1" applyAlignment="1">
      <alignment horizontal="center" vertical="center"/>
      <protection locked="0"/>
    </xf>
    <xf numFmtId="10" fontId="72" fillId="0" borderId="9" xfId="3" applyNumberFormat="1" applyFont="1" applyBorder="1" applyAlignment="1" applyProtection="1">
      <alignment horizontal="center" vertical="center"/>
    </xf>
    <xf numFmtId="10" fontId="72" fillId="0" borderId="9" xfId="3" applyNumberFormat="1" applyFont="1" applyBorder="1" applyAlignment="1">
      <alignment horizontal="center" vertical="center"/>
      <protection locked="0"/>
    </xf>
    <xf numFmtId="0" fontId="74" fillId="0" borderId="6" xfId="8" applyFont="1" applyBorder="1" applyAlignment="1" applyProtection="1">
      <alignment horizontal="left" vertical="center"/>
    </xf>
    <xf numFmtId="0" fontId="17" fillId="0" borderId="6" xfId="8" applyFont="1" applyBorder="1" applyAlignment="1" applyProtection="1">
      <alignment horizontal="left" vertical="center"/>
    </xf>
    <xf numFmtId="0" fontId="75" fillId="0" borderId="0" xfId="0" applyFont="1" applyAlignment="1" applyProtection="1">
      <protection locked="0"/>
    </xf>
    <xf numFmtId="0" fontId="76" fillId="0" borderId="0" xfId="0" applyFont="1" applyAlignment="1" applyProtection="1">
      <protection locked="0"/>
    </xf>
    <xf numFmtId="10" fontId="75" fillId="0" borderId="0" xfId="3" applyNumberFormat="1" applyFont="1">
      <protection locked="0"/>
    </xf>
    <xf numFmtId="0" fontId="0" fillId="2" borderId="10" xfId="0" applyFont="1" applyFill="1" applyBorder="1" applyAlignment="1" applyProtection="1">
      <protection locked="0"/>
    </xf>
    <xf numFmtId="0" fontId="29" fillId="3" borderId="9" xfId="8" applyFont="1" applyFill="1" applyBorder="1" applyAlignment="1">
      <alignment horizontal="center" vertical="center"/>
      <protection locked="0"/>
    </xf>
    <xf numFmtId="0" fontId="29" fillId="3" borderId="9" xfId="8" applyFont="1" applyFill="1" applyBorder="1" applyAlignment="1" applyProtection="1">
      <alignment horizontal="center" vertical="center"/>
    </xf>
    <xf numFmtId="3" fontId="72" fillId="3" borderId="10" xfId="8" applyNumberFormat="1" applyFont="1" applyFill="1" applyBorder="1" applyAlignment="1">
      <alignment horizontal="center" vertical="center"/>
      <protection locked="0"/>
    </xf>
    <xf numFmtId="1" fontId="72" fillId="3" borderId="10" xfId="8" applyNumberFormat="1" applyFont="1" applyFill="1" applyBorder="1" applyAlignment="1">
      <alignment horizontal="center" vertical="center"/>
      <protection locked="0"/>
    </xf>
    <xf numFmtId="10" fontId="29" fillId="3" borderId="10" xfId="3" applyNumberFormat="1" applyFont="1" applyFill="1" applyBorder="1" applyAlignment="1">
      <alignment horizontal="center" vertical="center"/>
      <protection locked="0"/>
    </xf>
    <xf numFmtId="0" fontId="0" fillId="0" borderId="10" xfId="0" applyFont="1" applyBorder="1" applyAlignment="1" applyProtection="1">
      <alignment horizontal="center"/>
      <protection locked="0"/>
    </xf>
    <xf numFmtId="0" fontId="71" fillId="0" borderId="9" xfId="8" applyFont="1" applyBorder="1" applyAlignment="1">
      <alignment horizontal="left" vertical="center"/>
      <protection locked="0"/>
    </xf>
    <xf numFmtId="0" fontId="71" fillId="0" borderId="5" xfId="8" applyFont="1" applyBorder="1" applyAlignment="1" applyProtection="1">
      <alignment horizontal="left" vertical="center"/>
    </xf>
    <xf numFmtId="0" fontId="71" fillId="0" borderId="5" xfId="8" applyFont="1" applyBorder="1" applyAlignment="1">
      <alignment horizontal="left" vertical="center"/>
      <protection locked="0"/>
    </xf>
    <xf numFmtId="3" fontId="67" fillId="0" borderId="10" xfId="8" applyNumberFormat="1" applyFont="1" applyBorder="1" applyAlignment="1">
      <alignment horizontal="center" vertical="center"/>
      <protection locked="0"/>
    </xf>
    <xf numFmtId="0" fontId="72" fillId="0" borderId="10" xfId="0" applyFont="1" applyBorder="1" applyProtection="1">
      <alignment vertical="center"/>
      <protection locked="0"/>
    </xf>
    <xf numFmtId="171" fontId="67" fillId="0" borderId="10" xfId="6" applyNumberFormat="1" applyFont="1" applyBorder="1" applyAlignment="1">
      <alignment horizontal="center" vertical="center"/>
      <protection locked="0"/>
    </xf>
    <xf numFmtId="0" fontId="72" fillId="0" borderId="9" xfId="8" applyFont="1" applyBorder="1" applyAlignment="1">
      <alignment horizontal="left" vertical="center"/>
      <protection locked="0"/>
    </xf>
    <xf numFmtId="0" fontId="72" fillId="0" borderId="10" xfId="7" applyFont="1" applyBorder="1">
      <protection locked="0"/>
    </xf>
    <xf numFmtId="0" fontId="67" fillId="0" borderId="10" xfId="7" applyFont="1" applyBorder="1">
      <protection locked="0"/>
    </xf>
    <xf numFmtId="0" fontId="38" fillId="2" borderId="10" xfId="8" applyFont="1" applyFill="1" applyBorder="1" applyAlignment="1" applyProtection="1">
      <alignment horizontal="center" vertical="center"/>
    </xf>
    <xf numFmtId="0" fontId="71" fillId="2" borderId="5" xfId="8" applyFont="1" applyFill="1" applyBorder="1" applyAlignment="1" applyProtection="1">
      <alignment horizontal="left" vertical="center"/>
    </xf>
    <xf numFmtId="10" fontId="72" fillId="2" borderId="9" xfId="3" applyNumberFormat="1" applyFont="1" applyFill="1" applyBorder="1" applyAlignment="1">
      <alignment horizontal="center" vertical="center"/>
      <protection locked="0"/>
    </xf>
    <xf numFmtId="0" fontId="17" fillId="0" borderId="10" xfId="8" applyFont="1" applyBorder="1" applyAlignment="1" applyProtection="1">
      <alignment horizontal="center" vertical="center"/>
    </xf>
    <xf numFmtId="0" fontId="75" fillId="0" borderId="5" xfId="8" applyFont="1" applyBorder="1" applyAlignment="1" applyProtection="1">
      <alignment horizontal="left" vertical="center"/>
    </xf>
    <xf numFmtId="0" fontId="75" fillId="0" borderId="5" xfId="8" applyFont="1" applyBorder="1" applyAlignment="1">
      <alignment horizontal="left" vertical="center"/>
      <protection locked="0"/>
    </xf>
    <xf numFmtId="0" fontId="75" fillId="0" borderId="0" xfId="0" applyFont="1" applyAlignment="1"/>
    <xf numFmtId="0" fontId="76" fillId="0" borderId="0" xfId="0" applyFont="1" applyAlignment="1"/>
    <xf numFmtId="0" fontId="31" fillId="4" borderId="10" xfId="8" applyFont="1" applyFill="1" applyBorder="1" applyAlignment="1" applyProtection="1">
      <alignment horizontal="center" vertical="center"/>
    </xf>
    <xf numFmtId="0" fontId="29" fillId="5" borderId="10" xfId="8" applyFont="1" applyFill="1" applyBorder="1" applyAlignment="1" applyProtection="1">
      <alignment horizontal="center" vertical="center"/>
    </xf>
    <xf numFmtId="3" fontId="72" fillId="5" borderId="10" xfId="8" applyNumberFormat="1" applyFont="1" applyFill="1" applyBorder="1" applyAlignment="1" applyProtection="1">
      <alignment horizontal="center" vertical="center"/>
    </xf>
    <xf numFmtId="1" fontId="72" fillId="5" borderId="10" xfId="8" applyNumberFormat="1" applyFont="1" applyFill="1" applyBorder="1" applyAlignment="1" applyProtection="1">
      <alignment horizontal="center" vertical="center"/>
    </xf>
    <xf numFmtId="0" fontId="71" fillId="0" borderId="10" xfId="8" applyFont="1" applyBorder="1" applyAlignment="1" applyProtection="1">
      <alignment horizontal="left" vertical="center"/>
    </xf>
    <xf numFmtId="170" fontId="72" fillId="4" borderId="6" xfId="1" applyNumberFormat="1" applyFont="1" applyFill="1" applyBorder="1" applyAlignment="1">
      <alignment horizontal="right"/>
      <protection locked="0"/>
    </xf>
    <xf numFmtId="170" fontId="72" fillId="4" borderId="10" xfId="1" applyNumberFormat="1" applyFont="1" applyFill="1" applyBorder="1" applyAlignment="1">
      <alignment horizontal="right"/>
      <protection locked="0"/>
    </xf>
    <xf numFmtId="3" fontId="72" fillId="0" borderId="10" xfId="8" applyNumberFormat="1" applyFont="1" applyBorder="1" applyAlignment="1" applyProtection="1">
      <alignment horizontal="right" vertical="center"/>
    </xf>
    <xf numFmtId="41" fontId="72" fillId="0" borderId="10" xfId="4" applyFont="1" applyBorder="1" applyAlignment="1" applyProtection="1">
      <alignment horizontal="right"/>
    </xf>
    <xf numFmtId="170" fontId="72" fillId="4" borderId="22" xfId="1" applyNumberFormat="1" applyFont="1" applyFill="1" applyBorder="1" applyAlignment="1">
      <alignment horizontal="right"/>
      <protection locked="0"/>
    </xf>
    <xf numFmtId="0" fontId="71" fillId="0" borderId="23" xfId="8" applyFont="1" applyBorder="1" applyAlignment="1" applyProtection="1">
      <alignment horizontal="left" vertical="center"/>
    </xf>
    <xf numFmtId="0" fontId="72" fillId="0" borderId="51" xfId="7" applyFont="1" applyBorder="1" applyProtection="1"/>
    <xf numFmtId="41" fontId="72" fillId="0" borderId="10" xfId="4" applyFont="1" applyBorder="1" applyAlignment="1" applyProtection="1">
      <alignment horizontal="right" vertical="center"/>
    </xf>
    <xf numFmtId="0" fontId="71" fillId="0" borderId="50" xfId="8" applyFont="1" applyBorder="1" applyAlignment="1" applyProtection="1">
      <alignment horizontal="left" vertical="center"/>
    </xf>
    <xf numFmtId="0" fontId="67" fillId="0" borderId="51" xfId="7" applyFont="1" applyBorder="1" applyProtection="1"/>
    <xf numFmtId="0" fontId="77" fillId="0" borderId="0" xfId="0" applyFont="1" applyAlignment="1">
      <alignment horizontal="center"/>
    </xf>
    <xf numFmtId="3" fontId="72" fillId="6" borderId="10" xfId="8" applyNumberFormat="1" applyFont="1" applyFill="1" applyBorder="1" applyAlignment="1" applyProtection="1">
      <alignment horizontal="center" vertical="center"/>
    </xf>
    <xf numFmtId="0" fontId="29" fillId="6" borderId="10" xfId="8" applyFont="1" applyFill="1" applyBorder="1" applyAlignment="1" applyProtection="1">
      <alignment horizontal="center" vertical="center"/>
    </xf>
    <xf numFmtId="1" fontId="72" fillId="3" borderId="10" xfId="8" applyNumberFormat="1" applyFont="1" applyFill="1" applyBorder="1" applyAlignment="1" applyProtection="1">
      <alignment horizontal="center" vertical="center"/>
    </xf>
    <xf numFmtId="0" fontId="29" fillId="3" borderId="10" xfId="8" applyFont="1" applyFill="1" applyBorder="1" applyAlignment="1" applyProtection="1">
      <alignment horizontal="center" vertical="center"/>
    </xf>
    <xf numFmtId="3" fontId="72" fillId="7" borderId="10" xfId="8" applyNumberFormat="1" applyFont="1" applyFill="1" applyBorder="1" applyAlignment="1" applyProtection="1">
      <alignment horizontal="center" vertical="center"/>
    </xf>
    <xf numFmtId="0" fontId="29" fillId="7" borderId="10" xfId="8" applyFont="1" applyFill="1" applyBorder="1" applyAlignment="1" applyProtection="1">
      <alignment horizontal="center" vertical="center"/>
    </xf>
    <xf numFmtId="0" fontId="29" fillId="5" borderId="60" xfId="8" applyFont="1" applyFill="1" applyBorder="1" applyAlignment="1" applyProtection="1">
      <alignment vertical="center"/>
    </xf>
    <xf numFmtId="170" fontId="72" fillId="8" borderId="6" xfId="1" applyNumberFormat="1" applyFont="1" applyFill="1" applyBorder="1">
      <protection locked="0"/>
    </xf>
    <xf numFmtId="9" fontId="72" fillId="8" borderId="9" xfId="3" applyFont="1" applyFill="1" applyBorder="1" applyAlignment="1" applyProtection="1">
      <alignment horizontal="center" vertical="center"/>
    </xf>
    <xf numFmtId="41" fontId="17" fillId="2" borderId="10" xfId="4" applyFont="1" applyFill="1" applyBorder="1" applyAlignment="1" applyProtection="1">
      <alignment vertical="center"/>
    </xf>
    <xf numFmtId="170" fontId="72" fillId="9" borderId="6" xfId="1" applyNumberFormat="1" applyFont="1" applyFill="1" applyBorder="1">
      <protection locked="0"/>
    </xf>
    <xf numFmtId="9" fontId="72" fillId="9" borderId="9" xfId="3" applyFont="1" applyFill="1" applyBorder="1" applyAlignment="1" applyProtection="1">
      <alignment horizontal="center" vertical="center"/>
    </xf>
    <xf numFmtId="170" fontId="72" fillId="8" borderId="10" xfId="1" applyNumberFormat="1" applyFont="1" applyFill="1" applyBorder="1">
      <protection locked="0"/>
    </xf>
    <xf numFmtId="41" fontId="17" fillId="2" borderId="61" xfId="0" applyNumberFormat="1" applyFont="1" applyFill="1" applyBorder="1">
      <alignment vertical="center"/>
    </xf>
    <xf numFmtId="170" fontId="72" fillId="9" borderId="10" xfId="1" applyNumberFormat="1" applyFont="1" applyFill="1" applyBorder="1">
      <protection locked="0"/>
    </xf>
    <xf numFmtId="9" fontId="72" fillId="0" borderId="0" xfId="3" applyFont="1" applyAlignment="1" applyProtection="1">
      <alignment horizontal="center" vertical="center"/>
    </xf>
    <xf numFmtId="41" fontId="72" fillId="2" borderId="10" xfId="4" applyFont="1" applyFill="1" applyBorder="1" applyAlignment="1" applyProtection="1">
      <alignment horizontal="center" vertical="center"/>
    </xf>
    <xf numFmtId="3" fontId="72" fillId="0" borderId="10" xfId="8" applyNumberFormat="1" applyFont="1" applyBorder="1" applyAlignment="1" applyProtection="1">
      <alignment horizontal="center" vertical="center"/>
    </xf>
    <xf numFmtId="3" fontId="72" fillId="8" borderId="10" xfId="8" applyNumberFormat="1" applyFont="1" applyFill="1" applyBorder="1" applyAlignment="1" applyProtection="1">
      <alignment horizontal="center" vertical="center"/>
    </xf>
    <xf numFmtId="3" fontId="72" fillId="9" borderId="10" xfId="8" applyNumberFormat="1" applyFont="1" applyFill="1" applyBorder="1" applyAlignment="1" applyProtection="1">
      <alignment horizontal="center" vertical="center"/>
    </xf>
    <xf numFmtId="41" fontId="72" fillId="0" borderId="10" xfId="4" applyFont="1" applyBorder="1" applyProtection="1"/>
    <xf numFmtId="41" fontId="72" fillId="8" borderId="10" xfId="4" applyFont="1" applyFill="1" applyBorder="1" applyProtection="1"/>
    <xf numFmtId="41" fontId="72" fillId="9" borderId="10" xfId="4" applyFont="1" applyFill="1" applyBorder="1" applyProtection="1"/>
    <xf numFmtId="1" fontId="72" fillId="2" borderId="10" xfId="8" applyNumberFormat="1" applyFont="1" applyFill="1" applyBorder="1" applyAlignment="1" applyProtection="1">
      <alignment horizontal="center" vertical="center"/>
    </xf>
    <xf numFmtId="170" fontId="72" fillId="8" borderId="22" xfId="1" applyNumberFormat="1" applyFont="1" applyFill="1" applyBorder="1">
      <protection locked="0"/>
    </xf>
    <xf numFmtId="170" fontId="72" fillId="9" borderId="22" xfId="1" applyNumberFormat="1" applyFont="1" applyFill="1" applyBorder="1">
      <protection locked="0"/>
    </xf>
    <xf numFmtId="41" fontId="72" fillId="8" borderId="10" xfId="4" applyFont="1" applyFill="1" applyBorder="1" applyAlignment="1" applyProtection="1">
      <alignment horizontal="center" vertical="center"/>
    </xf>
    <xf numFmtId="41" fontId="72" fillId="9" borderId="10" xfId="4" applyFont="1" applyFill="1" applyBorder="1" applyAlignment="1" applyProtection="1">
      <alignment horizontal="center" vertical="center"/>
    </xf>
    <xf numFmtId="1" fontId="72" fillId="6" borderId="10" xfId="8" applyNumberFormat="1" applyFont="1" applyFill="1" applyBorder="1" applyAlignment="1" applyProtection="1">
      <alignment horizontal="center" vertical="center"/>
    </xf>
    <xf numFmtId="41" fontId="17" fillId="8" borderId="10" xfId="4" applyFont="1" applyFill="1" applyBorder="1" applyAlignment="1" applyProtection="1">
      <alignment vertical="center"/>
    </xf>
    <xf numFmtId="41" fontId="17" fillId="8" borderId="61" xfId="0" applyNumberFormat="1" applyFont="1" applyFill="1" applyBorder="1">
      <alignment vertical="center"/>
    </xf>
    <xf numFmtId="1" fontId="72" fillId="8" borderId="10" xfId="8" applyNumberFormat="1" applyFont="1" applyFill="1" applyBorder="1" applyAlignment="1" applyProtection="1">
      <alignment horizontal="center" vertical="center"/>
    </xf>
    <xf numFmtId="3" fontId="67" fillId="0" borderId="10" xfId="8" applyNumberFormat="1" applyFont="1" applyBorder="1" applyAlignment="1" applyProtection="1">
      <alignment horizontal="center" vertical="center"/>
    </xf>
    <xf numFmtId="0" fontId="0" fillId="0" borderId="0" xfId="0" applyFont="1" applyAlignment="1">
      <alignment horizontal="center"/>
    </xf>
    <xf numFmtId="1" fontId="72" fillId="7" borderId="10" xfId="8" applyNumberFormat="1" applyFont="1" applyFill="1" applyBorder="1" applyAlignment="1" applyProtection="1">
      <alignment horizontal="center" vertical="center"/>
    </xf>
    <xf numFmtId="0" fontId="0" fillId="0" borderId="61" xfId="0" applyFont="1" applyBorder="1" applyAlignment="1">
      <alignment horizontal="center"/>
    </xf>
    <xf numFmtId="0" fontId="31" fillId="4" borderId="9" xfId="8" applyFont="1" applyFill="1" applyBorder="1" applyAlignment="1" applyProtection="1">
      <alignment horizontal="center" vertical="center"/>
    </xf>
    <xf numFmtId="41" fontId="17" fillId="9" borderId="10" xfId="4" applyFont="1" applyFill="1" applyBorder="1" applyAlignment="1" applyProtection="1">
      <alignment vertical="center"/>
    </xf>
    <xf numFmtId="9" fontId="72" fillId="9" borderId="10" xfId="3" applyFont="1" applyFill="1" applyBorder="1" applyAlignment="1" applyProtection="1">
      <alignment horizontal="center" vertical="center"/>
    </xf>
    <xf numFmtId="41" fontId="17" fillId="9" borderId="61" xfId="0" applyNumberFormat="1" applyFont="1" applyFill="1" applyBorder="1">
      <alignment vertical="center"/>
    </xf>
    <xf numFmtId="9" fontId="72" fillId="0" borderId="61" xfId="3" applyFont="1" applyBorder="1" applyAlignment="1" applyProtection="1">
      <alignment horizontal="center" vertical="center"/>
    </xf>
    <xf numFmtId="0" fontId="17" fillId="0" borderId="9" xfId="8" applyFont="1" applyBorder="1" applyAlignment="1" applyProtection="1">
      <alignment horizontal="center" vertical="center"/>
    </xf>
    <xf numFmtId="170" fontId="72" fillId="8" borderId="61" xfId="1" applyNumberFormat="1" applyFont="1" applyFill="1" applyBorder="1">
      <protection locked="0"/>
    </xf>
    <xf numFmtId="3" fontId="72" fillId="4" borderId="10" xfId="8" applyNumberFormat="1" applyFont="1" applyFill="1" applyBorder="1" applyAlignment="1" applyProtection="1">
      <alignment horizontal="center" vertical="center"/>
    </xf>
    <xf numFmtId="41" fontId="72" fillId="4" borderId="10" xfId="4" applyFont="1" applyFill="1" applyBorder="1" applyProtection="1"/>
    <xf numFmtId="1" fontId="72" fillId="9" borderId="10" xfId="8" applyNumberFormat="1" applyFont="1" applyFill="1" applyBorder="1" applyAlignment="1" applyProtection="1">
      <alignment horizontal="center" vertical="center"/>
    </xf>
    <xf numFmtId="3" fontId="67" fillId="4" borderId="10" xfId="8" applyNumberFormat="1" applyFont="1" applyFill="1" applyBorder="1" applyAlignment="1" applyProtection="1">
      <alignment horizontal="center" vertical="center"/>
    </xf>
    <xf numFmtId="3" fontId="67" fillId="8" borderId="10" xfId="8" applyNumberFormat="1" applyFont="1" applyFill="1" applyBorder="1" applyAlignment="1" applyProtection="1">
      <alignment horizontal="center" vertical="center"/>
    </xf>
    <xf numFmtId="9" fontId="72" fillId="3" borderId="10" xfId="3" applyFont="1" applyFill="1" applyBorder="1" applyAlignment="1" applyProtection="1">
      <alignment horizontal="center" vertical="center"/>
    </xf>
    <xf numFmtId="9" fontId="72" fillId="8" borderId="6" xfId="3" applyFont="1" applyFill="1" applyBorder="1" applyAlignment="1">
      <alignment horizontal="center"/>
      <protection locked="0"/>
    </xf>
    <xf numFmtId="9" fontId="17" fillId="2" borderId="9" xfId="3" applyFont="1" applyFill="1" applyBorder="1" applyAlignment="1" applyProtection="1">
      <alignment horizontal="center" vertical="center"/>
    </xf>
    <xf numFmtId="41" fontId="17" fillId="9" borderId="9" xfId="4" applyFont="1" applyFill="1" applyBorder="1" applyAlignment="1" applyProtection="1">
      <alignment vertical="center"/>
    </xf>
    <xf numFmtId="9" fontId="72" fillId="8" borderId="61" xfId="3" applyFont="1" applyFill="1" applyBorder="1" applyAlignment="1">
      <alignment horizontal="center"/>
      <protection locked="0"/>
    </xf>
    <xf numFmtId="9" fontId="17" fillId="2" borderId="61" xfId="3" applyFont="1" applyFill="1" applyBorder="1" applyAlignment="1" applyProtection="1">
      <alignment horizontal="center" vertical="center"/>
    </xf>
    <xf numFmtId="9" fontId="72" fillId="8" borderId="10" xfId="3" applyFont="1" applyFill="1" applyBorder="1" applyAlignment="1">
      <alignment horizontal="center"/>
      <protection locked="0"/>
    </xf>
    <xf numFmtId="9" fontId="72" fillId="2" borderId="9" xfId="3" applyFont="1" applyFill="1" applyBorder="1" applyAlignment="1" applyProtection="1">
      <alignment horizontal="center"/>
    </xf>
    <xf numFmtId="41" fontId="72" fillId="9" borderId="9" xfId="4" applyFont="1" applyFill="1" applyBorder="1" applyAlignment="1" applyProtection="1">
      <alignment horizontal="center" vertical="center"/>
    </xf>
    <xf numFmtId="9" fontId="72" fillId="8" borderId="10" xfId="3" applyFont="1" applyFill="1" applyBorder="1" applyAlignment="1" applyProtection="1">
      <alignment horizontal="center" vertical="center"/>
    </xf>
    <xf numFmtId="9" fontId="72" fillId="8" borderId="10" xfId="3" applyFont="1" applyFill="1" applyBorder="1" applyAlignment="1" applyProtection="1">
      <alignment horizontal="center"/>
    </xf>
    <xf numFmtId="1" fontId="72" fillId="9" borderId="9" xfId="8" applyNumberFormat="1" applyFont="1" applyFill="1" applyBorder="1" applyAlignment="1" applyProtection="1">
      <alignment horizontal="center" vertical="center"/>
    </xf>
    <xf numFmtId="9" fontId="67" fillId="8" borderId="10" xfId="3" applyFont="1" applyFill="1" applyBorder="1" applyAlignment="1" applyProtection="1">
      <alignment horizontal="center" vertical="center"/>
    </xf>
    <xf numFmtId="0" fontId="44" fillId="0" borderId="0" xfId="0" applyFont="1" applyAlignment="1"/>
    <xf numFmtId="41" fontId="17" fillId="2" borderId="9" xfId="4" applyFont="1" applyFill="1" applyBorder="1" applyAlignment="1" applyProtection="1">
      <alignment vertical="center"/>
    </xf>
    <xf numFmtId="41" fontId="72" fillId="2" borderId="9" xfId="4" applyFont="1" applyFill="1" applyBorder="1" applyAlignment="1" applyProtection="1">
      <alignment horizontal="center" vertical="center"/>
    </xf>
    <xf numFmtId="1" fontId="72" fillId="2" borderId="9" xfId="8" applyNumberFormat="1" applyFont="1" applyFill="1" applyBorder="1" applyAlignment="1" applyProtection="1">
      <alignment horizontal="center" vertical="center"/>
    </xf>
    <xf numFmtId="170" fontId="67" fillId="4" borderId="10" xfId="1" applyNumberFormat="1" applyFont="1" applyFill="1" applyBorder="1" applyAlignment="1">
      <alignment horizontal="right"/>
      <protection locked="0"/>
    </xf>
    <xf numFmtId="0" fontId="0" fillId="8" borderId="0" xfId="0" applyFont="1" applyFill="1" applyAlignment="1"/>
    <xf numFmtId="0" fontId="0" fillId="2" borderId="0" xfId="0" applyFont="1" applyFill="1" applyAlignment="1"/>
    <xf numFmtId="0" fontId="0" fillId="9" borderId="0" xfId="0" applyFont="1" applyFill="1" applyAlignment="1"/>
    <xf numFmtId="170" fontId="67" fillId="8" borderId="10" xfId="1" applyNumberFormat="1" applyFont="1" applyFill="1" applyBorder="1">
      <protection locked="0"/>
    </xf>
    <xf numFmtId="170" fontId="67" fillId="9" borderId="10" xfId="1" applyNumberFormat="1" applyFont="1" applyFill="1" applyBorder="1">
      <protection locked="0"/>
    </xf>
    <xf numFmtId="41" fontId="0" fillId="0" borderId="0" xfId="4" applyFont="1" applyProtection="1"/>
    <xf numFmtId="9" fontId="67" fillId="8" borderId="10" xfId="3" applyFont="1" applyFill="1" applyBorder="1" applyAlignment="1">
      <alignment horizontal="center"/>
      <protection locked="0"/>
    </xf>
    <xf numFmtId="0" fontId="79" fillId="0" borderId="0" xfId="0" applyFont="1" applyAlignment="1">
      <alignment horizontal="center"/>
    </xf>
    <xf numFmtId="0" fontId="43" fillId="0" borderId="100" xfId="0" applyFont="1" applyBorder="1" applyAlignment="1"/>
    <xf numFmtId="0" fontId="43" fillId="0" borderId="59" xfId="0" applyFont="1" applyBorder="1" applyAlignment="1"/>
    <xf numFmtId="0" fontId="43" fillId="0" borderId="29" xfId="0" applyFont="1" applyBorder="1" applyAlignment="1">
      <alignment horizontal="center"/>
    </xf>
    <xf numFmtId="0" fontId="43" fillId="0" borderId="20" xfId="0" applyFont="1" applyBorder="1" applyAlignment="1">
      <alignment horizontal="center"/>
    </xf>
    <xf numFmtId="172" fontId="43" fillId="0" borderId="61" xfId="4" applyNumberFormat="1" applyFont="1" applyBorder="1" applyProtection="1"/>
    <xf numFmtId="172" fontId="43" fillId="0" borderId="9" xfId="4" applyNumberFormat="1" applyFont="1" applyBorder="1" applyProtection="1"/>
    <xf numFmtId="172" fontId="43" fillId="0" borderId="10" xfId="4" applyNumberFormat="1" applyFont="1" applyBorder="1" applyProtection="1"/>
    <xf numFmtId="172" fontId="43" fillId="0" borderId="22" xfId="4" applyNumberFormat="1" applyFont="1" applyBorder="1" applyProtection="1"/>
    <xf numFmtId="172" fontId="80" fillId="0" borderId="10" xfId="4" applyNumberFormat="1" applyFont="1" applyBorder="1" applyProtection="1"/>
    <xf numFmtId="0" fontId="56" fillId="0" borderId="51" xfId="0" applyFont="1" applyBorder="1" applyAlignment="1"/>
    <xf numFmtId="0" fontId="43" fillId="0" borderId="101" xfId="0" applyFont="1" applyBorder="1" applyAlignment="1"/>
    <xf numFmtId="0" fontId="43" fillId="0" borderId="66" xfId="0" applyFont="1" applyBorder="1" applyAlignment="1"/>
    <xf numFmtId="0" fontId="43" fillId="0" borderId="20" xfId="0" applyFont="1" applyBorder="1" applyAlignment="1"/>
    <xf numFmtId="0" fontId="15" fillId="0" borderId="0" xfId="0" applyFont="1" applyAlignment="1"/>
    <xf numFmtId="0" fontId="43" fillId="0" borderId="27" xfId="0" applyFont="1" applyBorder="1" applyAlignment="1"/>
    <xf numFmtId="0" fontId="43" fillId="0" borderId="96" xfId="0" applyFont="1" applyBorder="1" applyAlignment="1"/>
    <xf numFmtId="172" fontId="43" fillId="0" borderId="98" xfId="4" applyNumberFormat="1" applyFont="1" applyBorder="1" applyProtection="1"/>
    <xf numFmtId="172" fontId="43" fillId="0" borderId="11" xfId="4" applyNumberFormat="1" applyFont="1" applyBorder="1" applyProtection="1"/>
    <xf numFmtId="0" fontId="43" fillId="0" borderId="98" xfId="0" applyFont="1" applyBorder="1" applyAlignment="1"/>
    <xf numFmtId="0" fontId="43" fillId="0" borderId="25" xfId="0" applyFont="1" applyBorder="1" applyAlignment="1"/>
    <xf numFmtId="0" fontId="41" fillId="0" borderId="0" xfId="0" applyFont="1" applyAlignment="1"/>
    <xf numFmtId="0" fontId="56" fillId="0" borderId="0" xfId="0" applyFont="1" applyAlignment="1">
      <alignment horizontal="center"/>
    </xf>
    <xf numFmtId="0" fontId="56" fillId="0" borderId="0" xfId="0" applyFont="1" applyAlignment="1"/>
    <xf numFmtId="173" fontId="43" fillId="0" borderId="0" xfId="4" applyNumberFormat="1" applyFont="1" applyAlignment="1">
      <alignment vertical="center"/>
      <protection locked="0"/>
    </xf>
    <xf numFmtId="0" fontId="43" fillId="0" borderId="0" xfId="0" applyFont="1" applyProtection="1">
      <alignment vertical="center"/>
      <protection locked="0"/>
    </xf>
    <xf numFmtId="174" fontId="43" fillId="0" borderId="0" xfId="0" applyNumberFormat="1" applyFont="1" applyProtection="1">
      <alignment vertical="center"/>
      <protection locked="0"/>
    </xf>
    <xf numFmtId="0" fontId="14" fillId="0" borderId="0" xfId="0" applyFont="1" applyAlignment="1" applyProtection="1">
      <alignment horizontal="center" vertical="center"/>
      <protection locked="0"/>
    </xf>
    <xf numFmtId="0" fontId="42" fillId="0" borderId="0" xfId="0" applyFont="1" applyProtection="1">
      <alignment vertical="center"/>
      <protection locked="0"/>
    </xf>
    <xf numFmtId="175" fontId="56" fillId="0" borderId="96" xfId="0" applyNumberFormat="1" applyFont="1" applyBorder="1" applyAlignment="1">
      <alignment horizontal="center" vertical="center"/>
    </xf>
    <xf numFmtId="0" fontId="56" fillId="0" borderId="66" xfId="0" applyFont="1" applyBorder="1" applyAlignment="1">
      <alignment horizontal="center" vertical="center"/>
    </xf>
    <xf numFmtId="176" fontId="81" fillId="0" borderId="20" xfId="4" applyNumberFormat="1" applyFont="1" applyBorder="1" applyAlignment="1" applyProtection="1">
      <alignment horizontal="center" vertical="center"/>
    </xf>
    <xf numFmtId="0" fontId="42" fillId="0" borderId="4" xfId="7" applyFont="1" applyBorder="1" applyAlignment="1" applyProtection="1">
      <alignment horizontal="center" vertical="center"/>
    </xf>
    <xf numFmtId="0" fontId="42" fillId="0" borderId="56" xfId="8" applyFont="1" applyBorder="1" applyAlignment="1">
      <alignment vertical="center"/>
      <protection locked="0"/>
    </xf>
    <xf numFmtId="41" fontId="42" fillId="0" borderId="42" xfId="4" applyFont="1" applyBorder="1" applyAlignment="1" applyProtection="1">
      <alignment horizontal="left" vertical="center"/>
    </xf>
    <xf numFmtId="41" fontId="42" fillId="0" borderId="5" xfId="4" applyFont="1" applyBorder="1" applyAlignment="1">
      <alignment horizontal="right" vertical="center"/>
      <protection locked="0"/>
    </xf>
    <xf numFmtId="0" fontId="42" fillId="0" borderId="8" xfId="7" applyFont="1" applyBorder="1" applyAlignment="1" applyProtection="1">
      <alignment horizontal="center" vertical="center"/>
    </xf>
    <xf numFmtId="0" fontId="42" fillId="0" borderId="50" xfId="8" applyFont="1" applyBorder="1" applyAlignment="1">
      <alignment vertical="center"/>
      <protection locked="0"/>
    </xf>
    <xf numFmtId="0" fontId="42" fillId="0" borderId="50" xfId="0" applyFont="1" applyBorder="1" applyProtection="1">
      <alignment vertical="center"/>
      <protection locked="0"/>
    </xf>
    <xf numFmtId="0" fontId="42" fillId="0" borderId="50" xfId="7" applyFont="1" applyBorder="1" applyAlignment="1">
      <alignment vertical="center"/>
      <protection locked="0"/>
    </xf>
    <xf numFmtId="0" fontId="42" fillId="0" borderId="0" xfId="0" applyFont="1">
      <alignment vertical="center"/>
    </xf>
    <xf numFmtId="0" fontId="15" fillId="0" borderId="0" xfId="0" applyFont="1">
      <alignment vertical="center"/>
    </xf>
    <xf numFmtId="167" fontId="15" fillId="0" borderId="0" xfId="0" applyNumberFormat="1" applyFont="1" applyAlignment="1">
      <alignment horizontal="left" vertical="center"/>
    </xf>
    <xf numFmtId="0" fontId="3" fillId="0" borderId="27" xfId="0" applyFont="1" applyBorder="1" applyAlignment="1">
      <alignment horizontal="center" vertical="center"/>
    </xf>
    <xf numFmtId="0" fontId="3" fillId="0" borderId="20" xfId="0" applyFont="1" applyBorder="1" applyAlignment="1">
      <alignment horizontal="center" vertical="center"/>
    </xf>
    <xf numFmtId="41" fontId="42" fillId="0" borderId="6" xfId="4" applyFont="1" applyBorder="1" applyAlignment="1" applyProtection="1">
      <alignment vertical="center"/>
    </xf>
    <xf numFmtId="173" fontId="42" fillId="0" borderId="6" xfId="4" applyNumberFormat="1" applyFont="1" applyBorder="1" applyAlignment="1" applyProtection="1">
      <alignment vertical="center"/>
    </xf>
    <xf numFmtId="41" fontId="42" fillId="0" borderId="10" xfId="4" applyFont="1" applyBorder="1" applyAlignment="1" applyProtection="1">
      <alignment vertical="center"/>
    </xf>
    <xf numFmtId="173" fontId="42" fillId="0" borderId="10" xfId="4" applyNumberFormat="1" applyFont="1" applyBorder="1" applyAlignment="1" applyProtection="1">
      <alignment vertical="center"/>
    </xf>
    <xf numFmtId="0" fontId="14" fillId="0" borderId="102" xfId="0" applyFont="1" applyBorder="1" applyAlignment="1" applyProtection="1">
      <alignment horizontal="center" vertical="center"/>
      <protection locked="0"/>
    </xf>
    <xf numFmtId="0" fontId="43" fillId="0" borderId="102" xfId="0" applyFont="1" applyBorder="1" applyProtection="1">
      <alignment vertical="center"/>
      <protection locked="0"/>
    </xf>
    <xf numFmtId="0" fontId="3" fillId="0" borderId="28" xfId="0" applyFont="1" applyBorder="1" applyAlignment="1">
      <alignment horizontal="center" vertical="center"/>
    </xf>
    <xf numFmtId="0" fontId="3" fillId="0" borderId="102" xfId="0" applyFont="1" applyBorder="1" applyAlignment="1" applyProtection="1">
      <alignment horizontal="center" vertical="center"/>
      <protection locked="0"/>
    </xf>
    <xf numFmtId="0" fontId="3" fillId="0" borderId="25" xfId="0" applyFont="1" applyBorder="1" applyAlignment="1">
      <alignment horizontal="center" vertical="center"/>
    </xf>
    <xf numFmtId="0" fontId="43" fillId="0" borderId="0" xfId="0" applyFont="1" applyAlignment="1" applyProtection="1">
      <alignment horizontal="center" vertical="center"/>
      <protection locked="0"/>
    </xf>
    <xf numFmtId="174" fontId="42" fillId="0" borderId="6" xfId="3" applyNumberFormat="1" applyFont="1" applyBorder="1" applyAlignment="1">
      <alignment vertical="center"/>
      <protection locked="0"/>
    </xf>
    <xf numFmtId="170" fontId="42" fillId="4" borderId="6" xfId="1" applyNumberFormat="1" applyFont="1" applyFill="1" applyBorder="1" applyAlignment="1" applyProtection="1">
      <alignment vertical="center"/>
    </xf>
    <xf numFmtId="170" fontId="42" fillId="4" borderId="7" xfId="1" applyNumberFormat="1" applyFont="1" applyFill="1" applyBorder="1" applyAlignment="1">
      <alignment vertical="center"/>
      <protection locked="0"/>
    </xf>
    <xf numFmtId="0" fontId="0" fillId="0" borderId="102" xfId="0" applyFont="1" applyBorder="1" applyProtection="1">
      <alignment vertical="center"/>
      <protection locked="0"/>
    </xf>
    <xf numFmtId="41" fontId="43" fillId="0" borderId="0" xfId="4" applyFont="1" applyAlignment="1" applyProtection="1">
      <alignment vertical="center"/>
    </xf>
    <xf numFmtId="174" fontId="42" fillId="0" borderId="10" xfId="3" applyNumberFormat="1" applyFont="1" applyBorder="1" applyAlignment="1">
      <alignment vertical="center"/>
      <protection locked="0"/>
    </xf>
    <xf numFmtId="170" fontId="42" fillId="4" borderId="10" xfId="1" applyNumberFormat="1" applyFont="1" applyFill="1" applyBorder="1" applyAlignment="1" applyProtection="1">
      <alignment vertical="center"/>
    </xf>
    <xf numFmtId="41" fontId="42" fillId="0" borderId="102" xfId="4" applyFont="1" applyBorder="1" applyAlignment="1">
      <alignment vertical="center"/>
      <protection locked="0"/>
    </xf>
    <xf numFmtId="174" fontId="42" fillId="0" borderId="10" xfId="4" applyNumberFormat="1" applyFont="1" applyBorder="1" applyAlignment="1">
      <alignment vertical="center"/>
      <protection locked="0"/>
    </xf>
    <xf numFmtId="0" fontId="0" fillId="0" borderId="0" xfId="0" applyFont="1" applyProtection="1">
      <alignment vertical="center"/>
      <protection locked="0"/>
    </xf>
    <xf numFmtId="0" fontId="42" fillId="0" borderId="10" xfId="4" applyNumberFormat="1" applyFont="1" applyBorder="1" applyAlignment="1" applyProtection="1">
      <alignment vertical="center"/>
    </xf>
    <xf numFmtId="41" fontId="43" fillId="0" borderId="0" xfId="4" applyFont="1" applyAlignment="1">
      <alignment vertical="center"/>
      <protection locked="0"/>
    </xf>
    <xf numFmtId="0" fontId="42" fillId="8" borderId="42" xfId="8" applyFont="1" applyFill="1" applyBorder="1" applyAlignment="1" applyProtection="1">
      <alignment horizontal="center" vertical="center"/>
    </xf>
    <xf numFmtId="0" fontId="42" fillId="0" borderId="42" xfId="8" applyFont="1" applyBorder="1" applyAlignment="1">
      <alignment vertical="center"/>
      <protection locked="0"/>
    </xf>
    <xf numFmtId="0" fontId="42" fillId="0" borderId="57" xfId="7" applyFont="1" applyBorder="1" applyAlignment="1">
      <alignment vertical="center"/>
      <protection locked="0"/>
    </xf>
    <xf numFmtId="41" fontId="84" fillId="0" borderId="21" xfId="4" applyFont="1" applyBorder="1" applyAlignment="1" applyProtection="1">
      <alignment horizontal="center" vertical="center" textRotation="90"/>
    </xf>
    <xf numFmtId="41" fontId="84" fillId="0" borderId="19" xfId="4" applyFont="1" applyBorder="1" applyAlignment="1" applyProtection="1">
      <alignment horizontal="center" vertical="center" textRotation="90"/>
    </xf>
    <xf numFmtId="0" fontId="15" fillId="0" borderId="0" xfId="0" applyFont="1" applyAlignment="1" applyProtection="1">
      <alignment horizontal="center" vertical="center"/>
      <protection locked="0"/>
    </xf>
    <xf numFmtId="0" fontId="42" fillId="0" borderId="2" xfId="0" applyFont="1" applyBorder="1" applyAlignment="1">
      <alignment horizontal="center" vertical="center"/>
    </xf>
    <xf numFmtId="175" fontId="56" fillId="0" borderId="21" xfId="0" applyNumberFormat="1" applyFont="1" applyBorder="1" applyAlignment="1">
      <alignment horizontal="center" vertical="center"/>
    </xf>
    <xf numFmtId="0" fontId="42" fillId="0" borderId="28" xfId="7" applyFont="1" applyBorder="1" applyAlignment="1" applyProtection="1">
      <alignment horizontal="center" vertical="center"/>
    </xf>
    <xf numFmtId="0" fontId="42" fillId="0" borderId="38" xfId="7" applyFont="1" applyBorder="1" applyAlignment="1">
      <alignment vertical="center"/>
      <protection locked="0"/>
    </xf>
    <xf numFmtId="41" fontId="42" fillId="0" borderId="38" xfId="4" applyFont="1" applyBorder="1" applyAlignment="1">
      <alignment vertical="center"/>
      <protection locked="0"/>
    </xf>
    <xf numFmtId="0" fontId="42" fillId="0" borderId="11" xfId="7" applyFont="1" applyBorder="1" applyAlignment="1" applyProtection="1">
      <alignment horizontal="center" vertical="center"/>
    </xf>
    <xf numFmtId="0" fontId="42" fillId="0" borderId="43" xfId="7" applyFont="1" applyBorder="1" applyAlignment="1">
      <alignment vertical="center"/>
      <protection locked="0"/>
    </xf>
    <xf numFmtId="0" fontId="42" fillId="0" borderId="55" xfId="0" applyFont="1" applyBorder="1" applyProtection="1">
      <alignment vertical="center"/>
      <protection locked="0"/>
    </xf>
    <xf numFmtId="0" fontId="42" fillId="0" borderId="43" xfId="0" applyFont="1" applyBorder="1" applyProtection="1">
      <alignment vertical="center"/>
      <protection locked="0"/>
    </xf>
    <xf numFmtId="41" fontId="42" fillId="0" borderId="42" xfId="4" applyFont="1" applyBorder="1" applyAlignment="1">
      <alignment horizontal="left" vertical="center"/>
      <protection locked="0"/>
    </xf>
    <xf numFmtId="41" fontId="42" fillId="0" borderId="14" xfId="4" applyFont="1" applyBorder="1" applyAlignment="1" applyProtection="1">
      <alignment vertical="center"/>
    </xf>
    <xf numFmtId="173" fontId="42" fillId="0" borderId="14" xfId="4" applyNumberFormat="1" applyFont="1" applyBorder="1" applyAlignment="1" applyProtection="1">
      <alignment vertical="center"/>
    </xf>
    <xf numFmtId="41" fontId="84" fillId="0" borderId="19" xfId="4" applyFont="1" applyBorder="1" applyAlignment="1" applyProtection="1">
      <alignment horizontal="center" vertical="center"/>
    </xf>
    <xf numFmtId="174" fontId="42" fillId="0" borderId="19" xfId="3" applyNumberFormat="1" applyFont="1" applyBorder="1" applyAlignment="1" applyProtection="1">
      <alignment horizontal="center" vertical="center"/>
    </xf>
    <xf numFmtId="0" fontId="3" fillId="0" borderId="19" xfId="0" applyFont="1" applyBorder="1" applyAlignment="1">
      <alignment horizontal="center" vertical="center"/>
    </xf>
    <xf numFmtId="173" fontId="3" fillId="0" borderId="19" xfId="4" applyNumberFormat="1" applyFont="1" applyBorder="1" applyAlignment="1" applyProtection="1">
      <alignment horizontal="center" vertical="center"/>
    </xf>
    <xf numFmtId="41" fontId="42" fillId="0" borderId="78" xfId="4" applyFont="1" applyBorder="1" applyAlignment="1" applyProtection="1">
      <alignment vertical="center"/>
    </xf>
    <xf numFmtId="41" fontId="42" fillId="0" borderId="76" xfId="4" applyFont="1" applyBorder="1" applyAlignment="1" applyProtection="1">
      <alignment vertical="center"/>
    </xf>
    <xf numFmtId="173" fontId="42" fillId="0" borderId="78" xfId="4" applyNumberFormat="1" applyFont="1" applyBorder="1" applyAlignment="1" applyProtection="1">
      <alignment vertical="center"/>
    </xf>
    <xf numFmtId="173" fontId="42" fillId="0" borderId="42" xfId="4" applyNumberFormat="1" applyFont="1" applyBorder="1" applyAlignment="1" applyProtection="1">
      <alignment vertical="center"/>
    </xf>
    <xf numFmtId="173" fontId="42" fillId="0" borderId="77" xfId="4" applyNumberFormat="1" applyFont="1" applyBorder="1" applyAlignment="1" applyProtection="1">
      <alignment vertical="center"/>
    </xf>
    <xf numFmtId="173" fontId="42" fillId="0" borderId="35" xfId="4" applyNumberFormat="1" applyFont="1" applyBorder="1" applyAlignment="1" applyProtection="1">
      <alignment vertical="center"/>
    </xf>
    <xf numFmtId="174" fontId="42" fillId="0" borderId="14" xfId="4" applyNumberFormat="1" applyFont="1" applyBorder="1" applyAlignment="1">
      <alignment vertical="center"/>
      <protection locked="0"/>
    </xf>
    <xf numFmtId="170" fontId="42" fillId="4" borderId="14" xfId="1" applyNumberFormat="1" applyFont="1" applyFill="1" applyBorder="1" applyAlignment="1" applyProtection="1">
      <alignment vertical="center"/>
    </xf>
    <xf numFmtId="174" fontId="56" fillId="0" borderId="19" xfId="3" applyNumberFormat="1" applyFont="1" applyBorder="1" applyAlignment="1" applyProtection="1">
      <alignment horizontal="center" vertical="center"/>
    </xf>
    <xf numFmtId="10" fontId="42" fillId="0" borderId="19" xfId="3" applyNumberFormat="1" applyFont="1" applyBorder="1" applyAlignment="1" applyProtection="1">
      <alignment vertical="center"/>
    </xf>
    <xf numFmtId="41" fontId="43" fillId="0" borderId="19" xfId="4" applyFont="1" applyBorder="1" applyAlignment="1" applyProtection="1">
      <alignment vertical="center"/>
    </xf>
    <xf numFmtId="41" fontId="43" fillId="0" borderId="24" xfId="4" applyFont="1" applyBorder="1" applyAlignment="1" applyProtection="1">
      <alignment vertical="center"/>
    </xf>
    <xf numFmtId="41" fontId="43" fillId="0" borderId="102" xfId="4" applyFont="1" applyBorder="1" applyAlignment="1">
      <alignment vertical="center"/>
      <protection locked="0"/>
    </xf>
    <xf numFmtId="41" fontId="56" fillId="0" borderId="0" xfId="4" applyFont="1" applyAlignment="1" applyProtection="1">
      <alignment vertical="center"/>
    </xf>
    <xf numFmtId="174" fontId="43" fillId="0" borderId="0" xfId="4" applyNumberFormat="1" applyFont="1" applyAlignment="1">
      <alignment vertical="center"/>
      <protection locked="0"/>
    </xf>
    <xf numFmtId="173" fontId="42" fillId="0" borderId="0" xfId="4" applyNumberFormat="1" applyFont="1" applyAlignment="1">
      <alignment vertical="center"/>
      <protection locked="0"/>
    </xf>
    <xf numFmtId="41" fontId="43" fillId="0" borderId="69" xfId="4" applyFont="1" applyBorder="1" applyAlignment="1">
      <alignment vertical="center"/>
      <protection locked="0"/>
    </xf>
    <xf numFmtId="173" fontId="3" fillId="0" borderId="19" xfId="4" applyNumberFormat="1" applyFont="1" applyBorder="1" applyAlignment="1" applyProtection="1">
      <alignment horizontal="center" vertical="center" wrapText="1"/>
    </xf>
    <xf numFmtId="173" fontId="56" fillId="0" borderId="67" xfId="4" applyNumberFormat="1" applyFont="1" applyBorder="1" applyAlignment="1" applyProtection="1">
      <alignment horizontal="center" vertical="center" wrapText="1"/>
    </xf>
    <xf numFmtId="173" fontId="3" fillId="0" borderId="24" xfId="4" applyNumberFormat="1" applyFont="1" applyBorder="1" applyAlignment="1" applyProtection="1">
      <alignment horizontal="center" vertical="center" wrapText="1"/>
    </xf>
    <xf numFmtId="41" fontId="16" fillId="0" borderId="102" xfId="4" applyFont="1" applyBorder="1" applyAlignment="1">
      <alignment vertical="center"/>
      <protection locked="0"/>
    </xf>
    <xf numFmtId="174" fontId="42" fillId="0" borderId="38" xfId="4" applyNumberFormat="1" applyFont="1" applyBorder="1" applyAlignment="1">
      <alignment vertical="center"/>
      <protection locked="0"/>
    </xf>
    <xf numFmtId="173" fontId="42" fillId="0" borderId="100" xfId="4" applyNumberFormat="1" applyFont="1" applyBorder="1" applyAlignment="1" applyProtection="1">
      <alignment vertical="center"/>
    </xf>
    <xf numFmtId="170" fontId="42" fillId="4" borderId="37" xfId="1" applyNumberFormat="1" applyFont="1" applyFill="1" applyBorder="1" applyAlignment="1" applyProtection="1">
      <alignment vertical="center"/>
    </xf>
    <xf numFmtId="174" fontId="42" fillId="0" borderId="42" xfId="4" applyNumberFormat="1" applyFont="1" applyBorder="1" applyAlignment="1">
      <alignment vertical="center"/>
      <protection locked="0"/>
    </xf>
    <xf numFmtId="173" fontId="42" fillId="0" borderId="76" xfId="4" applyNumberFormat="1" applyFont="1" applyBorder="1" applyAlignment="1" applyProtection="1">
      <alignment vertical="center"/>
    </xf>
    <xf numFmtId="170" fontId="42" fillId="4" borderId="42" xfId="1" applyNumberFormat="1" applyFont="1" applyFill="1" applyBorder="1" applyAlignment="1" applyProtection="1">
      <alignment vertical="center"/>
    </xf>
    <xf numFmtId="174" fontId="42" fillId="0" borderId="55" xfId="4" applyNumberFormat="1" applyFont="1" applyBorder="1" applyAlignment="1">
      <alignment vertical="center"/>
      <protection locked="0"/>
    </xf>
    <xf numFmtId="174" fontId="42" fillId="0" borderId="77" xfId="4" applyNumberFormat="1" applyFont="1" applyBorder="1" applyAlignment="1">
      <alignment vertical="center"/>
      <protection locked="0"/>
    </xf>
    <xf numFmtId="174" fontId="42" fillId="0" borderId="42" xfId="3" applyNumberFormat="1" applyFont="1" applyBorder="1" applyAlignment="1">
      <alignment vertical="center"/>
      <protection locked="0"/>
    </xf>
    <xf numFmtId="0" fontId="42" fillId="0" borderId="17" xfId="0" applyFont="1" applyBorder="1" applyProtection="1">
      <alignment vertical="center"/>
      <protection locked="0"/>
    </xf>
    <xf numFmtId="41" fontId="84" fillId="0" borderId="3" xfId="4" applyFont="1" applyBorder="1" applyAlignment="1" applyProtection="1">
      <alignment horizontal="center" vertical="center" textRotation="90"/>
    </xf>
    <xf numFmtId="41" fontId="84" fillId="0" borderId="1" xfId="4" applyFont="1" applyBorder="1" applyAlignment="1" applyProtection="1">
      <alignment horizontal="center" vertical="center" textRotation="90"/>
    </xf>
    <xf numFmtId="41" fontId="84" fillId="0" borderId="2" xfId="4" applyFont="1" applyBorder="1" applyAlignment="1" applyProtection="1">
      <alignment horizontal="center" vertical="center" textRotation="90"/>
    </xf>
    <xf numFmtId="41" fontId="84" fillId="0" borderId="104" xfId="4" applyFont="1" applyBorder="1" applyAlignment="1" applyProtection="1">
      <alignment horizontal="center" vertical="center" textRotation="90"/>
    </xf>
    <xf numFmtId="41" fontId="84" fillId="4" borderId="3" xfId="4" applyFont="1" applyFill="1" applyBorder="1" applyAlignment="1" applyProtection="1">
      <alignment horizontal="center" vertical="center" textRotation="90"/>
    </xf>
    <xf numFmtId="41" fontId="56" fillId="0" borderId="17" xfId="4" applyFont="1" applyBorder="1" applyAlignment="1">
      <alignment vertical="center"/>
      <protection locked="0"/>
    </xf>
    <xf numFmtId="41" fontId="56" fillId="0" borderId="34" xfId="4" applyFont="1" applyBorder="1" applyAlignment="1">
      <alignment vertical="center"/>
      <protection locked="0"/>
    </xf>
    <xf numFmtId="41" fontId="56" fillId="0" borderId="69" xfId="4" applyFont="1" applyBorder="1" applyAlignment="1">
      <alignment vertical="center"/>
      <protection locked="0"/>
    </xf>
    <xf numFmtId="0" fontId="3" fillId="0" borderId="0" xfId="0" applyFont="1" applyProtection="1">
      <alignment vertical="center"/>
      <protection locked="0"/>
    </xf>
    <xf numFmtId="0" fontId="43" fillId="0" borderId="0" xfId="0" applyFont="1" applyAlignment="1" applyProtection="1">
      <alignment vertical="center" wrapText="1"/>
      <protection locked="0"/>
    </xf>
    <xf numFmtId="0" fontId="56" fillId="2" borderId="0" xfId="0" applyFont="1" applyFill="1" applyProtection="1">
      <alignment vertical="center"/>
      <protection locked="0"/>
    </xf>
    <xf numFmtId="0" fontId="87" fillId="0" borderId="0" xfId="0" applyFont="1" applyProtection="1">
      <alignment vertical="center"/>
      <protection locked="0"/>
    </xf>
    <xf numFmtId="0" fontId="88" fillId="0" borderId="0" xfId="0" applyFont="1" applyProtection="1">
      <alignment vertical="center"/>
      <protection locked="0"/>
    </xf>
    <xf numFmtId="0" fontId="89" fillId="0" borderId="0" xfId="0" applyFont="1" applyProtection="1">
      <alignment vertical="center"/>
      <protection locked="0"/>
    </xf>
    <xf numFmtId="0" fontId="90" fillId="0" borderId="0" xfId="0" applyFont="1" applyProtection="1">
      <alignment vertical="center"/>
      <protection locked="0"/>
    </xf>
    <xf numFmtId="0" fontId="91" fillId="0" borderId="0" xfId="0" applyFont="1" applyProtection="1">
      <alignment vertical="center"/>
      <protection locked="0"/>
    </xf>
    <xf numFmtId="41" fontId="84" fillId="0" borderId="104" xfId="4" applyFont="1" applyBorder="1" applyAlignment="1" applyProtection="1">
      <alignment horizontal="center" vertical="center"/>
    </xf>
    <xf numFmtId="174" fontId="42" fillId="0" borderId="2" xfId="3" applyNumberFormat="1" applyFont="1" applyBorder="1" applyAlignment="1" applyProtection="1">
      <alignment vertical="center"/>
    </xf>
    <xf numFmtId="41" fontId="84" fillId="0" borderId="3" xfId="4" applyFont="1" applyBorder="1" applyAlignment="1" applyProtection="1">
      <alignment horizontal="center" vertical="center"/>
    </xf>
    <xf numFmtId="41" fontId="56" fillId="0" borderId="2" xfId="4" applyFont="1" applyBorder="1" applyAlignment="1">
      <alignment vertical="center"/>
      <protection locked="0"/>
    </xf>
    <xf numFmtId="41" fontId="56" fillId="0" borderId="68" xfId="4" applyFont="1" applyBorder="1" applyAlignment="1">
      <alignment vertical="center"/>
      <protection locked="0"/>
    </xf>
    <xf numFmtId="41" fontId="56" fillId="0" borderId="3" xfId="4" applyFont="1" applyBorder="1" applyAlignment="1" applyProtection="1">
      <alignment vertical="center"/>
    </xf>
    <xf numFmtId="41" fontId="43" fillId="0" borderId="34" xfId="4" applyFont="1" applyBorder="1" applyAlignment="1" applyProtection="1">
      <alignment vertical="center"/>
    </xf>
    <xf numFmtId="173" fontId="43" fillId="0" borderId="34" xfId="4" applyNumberFormat="1" applyFont="1" applyBorder="1" applyAlignment="1" applyProtection="1">
      <alignment vertical="center"/>
    </xf>
    <xf numFmtId="0" fontId="3" fillId="0" borderId="0" xfId="0" applyFont="1" applyAlignment="1" applyProtection="1">
      <alignment horizontal="center" vertical="center"/>
      <protection locked="0"/>
    </xf>
    <xf numFmtId="173" fontId="43" fillId="0" borderId="0" xfId="4" applyNumberFormat="1" applyFont="1" applyAlignment="1">
      <alignment horizontal="left" vertical="center"/>
      <protection locked="0"/>
    </xf>
    <xf numFmtId="0" fontId="56" fillId="0" borderId="0" xfId="0" applyFont="1" applyAlignment="1" applyProtection="1">
      <alignment horizontal="center" vertical="center"/>
      <protection locked="0"/>
    </xf>
    <xf numFmtId="173" fontId="56" fillId="0" borderId="0" xfId="4" applyNumberFormat="1" applyFont="1" applyAlignment="1">
      <alignment vertical="center"/>
      <protection locked="0"/>
    </xf>
    <xf numFmtId="0" fontId="56" fillId="0" borderId="0" xfId="0" applyFont="1" applyProtection="1">
      <alignment vertical="center"/>
      <protection locked="0"/>
    </xf>
    <xf numFmtId="0" fontId="92" fillId="0" borderId="0" xfId="0" applyFont="1" applyProtection="1">
      <alignment vertical="center"/>
      <protection locked="0"/>
    </xf>
    <xf numFmtId="174" fontId="42" fillId="0" borderId="35" xfId="3" applyNumberFormat="1" applyFont="1" applyBorder="1" applyAlignment="1">
      <alignment vertical="center"/>
      <protection locked="0"/>
    </xf>
    <xf numFmtId="170" fontId="42" fillId="4" borderId="44" xfId="1" applyNumberFormat="1" applyFont="1" applyFill="1" applyBorder="1" applyAlignment="1" applyProtection="1">
      <alignment vertical="center"/>
    </xf>
    <xf numFmtId="174" fontId="16" fillId="0" borderId="2" xfId="4" applyNumberFormat="1" applyFont="1" applyBorder="1" applyAlignment="1" applyProtection="1">
      <alignment vertical="center"/>
    </xf>
    <xf numFmtId="173" fontId="42" fillId="0" borderId="2" xfId="4" applyNumberFormat="1" applyFont="1" applyBorder="1" applyAlignment="1" applyProtection="1">
      <alignment vertical="center"/>
    </xf>
    <xf numFmtId="41" fontId="43" fillId="0" borderId="2" xfId="4" applyFont="1" applyBorder="1" applyAlignment="1" applyProtection="1">
      <alignment vertical="center"/>
    </xf>
    <xf numFmtId="10" fontId="42" fillId="0" borderId="95" xfId="3" applyNumberFormat="1" applyFont="1" applyBorder="1" applyAlignment="1" applyProtection="1">
      <alignment vertical="center"/>
    </xf>
    <xf numFmtId="174" fontId="43" fillId="0" borderId="34" xfId="4" applyNumberFormat="1" applyFont="1" applyBorder="1" applyAlignment="1" applyProtection="1">
      <alignment vertical="center"/>
    </xf>
    <xf numFmtId="173" fontId="43" fillId="0" borderId="2" xfId="4" applyNumberFormat="1" applyFont="1" applyBorder="1" applyAlignment="1" applyProtection="1">
      <alignment vertical="center"/>
    </xf>
    <xf numFmtId="174" fontId="43" fillId="0" borderId="0" xfId="3" applyNumberFormat="1" applyFont="1" applyAlignment="1">
      <alignment vertical="center"/>
      <protection locked="0"/>
    </xf>
    <xf numFmtId="176" fontId="93" fillId="0" borderId="20" xfId="4" applyNumberFormat="1" applyFont="1" applyBorder="1" applyAlignment="1" applyProtection="1">
      <alignment horizontal="center" vertical="center"/>
    </xf>
    <xf numFmtId="0" fontId="42" fillId="0" borderId="78" xfId="8" applyFont="1" applyBorder="1" applyAlignment="1">
      <alignment vertical="center"/>
      <protection locked="0"/>
    </xf>
    <xf numFmtId="0" fontId="3" fillId="0" borderId="66" xfId="0" applyFont="1" applyBorder="1" applyAlignment="1">
      <alignment horizontal="center" vertical="center"/>
    </xf>
    <xf numFmtId="41" fontId="42" fillId="0" borderId="9" xfId="4" applyFont="1" applyBorder="1" applyAlignment="1">
      <alignment horizontal="right" vertical="center"/>
      <protection locked="0"/>
    </xf>
    <xf numFmtId="41" fontId="42" fillId="0" borderId="10" xfId="4" applyFont="1" applyBorder="1" applyAlignment="1">
      <alignment horizontal="right" vertical="center"/>
      <protection locked="0"/>
    </xf>
    <xf numFmtId="0" fontId="42" fillId="0" borderId="8" xfId="7" applyFont="1" applyBorder="1" applyAlignment="1">
      <alignment horizontal="center" vertical="center"/>
      <protection locked="0"/>
    </xf>
    <xf numFmtId="0" fontId="42" fillId="0" borderId="42" xfId="7" applyFont="1" applyBorder="1" applyAlignment="1" applyProtection="1">
      <alignment vertical="center"/>
    </xf>
    <xf numFmtId="41" fontId="42" fillId="0" borderId="10" xfId="4" applyFont="1" applyBorder="1" applyAlignment="1">
      <alignment horizontal="center" vertical="center"/>
      <protection locked="0"/>
    </xf>
    <xf numFmtId="41" fontId="42" fillId="0" borderId="11" xfId="4" applyFont="1" applyBorder="1" applyAlignment="1">
      <alignment vertical="center"/>
      <protection locked="0"/>
    </xf>
    <xf numFmtId="170" fontId="42" fillId="4" borderId="11" xfId="1" applyNumberFormat="1" applyFont="1" applyFill="1" applyBorder="1" applyAlignment="1">
      <alignment vertical="center"/>
      <protection locked="0"/>
    </xf>
    <xf numFmtId="0" fontId="42" fillId="10" borderId="42" xfId="7" applyFont="1" applyFill="1" applyBorder="1" applyAlignment="1" applyProtection="1">
      <alignment vertical="center"/>
    </xf>
    <xf numFmtId="0" fontId="42" fillId="0" borderId="50" xfId="7" applyFont="1" applyBorder="1" applyAlignment="1">
      <alignment vertical="center" wrapText="1"/>
      <protection locked="0"/>
    </xf>
    <xf numFmtId="0" fontId="42" fillId="10" borderId="42" xfId="7" applyFont="1" applyFill="1" applyBorder="1" applyAlignment="1">
      <alignment vertical="center"/>
      <protection locked="0"/>
    </xf>
    <xf numFmtId="0" fontId="42" fillId="0" borderId="12" xfId="7" applyFont="1" applyBorder="1" applyAlignment="1">
      <alignment horizontal="center" vertical="center"/>
      <protection locked="0"/>
    </xf>
    <xf numFmtId="0" fontId="42" fillId="10" borderId="77" xfId="7" applyFont="1" applyFill="1" applyBorder="1" applyAlignment="1">
      <alignment vertical="center"/>
      <protection locked="0"/>
    </xf>
    <xf numFmtId="41" fontId="42" fillId="0" borderId="13" xfId="4" applyFont="1" applyBorder="1" applyAlignment="1">
      <alignment horizontal="right" vertical="center"/>
      <protection locked="0"/>
    </xf>
    <xf numFmtId="41" fontId="42" fillId="0" borderId="14" xfId="4" applyFont="1" applyBorder="1" applyAlignment="1">
      <alignment horizontal="right" vertical="center"/>
      <protection locked="0"/>
    </xf>
    <xf numFmtId="41" fontId="42" fillId="0" borderId="14" xfId="4" applyFont="1" applyBorder="1" applyAlignment="1">
      <alignment horizontal="center" vertical="center"/>
      <protection locked="0"/>
    </xf>
    <xf numFmtId="41" fontId="42" fillId="0" borderId="15" xfId="4" applyFont="1" applyBorder="1" applyAlignment="1">
      <alignment vertical="center"/>
      <protection locked="0"/>
    </xf>
    <xf numFmtId="173" fontId="42" fillId="0" borderId="37" xfId="4" applyNumberFormat="1" applyFont="1" applyBorder="1" applyAlignment="1" applyProtection="1">
      <alignment vertical="center"/>
    </xf>
    <xf numFmtId="173" fontId="42" fillId="0" borderId="38" xfId="4" applyNumberFormat="1" applyFont="1" applyBorder="1" applyAlignment="1" applyProtection="1">
      <alignment vertical="center"/>
    </xf>
    <xf numFmtId="41" fontId="42" fillId="0" borderId="105" xfId="4" applyFont="1" applyBorder="1" applyAlignment="1">
      <alignment vertical="center"/>
      <protection locked="0"/>
    </xf>
    <xf numFmtId="41" fontId="42" fillId="0" borderId="65" xfId="4" applyFont="1" applyBorder="1" applyAlignment="1">
      <alignment vertical="center"/>
      <protection locked="0"/>
    </xf>
    <xf numFmtId="41" fontId="42" fillId="0" borderId="35" xfId="4" applyFont="1" applyBorder="1" applyAlignment="1">
      <alignment vertical="center"/>
      <protection locked="0"/>
    </xf>
    <xf numFmtId="41" fontId="94" fillId="0" borderId="0" xfId="4" applyFont="1">
      <protection locked="0"/>
    </xf>
    <xf numFmtId="173" fontId="43" fillId="0" borderId="0" xfId="4" applyNumberFormat="1" applyFont="1">
      <protection locked="0"/>
    </xf>
    <xf numFmtId="0" fontId="43" fillId="0" borderId="0" xfId="0" applyFont="1" applyAlignment="1" applyProtection="1">
      <protection locked="0"/>
    </xf>
    <xf numFmtId="174" fontId="43" fillId="0" borderId="0" xfId="3" applyNumberFormat="1" applyFont="1">
      <protection locked="0"/>
    </xf>
    <xf numFmtId="41" fontId="42" fillId="0" borderId="5" xfId="4" applyFont="1" applyBorder="1" applyAlignment="1">
      <alignment vertical="center"/>
      <protection locked="0"/>
    </xf>
    <xf numFmtId="41" fontId="42" fillId="0" borderId="38" xfId="4" applyFont="1" applyFill="1" applyBorder="1" applyAlignment="1">
      <alignment vertical="center"/>
      <protection locked="0"/>
    </xf>
    <xf numFmtId="41" fontId="43" fillId="0" borderId="0" xfId="4" applyFont="1" applyProtection="1"/>
    <xf numFmtId="41" fontId="42" fillId="0" borderId="43" xfId="4" applyFont="1" applyFill="1" applyBorder="1" applyAlignment="1">
      <alignment vertical="center"/>
      <protection locked="0"/>
    </xf>
    <xf numFmtId="41" fontId="42" fillId="0" borderId="7" xfId="4" applyFont="1" applyBorder="1" applyAlignment="1">
      <alignment vertical="center"/>
      <protection locked="0"/>
    </xf>
    <xf numFmtId="41" fontId="43" fillId="0" borderId="0" xfId="4" applyFont="1">
      <protection locked="0"/>
    </xf>
    <xf numFmtId="41" fontId="42" fillId="0" borderId="43" xfId="4" applyFont="1" applyFill="1" applyBorder="1" applyAlignment="1" applyProtection="1">
      <alignment vertical="center"/>
      <protection locked="0"/>
    </xf>
    <xf numFmtId="0" fontId="42" fillId="8" borderId="42" xfId="8" applyFont="1" applyFill="1" applyBorder="1" applyAlignment="1" applyProtection="1">
      <alignment vertical="center"/>
    </xf>
    <xf numFmtId="0" fontId="42" fillId="0" borderId="42" xfId="7" applyFont="1" applyFill="1" applyBorder="1" applyAlignment="1" applyProtection="1">
      <alignment vertical="center"/>
      <protection locked="0"/>
    </xf>
    <xf numFmtId="0" fontId="42" fillId="10" borderId="42" xfId="8" applyFont="1" applyFill="1" applyBorder="1" applyAlignment="1">
      <alignment vertical="center"/>
      <protection locked="0"/>
    </xf>
    <xf numFmtId="41" fontId="84" fillId="0" borderId="21" xfId="4" applyFont="1" applyBorder="1" applyAlignment="1" applyProtection="1">
      <alignment horizontal="center" vertical="center" textRotation="90"/>
      <protection locked="0"/>
    </xf>
    <xf numFmtId="0" fontId="42" fillId="0" borderId="12" xfId="7" applyFont="1" applyBorder="1" applyAlignment="1" applyProtection="1">
      <alignment horizontal="center" vertical="center"/>
    </xf>
    <xf numFmtId="0" fontId="42" fillId="0" borderId="0" xfId="0" applyFont="1" applyAlignment="1" applyProtection="1">
      <alignment horizontal="center" vertical="center"/>
      <protection locked="0"/>
    </xf>
    <xf numFmtId="41" fontId="16" fillId="0" borderId="0" xfId="4" applyFont="1">
      <protection locked="0"/>
    </xf>
    <xf numFmtId="0" fontId="42" fillId="0" borderId="37" xfId="7" applyFont="1" applyBorder="1" applyAlignment="1" applyProtection="1">
      <alignment horizontal="center"/>
    </xf>
    <xf numFmtId="0" fontId="42" fillId="0" borderId="38" xfId="7" applyFont="1" applyBorder="1">
      <protection locked="0"/>
    </xf>
    <xf numFmtId="41" fontId="42" fillId="0" borderId="38" xfId="4" applyFont="1" applyBorder="1">
      <protection locked="0"/>
    </xf>
    <xf numFmtId="0" fontId="42" fillId="0" borderId="42" xfId="7" applyFont="1" applyBorder="1" applyAlignment="1" applyProtection="1">
      <alignment horizontal="center"/>
    </xf>
    <xf numFmtId="0" fontId="42" fillId="0" borderId="43" xfId="7" applyFont="1" applyBorder="1">
      <protection locked="0"/>
    </xf>
    <xf numFmtId="174" fontId="84" fillId="0" borderId="19" xfId="3" applyNumberFormat="1" applyFont="1" applyBorder="1" applyAlignment="1" applyProtection="1">
      <alignment horizontal="center" vertical="center"/>
    </xf>
    <xf numFmtId="173" fontId="16" fillId="0" borderId="0" xfId="4" applyNumberFormat="1" applyFont="1">
      <protection locked="0"/>
    </xf>
    <xf numFmtId="0" fontId="3" fillId="0" borderId="19" xfId="0" applyFont="1" applyBorder="1" applyAlignment="1" applyProtection="1">
      <alignment horizontal="center" vertical="center"/>
      <protection locked="0"/>
    </xf>
    <xf numFmtId="173" fontId="3" fillId="0" borderId="19" xfId="4" applyNumberFormat="1" applyFont="1" applyBorder="1" applyAlignment="1">
      <alignment horizontal="center" vertical="center"/>
      <protection locked="0"/>
    </xf>
    <xf numFmtId="41" fontId="42" fillId="0" borderId="78" xfId="4" applyFont="1" applyBorder="1" applyProtection="1"/>
    <xf numFmtId="41" fontId="42" fillId="0" borderId="76" xfId="4" applyFont="1" applyBorder="1" applyProtection="1"/>
    <xf numFmtId="173" fontId="42" fillId="0" borderId="78" xfId="4" applyNumberFormat="1" applyFont="1" applyBorder="1" applyProtection="1"/>
    <xf numFmtId="173" fontId="42" fillId="0" borderId="42" xfId="4" applyNumberFormat="1" applyFont="1" applyBorder="1" applyProtection="1"/>
    <xf numFmtId="174" fontId="42" fillId="0" borderId="14" xfId="3" applyNumberFormat="1" applyFont="1" applyBorder="1" applyAlignment="1">
      <alignment vertical="center"/>
      <protection locked="0"/>
    </xf>
    <xf numFmtId="10" fontId="84" fillId="0" borderId="19" xfId="3" applyNumberFormat="1" applyFont="1" applyBorder="1" applyAlignment="1" applyProtection="1">
      <alignment horizontal="center" vertical="center"/>
    </xf>
    <xf numFmtId="41" fontId="94" fillId="0" borderId="24" xfId="4" applyFont="1" applyBorder="1" applyAlignment="1" applyProtection="1">
      <alignment vertical="center"/>
    </xf>
    <xf numFmtId="41" fontId="94" fillId="0" borderId="0" xfId="4" applyFont="1" applyProtection="1"/>
    <xf numFmtId="174" fontId="16" fillId="0" borderId="0" xfId="3" applyNumberFormat="1" applyFont="1">
      <protection locked="0"/>
    </xf>
    <xf numFmtId="173" fontId="3" fillId="0" borderId="19" xfId="4" applyNumberFormat="1" applyFont="1" applyBorder="1" applyAlignment="1">
      <alignment horizontal="center" vertical="center" wrapText="1"/>
      <protection locked="0"/>
    </xf>
    <xf numFmtId="173" fontId="3" fillId="0" borderId="24" xfId="4" applyNumberFormat="1" applyFont="1" applyBorder="1" applyAlignment="1">
      <alignment horizontal="center" vertical="center" wrapText="1"/>
      <protection locked="0"/>
    </xf>
    <xf numFmtId="174" fontId="42" fillId="0" borderId="38" xfId="3" applyNumberFormat="1" applyFont="1" applyBorder="1">
      <protection locked="0"/>
    </xf>
    <xf numFmtId="173" fontId="42" fillId="0" borderId="38" xfId="4" applyNumberFormat="1" applyFont="1" applyBorder="1" applyProtection="1"/>
    <xf numFmtId="174" fontId="42" fillId="0" borderId="55" xfId="3" applyNumberFormat="1" applyFont="1" applyBorder="1">
      <protection locked="0"/>
    </xf>
    <xf numFmtId="174" fontId="42" fillId="0" borderId="42" xfId="3" applyNumberFormat="1" applyFont="1" applyBorder="1">
      <protection locked="0"/>
    </xf>
    <xf numFmtId="41" fontId="42" fillId="0" borderId="55" xfId="4" applyFont="1" applyBorder="1">
      <protection locked="0"/>
    </xf>
    <xf numFmtId="0" fontId="42" fillId="0" borderId="55" xfId="0" applyFont="1" applyBorder="1" applyAlignment="1" applyProtection="1">
      <protection locked="0"/>
    </xf>
    <xf numFmtId="0" fontId="42" fillId="0" borderId="43" xfId="0" applyFont="1" applyBorder="1" applyAlignment="1" applyProtection="1">
      <protection locked="0"/>
    </xf>
    <xf numFmtId="0" fontId="42" fillId="0" borderId="17" xfId="0" applyFont="1" applyBorder="1" applyAlignment="1" applyProtection="1">
      <protection locked="0"/>
    </xf>
    <xf numFmtId="41" fontId="84" fillId="0" borderId="3" xfId="4" applyFont="1" applyBorder="1" applyAlignment="1" applyProtection="1">
      <alignment horizontal="right" textRotation="90"/>
    </xf>
    <xf numFmtId="41" fontId="84" fillId="0" borderId="1" xfId="4" applyFont="1" applyBorder="1" applyAlignment="1" applyProtection="1">
      <alignment horizontal="right" textRotation="90"/>
    </xf>
    <xf numFmtId="41" fontId="84" fillId="0" borderId="2" xfId="4" applyFont="1" applyBorder="1" applyAlignment="1" applyProtection="1">
      <alignment horizontal="right" textRotation="90"/>
    </xf>
    <xf numFmtId="41" fontId="84" fillId="0" borderId="104" xfId="4" applyFont="1" applyBorder="1" applyAlignment="1" applyProtection="1">
      <alignment horizontal="right" textRotation="90"/>
    </xf>
    <xf numFmtId="41" fontId="84" fillId="0" borderId="3" xfId="4" applyFont="1" applyBorder="1" applyAlignment="1" applyProtection="1">
      <alignment textRotation="90"/>
    </xf>
    <xf numFmtId="41" fontId="84" fillId="4" borderId="3" xfId="4" applyFont="1" applyFill="1" applyBorder="1" applyAlignment="1" applyProtection="1">
      <alignment textRotation="90"/>
    </xf>
    <xf numFmtId="41" fontId="16" fillId="0" borderId="17" xfId="4" applyFont="1" applyBorder="1">
      <protection locked="0"/>
    </xf>
    <xf numFmtId="0" fontId="3" fillId="0" borderId="0" xfId="0" applyFont="1" applyAlignment="1" applyProtection="1">
      <protection locked="0"/>
    </xf>
    <xf numFmtId="0" fontId="43" fillId="0" borderId="0" xfId="0" applyFont="1" applyAlignment="1" applyProtection="1">
      <alignment vertical="top" wrapText="1"/>
      <protection locked="0"/>
    </xf>
    <xf numFmtId="0" fontId="89" fillId="0" borderId="0" xfId="0" applyFont="1" applyAlignment="1" applyProtection="1">
      <protection locked="0"/>
    </xf>
    <xf numFmtId="173" fontId="42" fillId="0" borderId="77" xfId="4" applyNumberFormat="1" applyFont="1" applyBorder="1" applyProtection="1"/>
    <xf numFmtId="173" fontId="42" fillId="0" borderId="35" xfId="4" applyNumberFormat="1" applyFont="1" applyBorder="1" applyProtection="1"/>
    <xf numFmtId="41" fontId="84" fillId="0" borderId="2" xfId="4" applyFont="1" applyBorder="1" applyAlignment="1" applyProtection="1">
      <alignment horizontal="left" textRotation="90"/>
    </xf>
    <xf numFmtId="174" fontId="94" fillId="0" borderId="2" xfId="3" applyNumberFormat="1" applyFont="1" applyBorder="1" applyAlignment="1" applyProtection="1">
      <alignment horizontal="center" vertical="center"/>
    </xf>
    <xf numFmtId="41" fontId="16" fillId="0" borderId="3" xfId="4" applyFont="1" applyBorder="1" applyProtection="1"/>
    <xf numFmtId="41" fontId="16" fillId="0" borderId="34" xfId="4" applyFont="1" applyBorder="1" applyProtection="1"/>
    <xf numFmtId="173" fontId="16" fillId="0" borderId="34" xfId="4" applyNumberFormat="1" applyFont="1" applyBorder="1" applyProtection="1"/>
    <xf numFmtId="173" fontId="43" fillId="0" borderId="0" xfId="4" applyNumberFormat="1" applyFont="1" applyAlignment="1">
      <alignment horizontal="left"/>
      <protection locked="0"/>
    </xf>
    <xf numFmtId="0" fontId="56" fillId="0" borderId="0" xfId="0" applyFont="1" applyAlignment="1" applyProtection="1">
      <alignment horizontal="center"/>
      <protection locked="0"/>
    </xf>
    <xf numFmtId="173" fontId="56" fillId="0" borderId="0" xfId="4" applyNumberFormat="1" applyFont="1">
      <protection locked="0"/>
    </xf>
    <xf numFmtId="0" fontId="56" fillId="0" borderId="0" xfId="0" applyFont="1" applyAlignment="1" applyProtection="1">
      <protection locked="0"/>
    </xf>
    <xf numFmtId="0" fontId="92" fillId="0" borderId="0" xfId="0" applyFont="1" applyAlignment="1" applyProtection="1">
      <protection locked="0"/>
    </xf>
    <xf numFmtId="41" fontId="43" fillId="0" borderId="0" xfId="0" applyNumberFormat="1" applyFont="1" applyAlignment="1" applyProtection="1">
      <protection locked="0"/>
    </xf>
    <xf numFmtId="174" fontId="42" fillId="0" borderId="77" xfId="3" applyNumberFormat="1" applyFont="1" applyBorder="1">
      <protection locked="0"/>
    </xf>
    <xf numFmtId="41" fontId="42" fillId="0" borderId="42" xfId="4" applyFont="1" applyFill="1" applyBorder="1" applyAlignment="1">
      <protection locked="0"/>
    </xf>
    <xf numFmtId="41" fontId="42" fillId="0" borderId="35" xfId="4" applyFont="1" applyFill="1" applyBorder="1" applyAlignment="1">
      <protection locked="0"/>
    </xf>
    <xf numFmtId="0" fontId="42" fillId="0" borderId="42" xfId="3" applyNumberFormat="1" applyFont="1" applyFill="1" applyBorder="1" applyAlignment="1" applyProtection="1">
      <protection locked="0"/>
    </xf>
    <xf numFmtId="174" fontId="42" fillId="0" borderId="35" xfId="3" applyNumberFormat="1" applyFont="1" applyBorder="1">
      <protection locked="0"/>
    </xf>
    <xf numFmtId="174" fontId="94" fillId="0" borderId="2" xfId="3" applyNumberFormat="1" applyFont="1" applyBorder="1" applyProtection="1"/>
    <xf numFmtId="10" fontId="42" fillId="0" borderId="2" xfId="3" applyNumberFormat="1" applyFont="1" applyBorder="1" applyAlignment="1" applyProtection="1">
      <alignment horizontal="center" vertical="center"/>
    </xf>
    <xf numFmtId="41" fontId="16" fillId="0" borderId="2" xfId="4" applyFont="1" applyBorder="1" applyProtection="1"/>
    <xf numFmtId="174" fontId="16" fillId="0" borderId="34" xfId="3" applyNumberFormat="1" applyFont="1" applyBorder="1" applyProtection="1"/>
    <xf numFmtId="174" fontId="43" fillId="0" borderId="0" xfId="0" applyNumberFormat="1" applyFont="1" applyAlignment="1" applyProtection="1">
      <protection locked="0"/>
    </xf>
    <xf numFmtId="0" fontId="42" fillId="0" borderId="77" xfId="8" applyFont="1" applyBorder="1" applyAlignment="1">
      <alignment vertical="center"/>
      <protection locked="0"/>
    </xf>
    <xf numFmtId="174" fontId="42" fillId="0" borderId="2" xfId="3" applyNumberFormat="1" applyFont="1" applyBorder="1" applyAlignment="1" applyProtection="1">
      <alignment horizontal="center" vertical="center"/>
    </xf>
    <xf numFmtId="0" fontId="16" fillId="0" borderId="0" xfId="0" applyFont="1" applyProtection="1">
      <alignment vertical="center"/>
      <protection locked="0"/>
    </xf>
    <xf numFmtId="0" fontId="42" fillId="0" borderId="6" xfId="4" applyNumberFormat="1" applyFont="1" applyBorder="1" applyAlignment="1" applyProtection="1">
      <alignment vertical="center"/>
    </xf>
    <xf numFmtId="41" fontId="95" fillId="0" borderId="24" xfId="4" applyFont="1" applyBorder="1" applyAlignment="1" applyProtection="1">
      <alignment vertical="center"/>
    </xf>
    <xf numFmtId="174" fontId="42" fillId="0" borderId="38" xfId="3" applyNumberFormat="1" applyFont="1" applyBorder="1" applyAlignment="1">
      <alignment vertical="center"/>
      <protection locked="0"/>
    </xf>
    <xf numFmtId="41" fontId="42" fillId="0" borderId="37" xfId="4" applyFont="1" applyBorder="1" applyAlignment="1">
      <alignment vertical="center"/>
      <protection locked="0"/>
    </xf>
    <xf numFmtId="174" fontId="42" fillId="0" borderId="55" xfId="3" applyNumberFormat="1" applyFont="1" applyBorder="1" applyAlignment="1">
      <alignment vertical="center"/>
      <protection locked="0"/>
    </xf>
    <xf numFmtId="41" fontId="84" fillId="0" borderId="3" xfId="4" applyFont="1" applyBorder="1" applyAlignment="1" applyProtection="1">
      <alignment horizontal="right" vertical="center" textRotation="90"/>
    </xf>
    <xf numFmtId="41" fontId="84" fillId="0" borderId="1" xfId="4" applyFont="1" applyBorder="1" applyAlignment="1" applyProtection="1">
      <alignment horizontal="right" vertical="center" textRotation="90"/>
    </xf>
    <xf numFmtId="41" fontId="84" fillId="0" borderId="2" xfId="4" applyFont="1" applyBorder="1" applyAlignment="1" applyProtection="1">
      <alignment horizontal="right" vertical="center" textRotation="90"/>
    </xf>
    <xf numFmtId="41" fontId="84" fillId="0" borderId="104" xfId="4" applyFont="1" applyBorder="1" applyAlignment="1" applyProtection="1">
      <alignment horizontal="right" vertical="center" textRotation="90"/>
    </xf>
    <xf numFmtId="41" fontId="84" fillId="0" borderId="3" xfId="4" applyFont="1" applyBorder="1" applyAlignment="1" applyProtection="1">
      <alignment vertical="center" textRotation="90"/>
    </xf>
    <xf numFmtId="41" fontId="16" fillId="0" borderId="17" xfId="4" applyFont="1" applyBorder="1" applyAlignment="1">
      <alignment vertical="center"/>
      <protection locked="0"/>
    </xf>
    <xf numFmtId="41" fontId="84" fillId="0" borderId="2" xfId="4" applyFont="1" applyBorder="1" applyAlignment="1" applyProtection="1">
      <alignment horizontal="left" vertical="center" textRotation="90"/>
    </xf>
    <xf numFmtId="41" fontId="84" fillId="0" borderId="104" xfId="4" applyFont="1" applyBorder="1" applyAlignment="1" applyProtection="1">
      <alignment horizontal="left" vertical="center"/>
    </xf>
    <xf numFmtId="174" fontId="94" fillId="0" borderId="2" xfId="3" applyNumberFormat="1" applyFont="1" applyBorder="1" applyAlignment="1" applyProtection="1">
      <alignment vertical="center"/>
    </xf>
    <xf numFmtId="41" fontId="16" fillId="0" borderId="3" xfId="4" applyFont="1" applyBorder="1" applyAlignment="1" applyProtection="1">
      <alignment vertical="center"/>
    </xf>
    <xf numFmtId="41" fontId="16" fillId="0" borderId="34" xfId="4" applyFont="1" applyBorder="1" applyAlignment="1" applyProtection="1">
      <alignment vertical="center"/>
    </xf>
    <xf numFmtId="173" fontId="16" fillId="0" borderId="34" xfId="4" applyNumberFormat="1" applyFont="1" applyBorder="1" applyAlignment="1" applyProtection="1">
      <alignment vertical="center"/>
    </xf>
    <xf numFmtId="174" fontId="42" fillId="0" borderId="77" xfId="3" applyNumberFormat="1" applyFont="1" applyBorder="1" applyAlignment="1">
      <alignment vertical="center"/>
      <protection locked="0"/>
    </xf>
    <xf numFmtId="41" fontId="42" fillId="0" borderId="42" xfId="4" applyFont="1" applyFill="1" applyBorder="1" applyAlignment="1">
      <alignment vertical="center"/>
      <protection locked="0"/>
    </xf>
    <xf numFmtId="41" fontId="42" fillId="0" borderId="35" xfId="4" applyFont="1" applyFill="1" applyBorder="1" applyAlignment="1">
      <alignment vertical="center"/>
      <protection locked="0"/>
    </xf>
    <xf numFmtId="174" fontId="43" fillId="0" borderId="2" xfId="3" applyNumberFormat="1" applyFont="1" applyBorder="1" applyAlignment="1" applyProtection="1">
      <alignment vertical="center"/>
    </xf>
    <xf numFmtId="10" fontId="42" fillId="0" borderId="2" xfId="3" applyNumberFormat="1" applyFont="1" applyBorder="1" applyAlignment="1" applyProtection="1">
      <alignment vertical="center"/>
    </xf>
    <xf numFmtId="174" fontId="16" fillId="0" borderId="34" xfId="3" applyNumberFormat="1" applyFont="1" applyBorder="1" applyAlignment="1" applyProtection="1">
      <alignment vertical="center"/>
    </xf>
    <xf numFmtId="41" fontId="16" fillId="0" borderId="0" xfId="4" applyFont="1" applyAlignment="1">
      <alignment vertical="center"/>
      <protection locked="0"/>
    </xf>
    <xf numFmtId="175" fontId="56" fillId="0" borderId="96" xfId="0" applyNumberFormat="1" applyFont="1" applyBorder="1" applyAlignment="1" applyProtection="1">
      <alignment horizontal="center" vertical="center"/>
      <protection locked="0"/>
    </xf>
    <xf numFmtId="0" fontId="56" fillId="0" borderId="66" xfId="0" applyFont="1" applyBorder="1" applyAlignment="1" applyProtection="1">
      <alignment horizontal="center" vertical="center"/>
      <protection locked="0"/>
    </xf>
    <xf numFmtId="176" fontId="81" fillId="0" borderId="20" xfId="4" applyNumberFormat="1" applyFont="1" applyBorder="1" applyAlignment="1">
      <alignment horizontal="center" vertical="center"/>
      <protection locked="0"/>
    </xf>
    <xf numFmtId="41" fontId="42" fillId="0" borderId="37" xfId="4" applyFont="1" applyBorder="1" applyAlignment="1" applyProtection="1">
      <alignment horizontal="left" vertical="center"/>
    </xf>
    <xf numFmtId="41" fontId="42" fillId="0" borderId="78" xfId="4" applyFont="1" applyFill="1" applyBorder="1" applyAlignment="1">
      <alignment horizontal="right" vertical="center"/>
      <protection locked="0"/>
    </xf>
    <xf numFmtId="41" fontId="42" fillId="0" borderId="42" xfId="4" applyFont="1" applyFill="1" applyBorder="1" applyAlignment="1">
      <alignment horizontal="right" vertical="center"/>
      <protection locked="0"/>
    </xf>
    <xf numFmtId="174" fontId="42" fillId="0" borderId="38" xfId="3" applyNumberFormat="1" applyFont="1" applyFill="1" applyBorder="1" applyAlignment="1">
      <alignment vertical="center"/>
      <protection locked="0"/>
    </xf>
    <xf numFmtId="170" fontId="42" fillId="4" borderId="40" xfId="1" applyNumberFormat="1" applyFont="1" applyFill="1" applyBorder="1" applyAlignment="1">
      <alignment vertical="center"/>
      <protection locked="0"/>
    </xf>
    <xf numFmtId="174" fontId="42" fillId="0" borderId="38" xfId="3" applyNumberFormat="1" applyFont="1" applyFill="1" applyBorder="1" applyAlignment="1" applyProtection="1">
      <alignment vertical="center"/>
      <protection locked="0"/>
    </xf>
    <xf numFmtId="170" fontId="42" fillId="4" borderId="43" xfId="1" applyNumberFormat="1" applyFont="1" applyFill="1" applyBorder="1" applyAlignment="1">
      <alignment vertical="center"/>
      <protection locked="0"/>
    </xf>
    <xf numFmtId="174" fontId="42" fillId="0" borderId="43" xfId="3" applyNumberFormat="1" applyFont="1" applyFill="1" applyBorder="1" applyAlignment="1">
      <alignment vertical="center"/>
      <protection locked="0"/>
    </xf>
    <xf numFmtId="174" fontId="42" fillId="0" borderId="43" xfId="3" applyNumberFormat="1" applyFont="1" applyFill="1" applyBorder="1" applyAlignment="1" applyProtection="1">
      <alignment vertical="center"/>
      <protection locked="0"/>
    </xf>
    <xf numFmtId="174" fontId="42" fillId="0" borderId="43" xfId="4" applyNumberFormat="1" applyFont="1" applyFill="1" applyBorder="1" applyAlignment="1">
      <alignment vertical="center"/>
      <protection locked="0"/>
    </xf>
    <xf numFmtId="174" fontId="42" fillId="0" borderId="43" xfId="4" applyNumberFormat="1" applyFont="1" applyFill="1" applyBorder="1" applyAlignment="1" applyProtection="1">
      <alignment vertical="center"/>
      <protection locked="0"/>
    </xf>
    <xf numFmtId="41" fontId="42" fillId="0" borderId="44" xfId="4" applyFont="1" applyFill="1" applyBorder="1" applyAlignment="1">
      <alignment horizontal="right" vertical="center"/>
      <protection locked="0"/>
    </xf>
    <xf numFmtId="0" fontId="42" fillId="0" borderId="50" xfId="0" applyFont="1" applyBorder="1">
      <alignment vertical="center"/>
    </xf>
    <xf numFmtId="170" fontId="42" fillId="4" borderId="55" xfId="1" applyNumberFormat="1" applyFont="1" applyFill="1" applyBorder="1" applyAlignment="1">
      <alignment vertical="center"/>
      <protection locked="0"/>
    </xf>
    <xf numFmtId="170" fontId="42" fillId="4" borderId="15" xfId="1" applyNumberFormat="1" applyFont="1" applyFill="1" applyBorder="1" applyAlignment="1">
      <alignment vertical="center"/>
      <protection locked="0"/>
    </xf>
    <xf numFmtId="174" fontId="42" fillId="0" borderId="88" xfId="4" applyNumberFormat="1" applyFont="1" applyFill="1" applyBorder="1" applyAlignment="1">
      <alignment vertical="center"/>
      <protection locked="0"/>
    </xf>
    <xf numFmtId="170" fontId="42" fillId="4" borderId="44" xfId="1" applyNumberFormat="1" applyFont="1" applyFill="1" applyBorder="1" applyAlignment="1">
      <alignment vertical="center"/>
      <protection locked="0"/>
    </xf>
    <xf numFmtId="41" fontId="42" fillId="0" borderId="77" xfId="4" applyFont="1" applyBorder="1" applyAlignment="1" applyProtection="1">
      <alignment horizontal="left" vertical="center"/>
    </xf>
    <xf numFmtId="0" fontId="42" fillId="0" borderId="23" xfId="7" applyFont="1" applyBorder="1" applyAlignment="1">
      <alignment vertical="center"/>
      <protection locked="0"/>
    </xf>
    <xf numFmtId="41" fontId="42" fillId="0" borderId="15" xfId="4" applyFont="1" applyBorder="1" applyAlignment="1" applyProtection="1">
      <alignment horizontal="left" vertical="center"/>
    </xf>
    <xf numFmtId="0" fontId="42" fillId="8" borderId="2" xfId="7" applyFont="1" applyFill="1" applyBorder="1" applyAlignment="1">
      <alignment horizontal="center" vertical="center"/>
      <protection locked="0"/>
    </xf>
    <xf numFmtId="41" fontId="42" fillId="0" borderId="42" xfId="4" applyFont="1" applyFill="1" applyBorder="1" applyAlignment="1" applyProtection="1">
      <alignment horizontal="right" vertical="center"/>
      <protection locked="0"/>
    </xf>
    <xf numFmtId="0" fontId="42" fillId="0" borderId="42" xfId="7" applyFont="1" applyFill="1" applyBorder="1" applyAlignment="1">
      <alignment vertical="center"/>
      <protection locked="0"/>
    </xf>
    <xf numFmtId="41" fontId="42" fillId="10" borderId="10" xfId="4" applyFont="1" applyFill="1" applyBorder="1" applyAlignment="1" applyProtection="1">
      <alignment vertical="center"/>
    </xf>
    <xf numFmtId="173" fontId="42" fillId="10" borderId="10" xfId="4" applyNumberFormat="1" applyFont="1" applyFill="1" applyBorder="1" applyAlignment="1" applyProtection="1">
      <alignment vertical="center"/>
    </xf>
    <xf numFmtId="174" fontId="42" fillId="10" borderId="10" xfId="4" applyNumberFormat="1" applyFont="1" applyFill="1" applyBorder="1" applyAlignment="1">
      <alignment vertical="center"/>
      <protection locked="0"/>
    </xf>
    <xf numFmtId="0" fontId="42" fillId="0" borderId="18" xfId="0" applyFont="1" applyBorder="1" applyAlignment="1">
      <alignment horizontal="center" vertical="center"/>
    </xf>
    <xf numFmtId="0" fontId="42" fillId="0" borderId="106" xfId="0" applyFont="1" applyBorder="1" applyAlignment="1">
      <alignment horizontal="center" vertical="center"/>
    </xf>
    <xf numFmtId="175" fontId="3" fillId="0" borderId="21" xfId="0" applyNumberFormat="1" applyFont="1" applyBorder="1" applyAlignment="1">
      <alignment horizontal="center" vertical="center"/>
    </xf>
    <xf numFmtId="0" fontId="42" fillId="0" borderId="56" xfId="7" applyFont="1" applyBorder="1" applyAlignment="1">
      <alignment vertical="center"/>
      <protection locked="0"/>
    </xf>
    <xf numFmtId="41" fontId="42" fillId="0" borderId="78" xfId="4" applyFont="1" applyBorder="1" applyAlignment="1" applyProtection="1">
      <alignment horizontal="left" vertical="center"/>
    </xf>
    <xf numFmtId="41" fontId="42" fillId="0" borderId="5" xfId="4" applyFont="1" applyBorder="1" applyAlignment="1" applyProtection="1">
      <alignment vertical="center"/>
      <protection locked="0"/>
    </xf>
    <xf numFmtId="174" fontId="42" fillId="0" borderId="6" xfId="4" applyNumberFormat="1" applyFont="1" applyBorder="1" applyAlignment="1">
      <alignment vertical="center"/>
      <protection locked="0"/>
    </xf>
    <xf numFmtId="0" fontId="42" fillId="0" borderId="57" xfId="0" applyFont="1" applyBorder="1" applyProtection="1">
      <alignment vertical="center"/>
      <protection locked="0"/>
    </xf>
    <xf numFmtId="0" fontId="42" fillId="0" borderId="44" xfId="0" applyFont="1" applyBorder="1" applyProtection="1">
      <alignment vertical="center"/>
      <protection locked="0"/>
    </xf>
    <xf numFmtId="41" fontId="84" fillId="4" borderId="21" xfId="4" applyFont="1" applyFill="1" applyBorder="1" applyAlignment="1" applyProtection="1">
      <alignment horizontal="center" vertical="center" textRotation="90"/>
    </xf>
    <xf numFmtId="41" fontId="84" fillId="4" borderId="19" xfId="4" applyFont="1" applyFill="1" applyBorder="1" applyAlignment="1" applyProtection="1">
      <alignment horizontal="center" vertical="center" textRotation="90"/>
    </xf>
    <xf numFmtId="174" fontId="42" fillId="0" borderId="19" xfId="3" applyNumberFormat="1" applyFont="1" applyBorder="1" applyAlignment="1" applyProtection="1">
      <alignment vertical="center"/>
    </xf>
    <xf numFmtId="41" fontId="42" fillId="0" borderId="65" xfId="4" applyFont="1" applyBorder="1" applyAlignment="1" applyProtection="1">
      <alignment vertical="center"/>
    </xf>
    <xf numFmtId="41" fontId="16" fillId="0" borderId="65" xfId="4" applyFont="1" applyBorder="1" applyAlignment="1" applyProtection="1">
      <alignment vertical="center"/>
    </xf>
    <xf numFmtId="173" fontId="16" fillId="0" borderId="65" xfId="4" applyNumberFormat="1" applyFont="1" applyBorder="1" applyAlignment="1" applyProtection="1">
      <alignment vertical="center"/>
    </xf>
    <xf numFmtId="41" fontId="43" fillId="0" borderId="0" xfId="0" applyNumberFormat="1" applyFont="1" applyProtection="1">
      <alignment vertical="center"/>
      <protection locked="0"/>
    </xf>
    <xf numFmtId="174" fontId="16" fillId="0" borderId="19" xfId="4" applyNumberFormat="1" applyFont="1" applyBorder="1" applyAlignment="1" applyProtection="1">
      <alignment vertical="center"/>
    </xf>
    <xf numFmtId="173" fontId="42" fillId="0" borderId="19" xfId="4" applyNumberFormat="1" applyFont="1" applyBorder="1" applyAlignment="1" applyProtection="1">
      <alignment vertical="center"/>
    </xf>
    <xf numFmtId="174" fontId="16" fillId="0" borderId="65" xfId="4" applyNumberFormat="1" applyFont="1" applyBorder="1" applyAlignment="1" applyProtection="1">
      <alignment vertical="center"/>
    </xf>
    <xf numFmtId="41" fontId="16" fillId="0" borderId="68" xfId="4" applyFont="1" applyBorder="1" applyAlignment="1" applyProtection="1">
      <alignment vertical="center"/>
    </xf>
    <xf numFmtId="0" fontId="96" fillId="0" borderId="0" xfId="0" applyFont="1" applyAlignment="1" applyProtection="1">
      <alignment horizontal="center" vertical="center"/>
      <protection locked="0"/>
    </xf>
    <xf numFmtId="178" fontId="0" fillId="0" borderId="0" xfId="0" applyNumberFormat="1" applyFont="1" applyProtection="1">
      <alignment vertical="center"/>
      <protection locked="0"/>
    </xf>
    <xf numFmtId="0" fontId="0" fillId="0" borderId="69" xfId="0" applyFont="1" applyBorder="1" applyProtection="1">
      <alignment vertical="center"/>
      <protection locked="0"/>
    </xf>
    <xf numFmtId="0" fontId="97" fillId="0" borderId="1" xfId="0" applyFont="1" applyBorder="1" applyAlignment="1">
      <alignment horizontal="center" vertical="center"/>
    </xf>
    <xf numFmtId="178" fontId="0" fillId="0" borderId="21" xfId="0" applyNumberFormat="1" applyFont="1" applyBorder="1" applyAlignment="1">
      <alignment horizontal="center" vertical="center"/>
    </xf>
    <xf numFmtId="0" fontId="97" fillId="0" borderId="70" xfId="0" applyFont="1" applyBorder="1" applyAlignment="1">
      <alignment horizontal="center" vertical="center"/>
    </xf>
    <xf numFmtId="179" fontId="0" fillId="0" borderId="107" xfId="0" applyNumberFormat="1" applyFont="1" applyBorder="1" applyAlignment="1">
      <alignment horizontal="center" vertical="center"/>
    </xf>
    <xf numFmtId="41" fontId="43" fillId="0" borderId="26" xfId="4" applyFont="1" applyBorder="1" applyAlignment="1" applyProtection="1">
      <alignment horizontal="left" vertical="center"/>
    </xf>
    <xf numFmtId="41" fontId="0" fillId="0" borderId="107" xfId="2" applyNumberFormat="1" applyFont="1" applyBorder="1" applyAlignment="1" applyProtection="1">
      <alignment vertical="center"/>
    </xf>
    <xf numFmtId="41" fontId="43" fillId="0" borderId="8" xfId="4" applyFont="1" applyBorder="1" applyAlignment="1" applyProtection="1">
      <alignment horizontal="left" vertical="center"/>
    </xf>
    <xf numFmtId="41" fontId="0" fillId="0" borderId="13" xfId="2" applyNumberFormat="1" applyFont="1" applyBorder="1" applyAlignment="1">
      <alignment vertical="center"/>
      <protection locked="0"/>
    </xf>
    <xf numFmtId="41" fontId="0" fillId="0" borderId="14" xfId="2" applyNumberFormat="1" applyFont="1" applyBorder="1" applyAlignment="1">
      <alignment vertical="center"/>
      <protection locked="0"/>
    </xf>
    <xf numFmtId="41" fontId="0" fillId="0" borderId="10" xfId="2" applyNumberFormat="1" applyFont="1" applyBorder="1" applyAlignment="1">
      <alignment vertical="center"/>
      <protection locked="0"/>
    </xf>
    <xf numFmtId="170" fontId="0" fillId="0" borderId="10" xfId="1" applyNumberFormat="1" applyFont="1" applyBorder="1" applyAlignment="1">
      <alignment vertical="center"/>
      <protection locked="0"/>
    </xf>
    <xf numFmtId="41" fontId="0" fillId="0" borderId="5" xfId="2" applyNumberFormat="1" applyFont="1" applyBorder="1" applyAlignment="1">
      <alignment vertical="center"/>
      <protection locked="0"/>
    </xf>
    <xf numFmtId="41" fontId="0" fillId="0" borderId="10" xfId="2" applyNumberFormat="1" applyFont="1" applyBorder="1" applyAlignment="1" applyProtection="1">
      <alignment vertical="center"/>
    </xf>
    <xf numFmtId="41" fontId="0" fillId="0" borderId="5" xfId="2" applyNumberFormat="1" applyFont="1" applyBorder="1" applyAlignment="1" applyProtection="1">
      <alignment vertical="center"/>
    </xf>
    <xf numFmtId="0" fontId="0" fillId="0" borderId="8" xfId="0" applyFont="1" applyBorder="1" applyAlignment="1" applyProtection="1">
      <alignment horizontal="center" vertical="center"/>
      <protection locked="0"/>
    </xf>
    <xf numFmtId="41" fontId="0" fillId="0" borderId="9" xfId="2" applyNumberFormat="1" applyFont="1" applyBorder="1" applyAlignment="1">
      <alignment vertical="center"/>
      <protection locked="0"/>
    </xf>
    <xf numFmtId="41" fontId="0" fillId="0" borderId="5" xfId="2" applyNumberFormat="1" applyFont="1" applyBorder="1" applyAlignment="1" applyProtection="1">
      <alignment vertical="center"/>
      <protection locked="0"/>
    </xf>
    <xf numFmtId="41" fontId="0" fillId="0" borderId="61" xfId="2" applyNumberFormat="1" applyFont="1" applyBorder="1" applyAlignment="1">
      <alignment vertical="center"/>
      <protection locked="0"/>
    </xf>
    <xf numFmtId="41" fontId="0" fillId="0" borderId="22" xfId="2" applyNumberFormat="1" applyFont="1" applyBorder="1" applyAlignment="1">
      <alignment vertical="center"/>
      <protection locked="0"/>
    </xf>
    <xf numFmtId="41" fontId="0" fillId="0" borderId="9" xfId="2" applyNumberFormat="1" applyFont="1" applyBorder="1" applyAlignment="1" applyProtection="1">
      <alignment vertical="center"/>
    </xf>
    <xf numFmtId="0" fontId="0" fillId="0" borderId="61" xfId="2" applyNumberFormat="1" applyFont="1" applyBorder="1" applyAlignment="1">
      <alignment vertical="center"/>
      <protection locked="0"/>
    </xf>
    <xf numFmtId="41" fontId="43" fillId="0" borderId="29" xfId="4" applyFont="1" applyBorder="1" applyAlignment="1" applyProtection="1">
      <alignment horizontal="left" vertical="center"/>
    </xf>
    <xf numFmtId="41" fontId="0" fillId="0" borderId="105" xfId="4" applyFont="1" applyBorder="1" applyAlignment="1" applyProtection="1">
      <alignment vertical="center"/>
    </xf>
    <xf numFmtId="0" fontId="97" fillId="0" borderId="0" xfId="0" applyFont="1" applyProtection="1">
      <alignment vertical="center"/>
      <protection locked="0"/>
    </xf>
    <xf numFmtId="0" fontId="24" fillId="0" borderId="0" xfId="0" applyFont="1">
      <alignment vertical="center"/>
    </xf>
    <xf numFmtId="0" fontId="0" fillId="0" borderId="54" xfId="0" applyFont="1" applyBorder="1" applyProtection="1">
      <alignment vertical="center"/>
      <protection locked="0"/>
    </xf>
    <xf numFmtId="41" fontId="0" fillId="0" borderId="72" xfId="2" applyNumberFormat="1" applyFont="1" applyBorder="1" applyAlignment="1" applyProtection="1">
      <alignment vertical="center"/>
    </xf>
    <xf numFmtId="41" fontId="0" fillId="0" borderId="40" xfId="2" applyNumberFormat="1" applyFont="1" applyBorder="1" applyAlignment="1" applyProtection="1">
      <alignment vertical="center"/>
    </xf>
    <xf numFmtId="41" fontId="0" fillId="0" borderId="53" xfId="2" applyNumberFormat="1" applyFont="1" applyBorder="1" applyAlignment="1">
      <alignment vertical="center"/>
      <protection locked="0"/>
    </xf>
    <xf numFmtId="41" fontId="0" fillId="0" borderId="43" xfId="2" applyNumberFormat="1" applyFont="1" applyBorder="1" applyAlignment="1" applyProtection="1">
      <alignment vertical="center"/>
    </xf>
    <xf numFmtId="41" fontId="0" fillId="0" borderId="11" xfId="2" applyNumberFormat="1" applyFont="1" applyBorder="1" applyAlignment="1">
      <alignment vertical="center"/>
      <protection locked="0"/>
    </xf>
    <xf numFmtId="41" fontId="0" fillId="0" borderId="38" xfId="2" applyNumberFormat="1" applyFont="1" applyBorder="1" applyAlignment="1">
      <alignment vertical="center"/>
      <protection locked="0"/>
    </xf>
    <xf numFmtId="41" fontId="0" fillId="0" borderId="43" xfId="2" applyNumberFormat="1" applyFont="1" applyBorder="1" applyAlignment="1">
      <alignment vertical="center"/>
      <protection locked="0"/>
    </xf>
    <xf numFmtId="41" fontId="0" fillId="0" borderId="54" xfId="0" applyNumberFormat="1" applyFont="1" applyBorder="1" applyProtection="1">
      <alignment vertical="center"/>
      <protection locked="0"/>
    </xf>
    <xf numFmtId="41" fontId="0" fillId="0" borderId="55" xfId="2" applyNumberFormat="1" applyFont="1" applyBorder="1" applyAlignment="1">
      <alignment vertical="center"/>
      <protection locked="0"/>
    </xf>
    <xf numFmtId="41" fontId="0" fillId="0" borderId="23" xfId="2" applyNumberFormat="1" applyFont="1" applyBorder="1" applyAlignment="1" applyProtection="1">
      <alignment vertical="center"/>
    </xf>
    <xf numFmtId="41" fontId="0" fillId="0" borderId="42" xfId="2" applyNumberFormat="1" applyFont="1" applyBorder="1" applyAlignment="1" applyProtection="1">
      <alignment vertical="center"/>
    </xf>
    <xf numFmtId="41" fontId="0" fillId="0" borderId="17" xfId="4" applyFont="1" applyBorder="1" applyAlignment="1" applyProtection="1">
      <alignment vertical="center"/>
    </xf>
    <xf numFmtId="41" fontId="0" fillId="0" borderId="88" xfId="4" applyFont="1" applyBorder="1" applyAlignment="1" applyProtection="1">
      <alignment vertical="center"/>
    </xf>
    <xf numFmtId="0" fontId="34" fillId="0" borderId="71" xfId="0" applyFont="1" applyBorder="1" applyProtection="1">
      <alignment vertical="center"/>
      <protection locked="0"/>
    </xf>
    <xf numFmtId="41" fontId="0" fillId="0" borderId="0" xfId="2" applyNumberFormat="1" applyFont="1" applyAlignment="1">
      <alignment vertical="center"/>
      <protection locked="0"/>
    </xf>
    <xf numFmtId="0" fontId="98" fillId="0" borderId="0" xfId="0" applyFont="1" applyProtection="1">
      <alignment vertical="center"/>
      <protection locked="0"/>
    </xf>
    <xf numFmtId="0" fontId="99" fillId="0" borderId="0" xfId="0" applyFont="1" applyProtection="1">
      <alignment vertical="center"/>
      <protection locked="0"/>
    </xf>
    <xf numFmtId="180" fontId="43" fillId="0" borderId="0" xfId="4" applyNumberFormat="1" applyFont="1" applyAlignment="1">
      <alignment vertical="center"/>
      <protection locked="0"/>
    </xf>
    <xf numFmtId="180" fontId="56" fillId="0" borderId="0" xfId="4" applyNumberFormat="1" applyFont="1" applyAlignment="1" applyProtection="1">
      <alignment vertical="center"/>
    </xf>
    <xf numFmtId="180" fontId="67" fillId="0" borderId="0" xfId="4" applyNumberFormat="1" applyFont="1" applyAlignment="1">
      <alignment vertical="center"/>
      <protection locked="0"/>
    </xf>
    <xf numFmtId="180" fontId="67" fillId="0" borderId="0" xfId="4" applyNumberFormat="1" applyFont="1" applyAlignment="1">
      <alignment horizontal="left" vertical="center"/>
      <protection locked="0"/>
    </xf>
    <xf numFmtId="180" fontId="43" fillId="0" borderId="0" xfId="4" applyNumberFormat="1" applyFont="1" applyAlignment="1">
      <alignment horizontal="left" vertical="center"/>
      <protection locked="0"/>
    </xf>
    <xf numFmtId="0" fontId="43" fillId="0" borderId="26" xfId="0" applyFont="1" applyBorder="1" applyAlignment="1" applyProtection="1">
      <alignment horizontal="center" vertical="center"/>
      <protection locked="0"/>
    </xf>
    <xf numFmtId="41" fontId="43" fillId="0" borderId="28" xfId="4" applyFont="1" applyBorder="1" applyAlignment="1" applyProtection="1">
      <alignment horizontal="left" vertical="center"/>
    </xf>
    <xf numFmtId="180" fontId="43" fillId="0" borderId="5" xfId="4" applyNumberFormat="1" applyFont="1" applyBorder="1" applyAlignment="1" applyProtection="1">
      <alignment horizontal="center" vertical="center"/>
    </xf>
    <xf numFmtId="180" fontId="43" fillId="0" borderId="6" xfId="4" applyNumberFormat="1" applyFont="1" applyBorder="1" applyAlignment="1" applyProtection="1">
      <alignment horizontal="center" vertical="center"/>
    </xf>
    <xf numFmtId="180" fontId="43" fillId="0" borderId="6" xfId="4" applyNumberFormat="1" applyFont="1" applyBorder="1" applyAlignment="1">
      <alignment horizontal="center" vertical="center"/>
      <protection locked="0"/>
    </xf>
    <xf numFmtId="0" fontId="43" fillId="0" borderId="8" xfId="0" applyFont="1" applyBorder="1" applyAlignment="1" applyProtection="1">
      <alignment horizontal="center" vertical="center"/>
      <protection locked="0"/>
    </xf>
    <xf numFmtId="41" fontId="43" fillId="0" borderId="7" xfId="4" applyFont="1" applyBorder="1" applyAlignment="1" applyProtection="1">
      <alignment horizontal="left" vertical="center"/>
    </xf>
    <xf numFmtId="41" fontId="43" fillId="0" borderId="6" xfId="4" applyFont="1" applyBorder="1" applyAlignment="1" applyProtection="1">
      <alignment horizontal="center" vertical="center"/>
    </xf>
    <xf numFmtId="41" fontId="43" fillId="0" borderId="14" xfId="4" applyFont="1" applyBorder="1" applyAlignment="1" applyProtection="1">
      <alignment horizontal="center" vertical="center"/>
    </xf>
    <xf numFmtId="41" fontId="43" fillId="0" borderId="10" xfId="4" applyFont="1" applyBorder="1" applyAlignment="1">
      <alignment horizontal="center" vertical="center"/>
      <protection locked="0"/>
    </xf>
    <xf numFmtId="180" fontId="43" fillId="0" borderId="9" xfId="4" applyNumberFormat="1" applyFont="1" applyBorder="1" applyAlignment="1" applyProtection="1">
      <alignment horizontal="center" vertical="center"/>
    </xf>
    <xf numFmtId="180" fontId="43" fillId="0" borderId="10" xfId="4" applyNumberFormat="1" applyFont="1" applyBorder="1" applyAlignment="1" applyProtection="1">
      <alignment horizontal="center" vertical="center"/>
    </xf>
    <xf numFmtId="41" fontId="43" fillId="0" borderId="9" xfId="4" applyFont="1" applyBorder="1" applyAlignment="1" applyProtection="1">
      <alignment horizontal="center" vertical="center"/>
    </xf>
    <xf numFmtId="41" fontId="43" fillId="0" borderId="10" xfId="4" applyFont="1" applyBorder="1" applyAlignment="1" applyProtection="1">
      <alignment horizontal="center" vertical="center"/>
    </xf>
    <xf numFmtId="0" fontId="100" fillId="0" borderId="0" xfId="0" applyFont="1" applyProtection="1">
      <alignment vertical="center"/>
      <protection locked="0"/>
    </xf>
    <xf numFmtId="0" fontId="67" fillId="0" borderId="0" xfId="0" applyFont="1" applyProtection="1">
      <alignment vertical="center"/>
      <protection locked="0"/>
    </xf>
    <xf numFmtId="0" fontId="101" fillId="0" borderId="0" xfId="0" applyFont="1" applyProtection="1">
      <alignment vertical="center"/>
      <protection locked="0"/>
    </xf>
    <xf numFmtId="180" fontId="43" fillId="0" borderId="56" xfId="4" applyNumberFormat="1" applyFont="1" applyBorder="1" applyAlignment="1">
      <alignment horizontal="center" vertical="center"/>
      <protection locked="0"/>
    </xf>
    <xf numFmtId="180" fontId="43" fillId="0" borderId="7" xfId="0" applyNumberFormat="1" applyFont="1" applyBorder="1" applyProtection="1">
      <alignment vertical="center"/>
      <protection locked="0"/>
    </xf>
    <xf numFmtId="0" fontId="43" fillId="2" borderId="1" xfId="0" applyFont="1" applyFill="1" applyBorder="1" applyProtection="1">
      <alignment vertical="center"/>
      <protection locked="0"/>
    </xf>
    <xf numFmtId="0" fontId="43" fillId="2" borderId="104" xfId="0" applyFont="1" applyFill="1" applyBorder="1" applyProtection="1">
      <alignment vertical="center"/>
      <protection locked="0"/>
    </xf>
    <xf numFmtId="0" fontId="43" fillId="0" borderId="11" xfId="0" applyFont="1" applyBorder="1" applyProtection="1">
      <alignment vertical="center"/>
      <protection locked="0"/>
    </xf>
    <xf numFmtId="180" fontId="43" fillId="0" borderId="0" xfId="0" applyNumberFormat="1" applyFont="1" applyProtection="1">
      <alignment vertical="center"/>
      <protection locked="0"/>
    </xf>
    <xf numFmtId="0" fontId="43" fillId="0" borderId="70" xfId="0" applyFont="1" applyBorder="1" applyProtection="1">
      <alignment vertical="center"/>
      <protection locked="0"/>
    </xf>
    <xf numFmtId="0" fontId="43" fillId="0" borderId="71" xfId="0" applyFont="1" applyBorder="1" applyProtection="1">
      <alignment vertical="center"/>
      <protection locked="0"/>
    </xf>
    <xf numFmtId="0" fontId="43" fillId="0" borderId="54" xfId="0" applyFont="1" applyBorder="1" applyProtection="1">
      <alignment vertical="center"/>
      <protection locked="0"/>
    </xf>
    <xf numFmtId="180" fontId="43" fillId="0" borderId="50" xfId="4" applyNumberFormat="1" applyFont="1" applyBorder="1" applyAlignment="1">
      <alignment horizontal="center" vertical="center"/>
      <protection locked="0"/>
    </xf>
    <xf numFmtId="41" fontId="43" fillId="0" borderId="11" xfId="0" applyNumberFormat="1" applyFont="1" applyBorder="1" applyProtection="1">
      <alignment vertical="center"/>
      <protection locked="0"/>
    </xf>
    <xf numFmtId="41" fontId="43" fillId="0" borderId="0" xfId="0" applyNumberFormat="1" applyFont="1" applyBorder="1" applyProtection="1">
      <alignment vertical="center"/>
      <protection locked="0"/>
    </xf>
    <xf numFmtId="180" fontId="43" fillId="0" borderId="50" xfId="4" applyNumberFormat="1" applyFont="1" applyBorder="1" applyAlignment="1">
      <alignment vertical="center"/>
      <protection locked="0"/>
    </xf>
    <xf numFmtId="0" fontId="43" fillId="0" borderId="0" xfId="0" applyFont="1" applyBorder="1" applyProtection="1">
      <alignment vertical="center"/>
      <protection locked="0"/>
    </xf>
    <xf numFmtId="180" fontId="43" fillId="0" borderId="11" xfId="0" applyNumberFormat="1" applyFont="1" applyBorder="1" applyProtection="1">
      <alignment vertical="center"/>
      <protection locked="0"/>
    </xf>
    <xf numFmtId="41" fontId="43" fillId="0" borderId="50" xfId="4" applyFont="1" applyBorder="1" applyAlignment="1">
      <alignment vertical="center"/>
      <protection locked="0"/>
    </xf>
    <xf numFmtId="0" fontId="43" fillId="4" borderId="0" xfId="0" applyFont="1" applyFill="1" applyProtection="1">
      <alignment vertical="center"/>
      <protection locked="0"/>
    </xf>
    <xf numFmtId="0" fontId="43" fillId="0" borderId="0" xfId="0" applyFont="1" applyBorder="1" applyAlignment="1" applyProtection="1">
      <alignment vertical="center"/>
      <protection locked="0"/>
    </xf>
    <xf numFmtId="41" fontId="43" fillId="0" borderId="10" xfId="4" applyFont="1" applyBorder="1" applyAlignment="1">
      <alignment vertical="center"/>
      <protection locked="0"/>
    </xf>
    <xf numFmtId="41" fontId="43" fillId="0" borderId="56" xfId="4" applyFont="1" applyBorder="1" applyAlignment="1">
      <alignment vertical="center"/>
      <protection locked="0"/>
    </xf>
    <xf numFmtId="41" fontId="43" fillId="0" borderId="7" xfId="0" applyNumberFormat="1" applyFont="1" applyBorder="1" applyProtection="1">
      <alignment vertical="center"/>
      <protection locked="0"/>
    </xf>
    <xf numFmtId="180" fontId="43" fillId="0" borderId="10" xfId="4" applyNumberFormat="1" applyFont="1" applyBorder="1" applyAlignment="1">
      <alignment vertical="center"/>
      <protection locked="0"/>
    </xf>
    <xf numFmtId="180" fontId="43" fillId="0" borderId="56" xfId="4" applyNumberFormat="1" applyFont="1" applyBorder="1" applyAlignment="1">
      <alignment vertical="center"/>
      <protection locked="0"/>
    </xf>
    <xf numFmtId="0" fontId="43" fillId="0" borderId="7" xfId="0" applyFont="1" applyBorder="1" applyProtection="1">
      <alignment vertical="center"/>
      <protection locked="0"/>
    </xf>
    <xf numFmtId="43" fontId="43" fillId="0" borderId="0" xfId="0" applyNumberFormat="1" applyFont="1" applyProtection="1">
      <alignment vertical="center"/>
      <protection locked="0"/>
    </xf>
    <xf numFmtId="0" fontId="43" fillId="2" borderId="3" xfId="0" applyFont="1" applyFill="1" applyBorder="1" applyProtection="1">
      <alignment vertical="center"/>
      <protection locked="0"/>
    </xf>
    <xf numFmtId="0" fontId="43" fillId="0" borderId="72" xfId="0" applyFont="1" applyBorder="1" applyProtection="1">
      <alignment vertical="center"/>
      <protection locked="0"/>
    </xf>
    <xf numFmtId="0" fontId="43" fillId="2" borderId="70" xfId="0" applyFont="1" applyFill="1" applyBorder="1" applyAlignment="1" applyProtection="1">
      <alignment vertical="center"/>
      <protection locked="0"/>
    </xf>
    <xf numFmtId="0" fontId="43" fillId="0" borderId="71" xfId="0" applyFont="1" applyBorder="1" applyAlignment="1" applyProtection="1">
      <alignment vertical="center"/>
      <protection locked="0"/>
    </xf>
    <xf numFmtId="41" fontId="43" fillId="0" borderId="71" xfId="0" applyNumberFormat="1" applyFont="1" applyBorder="1" applyAlignment="1" applyProtection="1">
      <alignment vertical="center"/>
      <protection locked="0"/>
    </xf>
    <xf numFmtId="43" fontId="43" fillId="0" borderId="72" xfId="0" applyNumberFormat="1" applyFont="1" applyBorder="1" applyAlignment="1" applyProtection="1">
      <alignment vertical="center"/>
      <protection locked="0"/>
    </xf>
    <xf numFmtId="43" fontId="43" fillId="0" borderId="2" xfId="0" applyNumberFormat="1" applyFont="1" applyFill="1" applyBorder="1" applyAlignment="1" applyProtection="1">
      <alignment vertical="center"/>
      <protection locked="0"/>
    </xf>
    <xf numFmtId="0" fontId="43" fillId="0" borderId="54" xfId="0" applyFont="1" applyBorder="1" applyAlignment="1" applyProtection="1">
      <alignment vertical="center"/>
      <protection locked="0"/>
    </xf>
    <xf numFmtId="41" fontId="43" fillId="0" borderId="0" xfId="0" applyNumberFormat="1" applyFont="1" applyBorder="1" applyAlignment="1" applyProtection="1">
      <alignment vertical="center"/>
      <protection locked="0"/>
    </xf>
    <xf numFmtId="41" fontId="43" fillId="0" borderId="55" xfId="0" applyNumberFormat="1" applyFont="1" applyBorder="1" applyAlignment="1" applyProtection="1">
      <alignment vertical="center"/>
      <protection locked="0"/>
    </xf>
    <xf numFmtId="0" fontId="43" fillId="0" borderId="55" xfId="0" applyFont="1" applyBorder="1" applyAlignment="1" applyProtection="1">
      <alignment vertical="center"/>
      <protection locked="0"/>
    </xf>
    <xf numFmtId="0" fontId="43" fillId="0" borderId="16" xfId="0" applyFont="1" applyBorder="1" applyAlignment="1" applyProtection="1">
      <alignment vertical="center"/>
      <protection locked="0"/>
    </xf>
    <xf numFmtId="43" fontId="43" fillId="2" borderId="69" xfId="0" applyNumberFormat="1" applyFont="1" applyFill="1" applyBorder="1" applyAlignment="1" applyProtection="1">
      <alignment vertical="center"/>
      <protection locked="0"/>
    </xf>
    <xf numFmtId="41" fontId="43" fillId="0" borderId="55" xfId="0" applyNumberFormat="1" applyFont="1" applyBorder="1" applyProtection="1">
      <alignment vertical="center"/>
      <protection locked="0"/>
    </xf>
    <xf numFmtId="0" fontId="43" fillId="0" borderId="0" xfId="0" applyFont="1" applyAlignment="1" applyProtection="1">
      <alignment vertical="center"/>
      <protection locked="0"/>
    </xf>
    <xf numFmtId="0" fontId="43" fillId="0" borderId="69" xfId="0" applyFont="1" applyBorder="1" applyAlignment="1" applyProtection="1">
      <alignment vertical="center"/>
      <protection locked="0"/>
    </xf>
    <xf numFmtId="43" fontId="43" fillId="2" borderId="17" xfId="0" applyNumberFormat="1" applyFont="1" applyFill="1" applyBorder="1" applyAlignment="1" applyProtection="1">
      <alignment vertical="center"/>
      <protection locked="0"/>
    </xf>
    <xf numFmtId="0" fontId="43" fillId="2" borderId="57" xfId="0" applyFont="1" applyFill="1" applyBorder="1" applyAlignment="1" applyProtection="1">
      <alignment vertical="center"/>
      <protection locked="0"/>
    </xf>
    <xf numFmtId="0" fontId="43" fillId="2" borderId="90" xfId="0" applyFont="1" applyFill="1" applyBorder="1" applyAlignment="1" applyProtection="1">
      <alignment vertical="center"/>
      <protection locked="0"/>
    </xf>
    <xf numFmtId="0" fontId="43" fillId="2" borderId="13" xfId="0" applyFont="1" applyFill="1" applyBorder="1" applyAlignment="1" applyProtection="1">
      <alignment vertical="center"/>
      <protection locked="0"/>
    </xf>
    <xf numFmtId="0" fontId="43" fillId="0" borderId="60" xfId="0" applyFont="1" applyBorder="1" applyAlignment="1" applyProtection="1">
      <alignment vertical="center"/>
      <protection locked="0"/>
    </xf>
    <xf numFmtId="41" fontId="43" fillId="0" borderId="61" xfId="0" applyNumberFormat="1" applyFont="1" applyBorder="1" applyAlignment="1" applyProtection="1">
      <alignment vertical="center"/>
      <protection locked="0"/>
    </xf>
    <xf numFmtId="0" fontId="43" fillId="0" borderId="61" xfId="0" applyFont="1" applyBorder="1" applyAlignment="1" applyProtection="1">
      <alignment vertical="center"/>
      <protection locked="0"/>
    </xf>
    <xf numFmtId="0" fontId="43" fillId="0" borderId="56" xfId="0" applyFont="1" applyBorder="1" applyAlignment="1" applyProtection="1">
      <alignment vertical="center"/>
      <protection locked="0"/>
    </xf>
    <xf numFmtId="41" fontId="43" fillId="0" borderId="76" xfId="0" applyNumberFormat="1" applyFont="1" applyBorder="1" applyAlignment="1" applyProtection="1">
      <alignment vertical="center"/>
      <protection locked="0"/>
    </xf>
    <xf numFmtId="0" fontId="43" fillId="0" borderId="76" xfId="0" applyFont="1" applyBorder="1" applyAlignment="1" applyProtection="1">
      <alignment vertical="center"/>
      <protection locked="0"/>
    </xf>
    <xf numFmtId="41" fontId="43" fillId="2" borderId="5" xfId="0" applyNumberFormat="1" applyFont="1" applyFill="1" applyBorder="1" applyAlignment="1" applyProtection="1">
      <alignment vertical="center"/>
      <protection locked="0"/>
    </xf>
    <xf numFmtId="43" fontId="43" fillId="0" borderId="61" xfId="0" applyNumberFormat="1" applyFont="1" applyBorder="1" applyAlignment="1" applyProtection="1">
      <alignment vertical="center"/>
      <protection locked="0"/>
    </xf>
    <xf numFmtId="0" fontId="43" fillId="2" borderId="5" xfId="0" applyFont="1" applyFill="1" applyBorder="1" applyAlignment="1" applyProtection="1">
      <alignment vertical="center"/>
      <protection locked="0"/>
    </xf>
    <xf numFmtId="0" fontId="43" fillId="2" borderId="71" xfId="0" applyFont="1" applyFill="1" applyBorder="1" applyAlignment="1" applyProtection="1">
      <alignment vertical="center"/>
      <protection locked="0"/>
    </xf>
    <xf numFmtId="0" fontId="43" fillId="2" borderId="72" xfId="0" applyFont="1" applyFill="1" applyBorder="1" applyAlignment="1" applyProtection="1">
      <alignment vertical="center"/>
      <protection locked="0"/>
    </xf>
    <xf numFmtId="0" fontId="43" fillId="2" borderId="95" xfId="0" applyFont="1" applyFill="1" applyBorder="1" applyAlignment="1" applyProtection="1">
      <alignment vertical="center"/>
      <protection locked="0"/>
    </xf>
    <xf numFmtId="0" fontId="43" fillId="0" borderId="0" xfId="0" applyFont="1" applyFill="1" applyAlignment="1" applyProtection="1">
      <alignment vertical="center"/>
      <protection locked="0"/>
    </xf>
    <xf numFmtId="43" fontId="43" fillId="0" borderId="55" xfId="0" applyNumberFormat="1" applyFont="1" applyBorder="1" applyAlignment="1" applyProtection="1">
      <alignment vertical="center"/>
      <protection locked="0"/>
    </xf>
    <xf numFmtId="41" fontId="43" fillId="0" borderId="35" xfId="0" applyNumberFormat="1" applyFont="1" applyFill="1" applyBorder="1" applyAlignment="1" applyProtection="1">
      <alignment vertical="center"/>
      <protection locked="0"/>
    </xf>
    <xf numFmtId="41" fontId="43" fillId="0" borderId="0" xfId="0" applyNumberFormat="1" applyFont="1" applyFill="1" applyAlignment="1" applyProtection="1">
      <alignment vertical="center"/>
      <protection locked="0"/>
    </xf>
    <xf numFmtId="0" fontId="43" fillId="0" borderId="34" xfId="0" applyFont="1" applyFill="1" applyBorder="1" applyAlignment="1" applyProtection="1">
      <alignment vertical="center"/>
      <protection locked="0"/>
    </xf>
    <xf numFmtId="43" fontId="43" fillId="0" borderId="0" xfId="0" applyNumberFormat="1" applyFont="1" applyFill="1" applyAlignment="1" applyProtection="1">
      <alignment vertical="center"/>
      <protection locked="0"/>
    </xf>
    <xf numFmtId="0" fontId="43" fillId="0" borderId="54" xfId="0" applyFont="1" applyFill="1" applyBorder="1" applyAlignment="1" applyProtection="1">
      <alignment vertical="center"/>
      <protection locked="0"/>
    </xf>
    <xf numFmtId="41" fontId="43" fillId="0" borderId="0" xfId="0" applyNumberFormat="1" applyFont="1" applyFill="1" applyBorder="1" applyAlignment="1" applyProtection="1">
      <alignment vertical="center"/>
      <protection locked="0"/>
    </xf>
    <xf numFmtId="43" fontId="43" fillId="0" borderId="55" xfId="0" applyNumberFormat="1" applyFont="1" applyFill="1" applyBorder="1" applyAlignment="1" applyProtection="1">
      <alignment vertical="center"/>
      <protection locked="0"/>
    </xf>
    <xf numFmtId="41" fontId="43" fillId="0" borderId="0" xfId="0" applyNumberFormat="1" applyFont="1" applyAlignment="1" applyProtection="1">
      <alignment vertical="center"/>
      <protection locked="0"/>
    </xf>
    <xf numFmtId="0" fontId="43" fillId="0" borderId="16" xfId="0" applyFont="1" applyFill="1" applyBorder="1" applyAlignment="1" applyProtection="1">
      <alignment vertical="center"/>
      <protection locked="0"/>
    </xf>
    <xf numFmtId="0" fontId="43" fillId="0" borderId="69" xfId="0" applyFont="1" applyFill="1" applyBorder="1" applyAlignment="1" applyProtection="1">
      <alignment vertical="center"/>
      <protection locked="0"/>
    </xf>
    <xf numFmtId="0" fontId="43" fillId="2" borderId="60" xfId="0" applyFont="1" applyFill="1" applyBorder="1" applyAlignment="1" applyProtection="1">
      <alignment vertical="center"/>
      <protection locked="0"/>
    </xf>
    <xf numFmtId="0" fontId="43" fillId="2" borderId="0" xfId="0" applyFont="1" applyFill="1" applyBorder="1" applyAlignment="1" applyProtection="1">
      <alignment vertical="center"/>
      <protection locked="0"/>
    </xf>
    <xf numFmtId="43" fontId="43" fillId="2" borderId="5" xfId="0" applyNumberFormat="1" applyFont="1" applyFill="1" applyBorder="1" applyAlignment="1" applyProtection="1">
      <alignment vertical="center"/>
      <protection locked="0"/>
    </xf>
    <xf numFmtId="0" fontId="43" fillId="2" borderId="10" xfId="0" applyFont="1" applyFill="1" applyBorder="1" applyAlignment="1" applyProtection="1">
      <alignment vertical="center"/>
      <protection locked="0"/>
    </xf>
    <xf numFmtId="41" fontId="43" fillId="0" borderId="10" xfId="0" applyNumberFormat="1" applyFont="1" applyBorder="1" applyAlignment="1" applyProtection="1">
      <alignment vertical="center"/>
      <protection locked="0"/>
    </xf>
    <xf numFmtId="43" fontId="43" fillId="0" borderId="10" xfId="0" applyNumberFormat="1" applyFont="1" applyBorder="1" applyAlignment="1" applyProtection="1">
      <alignment vertical="center"/>
      <protection locked="0"/>
    </xf>
    <xf numFmtId="41" fontId="43" fillId="2" borderId="76" xfId="0" applyNumberFormat="1" applyFont="1" applyFill="1" applyBorder="1" applyAlignment="1" applyProtection="1">
      <alignment vertical="center"/>
      <protection locked="0"/>
    </xf>
    <xf numFmtId="0" fontId="43" fillId="0" borderId="10" xfId="0" applyFont="1" applyBorder="1" applyAlignment="1" applyProtection="1">
      <alignment vertical="center"/>
      <protection locked="0"/>
    </xf>
    <xf numFmtId="0" fontId="43" fillId="0" borderId="17" xfId="0" applyFont="1" applyBorder="1" applyProtection="1">
      <alignment vertical="center"/>
      <protection locked="0"/>
    </xf>
    <xf numFmtId="170" fontId="43" fillId="0" borderId="0" xfId="0" applyNumberFormat="1" applyFont="1" applyProtection="1">
      <alignment vertical="center"/>
      <protection locked="0"/>
    </xf>
    <xf numFmtId="41" fontId="43" fillId="0" borderId="54" xfId="0" applyNumberFormat="1" applyFont="1" applyBorder="1" applyAlignment="1" applyProtection="1">
      <alignment vertical="center"/>
      <protection locked="0"/>
    </xf>
    <xf numFmtId="41" fontId="43" fillId="2" borderId="17" xfId="0" applyNumberFormat="1" applyFont="1" applyFill="1" applyBorder="1" applyAlignment="1" applyProtection="1">
      <alignment vertical="center"/>
      <protection locked="0"/>
    </xf>
    <xf numFmtId="180" fontId="43" fillId="0" borderId="9" xfId="4" applyNumberFormat="1" applyFont="1" applyBorder="1" applyAlignment="1">
      <alignment horizontal="center" vertical="center"/>
      <protection locked="0"/>
    </xf>
    <xf numFmtId="180" fontId="43" fillId="0" borderId="10" xfId="4" applyNumberFormat="1" applyFont="1" applyBorder="1" applyAlignment="1">
      <alignment horizontal="center" vertical="center"/>
      <protection locked="0"/>
    </xf>
    <xf numFmtId="41" fontId="43" fillId="0" borderId="11" xfId="4" applyFont="1" applyBorder="1" applyAlignment="1">
      <alignment horizontal="left" vertical="center"/>
      <protection locked="0"/>
    </xf>
    <xf numFmtId="0" fontId="43" fillId="0" borderId="29" xfId="0" applyFont="1" applyBorder="1" applyAlignment="1" applyProtection="1">
      <alignment horizontal="center" vertical="center"/>
      <protection locked="0"/>
    </xf>
    <xf numFmtId="0" fontId="43" fillId="0" borderId="25" xfId="0" applyFont="1" applyBorder="1" applyProtection="1">
      <alignment vertical="center"/>
      <protection locked="0"/>
    </xf>
    <xf numFmtId="180" fontId="43" fillId="0" borderId="66" xfId="4" applyNumberFormat="1" applyFont="1" applyBorder="1" applyAlignment="1">
      <alignment vertical="center"/>
      <protection locked="0"/>
    </xf>
    <xf numFmtId="180" fontId="43" fillId="0" borderId="20" xfId="4" applyNumberFormat="1" applyFont="1" applyBorder="1" applyAlignment="1">
      <alignment vertical="center"/>
      <protection locked="0"/>
    </xf>
    <xf numFmtId="180" fontId="43" fillId="0" borderId="20" xfId="4" applyNumberFormat="1" applyFont="1" applyBorder="1" applyAlignment="1">
      <alignment horizontal="center" vertical="center"/>
      <protection locked="0"/>
    </xf>
    <xf numFmtId="0" fontId="43" fillId="0" borderId="61" xfId="0" applyFont="1" applyBorder="1" applyProtection="1">
      <alignment vertical="center"/>
      <protection locked="0"/>
    </xf>
    <xf numFmtId="0" fontId="102" fillId="0" borderId="0" xfId="0" applyFont="1" applyProtection="1">
      <alignment vertical="center"/>
      <protection locked="0"/>
    </xf>
    <xf numFmtId="180" fontId="102" fillId="0" borderId="0" xfId="4" applyNumberFormat="1" applyFont="1" applyAlignment="1">
      <alignment vertical="center"/>
      <protection locked="0"/>
    </xf>
    <xf numFmtId="180" fontId="56" fillId="0" borderId="0" xfId="4" applyNumberFormat="1" applyFont="1" applyAlignment="1">
      <alignment vertical="center"/>
      <protection locked="0"/>
    </xf>
    <xf numFmtId="180" fontId="43" fillId="0" borderId="57" xfId="4" applyNumberFormat="1" applyFont="1" applyBorder="1" applyAlignment="1">
      <alignment vertical="center"/>
      <protection locked="0"/>
    </xf>
    <xf numFmtId="0" fontId="43" fillId="0" borderId="15" xfId="0" applyFont="1" applyBorder="1" applyProtection="1">
      <alignment vertical="center"/>
      <protection locked="0"/>
    </xf>
    <xf numFmtId="41" fontId="43" fillId="0" borderId="54" xfId="0" applyNumberFormat="1" applyFont="1" applyBorder="1" applyProtection="1">
      <alignment vertical="center"/>
      <protection locked="0"/>
    </xf>
    <xf numFmtId="0" fontId="43" fillId="0" borderId="16" xfId="0" applyFont="1" applyBorder="1" applyProtection="1">
      <alignment vertical="center"/>
      <protection locked="0"/>
    </xf>
    <xf numFmtId="0" fontId="43" fillId="0" borderId="69" xfId="0" applyFont="1" applyBorder="1" applyProtection="1">
      <alignment vertical="center"/>
      <protection locked="0"/>
    </xf>
    <xf numFmtId="180" fontId="43" fillId="0" borderId="58" xfId="4" applyNumberFormat="1" applyFont="1" applyBorder="1" applyAlignment="1">
      <alignment vertical="center"/>
      <protection locked="0"/>
    </xf>
    <xf numFmtId="9" fontId="43" fillId="0" borderId="0" xfId="3" applyFont="1" applyAlignment="1">
      <alignment vertical="center"/>
      <protection locked="0"/>
    </xf>
    <xf numFmtId="0" fontId="103" fillId="0" borderId="0" xfId="0" applyFont="1" applyProtection="1">
      <alignment vertical="center"/>
      <protection locked="0"/>
    </xf>
    <xf numFmtId="0" fontId="56" fillId="0" borderId="95" xfId="0" applyFont="1" applyBorder="1" applyAlignment="1">
      <alignment horizontal="center" vertical="center"/>
    </xf>
    <xf numFmtId="0" fontId="56" fillId="0" borderId="70" xfId="0" applyFont="1" applyBorder="1" applyAlignment="1">
      <alignment horizontal="center" vertical="center"/>
    </xf>
    <xf numFmtId="0" fontId="56" fillId="0" borderId="1" xfId="0" applyFont="1" applyBorder="1" applyAlignment="1">
      <alignment horizontal="center" vertical="center"/>
    </xf>
    <xf numFmtId="0" fontId="56" fillId="0" borderId="34" xfId="0" applyFont="1" applyBorder="1" applyAlignment="1">
      <alignment horizontal="center" vertical="center"/>
    </xf>
    <xf numFmtId="0" fontId="56" fillId="0" borderId="17" xfId="0" applyFont="1" applyBorder="1" applyAlignment="1">
      <alignment horizontal="center" vertical="center"/>
    </xf>
    <xf numFmtId="0" fontId="43" fillId="0" borderId="35" xfId="0" applyFont="1" applyBorder="1" applyAlignment="1">
      <alignment horizontal="center" vertical="center"/>
    </xf>
    <xf numFmtId="41" fontId="43" fillId="0" borderId="35" xfId="4" applyFont="1" applyBorder="1" applyAlignment="1">
      <alignment vertical="center"/>
      <protection locked="0"/>
    </xf>
    <xf numFmtId="41" fontId="43" fillId="0" borderId="54" xfId="4" applyFont="1" applyBorder="1" applyAlignment="1">
      <alignment vertical="center"/>
      <protection locked="0"/>
    </xf>
    <xf numFmtId="41" fontId="43" fillId="0" borderId="37" xfId="4" applyFont="1" applyBorder="1" applyAlignment="1" applyProtection="1">
      <alignment vertical="center"/>
    </xf>
    <xf numFmtId="41" fontId="43" fillId="0" borderId="55" xfId="4" applyFont="1" applyBorder="1" applyAlignment="1" applyProtection="1">
      <alignment vertical="center"/>
    </xf>
    <xf numFmtId="9" fontId="43" fillId="0" borderId="37" xfId="3" applyFont="1" applyBorder="1" applyAlignment="1" applyProtection="1">
      <alignment vertical="center"/>
    </xf>
    <xf numFmtId="0" fontId="43" fillId="0" borderId="42" xfId="0" applyFont="1" applyBorder="1" applyAlignment="1">
      <alignment horizontal="center" vertical="center"/>
    </xf>
    <xf numFmtId="41" fontId="43" fillId="0" borderId="42" xfId="4" applyFont="1" applyBorder="1" applyAlignment="1">
      <alignment vertical="center"/>
      <protection locked="0"/>
    </xf>
    <xf numFmtId="41" fontId="43" fillId="0" borderId="51" xfId="4" applyFont="1" applyBorder="1" applyAlignment="1">
      <alignment vertical="center"/>
      <protection locked="0"/>
    </xf>
    <xf numFmtId="41" fontId="43" fillId="0" borderId="42" xfId="4" applyFont="1" applyBorder="1" applyAlignment="1" applyProtection="1">
      <alignment vertical="center"/>
    </xf>
    <xf numFmtId="41" fontId="43" fillId="0" borderId="43" xfId="4" applyFont="1" applyBorder="1" applyAlignment="1" applyProtection="1">
      <alignment vertical="center"/>
    </xf>
    <xf numFmtId="9" fontId="43" fillId="0" borderId="42" xfId="3" applyFont="1" applyBorder="1" applyAlignment="1" applyProtection="1">
      <alignment vertical="center"/>
    </xf>
    <xf numFmtId="0" fontId="43" fillId="0" borderId="44" xfId="0" applyFont="1" applyBorder="1" applyAlignment="1">
      <alignment horizontal="center" vertical="center"/>
    </xf>
    <xf numFmtId="41" fontId="43" fillId="0" borderId="34" xfId="4" applyFont="1" applyBorder="1" applyAlignment="1">
      <alignment vertical="center"/>
      <protection locked="0"/>
    </xf>
    <xf numFmtId="41" fontId="43" fillId="0" borderId="16" xfId="4" applyFont="1" applyBorder="1" applyAlignment="1">
      <alignment vertical="center"/>
      <protection locked="0"/>
    </xf>
    <xf numFmtId="41" fontId="43" fillId="0" borderId="44" xfId="4" applyFont="1" applyBorder="1" applyAlignment="1" applyProtection="1">
      <alignment vertical="center"/>
    </xf>
    <xf numFmtId="41" fontId="43" fillId="0" borderId="101" xfId="4" applyFont="1" applyBorder="1" applyAlignment="1">
      <alignment vertical="center"/>
      <protection locked="0"/>
    </xf>
    <xf numFmtId="9" fontId="43" fillId="0" borderId="44" xfId="3" applyFont="1" applyBorder="1" applyAlignment="1" applyProtection="1">
      <alignment vertical="center"/>
    </xf>
    <xf numFmtId="0" fontId="43" fillId="0" borderId="54" xfId="0" applyFont="1" applyBorder="1">
      <alignment vertical="center"/>
    </xf>
    <xf numFmtId="0" fontId="43" fillId="0" borderId="0" xfId="0" applyFont="1" applyAlignment="1">
      <alignment horizontal="right" vertical="center"/>
    </xf>
    <xf numFmtId="9" fontId="43" fillId="0" borderId="0" xfId="3" applyFont="1" applyAlignment="1" applyProtection="1">
      <alignment vertical="center"/>
    </xf>
    <xf numFmtId="0" fontId="43" fillId="0" borderId="16" xfId="0" applyFont="1" applyBorder="1">
      <alignment vertical="center"/>
    </xf>
    <xf numFmtId="0" fontId="0" fillId="0" borderId="69" xfId="0" applyFont="1" applyBorder="1">
      <alignment vertical="center"/>
    </xf>
    <xf numFmtId="0" fontId="43" fillId="0" borderId="69" xfId="0" applyFont="1" applyBorder="1" applyAlignment="1">
      <alignment horizontal="right" vertical="center"/>
    </xf>
    <xf numFmtId="0" fontId="43" fillId="0" borderId="69" xfId="0" applyFont="1" applyBorder="1">
      <alignment vertical="center"/>
    </xf>
    <xf numFmtId="9" fontId="43" fillId="0" borderId="69" xfId="3" applyFont="1" applyBorder="1" applyAlignment="1" applyProtection="1">
      <alignment vertical="center"/>
    </xf>
    <xf numFmtId="0" fontId="3" fillId="0" borderId="0" xfId="0" applyFont="1">
      <alignment vertical="center"/>
    </xf>
    <xf numFmtId="0" fontId="104" fillId="0" borderId="64" xfId="0" applyFont="1" applyBorder="1" applyAlignment="1">
      <alignment horizontal="center" vertical="center" wrapText="1"/>
    </xf>
    <xf numFmtId="0" fontId="104" fillId="0" borderId="65" xfId="0" applyFont="1" applyBorder="1" applyAlignment="1">
      <alignment horizontal="center" vertical="center" wrapText="1"/>
    </xf>
    <xf numFmtId="0" fontId="104" fillId="0" borderId="24" xfId="0" applyFont="1" applyBorder="1" applyAlignment="1">
      <alignment horizontal="center" vertical="center"/>
    </xf>
    <xf numFmtId="41" fontId="43" fillId="0" borderId="76" xfId="4" applyFont="1" applyBorder="1" applyAlignment="1" applyProtection="1">
      <alignment vertical="center"/>
    </xf>
    <xf numFmtId="41" fontId="43" fillId="0" borderId="55" xfId="4" applyFont="1" applyFill="1" applyBorder="1" applyAlignment="1">
      <protection locked="0"/>
    </xf>
    <xf numFmtId="0" fontId="43" fillId="0" borderId="5" xfId="0" applyFont="1" applyBorder="1" applyProtection="1">
      <alignment vertical="center"/>
      <protection locked="0"/>
    </xf>
    <xf numFmtId="41" fontId="43" fillId="0" borderId="6" xfId="4" applyFont="1" applyBorder="1" applyAlignment="1" applyProtection="1">
      <alignment vertical="center"/>
    </xf>
    <xf numFmtId="41" fontId="43" fillId="0" borderId="6" xfId="4" applyFont="1" applyBorder="1" applyAlignment="1">
      <alignment vertical="center"/>
      <protection locked="0"/>
    </xf>
    <xf numFmtId="41" fontId="43" fillId="0" borderId="28" xfId="0" applyNumberFormat="1" applyFont="1" applyBorder="1">
      <alignment vertical="center"/>
    </xf>
    <xf numFmtId="41" fontId="43" fillId="0" borderId="23" xfId="4" applyFont="1" applyBorder="1" applyAlignment="1" applyProtection="1">
      <alignment vertical="center"/>
    </xf>
    <xf numFmtId="41" fontId="43" fillId="0" borderId="43" xfId="4" applyFont="1" applyFill="1" applyBorder="1" applyAlignment="1">
      <protection locked="0"/>
    </xf>
    <xf numFmtId="0" fontId="43" fillId="0" borderId="9" xfId="0" applyFont="1" applyBorder="1" applyProtection="1">
      <alignment vertical="center"/>
      <protection locked="0"/>
    </xf>
    <xf numFmtId="41" fontId="43" fillId="0" borderId="10" xfId="4" applyFont="1" applyBorder="1" applyAlignment="1" applyProtection="1">
      <alignment vertical="center"/>
    </xf>
    <xf numFmtId="41" fontId="43" fillId="0" borderId="11" xfId="0" applyNumberFormat="1" applyFont="1" applyBorder="1">
      <alignment vertical="center"/>
    </xf>
    <xf numFmtId="41" fontId="43" fillId="0" borderId="87" xfId="4" applyFont="1" applyBorder="1" applyAlignment="1" applyProtection="1">
      <alignment vertical="center"/>
    </xf>
    <xf numFmtId="41" fontId="43" fillId="0" borderId="44" xfId="4" applyFont="1" applyFill="1" applyBorder="1" applyAlignment="1">
      <protection locked="0"/>
    </xf>
    <xf numFmtId="0" fontId="43" fillId="0" borderId="66" xfId="0" applyFont="1" applyBorder="1" applyProtection="1">
      <alignment vertical="center"/>
      <protection locked="0"/>
    </xf>
    <xf numFmtId="41" fontId="43" fillId="0" borderId="20" xfId="4" applyFont="1" applyBorder="1" applyAlignment="1" applyProtection="1">
      <alignment vertical="center"/>
    </xf>
    <xf numFmtId="41" fontId="43" fillId="0" borderId="20" xfId="4" applyFont="1" applyBorder="1" applyAlignment="1">
      <alignment vertical="center"/>
      <protection locked="0"/>
    </xf>
    <xf numFmtId="41" fontId="43" fillId="0" borderId="15" xfId="0" applyNumberFormat="1" applyFont="1" applyBorder="1">
      <alignment vertical="center"/>
    </xf>
    <xf numFmtId="0" fontId="56" fillId="0" borderId="72" xfId="0" applyFont="1" applyBorder="1" applyAlignment="1">
      <alignment horizontal="center" vertical="center"/>
    </xf>
    <xf numFmtId="41" fontId="0" fillId="0" borderId="0" xfId="0" applyNumberFormat="1" applyFont="1" applyProtection="1">
      <alignment vertical="center"/>
      <protection locked="0"/>
    </xf>
    <xf numFmtId="0" fontId="43" fillId="0" borderId="55" xfId="0" applyFont="1" applyBorder="1">
      <alignment vertical="center"/>
    </xf>
    <xf numFmtId="0" fontId="43" fillId="0" borderId="0" xfId="0" applyFont="1" applyAlignment="1" applyProtection="1">
      <alignment horizontal="left" vertical="center"/>
      <protection locked="0"/>
    </xf>
    <xf numFmtId="0" fontId="43" fillId="0" borderId="17" xfId="0" applyFont="1" applyBorder="1">
      <alignment vertical="center"/>
    </xf>
    <xf numFmtId="0" fontId="43" fillId="0" borderId="0" xfId="0" applyNumberFormat="1" applyFont="1" applyProtection="1">
      <alignment vertical="center"/>
      <protection locked="0"/>
    </xf>
    <xf numFmtId="0" fontId="56" fillId="0" borderId="0" xfId="0" applyFont="1" applyAlignment="1" applyProtection="1">
      <alignment horizontal="right"/>
      <protection locked="0"/>
    </xf>
    <xf numFmtId="0" fontId="15" fillId="0" borderId="0" xfId="0" applyFont="1" applyAlignment="1" applyProtection="1">
      <protection locked="0"/>
    </xf>
    <xf numFmtId="182" fontId="56" fillId="0" borderId="0" xfId="0" applyNumberFormat="1" applyFont="1" applyAlignment="1" applyProtection="1">
      <alignment horizontal="center"/>
      <protection locked="0"/>
    </xf>
    <xf numFmtId="0" fontId="54" fillId="0" borderId="0" xfId="0" applyFont="1" applyAlignment="1" applyProtection="1">
      <protection locked="0"/>
    </xf>
    <xf numFmtId="0" fontId="43" fillId="2" borderId="0" xfId="0" applyFont="1" applyFill="1" applyAlignment="1" applyProtection="1">
      <protection locked="0"/>
    </xf>
    <xf numFmtId="0" fontId="44" fillId="0" borderId="0" xfId="0" applyFont="1" applyAlignment="1" applyProtection="1">
      <protection locked="0"/>
    </xf>
    <xf numFmtId="41" fontId="44" fillId="0" borderId="0" xfId="4" applyFont="1">
      <protection locked="0"/>
    </xf>
    <xf numFmtId="0" fontId="43" fillId="0" borderId="0" xfId="0" applyFont="1" applyAlignment="1" applyProtection="1">
      <alignment horizontal="center"/>
      <protection locked="0"/>
    </xf>
    <xf numFmtId="0" fontId="17" fillId="0" borderId="0" xfId="0" applyFont="1" applyAlignment="1" applyProtection="1">
      <protection locked="0"/>
    </xf>
    <xf numFmtId="0" fontId="46" fillId="0" borderId="0" xfId="0" applyFont="1" applyAlignment="1" applyProtection="1">
      <alignment horizontal="center"/>
      <protection locked="0"/>
    </xf>
    <xf numFmtId="179" fontId="48" fillId="0" borderId="26" xfId="0" applyNumberFormat="1" applyFont="1" applyBorder="1" applyAlignment="1">
      <alignment horizontal="center"/>
    </xf>
    <xf numFmtId="179" fontId="48" fillId="0" borderId="27" xfId="0" applyNumberFormat="1" applyFont="1" applyBorder="1" applyAlignment="1">
      <alignment horizontal="center"/>
    </xf>
    <xf numFmtId="183" fontId="48" fillId="0" borderId="29" xfId="0" applyNumberFormat="1" applyFont="1" applyBorder="1" applyAlignment="1">
      <alignment horizontal="center"/>
    </xf>
    <xf numFmtId="183" fontId="48" fillId="0" borderId="20" xfId="0" applyNumberFormat="1" applyFont="1" applyBorder="1" applyAlignment="1" applyProtection="1">
      <alignment horizontal="center"/>
      <protection locked="0"/>
    </xf>
    <xf numFmtId="41" fontId="17" fillId="0" borderId="59" xfId="4" applyFont="1" applyBorder="1" applyProtection="1">
      <protection locked="0"/>
    </xf>
    <xf numFmtId="0" fontId="43" fillId="0" borderId="6" xfId="0" applyFont="1" applyBorder="1" applyAlignment="1" applyProtection="1">
      <alignment horizontal="center" vertical="center"/>
      <protection locked="0"/>
    </xf>
    <xf numFmtId="0" fontId="17" fillId="0" borderId="6" xfId="0" applyFont="1" applyBorder="1" applyAlignment="1" applyProtection="1">
      <alignment horizontal="center"/>
      <protection locked="0"/>
    </xf>
    <xf numFmtId="41" fontId="17" fillId="0" borderId="56" xfId="4" applyFont="1" applyBorder="1" applyProtection="1">
      <protection locked="0"/>
    </xf>
    <xf numFmtId="0" fontId="43" fillId="0" borderId="10" xfId="0" applyFont="1" applyBorder="1" applyAlignment="1" applyProtection="1">
      <alignment horizontal="center" vertical="center"/>
      <protection locked="0"/>
    </xf>
    <xf numFmtId="0" fontId="17" fillId="0" borderId="10" xfId="0" applyFont="1" applyBorder="1" applyAlignment="1" applyProtection="1">
      <alignment horizontal="center"/>
      <protection locked="0"/>
    </xf>
    <xf numFmtId="0" fontId="17" fillId="0" borderId="9" xfId="0" applyFont="1" applyBorder="1" applyAlignment="1" applyProtection="1">
      <protection locked="0"/>
    </xf>
    <xf numFmtId="0" fontId="17" fillId="0" borderId="10" xfId="0" applyFont="1" applyBorder="1" applyAlignment="1" applyProtection="1">
      <protection locked="0"/>
    </xf>
    <xf numFmtId="0" fontId="17" fillId="0" borderId="13" xfId="0" applyFont="1" applyBorder="1" applyAlignment="1" applyProtection="1">
      <protection locked="0"/>
    </xf>
    <xf numFmtId="0" fontId="17" fillId="0" borderId="14" xfId="0" applyFont="1" applyBorder="1" applyAlignment="1" applyProtection="1">
      <protection locked="0"/>
    </xf>
    <xf numFmtId="41" fontId="43" fillId="0" borderId="78" xfId="4" applyFont="1" applyBorder="1" applyAlignment="1">
      <alignment horizontal="left" vertical="center"/>
      <protection locked="0"/>
    </xf>
    <xf numFmtId="0" fontId="17" fillId="0" borderId="42" xfId="0" applyFont="1" applyBorder="1" applyAlignment="1" applyProtection="1">
      <protection locked="0"/>
    </xf>
    <xf numFmtId="0" fontId="17" fillId="0" borderId="44" xfId="0" applyFont="1" applyBorder="1" applyAlignment="1" applyProtection="1">
      <protection locked="0"/>
    </xf>
    <xf numFmtId="0" fontId="17" fillId="0" borderId="66" xfId="0" applyFont="1" applyBorder="1" applyAlignment="1" applyProtection="1">
      <protection locked="0"/>
    </xf>
    <xf numFmtId="0" fontId="17" fillId="0" borderId="20" xfId="0" applyFont="1" applyBorder="1" applyAlignment="1" applyProtection="1">
      <protection locked="0"/>
    </xf>
    <xf numFmtId="0" fontId="17" fillId="0" borderId="0" xfId="0" applyFont="1" applyAlignment="1" applyProtection="1">
      <alignment horizontal="center"/>
      <protection locked="0"/>
    </xf>
    <xf numFmtId="0" fontId="37" fillId="0" borderId="0" xfId="0" applyFont="1" applyAlignment="1" applyProtection="1">
      <protection locked="0"/>
    </xf>
    <xf numFmtId="167" fontId="56" fillId="0" borderId="0" xfId="0" applyNumberFormat="1" applyFont="1" applyAlignment="1">
      <alignment horizontal="left" vertical="center"/>
    </xf>
    <xf numFmtId="179" fontId="48" fillId="0" borderId="28" xfId="0" applyNumberFormat="1" applyFont="1" applyBorder="1" applyAlignment="1">
      <alignment horizontal="center"/>
    </xf>
    <xf numFmtId="0" fontId="47" fillId="0" borderId="100" xfId="0" applyFont="1" applyBorder="1" applyAlignment="1" applyProtection="1">
      <alignment horizontal="center" vertical="center"/>
      <protection locked="0"/>
    </xf>
    <xf numFmtId="0" fontId="47" fillId="0" borderId="52" xfId="0" applyFont="1" applyBorder="1" applyAlignment="1" applyProtection="1">
      <alignment horizontal="center" vertical="center"/>
      <protection locked="0"/>
    </xf>
    <xf numFmtId="41" fontId="17" fillId="0" borderId="27" xfId="4" applyFont="1" applyBorder="1" applyProtection="1"/>
    <xf numFmtId="41" fontId="17" fillId="0" borderId="59" xfId="4" applyFont="1" applyBorder="1">
      <protection locked="0"/>
    </xf>
    <xf numFmtId="0" fontId="43" fillId="0" borderId="27" xfId="0" applyFont="1" applyBorder="1" applyAlignment="1" applyProtection="1">
      <protection locked="0"/>
    </xf>
    <xf numFmtId="41" fontId="43" fillId="0" borderId="28" xfId="0" applyNumberFormat="1" applyFont="1" applyBorder="1" applyAlignment="1"/>
    <xf numFmtId="41" fontId="17" fillId="0" borderId="10" xfId="4" applyFont="1" applyBorder="1" applyProtection="1"/>
    <xf numFmtId="41" fontId="17" fillId="0" borderId="56" xfId="4" applyFont="1" applyBorder="1">
      <protection locked="0"/>
    </xf>
    <xf numFmtId="0" fontId="43" fillId="0" borderId="10" xfId="0" applyFont="1" applyBorder="1" applyAlignment="1" applyProtection="1">
      <protection locked="0"/>
    </xf>
    <xf numFmtId="41" fontId="43" fillId="0" borderId="7" xfId="0" applyNumberFormat="1" applyFont="1" applyBorder="1" applyAlignment="1"/>
    <xf numFmtId="41" fontId="17" fillId="0" borderId="20" xfId="4" applyFont="1" applyBorder="1" applyProtection="1"/>
    <xf numFmtId="41" fontId="17" fillId="0" borderId="94" xfId="4" applyFont="1" applyBorder="1">
      <protection locked="0"/>
    </xf>
    <xf numFmtId="0" fontId="43" fillId="0" borderId="20" xfId="0" applyFont="1" applyBorder="1" applyAlignment="1" applyProtection="1">
      <protection locked="0"/>
    </xf>
    <xf numFmtId="41" fontId="43" fillId="0" borderId="68" xfId="0" applyNumberFormat="1" applyFont="1" applyBorder="1" applyAlignment="1"/>
    <xf numFmtId="0" fontId="105" fillId="0" borderId="0" xfId="0" applyFont="1" applyProtection="1">
      <alignment vertical="center"/>
      <protection locked="0"/>
    </xf>
    <xf numFmtId="0" fontId="0" fillId="0" borderId="76" xfId="0" applyFont="1" applyBorder="1" applyProtection="1">
      <alignment vertical="center"/>
      <protection locked="0"/>
    </xf>
    <xf numFmtId="1" fontId="0" fillId="0" borderId="61" xfId="0" applyNumberFormat="1" applyFont="1" applyBorder="1">
      <alignment vertical="center"/>
    </xf>
    <xf numFmtId="0" fontId="1" fillId="0" borderId="60" xfId="0" applyFont="1" applyBorder="1" applyProtection="1">
      <alignment vertical="center"/>
      <protection locked="0"/>
    </xf>
    <xf numFmtId="41" fontId="0" fillId="0" borderId="61" xfId="4" applyFont="1" applyBorder="1" applyAlignment="1" applyProtection="1">
      <alignment vertical="center"/>
    </xf>
    <xf numFmtId="0" fontId="1" fillId="0" borderId="61" xfId="0" applyFont="1" applyBorder="1">
      <alignment vertical="center"/>
    </xf>
    <xf numFmtId="0" fontId="0" fillId="0" borderId="61" xfId="0" applyFont="1" applyBorder="1">
      <alignment vertical="center"/>
    </xf>
    <xf numFmtId="0" fontId="0" fillId="0" borderId="39" xfId="0" applyFont="1" applyBorder="1" applyProtection="1">
      <alignment vertical="center"/>
      <protection locked="0"/>
    </xf>
    <xf numFmtId="0" fontId="0" fillId="0" borderId="5" xfId="0" applyFont="1" applyBorder="1" applyProtection="1">
      <alignment vertical="center"/>
      <protection locked="0"/>
    </xf>
    <xf numFmtId="0" fontId="0" fillId="0" borderId="61" xfId="0" applyFont="1" applyBorder="1" applyProtection="1">
      <alignment vertical="center"/>
      <protection locked="0"/>
    </xf>
    <xf numFmtId="0" fontId="1" fillId="0" borderId="61" xfId="0" applyFont="1" applyBorder="1" applyProtection="1">
      <alignment vertical="center"/>
      <protection locked="0"/>
    </xf>
    <xf numFmtId="1" fontId="1" fillId="0" borderId="61" xfId="0" applyNumberFormat="1" applyFont="1" applyBorder="1">
      <alignment vertical="center"/>
    </xf>
    <xf numFmtId="0" fontId="1" fillId="0" borderId="56" xfId="0" applyFont="1" applyBorder="1" applyProtection="1">
      <alignment vertical="center"/>
      <protection locked="0"/>
    </xf>
    <xf numFmtId="41" fontId="1" fillId="0" borderId="5" xfId="4" applyFont="1" applyBorder="1" applyAlignment="1" applyProtection="1">
      <alignment vertical="center"/>
    </xf>
    <xf numFmtId="3" fontId="1" fillId="0" borderId="61" xfId="0" applyNumberFormat="1" applyFont="1" applyBorder="1">
      <alignment vertical="center"/>
    </xf>
    <xf numFmtId="0" fontId="0" fillId="0" borderId="22" xfId="0" applyFont="1" applyBorder="1" applyProtection="1">
      <alignment vertical="center"/>
      <protection locked="0"/>
    </xf>
    <xf numFmtId="180" fontId="0" fillId="0" borderId="61" xfId="4" applyNumberFormat="1" applyFont="1" applyBorder="1" applyAlignment="1" applyProtection="1">
      <alignment vertical="center"/>
    </xf>
    <xf numFmtId="41" fontId="0" fillId="0" borderId="61" xfId="4" applyFont="1" applyBorder="1" applyAlignment="1">
      <alignment vertical="center"/>
      <protection locked="0"/>
    </xf>
    <xf numFmtId="173" fontId="1" fillId="0" borderId="61" xfId="0" applyNumberFormat="1" applyFont="1" applyBorder="1">
      <alignment vertical="center"/>
    </xf>
    <xf numFmtId="41" fontId="1" fillId="0" borderId="61" xfId="4" applyFont="1" applyBorder="1" applyAlignment="1" applyProtection="1">
      <alignment vertical="center"/>
    </xf>
    <xf numFmtId="41" fontId="0" fillId="0" borderId="5" xfId="4" applyFont="1" applyBorder="1" applyAlignment="1" applyProtection="1">
      <alignment vertical="center"/>
    </xf>
    <xf numFmtId="41" fontId="1" fillId="0" borderId="61" xfId="4" applyFont="1" applyBorder="1" applyAlignment="1">
      <alignment vertical="center"/>
      <protection locked="0"/>
    </xf>
    <xf numFmtId="0" fontId="1" fillId="0" borderId="0" xfId="0" applyFont="1" applyProtection="1">
      <alignment vertical="center"/>
      <protection locked="0"/>
    </xf>
    <xf numFmtId="41" fontId="0" fillId="0" borderId="0" xfId="4" applyFont="1" applyAlignment="1">
      <alignment vertical="center"/>
      <protection locked="0"/>
    </xf>
    <xf numFmtId="9" fontId="1" fillId="0" borderId="5" xfId="3" applyFont="1" applyBorder="1" applyAlignment="1">
      <alignment vertical="center"/>
      <protection locked="0"/>
    </xf>
    <xf numFmtId="41" fontId="1" fillId="0" borderId="61" xfId="0" applyNumberFormat="1" applyFont="1" applyBorder="1">
      <alignment vertical="center"/>
    </xf>
    <xf numFmtId="0" fontId="1" fillId="4" borderId="0" xfId="0" applyFont="1" applyFill="1" applyAlignment="1" applyProtection="1">
      <alignment horizontal="center" vertical="center"/>
      <protection locked="0"/>
    </xf>
    <xf numFmtId="41" fontId="1" fillId="0" borderId="0" xfId="4" applyFont="1" applyAlignment="1">
      <alignment vertical="center"/>
      <protection locked="0"/>
    </xf>
    <xf numFmtId="41" fontId="1" fillId="0" borderId="5" xfId="4" applyFont="1" applyBorder="1" applyAlignment="1">
      <alignment vertical="center"/>
      <protection locked="0"/>
    </xf>
    <xf numFmtId="0" fontId="3" fillId="0" borderId="56" xfId="0" applyFont="1" applyBorder="1" applyProtection="1">
      <alignment vertical="center"/>
      <protection locked="0"/>
    </xf>
    <xf numFmtId="9" fontId="3" fillId="0" borderId="5" xfId="3" applyFont="1" applyBorder="1" applyAlignment="1">
      <alignment vertical="center"/>
      <protection locked="0"/>
    </xf>
    <xf numFmtId="9" fontId="3" fillId="0" borderId="61" xfId="3" applyFont="1" applyBorder="1" applyAlignment="1">
      <alignment vertical="center"/>
      <protection locked="0"/>
    </xf>
    <xf numFmtId="0" fontId="0" fillId="0" borderId="60" xfId="0" applyFont="1" applyBorder="1" applyProtection="1">
      <alignment vertical="center"/>
      <protection locked="0"/>
    </xf>
    <xf numFmtId="0" fontId="44" fillId="0" borderId="56" xfId="0" applyFont="1" applyBorder="1" applyProtection="1">
      <alignment vertical="center"/>
      <protection locked="0"/>
    </xf>
    <xf numFmtId="9" fontId="44" fillId="0" borderId="5" xfId="3" applyFont="1" applyBorder="1" applyAlignment="1">
      <alignment vertical="center"/>
      <protection locked="0"/>
    </xf>
    <xf numFmtId="0" fontId="44" fillId="0" borderId="0" xfId="0" applyFont="1" applyProtection="1">
      <alignment vertical="center"/>
      <protection locked="0"/>
    </xf>
    <xf numFmtId="9" fontId="44" fillId="0" borderId="0" xfId="3" applyFont="1" applyAlignment="1">
      <alignment vertical="center"/>
      <protection locked="0"/>
    </xf>
    <xf numFmtId="9" fontId="3" fillId="0" borderId="0" xfId="3" applyFont="1" applyAlignment="1">
      <alignment vertical="center"/>
      <protection locked="0"/>
    </xf>
    <xf numFmtId="0" fontId="44" fillId="0" borderId="60" xfId="0" applyFont="1" applyBorder="1" applyProtection="1">
      <alignment vertical="center"/>
      <protection locked="0"/>
    </xf>
    <xf numFmtId="41" fontId="44" fillId="0" borderId="61" xfId="3" applyNumberFormat="1" applyFont="1" applyBorder="1" applyAlignment="1" applyProtection="1">
      <alignment vertical="center"/>
    </xf>
    <xf numFmtId="0" fontId="0" fillId="0" borderId="108" xfId="0" applyFont="1" applyBorder="1" applyProtection="1">
      <alignment vertical="center"/>
      <protection locked="0"/>
    </xf>
    <xf numFmtId="0" fontId="43" fillId="0" borderId="109" xfId="0" applyFont="1" applyBorder="1" applyProtection="1">
      <alignment vertical="center"/>
      <protection locked="0"/>
    </xf>
    <xf numFmtId="0" fontId="56" fillId="4" borderId="0" xfId="0" applyFont="1" applyFill="1" applyAlignment="1" applyProtection="1">
      <alignment horizontal="center" vertical="center"/>
      <protection locked="0"/>
    </xf>
    <xf numFmtId="41" fontId="43" fillId="0" borderId="98" xfId="0" applyNumberFormat="1" applyFont="1" applyBorder="1">
      <alignment vertical="center"/>
    </xf>
    <xf numFmtId="41" fontId="90" fillId="0" borderId="98" xfId="0" applyNumberFormat="1" applyFont="1" applyBorder="1">
      <alignment vertical="center"/>
    </xf>
    <xf numFmtId="0" fontId="90" fillId="0" borderId="61" xfId="0" applyFont="1" applyBorder="1" applyProtection="1">
      <alignment vertical="center"/>
      <protection locked="0"/>
    </xf>
    <xf numFmtId="41" fontId="43" fillId="0" borderId="98" xfId="0" applyNumberFormat="1" applyFont="1" applyBorder="1" applyProtection="1">
      <alignment vertical="center"/>
      <protection locked="0"/>
    </xf>
    <xf numFmtId="41" fontId="90" fillId="0" borderId="98" xfId="4" applyFont="1" applyBorder="1" applyAlignment="1" applyProtection="1">
      <alignment vertical="center"/>
    </xf>
    <xf numFmtId="41" fontId="43" fillId="0" borderId="98" xfId="3" applyNumberFormat="1" applyFont="1" applyBorder="1" applyAlignment="1">
      <alignment vertical="center"/>
      <protection locked="0"/>
    </xf>
    <xf numFmtId="41" fontId="43" fillId="0" borderId="98" xfId="4" applyFont="1" applyBorder="1" applyAlignment="1">
      <alignment vertical="center"/>
      <protection locked="0"/>
    </xf>
    <xf numFmtId="0" fontId="0" fillId="0" borderId="111" xfId="0" applyFont="1" applyBorder="1" applyProtection="1">
      <alignment vertical="center"/>
      <protection locked="0"/>
    </xf>
    <xf numFmtId="0" fontId="80" fillId="0" borderId="61" xfId="0" applyFont="1" applyBorder="1" applyProtection="1">
      <alignment vertical="center"/>
      <protection locked="0"/>
    </xf>
    <xf numFmtId="9" fontId="80" fillId="0" borderId="98" xfId="3" applyFont="1" applyBorder="1" applyAlignment="1">
      <alignment vertical="center"/>
      <protection locked="0"/>
    </xf>
    <xf numFmtId="0" fontId="80" fillId="0" borderId="98" xfId="0" applyFont="1" applyBorder="1" applyProtection="1">
      <alignment vertical="center"/>
      <protection locked="0"/>
    </xf>
    <xf numFmtId="0" fontId="43" fillId="0" borderId="79" xfId="0" applyFont="1" applyBorder="1" applyProtection="1">
      <alignment vertical="center"/>
      <protection locked="0"/>
    </xf>
    <xf numFmtId="0" fontId="43" fillId="0" borderId="75" xfId="0" applyFont="1" applyBorder="1" applyProtection="1">
      <alignment vertical="center"/>
      <protection locked="0"/>
    </xf>
    <xf numFmtId="0" fontId="43" fillId="0" borderId="114" xfId="0" applyFont="1" applyBorder="1" applyProtection="1">
      <alignment vertical="center"/>
      <protection locked="0"/>
    </xf>
    <xf numFmtId="0" fontId="43" fillId="0" borderId="97" xfId="0" applyFont="1" applyBorder="1" applyProtection="1">
      <alignment vertical="center"/>
      <protection locked="0"/>
    </xf>
    <xf numFmtId="0" fontId="80" fillId="0" borderId="114" xfId="0" applyFont="1" applyBorder="1" applyProtection="1">
      <alignment vertical="center"/>
      <protection locked="0"/>
    </xf>
    <xf numFmtId="0" fontId="43" fillId="0" borderId="115" xfId="0" applyFont="1" applyBorder="1" applyProtection="1">
      <alignment vertical="center"/>
      <protection locked="0"/>
    </xf>
    <xf numFmtId="0" fontId="43" fillId="0" borderId="22" xfId="0" applyFont="1" applyBorder="1" applyProtection="1">
      <alignment vertical="center"/>
      <protection locked="0"/>
    </xf>
    <xf numFmtId="0" fontId="80" fillId="0" borderId="22" xfId="0" applyFont="1" applyBorder="1" applyProtection="1">
      <alignment vertical="center"/>
      <protection locked="0"/>
    </xf>
    <xf numFmtId="0" fontId="43" fillId="0" borderId="121" xfId="0" applyFont="1" applyBorder="1" applyProtection="1">
      <alignment vertical="center"/>
      <protection locked="0"/>
    </xf>
    <xf numFmtId="0" fontId="43" fillId="0" borderId="74" xfId="0" applyFont="1" applyBorder="1" applyProtection="1">
      <alignment vertical="center"/>
      <protection locked="0"/>
    </xf>
    <xf numFmtId="0" fontId="43" fillId="0" borderId="122" xfId="0" applyFont="1" applyBorder="1" applyProtection="1">
      <alignment vertical="center"/>
      <protection locked="0"/>
    </xf>
    <xf numFmtId="0" fontId="0" fillId="0" borderId="0" xfId="0" applyProtection="1">
      <alignment vertical="center"/>
      <protection locked="0"/>
    </xf>
    <xf numFmtId="0" fontId="0" fillId="0" borderId="109" xfId="0" applyFont="1" applyBorder="1" applyProtection="1">
      <alignment vertical="center"/>
      <protection locked="0"/>
    </xf>
    <xf numFmtId="41" fontId="43" fillId="0" borderId="22" xfId="0" applyNumberFormat="1" applyFont="1" applyBorder="1">
      <alignment vertical="center"/>
    </xf>
    <xf numFmtId="41" fontId="43" fillId="0" borderId="98" xfId="4" applyFont="1" applyBorder="1" applyAlignment="1" applyProtection="1">
      <alignment vertical="center"/>
    </xf>
    <xf numFmtId="41" fontId="90" fillId="0" borderId="22" xfId="0" applyNumberFormat="1" applyFont="1" applyBorder="1">
      <alignment vertical="center"/>
    </xf>
    <xf numFmtId="9" fontId="43" fillId="0" borderId="98" xfId="3" applyFont="1" applyBorder="1" applyAlignment="1">
      <alignment vertical="center"/>
      <protection locked="0"/>
    </xf>
    <xf numFmtId="41" fontId="90" fillId="0" borderId="98" xfId="4" applyFont="1" applyBorder="1" applyAlignment="1">
      <alignment vertical="center"/>
      <protection locked="0"/>
    </xf>
    <xf numFmtId="41" fontId="43" fillId="0" borderId="22" xfId="4" applyFont="1" applyBorder="1" applyAlignment="1">
      <alignment vertical="center"/>
      <protection locked="0"/>
    </xf>
    <xf numFmtId="0" fontId="80" fillId="0" borderId="97" xfId="0" applyFont="1" applyBorder="1" applyProtection="1">
      <alignment vertical="center"/>
      <protection locked="0"/>
    </xf>
    <xf numFmtId="9" fontId="80" fillId="0" borderId="22" xfId="3" applyFont="1" applyBorder="1" applyAlignment="1">
      <alignment vertical="center"/>
      <protection locked="0"/>
    </xf>
    <xf numFmtId="0" fontId="80" fillId="0" borderId="0" xfId="0" applyFont="1" applyProtection="1">
      <alignment vertical="center"/>
      <protection locked="0"/>
    </xf>
    <xf numFmtId="0" fontId="43" fillId="0" borderId="125" xfId="0" applyFont="1" applyBorder="1" applyProtection="1">
      <alignment vertical="center"/>
      <protection locked="0"/>
    </xf>
    <xf numFmtId="0" fontId="80" fillId="0" borderId="121" xfId="0" applyFont="1" applyBorder="1" applyProtection="1">
      <alignment vertical="center"/>
      <protection locked="0"/>
    </xf>
    <xf numFmtId="9" fontId="80" fillId="0" borderId="127" xfId="3" applyFont="1" applyBorder="1" applyAlignment="1">
      <alignment vertical="center"/>
      <protection locked="0"/>
    </xf>
    <xf numFmtId="0" fontId="80" fillId="0" borderId="79" xfId="0" applyFont="1" applyBorder="1" applyProtection="1">
      <alignment vertical="center"/>
      <protection locked="0"/>
    </xf>
    <xf numFmtId="41" fontId="43" fillId="0" borderId="0" xfId="0" applyNumberFormat="1" applyFont="1">
      <alignment vertical="center"/>
    </xf>
    <xf numFmtId="41" fontId="90" fillId="0" borderId="0" xfId="0" applyNumberFormat="1" applyFont="1">
      <alignment vertical="center"/>
    </xf>
    <xf numFmtId="41" fontId="90" fillId="0" borderId="0" xfId="4" applyFont="1" applyAlignment="1">
      <alignment vertical="center"/>
      <protection locked="0"/>
    </xf>
    <xf numFmtId="9" fontId="80" fillId="0" borderId="0" xfId="3" applyFont="1" applyAlignment="1">
      <alignment vertical="center"/>
      <protection locked="0"/>
    </xf>
    <xf numFmtId="0" fontId="80" fillId="0" borderId="6" xfId="0" applyFont="1" applyBorder="1" applyProtection="1">
      <alignment vertical="center"/>
      <protection locked="0"/>
    </xf>
    <xf numFmtId="9" fontId="80" fillId="0" borderId="7" xfId="3" applyFont="1" applyBorder="1" applyAlignment="1">
      <alignment vertical="center"/>
      <protection locked="0"/>
    </xf>
    <xf numFmtId="0" fontId="80" fillId="0" borderId="5" xfId="0" applyFont="1" applyBorder="1" applyProtection="1">
      <alignment vertical="center"/>
      <protection locked="0"/>
    </xf>
    <xf numFmtId="0" fontId="56" fillId="0" borderId="10" xfId="0" applyFont="1" applyBorder="1" applyAlignment="1" applyProtection="1">
      <alignment horizontal="center" vertical="center"/>
      <protection locked="0"/>
    </xf>
    <xf numFmtId="41" fontId="43" fillId="0" borderId="128" xfId="0" applyNumberFormat="1" applyFont="1" applyBorder="1">
      <alignment vertical="center"/>
    </xf>
    <xf numFmtId="0" fontId="43" fillId="0" borderId="60" xfId="0" applyFont="1" applyBorder="1" applyProtection="1">
      <alignment vertical="center"/>
      <protection locked="0"/>
    </xf>
    <xf numFmtId="0" fontId="43" fillId="10" borderId="57" xfId="0" applyFont="1" applyFill="1" applyBorder="1" applyProtection="1">
      <alignment vertical="center"/>
      <protection locked="0"/>
    </xf>
    <xf numFmtId="9" fontId="0" fillId="10" borderId="57" xfId="3" applyFont="1" applyFill="1" applyBorder="1" applyAlignment="1">
      <alignment vertical="center"/>
      <protection locked="0"/>
    </xf>
    <xf numFmtId="41" fontId="90" fillId="0" borderId="15" xfId="0" applyNumberFormat="1" applyFont="1" applyBorder="1">
      <alignment vertical="center"/>
    </xf>
    <xf numFmtId="0" fontId="90" fillId="0" borderId="22" xfId="0" applyFont="1" applyBorder="1" applyProtection="1">
      <alignment vertical="center"/>
      <protection locked="0"/>
    </xf>
    <xf numFmtId="0" fontId="90" fillId="0" borderId="121" xfId="0" applyFont="1" applyBorder="1" applyProtection="1">
      <alignment vertical="center"/>
      <protection locked="0"/>
    </xf>
    <xf numFmtId="41" fontId="80" fillId="0" borderId="127" xfId="3" applyNumberFormat="1" applyFont="1" applyBorder="1" applyAlignment="1">
      <alignment vertical="center"/>
      <protection locked="0"/>
    </xf>
    <xf numFmtId="0" fontId="90" fillId="0" borderId="79" xfId="0" applyFont="1" applyBorder="1" applyProtection="1">
      <alignment vertical="center"/>
      <protection locked="0"/>
    </xf>
    <xf numFmtId="41" fontId="43" fillId="0" borderId="131" xfId="0" applyNumberFormat="1" applyFont="1" applyBorder="1">
      <alignment vertical="center"/>
    </xf>
    <xf numFmtId="41" fontId="43" fillId="0" borderId="132" xfId="0" applyNumberFormat="1" applyFont="1" applyBorder="1">
      <alignment vertical="center"/>
    </xf>
    <xf numFmtId="41" fontId="43" fillId="0" borderId="132" xfId="0" applyNumberFormat="1" applyFont="1" applyBorder="1" applyProtection="1">
      <alignment vertical="center"/>
      <protection locked="0"/>
    </xf>
    <xf numFmtId="41" fontId="90" fillId="0" borderId="132" xfId="0" applyNumberFormat="1" applyFont="1" applyBorder="1">
      <alignment vertical="center"/>
    </xf>
    <xf numFmtId="41" fontId="43" fillId="0" borderId="132" xfId="4" applyFont="1" applyBorder="1" applyAlignment="1">
      <alignment vertical="center"/>
      <protection locked="0"/>
    </xf>
    <xf numFmtId="0" fontId="80" fillId="0" borderId="4" xfId="0" applyFont="1" applyBorder="1" applyProtection="1">
      <alignment vertical="center"/>
      <protection locked="0"/>
    </xf>
    <xf numFmtId="9" fontId="80" fillId="0" borderId="133" xfId="3" applyFont="1" applyBorder="1" applyAlignment="1">
      <alignment vertical="center"/>
      <protection locked="0"/>
    </xf>
    <xf numFmtId="41" fontId="43" fillId="0" borderId="10" xfId="0" applyNumberFormat="1" applyFont="1" applyBorder="1">
      <alignment vertical="center"/>
    </xf>
    <xf numFmtId="41" fontId="43" fillId="0" borderId="10" xfId="0" applyNumberFormat="1" applyFont="1" applyBorder="1" applyProtection="1">
      <alignment vertical="center"/>
      <protection locked="0"/>
    </xf>
    <xf numFmtId="41" fontId="43" fillId="10" borderId="14" xfId="0" applyNumberFormat="1" applyFont="1" applyFill="1" applyBorder="1" applyProtection="1">
      <alignment vertical="center"/>
      <protection locked="0"/>
    </xf>
    <xf numFmtId="41" fontId="0" fillId="10" borderId="10" xfId="3" applyNumberFormat="1" applyFont="1" applyFill="1" applyBorder="1" applyAlignment="1">
      <alignment vertical="center"/>
      <protection locked="0"/>
    </xf>
    <xf numFmtId="0" fontId="90" fillId="0" borderId="125" xfId="0" applyFont="1" applyBorder="1" applyProtection="1">
      <alignment vertical="center"/>
      <protection locked="0"/>
    </xf>
    <xf numFmtId="41" fontId="80" fillId="0" borderId="134" xfId="3" applyNumberFormat="1" applyFont="1" applyBorder="1" applyAlignment="1">
      <alignment vertical="center"/>
      <protection locked="0"/>
    </xf>
    <xf numFmtId="41" fontId="43" fillId="0" borderId="111" xfId="0" applyNumberFormat="1" applyFont="1" applyBorder="1">
      <alignment vertical="center"/>
    </xf>
    <xf numFmtId="41" fontId="43" fillId="0" borderId="111" xfId="0" applyNumberFormat="1" applyFont="1" applyBorder="1" applyProtection="1">
      <alignment vertical="center"/>
      <protection locked="0"/>
    </xf>
    <xf numFmtId="41" fontId="90" fillId="0" borderId="111" xfId="0" applyNumberFormat="1" applyFont="1" applyBorder="1">
      <alignment vertical="center"/>
    </xf>
    <xf numFmtId="41" fontId="43" fillId="0" borderId="111" xfId="4" applyFont="1" applyBorder="1" applyAlignment="1">
      <alignment vertical="center"/>
      <protection locked="0"/>
    </xf>
    <xf numFmtId="9" fontId="80" fillId="0" borderId="137" xfId="3" applyFont="1" applyBorder="1" applyAlignment="1">
      <alignment vertical="center"/>
      <protection locked="0"/>
    </xf>
    <xf numFmtId="0" fontId="0" fillId="0" borderId="56" xfId="0" applyFont="1" applyBorder="1" applyProtection="1">
      <alignment vertical="center"/>
      <protection locked="0"/>
    </xf>
    <xf numFmtId="9" fontId="0" fillId="0" borderId="5" xfId="3" applyFont="1" applyBorder="1" applyAlignment="1">
      <alignment vertical="center"/>
      <protection locked="0"/>
    </xf>
    <xf numFmtId="9" fontId="1" fillId="0" borderId="61" xfId="3" applyFont="1" applyBorder="1" applyAlignment="1">
      <alignment vertical="center"/>
      <protection locked="0"/>
    </xf>
    <xf numFmtId="0" fontId="3" fillId="0" borderId="60" xfId="0" applyFont="1" applyBorder="1" applyProtection="1">
      <alignment vertical="center"/>
      <protection locked="0"/>
    </xf>
    <xf numFmtId="41" fontId="3" fillId="0" borderId="61" xfId="4" applyFont="1" applyBorder="1" applyAlignment="1" applyProtection="1">
      <alignment vertical="center"/>
    </xf>
    <xf numFmtId="184" fontId="0" fillId="0" borderId="61" xfId="4" applyNumberFormat="1" applyFont="1" applyBorder="1" applyAlignment="1">
      <alignment vertical="center"/>
      <protection locked="0"/>
    </xf>
    <xf numFmtId="185" fontId="0" fillId="0" borderId="61" xfId="4" applyNumberFormat="1" applyFont="1" applyBorder="1" applyAlignment="1">
      <alignment vertical="center"/>
      <protection locked="0"/>
    </xf>
    <xf numFmtId="0" fontId="0" fillId="0" borderId="90" xfId="0" applyFont="1" applyBorder="1" applyProtection="1">
      <alignment vertical="center"/>
      <protection locked="0"/>
    </xf>
    <xf numFmtId="186" fontId="0" fillId="0" borderId="61" xfId="4" applyNumberFormat="1" applyFont="1" applyBorder="1" applyAlignment="1" applyProtection="1">
      <alignment vertical="center"/>
    </xf>
    <xf numFmtId="170" fontId="1" fillId="0" borderId="61" xfId="1" applyNumberFormat="1" applyFont="1" applyBorder="1" applyAlignment="1" applyProtection="1">
      <alignment vertical="center"/>
    </xf>
    <xf numFmtId="0" fontId="106" fillId="0" borderId="60" xfId="0" applyFont="1" applyBorder="1" applyProtection="1">
      <alignment vertical="center"/>
      <protection locked="0"/>
    </xf>
    <xf numFmtId="41" fontId="106" fillId="0" borderId="61" xfId="4" applyFont="1" applyBorder="1" applyAlignment="1" applyProtection="1">
      <alignment vertical="center"/>
    </xf>
    <xf numFmtId="9" fontId="0" fillId="0" borderId="76" xfId="3" applyFont="1" applyBorder="1" applyAlignment="1">
      <alignment vertical="center"/>
      <protection locked="0"/>
    </xf>
    <xf numFmtId="43" fontId="0" fillId="0" borderId="61" xfId="1" applyFont="1" applyBorder="1" applyAlignment="1" applyProtection="1">
      <alignment vertical="center"/>
    </xf>
    <xf numFmtId="41" fontId="44" fillId="0" borderId="61" xfId="4" applyFont="1" applyBorder="1" applyAlignment="1" applyProtection="1">
      <alignment vertical="center"/>
    </xf>
    <xf numFmtId="41" fontId="3" fillId="0" borderId="5" xfId="4" applyFont="1" applyBorder="1" applyAlignment="1" applyProtection="1">
      <alignment vertical="center"/>
    </xf>
    <xf numFmtId="41" fontId="0" fillId="0" borderId="60" xfId="4" applyFont="1" applyBorder="1" applyAlignment="1">
      <alignment vertical="center"/>
      <protection locked="0"/>
    </xf>
    <xf numFmtId="0" fontId="17" fillId="0" borderId="60" xfId="0" applyFont="1" applyBorder="1" applyProtection="1">
      <alignment vertical="center"/>
      <protection locked="0"/>
    </xf>
    <xf numFmtId="0" fontId="78" fillId="10" borderId="0" xfId="0" applyFont="1" applyFill="1" applyAlignment="1" applyProtection="1">
      <alignment horizontal="center" vertical="center"/>
      <protection locked="0"/>
    </xf>
    <xf numFmtId="0" fontId="107" fillId="0" borderId="0" xfId="0" applyFont="1" applyProtection="1">
      <alignment vertical="center"/>
      <protection locked="0"/>
    </xf>
    <xf numFmtId="41" fontId="42" fillId="11" borderId="10" xfId="4" applyFont="1" applyFill="1" applyBorder="1" applyAlignment="1">
      <alignment horizontal="center" vertical="center"/>
      <protection locked="0"/>
    </xf>
    <xf numFmtId="0" fontId="42" fillId="11" borderId="10" xfId="0" applyFont="1" applyFill="1" applyBorder="1" applyAlignment="1" applyProtection="1">
      <alignment horizontal="center" vertical="center"/>
      <protection locked="0"/>
    </xf>
    <xf numFmtId="0" fontId="1" fillId="0" borderId="10" xfId="3" applyNumberFormat="1" applyFont="1" applyBorder="1" applyAlignment="1">
      <alignment horizontal="center" vertical="center"/>
      <protection locked="0"/>
    </xf>
    <xf numFmtId="0" fontId="16" fillId="0" borderId="10" xfId="0" applyFont="1" applyBorder="1" applyProtection="1">
      <alignment vertical="center"/>
      <protection locked="0"/>
    </xf>
    <xf numFmtId="0" fontId="16" fillId="0" borderId="10" xfId="3" applyNumberFormat="1" applyFont="1" applyBorder="1" applyAlignment="1">
      <alignment vertical="center"/>
      <protection locked="0"/>
    </xf>
    <xf numFmtId="0" fontId="16" fillId="0" borderId="10" xfId="0" applyFont="1" applyBorder="1" applyAlignment="1" applyProtection="1">
      <alignment horizontal="center" vertical="center"/>
      <protection locked="0"/>
    </xf>
    <xf numFmtId="0" fontId="1" fillId="0" borderId="10" xfId="0" applyFont="1" applyBorder="1" applyAlignment="1" applyProtection="1">
      <alignment horizontal="center" vertical="center"/>
      <protection locked="0"/>
    </xf>
    <xf numFmtId="0" fontId="42" fillId="0" borderId="10" xfId="0" applyFont="1" applyBorder="1" applyProtection="1">
      <alignment vertical="center"/>
      <protection locked="0"/>
    </xf>
    <xf numFmtId="0" fontId="106" fillId="0" borderId="0" xfId="0" applyFont="1" applyProtection="1">
      <alignment vertical="center"/>
      <protection locked="0"/>
    </xf>
    <xf numFmtId="41" fontId="42" fillId="0" borderId="10" xfId="0" applyNumberFormat="1" applyFont="1" applyBorder="1">
      <alignment vertical="center"/>
    </xf>
    <xf numFmtId="41" fontId="16" fillId="0" borderId="10" xfId="4" applyFont="1" applyBorder="1" applyAlignment="1">
      <alignment vertical="center"/>
      <protection locked="0"/>
    </xf>
    <xf numFmtId="41" fontId="16" fillId="0" borderId="10" xfId="3" applyNumberFormat="1" applyFont="1" applyBorder="1" applyAlignment="1">
      <alignment vertical="center"/>
      <protection locked="0"/>
    </xf>
    <xf numFmtId="41" fontId="16" fillId="0" borderId="10" xfId="0" applyNumberFormat="1" applyFont="1" applyBorder="1" applyProtection="1">
      <alignment vertical="center"/>
      <protection locked="0"/>
    </xf>
    <xf numFmtId="0" fontId="1" fillId="0" borderId="134" xfId="0" applyFont="1" applyBorder="1" applyAlignment="1" applyProtection="1">
      <alignment horizontal="center" vertical="center"/>
      <protection locked="0"/>
    </xf>
    <xf numFmtId="41" fontId="16" fillId="0" borderId="134" xfId="0" applyNumberFormat="1" applyFont="1" applyBorder="1" applyProtection="1">
      <alignment vertical="center"/>
      <protection locked="0"/>
    </xf>
    <xf numFmtId="0" fontId="16" fillId="0" borderId="134" xfId="0" applyFont="1" applyBorder="1" applyProtection="1">
      <alignment vertical="center"/>
      <protection locked="0"/>
    </xf>
    <xf numFmtId="0" fontId="16" fillId="0" borderId="134" xfId="0" applyFont="1" applyBorder="1" applyAlignment="1" applyProtection="1">
      <alignment horizontal="center" vertical="center"/>
      <protection locked="0"/>
    </xf>
    <xf numFmtId="0" fontId="42" fillId="0" borderId="0" xfId="7" applyFont="1" applyAlignment="1">
      <alignment vertical="center"/>
      <protection locked="0"/>
    </xf>
    <xf numFmtId="41" fontId="90" fillId="0" borderId="0" xfId="0" applyNumberFormat="1" applyFont="1" applyProtection="1">
      <alignment vertical="center"/>
      <protection locked="0"/>
    </xf>
    <xf numFmtId="0" fontId="0" fillId="0" borderId="10" xfId="0" applyFont="1" applyBorder="1" applyProtection="1">
      <alignment vertical="center"/>
      <protection locked="0"/>
    </xf>
    <xf numFmtId="41" fontId="42" fillId="0" borderId="10" xfId="0" applyNumberFormat="1" applyFont="1" applyBorder="1" applyProtection="1">
      <alignment vertical="center"/>
      <protection locked="0"/>
    </xf>
    <xf numFmtId="0" fontId="42" fillId="0" borderId="10" xfId="0" applyFont="1" applyBorder="1" applyAlignment="1" applyProtection="1">
      <alignment horizontal="center" vertical="center"/>
      <protection locked="0"/>
    </xf>
    <xf numFmtId="0" fontId="43" fillId="0" borderId="10" xfId="0" applyFont="1" applyBorder="1" applyProtection="1">
      <alignment vertical="center"/>
      <protection locked="0"/>
    </xf>
    <xf numFmtId="41" fontId="16" fillId="0" borderId="10" xfId="0" applyNumberFormat="1" applyFont="1" applyBorder="1">
      <alignment vertical="center"/>
    </xf>
    <xf numFmtId="41" fontId="16" fillId="0" borderId="10" xfId="0" applyNumberFormat="1" applyFont="1" applyBorder="1" applyAlignment="1">
      <alignment horizontal="center" vertical="center"/>
    </xf>
    <xf numFmtId="41" fontId="16" fillId="0" borderId="10" xfId="4" applyFont="1" applyBorder="1" applyAlignment="1" applyProtection="1">
      <alignment vertical="center"/>
    </xf>
    <xf numFmtId="0" fontId="90" fillId="0" borderId="10" xfId="0" applyFont="1" applyBorder="1" applyProtection="1">
      <alignment vertical="center"/>
      <protection locked="0"/>
    </xf>
    <xf numFmtId="41" fontId="42" fillId="0" borderId="10" xfId="0" applyNumberFormat="1" applyFont="1" applyBorder="1" applyAlignment="1">
      <alignment horizontal="center" vertical="center"/>
    </xf>
    <xf numFmtId="41" fontId="16" fillId="0" borderId="10" xfId="4" applyFont="1" applyBorder="1" applyAlignment="1">
      <alignment horizontal="center" vertical="center"/>
      <protection locked="0"/>
    </xf>
    <xf numFmtId="9" fontId="16" fillId="0" borderId="10" xfId="3" applyFont="1" applyBorder="1" applyAlignment="1">
      <alignment vertical="center"/>
      <protection locked="0"/>
    </xf>
    <xf numFmtId="0" fontId="80" fillId="0" borderId="10" xfId="0" applyFont="1" applyBorder="1" applyProtection="1">
      <alignment vertical="center"/>
      <protection locked="0"/>
    </xf>
    <xf numFmtId="9" fontId="16" fillId="0" borderId="10" xfId="3" applyFont="1" applyBorder="1" applyAlignment="1">
      <alignment horizontal="center" vertical="center"/>
      <protection locked="0"/>
    </xf>
    <xf numFmtId="0" fontId="0" fillId="0" borderId="134" xfId="0" applyFont="1" applyBorder="1" applyProtection="1">
      <alignment vertical="center"/>
      <protection locked="0"/>
    </xf>
    <xf numFmtId="41" fontId="90" fillId="0" borderId="0" xfId="3" applyNumberFormat="1" applyFont="1" applyAlignment="1" applyProtection="1">
      <alignment vertical="center"/>
    </xf>
    <xf numFmtId="41" fontId="90" fillId="0" borderId="0" xfId="4" applyFont="1" applyAlignment="1" applyProtection="1">
      <alignment vertical="center"/>
    </xf>
    <xf numFmtId="0" fontId="108" fillId="0" borderId="0" xfId="0" applyFont="1" applyProtection="1">
      <alignment vertical="center"/>
      <protection locked="0"/>
    </xf>
    <xf numFmtId="9" fontId="0" fillId="0" borderId="61" xfId="3" applyFont="1" applyBorder="1" applyAlignment="1" applyProtection="1">
      <alignment vertical="center"/>
    </xf>
    <xf numFmtId="9" fontId="0" fillId="0" borderId="61" xfId="3" applyFont="1" applyBorder="1" applyAlignment="1">
      <alignment vertical="center"/>
      <protection locked="0"/>
    </xf>
    <xf numFmtId="41" fontId="44" fillId="0" borderId="60" xfId="4" applyFont="1" applyBorder="1" applyAlignment="1">
      <alignment vertical="center"/>
      <protection locked="0"/>
    </xf>
    <xf numFmtId="41" fontId="1" fillId="0" borderId="60" xfId="4" applyFont="1" applyBorder="1" applyAlignment="1">
      <alignment vertical="center"/>
      <protection locked="0"/>
    </xf>
    <xf numFmtId="41" fontId="109" fillId="0" borderId="61" xfId="4" applyFont="1" applyBorder="1" applyAlignment="1" applyProtection="1">
      <alignment vertical="center"/>
    </xf>
    <xf numFmtId="41" fontId="1" fillId="0" borderId="56" xfId="4" applyFont="1" applyBorder="1" applyAlignment="1">
      <alignment vertical="center"/>
      <protection locked="0"/>
    </xf>
    <xf numFmtId="0" fontId="107" fillId="0" borderId="56" xfId="0" applyFont="1" applyBorder="1" applyProtection="1">
      <alignment vertical="center"/>
      <protection locked="0"/>
    </xf>
    <xf numFmtId="9" fontId="107" fillId="0" borderId="5" xfId="3" applyFont="1" applyBorder="1" applyAlignment="1">
      <alignment vertical="center"/>
      <protection locked="0"/>
    </xf>
    <xf numFmtId="170" fontId="0" fillId="0" borderId="61" xfId="1" applyNumberFormat="1" applyFont="1" applyBorder="1" applyAlignment="1" applyProtection="1">
      <alignment vertical="center"/>
    </xf>
    <xf numFmtId="170" fontId="0" fillId="0" borderId="61" xfId="0" applyNumberFormat="1" applyFont="1" applyBorder="1">
      <alignment vertical="center"/>
    </xf>
    <xf numFmtId="0" fontId="110" fillId="0" borderId="56" xfId="0" applyFont="1" applyBorder="1" applyProtection="1">
      <alignment vertical="center"/>
      <protection locked="0"/>
    </xf>
    <xf numFmtId="170" fontId="110" fillId="0" borderId="5" xfId="0" applyNumberFormat="1" applyFont="1" applyBorder="1">
      <alignment vertical="center"/>
    </xf>
    <xf numFmtId="0" fontId="17" fillId="0" borderId="61" xfId="0" applyFont="1" applyBorder="1">
      <alignment vertical="center"/>
    </xf>
    <xf numFmtId="0" fontId="17" fillId="0" borderId="56" xfId="0" applyFont="1" applyBorder="1" applyProtection="1">
      <alignment vertical="center"/>
      <protection locked="0"/>
    </xf>
    <xf numFmtId="41" fontId="107" fillId="0" borderId="5" xfId="4" applyFont="1" applyBorder="1" applyAlignment="1" applyProtection="1">
      <alignment vertical="center"/>
    </xf>
    <xf numFmtId="41" fontId="1" fillId="0" borderId="61" xfId="0" applyNumberFormat="1" applyFont="1" applyBorder="1" applyProtection="1">
      <alignment vertical="center"/>
      <protection locked="0"/>
    </xf>
    <xf numFmtId="0" fontId="106" fillId="0" borderId="56" xfId="0" applyFont="1" applyBorder="1" applyProtection="1">
      <alignment vertical="center"/>
      <protection locked="0"/>
    </xf>
    <xf numFmtId="9" fontId="106" fillId="0" borderId="5" xfId="3" applyFont="1" applyBorder="1" applyAlignment="1">
      <alignment vertical="center"/>
      <protection locked="0"/>
    </xf>
    <xf numFmtId="0" fontId="107" fillId="0" borderId="60" xfId="0" applyFont="1" applyBorder="1" applyProtection="1">
      <alignment vertical="center"/>
      <protection locked="0"/>
    </xf>
    <xf numFmtId="0" fontId="17" fillId="0" borderId="61" xfId="0" applyFont="1" applyBorder="1" applyProtection="1">
      <alignment vertical="center"/>
      <protection locked="0"/>
    </xf>
    <xf numFmtId="0" fontId="17" fillId="0" borderId="0" xfId="0" applyFont="1" applyProtection="1">
      <alignment vertical="center"/>
      <protection locked="0"/>
    </xf>
    <xf numFmtId="41" fontId="107" fillId="0" borderId="0" xfId="4" applyFont="1" applyAlignment="1" applyProtection="1">
      <alignment vertical="center"/>
    </xf>
    <xf numFmtId="41" fontId="109" fillId="0" borderId="60" xfId="4" applyFont="1" applyBorder="1" applyAlignment="1">
      <alignment vertical="center"/>
      <protection locked="0"/>
    </xf>
    <xf numFmtId="41" fontId="109" fillId="0" borderId="61" xfId="0" applyNumberFormat="1" applyFont="1" applyBorder="1">
      <alignment vertical="center"/>
    </xf>
    <xf numFmtId="41" fontId="109" fillId="0" borderId="5" xfId="3" applyNumberFormat="1" applyFont="1" applyBorder="1" applyAlignment="1" applyProtection="1">
      <alignment vertical="center"/>
    </xf>
    <xf numFmtId="41" fontId="107" fillId="0" borderId="61" xfId="4" applyFont="1" applyBorder="1" applyAlignment="1" applyProtection="1">
      <alignment vertical="center"/>
    </xf>
    <xf numFmtId="41" fontId="109" fillId="0" borderId="56" xfId="4" applyFont="1" applyBorder="1" applyAlignment="1">
      <alignment vertical="center"/>
      <protection locked="0"/>
    </xf>
    <xf numFmtId="41" fontId="0" fillId="0" borderId="61" xfId="0" applyNumberFormat="1" applyFont="1" applyBorder="1">
      <alignment vertical="center"/>
    </xf>
    <xf numFmtId="170" fontId="109" fillId="0" borderId="61" xfId="1" applyNumberFormat="1" applyFont="1" applyBorder="1" applyAlignment="1" applyProtection="1">
      <alignment vertical="center"/>
    </xf>
    <xf numFmtId="41" fontId="0" fillId="0" borderId="56" xfId="4" applyFont="1" applyBorder="1" applyAlignment="1">
      <alignment vertical="center"/>
      <protection locked="0"/>
    </xf>
    <xf numFmtId="41" fontId="17" fillId="0" borderId="61" xfId="0" applyNumberFormat="1" applyFont="1" applyBorder="1" applyProtection="1">
      <alignment vertical="center"/>
      <protection locked="0"/>
    </xf>
    <xf numFmtId="0" fontId="47" fillId="0" borderId="60" xfId="0" applyFont="1" applyBorder="1" applyProtection="1">
      <alignment vertical="center"/>
      <protection locked="0"/>
    </xf>
    <xf numFmtId="41" fontId="47" fillId="0" borderId="61" xfId="0" applyNumberFormat="1" applyFont="1" applyBorder="1">
      <alignment vertical="center"/>
    </xf>
    <xf numFmtId="41" fontId="106" fillId="0" borderId="61" xfId="0" applyNumberFormat="1" applyFont="1" applyBorder="1">
      <alignment vertical="center"/>
    </xf>
    <xf numFmtId="0" fontId="17" fillId="0" borderId="5" xfId="0" applyFont="1" applyBorder="1">
      <alignment vertical="center"/>
    </xf>
    <xf numFmtId="0" fontId="109" fillId="0" borderId="56" xfId="0" applyFont="1" applyBorder="1" applyProtection="1">
      <alignment vertical="center"/>
      <protection locked="0"/>
    </xf>
    <xf numFmtId="41" fontId="109" fillId="0" borderId="5" xfId="0" applyNumberFormat="1" applyFont="1" applyBorder="1">
      <alignment vertical="center"/>
    </xf>
    <xf numFmtId="0" fontId="111" fillId="0" borderId="60" xfId="0" applyFont="1" applyBorder="1" applyProtection="1">
      <alignment vertical="center"/>
      <protection locked="0"/>
    </xf>
    <xf numFmtId="0" fontId="111" fillId="0" borderId="56" xfId="0" applyFont="1" applyBorder="1" applyProtection="1">
      <alignment vertical="center"/>
      <protection locked="0"/>
    </xf>
    <xf numFmtId="41" fontId="111" fillId="0" borderId="61" xfId="4" applyFont="1" applyBorder="1" applyAlignment="1" applyProtection="1">
      <alignment vertical="center"/>
    </xf>
    <xf numFmtId="187" fontId="1" fillId="0" borderId="61" xfId="0" applyNumberFormat="1" applyFont="1" applyBorder="1" applyProtection="1">
      <alignment vertical="center"/>
      <protection locked="0"/>
    </xf>
    <xf numFmtId="0" fontId="1" fillId="0" borderId="10" xfId="0" applyFont="1" applyBorder="1" applyProtection="1">
      <alignment vertical="center"/>
      <protection locked="0"/>
    </xf>
    <xf numFmtId="0" fontId="43" fillId="0" borderId="2" xfId="0" applyFont="1" applyBorder="1" applyProtection="1">
      <alignment vertical="center"/>
      <protection locked="0"/>
    </xf>
    <xf numFmtId="41" fontId="1" fillId="0" borderId="5" xfId="3" applyNumberFormat="1" applyFont="1" applyBorder="1" applyAlignment="1">
      <alignment vertical="center"/>
      <protection locked="0"/>
    </xf>
    <xf numFmtId="0" fontId="3" fillId="2" borderId="10" xfId="0" applyFont="1" applyFill="1" applyBorder="1" applyAlignment="1" applyProtection="1">
      <alignment horizontal="center" vertical="center"/>
      <protection locked="0"/>
    </xf>
    <xf numFmtId="41" fontId="0" fillId="0" borderId="10" xfId="4" applyFont="1" applyBorder="1" applyAlignment="1" applyProtection="1">
      <alignment vertical="center"/>
    </xf>
    <xf numFmtId="1" fontId="1" fillId="0" borderId="10" xfId="0" applyNumberFormat="1" applyFont="1" applyBorder="1">
      <alignment vertical="center"/>
    </xf>
    <xf numFmtId="180" fontId="0" fillId="0" borderId="10" xfId="4" applyNumberFormat="1" applyFont="1" applyBorder="1" applyAlignment="1" applyProtection="1">
      <alignment vertical="center"/>
    </xf>
    <xf numFmtId="0" fontId="1" fillId="0" borderId="10" xfId="0" applyFont="1" applyBorder="1">
      <alignment vertical="center"/>
    </xf>
    <xf numFmtId="173" fontId="1" fillId="0" borderId="10" xfId="0" applyNumberFormat="1" applyFont="1" applyBorder="1">
      <alignment vertical="center"/>
    </xf>
    <xf numFmtId="41" fontId="1" fillId="0" borderId="10" xfId="4" applyFont="1" applyBorder="1" applyAlignment="1" applyProtection="1">
      <alignment vertical="center"/>
    </xf>
    <xf numFmtId="41" fontId="1" fillId="0" borderId="10" xfId="4" applyFont="1" applyBorder="1" applyAlignment="1">
      <alignment vertical="center"/>
      <protection locked="0"/>
    </xf>
    <xf numFmtId="41" fontId="1" fillId="0" borderId="10" xfId="3" applyNumberFormat="1" applyFont="1" applyBorder="1" applyAlignment="1">
      <alignment vertical="center"/>
      <protection locked="0"/>
    </xf>
    <xf numFmtId="41" fontId="0" fillId="0" borderId="10" xfId="0" applyNumberFormat="1" applyFont="1" applyBorder="1" applyProtection="1">
      <alignment vertical="center"/>
      <protection locked="0"/>
    </xf>
    <xf numFmtId="41" fontId="0" fillId="0" borderId="138" xfId="4" applyFont="1" applyBorder="1" applyAlignment="1">
      <alignment vertical="center"/>
      <protection locked="0"/>
    </xf>
    <xf numFmtId="41" fontId="0" fillId="0" borderId="79" xfId="4" applyFont="1" applyBorder="1" applyAlignment="1" applyProtection="1">
      <alignment vertical="center"/>
    </xf>
    <xf numFmtId="41" fontId="1" fillId="0" borderId="10" xfId="0" applyNumberFormat="1" applyFont="1" applyBorder="1">
      <alignment vertical="center"/>
    </xf>
    <xf numFmtId="9" fontId="1" fillId="0" borderId="0" xfId="3" applyFont="1" applyAlignment="1">
      <alignment vertical="center"/>
      <protection locked="0"/>
    </xf>
    <xf numFmtId="0" fontId="112" fillId="0" borderId="0" xfId="0" applyFont="1" applyProtection="1">
      <alignment vertical="center"/>
      <protection locked="0"/>
    </xf>
    <xf numFmtId="0" fontId="56" fillId="0" borderId="0" xfId="0" applyFont="1" applyAlignment="1" applyProtection="1">
      <alignment horizontal="left" vertical="center"/>
      <protection locked="0"/>
    </xf>
    <xf numFmtId="14" fontId="56" fillId="0" borderId="0" xfId="0" applyNumberFormat="1" applyFont="1" applyAlignment="1">
      <alignment horizontal="left" vertical="center"/>
    </xf>
    <xf numFmtId="0" fontId="15" fillId="0" borderId="18" xfId="0" applyFont="1" applyBorder="1" applyAlignment="1" applyProtection="1">
      <alignment horizontal="center" vertical="center"/>
      <protection locked="0"/>
    </xf>
    <xf numFmtId="0" fontId="15" fillId="0" borderId="19" xfId="0" applyFont="1" applyBorder="1" applyAlignment="1" applyProtection="1">
      <alignment horizontal="center" vertical="center"/>
      <protection locked="0"/>
    </xf>
    <xf numFmtId="0" fontId="15" fillId="0" borderId="24" xfId="0" applyFont="1" applyBorder="1" applyAlignment="1" applyProtection="1">
      <alignment horizontal="center" vertical="center"/>
      <protection locked="0"/>
    </xf>
    <xf numFmtId="41" fontId="56" fillId="0" borderId="95" xfId="4" applyFont="1" applyBorder="1" applyAlignment="1" applyProtection="1">
      <alignment horizontal="left" vertical="center"/>
    </xf>
    <xf numFmtId="0" fontId="15" fillId="0" borderId="63" xfId="0" applyFont="1" applyBorder="1" applyAlignment="1" applyProtection="1">
      <alignment horizontal="center" vertical="center"/>
      <protection locked="0"/>
    </xf>
    <xf numFmtId="41" fontId="56" fillId="0" borderId="6" xfId="4" applyFont="1" applyBorder="1" applyAlignment="1" applyProtection="1">
      <alignment horizontal="left" vertical="center"/>
    </xf>
    <xf numFmtId="41" fontId="3" fillId="0" borderId="5" xfId="0" applyNumberFormat="1" applyFont="1" applyBorder="1" applyAlignment="1">
      <alignment horizontal="center" vertical="center"/>
    </xf>
    <xf numFmtId="166" fontId="3" fillId="0" borderId="6" xfId="0" applyNumberFormat="1" applyFont="1" applyBorder="1" applyAlignment="1">
      <alignment horizontal="center" vertical="center"/>
    </xf>
    <xf numFmtId="166" fontId="3" fillId="0" borderId="7" xfId="0" applyNumberFormat="1" applyFont="1" applyBorder="1" applyAlignment="1">
      <alignment horizontal="center" vertical="center"/>
    </xf>
    <xf numFmtId="41" fontId="56" fillId="0" borderId="26" xfId="4" applyFont="1" applyBorder="1" applyAlignment="1" applyProtection="1">
      <alignment horizontal="left" vertical="center"/>
    </xf>
    <xf numFmtId="0" fontId="3" fillId="0" borderId="96" xfId="0" applyFont="1" applyBorder="1" applyAlignment="1" applyProtection="1">
      <alignment horizontal="center" vertical="center"/>
      <protection locked="0"/>
    </xf>
    <xf numFmtId="166" fontId="3" fillId="0" borderId="27" xfId="0" applyNumberFormat="1" applyFont="1" applyBorder="1" applyAlignment="1" applyProtection="1">
      <alignment horizontal="center" vertical="center"/>
      <protection locked="0"/>
    </xf>
    <xf numFmtId="41" fontId="56" fillId="0" borderId="10" xfId="4" applyFont="1" applyBorder="1" applyAlignment="1" applyProtection="1">
      <alignment horizontal="left" vertical="center"/>
    </xf>
    <xf numFmtId="41" fontId="3" fillId="12" borderId="9" xfId="0" applyNumberFormat="1" applyFont="1" applyFill="1" applyBorder="1" applyAlignment="1" applyProtection="1">
      <alignment horizontal="center" vertical="center"/>
      <protection locked="0"/>
    </xf>
    <xf numFmtId="166" fontId="3" fillId="0" borderId="10" xfId="0" applyNumberFormat="1" applyFont="1" applyBorder="1" applyAlignment="1">
      <alignment horizontal="center" vertical="center"/>
    </xf>
    <xf numFmtId="166" fontId="3" fillId="0" borderId="11" xfId="0" applyNumberFormat="1" applyFont="1" applyBorder="1" applyAlignment="1">
      <alignment horizontal="center" vertical="center"/>
    </xf>
    <xf numFmtId="41" fontId="56" fillId="0" borderId="8" xfId="4" applyFont="1" applyBorder="1" applyAlignment="1" applyProtection="1">
      <alignment horizontal="left" vertical="center"/>
    </xf>
    <xf numFmtId="0" fontId="3" fillId="0" borderId="9" xfId="0" applyFont="1" applyBorder="1" applyAlignment="1" applyProtection="1">
      <alignment horizontal="center" vertical="center"/>
      <protection locked="0"/>
    </xf>
    <xf numFmtId="166" fontId="3" fillId="0" borderId="10" xfId="0" applyNumberFormat="1" applyFont="1" applyBorder="1" applyAlignment="1" applyProtection="1">
      <alignment horizontal="center" vertical="center"/>
      <protection locked="0"/>
    </xf>
    <xf numFmtId="41" fontId="3" fillId="0" borderId="9" xfId="0" applyNumberFormat="1" applyFont="1" applyBorder="1" applyAlignment="1">
      <alignment horizontal="center" vertical="center"/>
    </xf>
    <xf numFmtId="169" fontId="3" fillId="0" borderId="0" xfId="0" applyNumberFormat="1" applyFont="1" applyAlignment="1" applyProtection="1">
      <alignment horizontal="center" vertical="center"/>
      <protection locked="0"/>
    </xf>
    <xf numFmtId="180" fontId="3" fillId="0" borderId="9" xfId="4" applyNumberFormat="1" applyFont="1" applyBorder="1" applyAlignment="1" applyProtection="1">
      <alignment horizontal="center" vertical="center"/>
    </xf>
    <xf numFmtId="0" fontId="3" fillId="0" borderId="8" xfId="0" applyFont="1" applyBorder="1" applyProtection="1">
      <alignment vertical="center"/>
      <protection locked="0"/>
    </xf>
    <xf numFmtId="41" fontId="3" fillId="0" borderId="10" xfId="0" applyNumberFormat="1" applyFont="1" applyBorder="1" applyAlignment="1">
      <alignment horizontal="center" vertical="center"/>
    </xf>
    <xf numFmtId="169" fontId="3" fillId="0" borderId="10" xfId="0" applyNumberFormat="1" applyFont="1" applyBorder="1" applyAlignment="1">
      <alignment horizontal="center" vertical="center"/>
    </xf>
    <xf numFmtId="169" fontId="3" fillId="0" borderId="11" xfId="0" applyNumberFormat="1" applyFont="1" applyBorder="1" applyAlignment="1">
      <alignment horizontal="center" vertical="center"/>
    </xf>
    <xf numFmtId="0" fontId="3" fillId="0" borderId="10" xfId="0" applyFont="1" applyBorder="1" applyAlignment="1" applyProtection="1">
      <alignment horizontal="center" vertical="center"/>
      <protection locked="0"/>
    </xf>
    <xf numFmtId="169" fontId="3" fillId="0" borderId="10" xfId="0" applyNumberFormat="1" applyFont="1" applyBorder="1" applyAlignment="1" applyProtection="1">
      <alignment horizontal="center" vertical="center"/>
      <protection locked="0"/>
    </xf>
    <xf numFmtId="169" fontId="3" fillId="0" borderId="11" xfId="0" applyNumberFormat="1" applyFont="1" applyBorder="1" applyAlignment="1" applyProtection="1">
      <alignment horizontal="center" vertical="center"/>
      <protection locked="0"/>
    </xf>
    <xf numFmtId="0" fontId="3" fillId="2" borderId="8" xfId="0" applyFont="1" applyFill="1" applyBorder="1" applyProtection="1">
      <alignment vertical="center"/>
      <protection locked="0"/>
    </xf>
    <xf numFmtId="0" fontId="3" fillId="2" borderId="10" xfId="0" applyFont="1" applyFill="1" applyBorder="1" applyProtection="1">
      <alignment vertical="center"/>
      <protection locked="0"/>
    </xf>
    <xf numFmtId="166" fontId="3" fillId="2" borderId="11" xfId="0" applyNumberFormat="1" applyFont="1" applyFill="1" applyBorder="1" applyAlignment="1">
      <alignment horizontal="center" vertical="center"/>
    </xf>
    <xf numFmtId="0" fontId="3" fillId="0" borderId="10" xfId="0" applyFont="1" applyBorder="1" applyProtection="1">
      <alignment vertical="center"/>
      <protection locked="0"/>
    </xf>
    <xf numFmtId="0" fontId="3" fillId="0" borderId="11" xfId="0" applyFont="1" applyBorder="1" applyProtection="1">
      <alignment vertical="center"/>
      <protection locked="0"/>
    </xf>
    <xf numFmtId="0" fontId="3" fillId="2" borderId="29" xfId="0" applyFont="1" applyFill="1" applyBorder="1" applyProtection="1">
      <alignment vertical="center"/>
      <protection locked="0"/>
    </xf>
    <xf numFmtId="0" fontId="3" fillId="2" borderId="20" xfId="0" applyFont="1" applyFill="1" applyBorder="1" applyAlignment="1" applyProtection="1">
      <alignment horizontal="center" vertical="center"/>
      <protection locked="0"/>
    </xf>
    <xf numFmtId="0" fontId="3" fillId="0" borderId="20" xfId="0" applyFont="1" applyBorder="1" applyAlignment="1" applyProtection="1">
      <alignment horizontal="center" vertical="center"/>
      <protection locked="0"/>
    </xf>
    <xf numFmtId="172" fontId="3" fillId="0" borderId="25" xfId="0" applyNumberFormat="1" applyFont="1" applyBorder="1" applyAlignment="1">
      <alignment horizontal="center" vertical="center"/>
    </xf>
    <xf numFmtId="166" fontId="56" fillId="0" borderId="0" xfId="0" applyNumberFormat="1" applyFont="1" applyProtection="1">
      <alignment vertical="center"/>
      <protection locked="0"/>
    </xf>
    <xf numFmtId="0" fontId="3" fillId="0" borderId="8" xfId="0" applyFont="1" applyBorder="1" applyAlignment="1" applyProtection="1">
      <alignment horizontal="left" vertical="center"/>
      <protection locked="0"/>
    </xf>
    <xf numFmtId="0" fontId="3" fillId="0" borderId="13" xfId="0" applyFont="1" applyBorder="1" applyAlignment="1" applyProtection="1">
      <alignment horizontal="center" vertical="center"/>
      <protection locked="0"/>
    </xf>
    <xf numFmtId="169" fontId="3" fillId="0" borderId="14" xfId="0" applyNumberFormat="1" applyFont="1" applyBorder="1" applyAlignment="1" applyProtection="1">
      <alignment horizontal="center" vertical="center"/>
      <protection locked="0"/>
    </xf>
    <xf numFmtId="0" fontId="3" fillId="2" borderId="29" xfId="0" applyFont="1" applyFill="1" applyBorder="1" applyAlignment="1" applyProtection="1">
      <alignment horizontal="center" vertical="center"/>
      <protection locked="0"/>
    </xf>
    <xf numFmtId="174" fontId="5" fillId="2" borderId="20" xfId="0" applyNumberFormat="1" applyFont="1" applyFill="1" applyBorder="1" applyAlignment="1">
      <alignment horizontal="center" vertical="center"/>
    </xf>
    <xf numFmtId="0" fontId="3" fillId="0" borderId="20" xfId="0" applyFont="1" applyBorder="1" applyProtection="1">
      <alignment vertical="center"/>
      <protection locked="0"/>
    </xf>
    <xf numFmtId="0" fontId="56" fillId="0" borderId="71" xfId="0" applyFont="1" applyBorder="1" applyProtection="1">
      <alignment vertical="center"/>
      <protection locked="0"/>
    </xf>
    <xf numFmtId="0" fontId="56" fillId="0" borderId="71" xfId="0" applyFont="1" applyBorder="1" applyAlignment="1" applyProtection="1">
      <alignment horizontal="center" vertical="center"/>
      <protection locked="0"/>
    </xf>
    <xf numFmtId="0" fontId="102" fillId="13" borderId="10" xfId="0" applyFont="1" applyFill="1" applyBorder="1" applyAlignment="1" applyProtection="1">
      <alignment horizontal="center" vertical="center"/>
      <protection locked="0"/>
    </xf>
    <xf numFmtId="0" fontId="3" fillId="13" borderId="10" xfId="0" applyFont="1" applyFill="1" applyBorder="1" applyAlignment="1" applyProtection="1">
      <alignment horizontal="center" vertical="center"/>
      <protection locked="0"/>
    </xf>
    <xf numFmtId="174" fontId="3" fillId="13" borderId="10" xfId="0" applyNumberFormat="1" applyFont="1" applyFill="1" applyBorder="1" applyAlignment="1" applyProtection="1">
      <alignment horizontal="center" vertical="center"/>
      <protection locked="0"/>
    </xf>
    <xf numFmtId="0" fontId="78" fillId="0" borderId="0" xfId="0" applyFont="1" applyProtection="1">
      <alignment vertical="center"/>
      <protection locked="0"/>
    </xf>
    <xf numFmtId="0" fontId="43" fillId="0" borderId="55" xfId="0" applyFont="1" applyBorder="1" applyProtection="1">
      <alignment vertical="center"/>
      <protection locked="0"/>
    </xf>
    <xf numFmtId="0" fontId="43" fillId="14" borderId="0" xfId="0" applyFont="1" applyFill="1" applyProtection="1">
      <alignment vertical="center"/>
      <protection locked="0"/>
    </xf>
    <xf numFmtId="0" fontId="15" fillId="0" borderId="54" xfId="0" applyFont="1" applyBorder="1" applyProtection="1">
      <alignment vertical="center"/>
      <protection locked="0"/>
    </xf>
    <xf numFmtId="0" fontId="3" fillId="14" borderId="10" xfId="0" applyFont="1" applyFill="1" applyBorder="1" applyProtection="1">
      <alignment vertical="center"/>
      <protection locked="0"/>
    </xf>
    <xf numFmtId="0" fontId="56" fillId="14" borderId="10" xfId="0" applyFont="1" applyFill="1" applyBorder="1" applyAlignment="1" applyProtection="1">
      <alignment horizontal="center" vertical="center"/>
      <protection locked="0"/>
    </xf>
    <xf numFmtId="41" fontId="56" fillId="14" borderId="10" xfId="4" applyFont="1" applyFill="1" applyBorder="1" applyAlignment="1" applyProtection="1">
      <alignment horizontal="center" vertical="center"/>
    </xf>
    <xf numFmtId="180" fontId="56" fillId="14" borderId="10" xfId="4" applyNumberFormat="1" applyFont="1" applyFill="1" applyBorder="1" applyAlignment="1" applyProtection="1">
      <alignment horizontal="center" vertical="center"/>
    </xf>
    <xf numFmtId="41" fontId="56" fillId="14" borderId="10" xfId="4" applyFont="1" applyFill="1" applyBorder="1" applyAlignment="1">
      <alignment horizontal="center" vertical="center"/>
      <protection locked="0"/>
    </xf>
    <xf numFmtId="0" fontId="3" fillId="14" borderId="0" xfId="0" applyFont="1" applyFill="1" applyProtection="1">
      <alignment vertical="center"/>
      <protection locked="0"/>
    </xf>
    <xf numFmtId="0" fontId="56" fillId="14" borderId="0" xfId="0" applyFont="1" applyFill="1" applyAlignment="1" applyProtection="1">
      <alignment horizontal="center" vertical="center"/>
      <protection locked="0"/>
    </xf>
    <xf numFmtId="41" fontId="56" fillId="14" borderId="0" xfId="4" applyFont="1" applyFill="1" applyAlignment="1" applyProtection="1">
      <alignment horizontal="center" vertical="center"/>
    </xf>
    <xf numFmtId="0" fontId="15" fillId="0" borderId="67" xfId="0" applyFont="1" applyBorder="1" applyAlignment="1" applyProtection="1">
      <alignment horizontal="center" vertical="center"/>
      <protection locked="0"/>
    </xf>
    <xf numFmtId="0" fontId="15" fillId="0" borderId="62" xfId="0" applyFont="1" applyBorder="1" applyAlignment="1" applyProtection="1">
      <alignment horizontal="center" vertical="center"/>
      <protection locked="0"/>
    </xf>
    <xf numFmtId="0" fontId="56" fillId="0" borderId="18" xfId="0" applyFont="1" applyBorder="1" applyAlignment="1" applyProtection="1">
      <alignment horizontal="center" vertical="center"/>
      <protection locked="0"/>
    </xf>
    <xf numFmtId="166" fontId="3" fillId="0" borderId="28" xfId="4" applyNumberFormat="1" applyFont="1" applyBorder="1" applyAlignment="1" applyProtection="1">
      <alignment horizontal="center" vertical="center"/>
    </xf>
    <xf numFmtId="166" fontId="3" fillId="0" borderId="28" xfId="0" applyNumberFormat="1" applyFont="1" applyBorder="1" applyAlignment="1">
      <alignment horizontal="center" vertical="center"/>
    </xf>
    <xf numFmtId="41" fontId="56" fillId="0" borderId="39" xfId="4" applyFont="1" applyBorder="1" applyAlignment="1" applyProtection="1">
      <alignment horizontal="left" vertical="center"/>
    </xf>
    <xf numFmtId="166" fontId="3" fillId="0" borderId="11" xfId="4" applyNumberFormat="1" applyFont="1" applyBorder="1" applyAlignment="1" applyProtection="1">
      <alignment horizontal="center" vertical="center"/>
    </xf>
    <xf numFmtId="41" fontId="56" fillId="0" borderId="51" xfId="4" applyFont="1" applyBorder="1" applyAlignment="1" applyProtection="1">
      <alignment horizontal="left" vertical="center"/>
    </xf>
    <xf numFmtId="0" fontId="56" fillId="0" borderId="8" xfId="0" applyFont="1" applyBorder="1" applyProtection="1">
      <alignment vertical="center"/>
      <protection locked="0"/>
    </xf>
    <xf numFmtId="188" fontId="56" fillId="0" borderId="11" xfId="0" applyNumberFormat="1" applyFont="1" applyBorder="1" applyProtection="1">
      <alignment vertical="center"/>
      <protection locked="0"/>
    </xf>
    <xf numFmtId="166" fontId="3" fillId="0" borderId="25" xfId="0" applyNumberFormat="1" applyFont="1" applyBorder="1" applyAlignment="1">
      <alignment horizontal="center" vertical="center"/>
    </xf>
    <xf numFmtId="0" fontId="3" fillId="0" borderId="29" xfId="0" applyFont="1" applyBorder="1" applyAlignment="1" applyProtection="1">
      <alignment horizontal="left" vertical="center"/>
      <protection locked="0"/>
    </xf>
    <xf numFmtId="174" fontId="5" fillId="0" borderId="0" xfId="0" applyNumberFormat="1" applyFont="1" applyAlignment="1">
      <alignment horizontal="center" vertical="center"/>
    </xf>
    <xf numFmtId="169" fontId="3" fillId="0" borderId="0" xfId="0" applyNumberFormat="1" applyFont="1" applyAlignment="1">
      <alignment horizontal="center" vertical="center"/>
    </xf>
    <xf numFmtId="0" fontId="3" fillId="0" borderId="0" xfId="0" applyFont="1" applyAlignment="1" applyProtection="1">
      <alignment horizontal="left" vertical="center"/>
      <protection locked="0"/>
    </xf>
    <xf numFmtId="166" fontId="3" fillId="0" borderId="25" xfId="4" applyNumberFormat="1" applyFont="1" applyBorder="1" applyAlignment="1" applyProtection="1">
      <alignment horizontal="center" vertical="center"/>
    </xf>
    <xf numFmtId="0" fontId="56" fillId="14" borderId="10" xfId="0" applyFont="1" applyFill="1" applyBorder="1" applyProtection="1">
      <alignment vertical="center"/>
      <protection locked="0"/>
    </xf>
    <xf numFmtId="2" fontId="43" fillId="0" borderId="0" xfId="0" applyNumberFormat="1" applyFont="1" applyProtection="1">
      <alignment vertical="center"/>
      <protection locked="0"/>
    </xf>
    <xf numFmtId="14" fontId="56" fillId="0" borderId="0" xfId="0" applyNumberFormat="1" applyFont="1" applyAlignment="1" applyProtection="1">
      <alignment horizontal="left" vertical="center"/>
      <protection locked="0"/>
    </xf>
    <xf numFmtId="166" fontId="15" fillId="0" borderId="61" xfId="0" applyNumberFormat="1" applyFont="1" applyBorder="1">
      <alignment vertical="center"/>
    </xf>
    <xf numFmtId="166" fontId="15" fillId="0" borderId="7" xfId="0" applyNumberFormat="1" applyFont="1" applyBorder="1" applyAlignment="1">
      <alignment horizontal="center" vertical="center"/>
    </xf>
    <xf numFmtId="41" fontId="56" fillId="0" borderId="4" xfId="4" applyFont="1" applyBorder="1" applyAlignment="1" applyProtection="1">
      <alignment horizontal="left" vertical="center"/>
    </xf>
    <xf numFmtId="166" fontId="3" fillId="0" borderId="6" xfId="0" applyNumberFormat="1" applyFont="1" applyBorder="1" applyAlignment="1" applyProtection="1">
      <alignment horizontal="center" vertical="center"/>
      <protection locked="0"/>
    </xf>
    <xf numFmtId="0" fontId="15" fillId="0" borderId="22" xfId="0" applyFont="1" applyBorder="1" applyAlignment="1" applyProtection="1">
      <alignment horizontal="center" vertical="center"/>
      <protection locked="0"/>
    </xf>
    <xf numFmtId="166" fontId="15" fillId="0" borderId="11" xfId="0" applyNumberFormat="1" applyFont="1" applyBorder="1" applyAlignment="1">
      <alignment horizontal="center" vertical="center"/>
    </xf>
    <xf numFmtId="0" fontId="15" fillId="0" borderId="6" xfId="0" applyFont="1" applyBorder="1" applyAlignment="1" applyProtection="1">
      <alignment horizontal="center" vertical="center"/>
      <protection locked="0"/>
    </xf>
    <xf numFmtId="172" fontId="15" fillId="0" borderId="5" xfId="0" applyNumberFormat="1" applyFont="1" applyBorder="1" applyProtection="1">
      <alignment vertical="center"/>
      <protection locked="0"/>
    </xf>
    <xf numFmtId="41" fontId="3" fillId="0" borderId="9" xfId="0" applyNumberFormat="1" applyFont="1" applyBorder="1" applyAlignment="1" applyProtection="1">
      <alignment horizontal="center" vertical="center"/>
      <protection locked="0"/>
    </xf>
    <xf numFmtId="41" fontId="15" fillId="0" borderId="9" xfId="0" applyNumberFormat="1" applyFont="1" applyBorder="1" applyAlignment="1" applyProtection="1">
      <alignment horizontal="center" vertical="center"/>
      <protection locked="0"/>
    </xf>
    <xf numFmtId="166" fontId="15" fillId="0" borderId="10" xfId="0" applyNumberFormat="1" applyFont="1" applyBorder="1" applyAlignment="1">
      <alignment horizontal="center" vertical="center"/>
    </xf>
    <xf numFmtId="166" fontId="3" fillId="0" borderId="10" xfId="0" applyNumberFormat="1" applyFont="1" applyBorder="1">
      <alignment vertical="center"/>
    </xf>
    <xf numFmtId="166" fontId="3" fillId="0" borderId="7" xfId="0" applyNumberFormat="1" applyFont="1" applyBorder="1" applyAlignment="1" applyProtection="1">
      <alignment horizontal="center" vertical="center"/>
      <protection locked="0"/>
    </xf>
    <xf numFmtId="172" fontId="15" fillId="0" borderId="6" xfId="0" applyNumberFormat="1" applyFont="1" applyBorder="1">
      <alignment vertical="center"/>
    </xf>
    <xf numFmtId="172" fontId="15" fillId="0" borderId="6" xfId="0" applyNumberFormat="1" applyFont="1" applyBorder="1" applyProtection="1">
      <alignment vertical="center"/>
      <protection locked="0"/>
    </xf>
    <xf numFmtId="172" fontId="15" fillId="0" borderId="7" xfId="0" applyNumberFormat="1" applyFont="1" applyBorder="1" applyProtection="1">
      <alignment vertical="center"/>
      <protection locked="0"/>
    </xf>
    <xf numFmtId="0" fontId="15" fillId="0" borderId="9" xfId="0" applyFont="1" applyBorder="1" applyProtection="1">
      <alignment vertical="center"/>
      <protection locked="0"/>
    </xf>
    <xf numFmtId="166" fontId="15" fillId="2" borderId="11" xfId="0" applyNumberFormat="1" applyFont="1" applyFill="1" applyBorder="1" applyAlignment="1">
      <alignment horizontal="center" vertical="center"/>
    </xf>
    <xf numFmtId="0" fontId="15" fillId="2" borderId="10" xfId="0" applyFont="1" applyFill="1" applyBorder="1" applyProtection="1">
      <alignment vertical="center"/>
      <protection locked="0"/>
    </xf>
    <xf numFmtId="0" fontId="15" fillId="2" borderId="10" xfId="0" applyFont="1" applyFill="1" applyBorder="1" applyAlignment="1" applyProtection="1">
      <alignment horizontal="center" vertical="center"/>
      <protection locked="0"/>
    </xf>
    <xf numFmtId="0" fontId="15" fillId="0" borderId="10" xfId="0" applyFont="1" applyBorder="1" applyProtection="1">
      <alignment vertical="center"/>
      <protection locked="0"/>
    </xf>
    <xf numFmtId="0" fontId="15" fillId="0" borderId="11" xfId="0" applyFont="1" applyBorder="1" applyProtection="1">
      <alignment vertical="center"/>
      <protection locked="0"/>
    </xf>
    <xf numFmtId="0" fontId="15" fillId="2" borderId="20" xfId="0" applyFont="1" applyFill="1" applyBorder="1" applyAlignment="1" applyProtection="1">
      <alignment horizontal="center" vertical="center"/>
      <protection locked="0"/>
    </xf>
    <xf numFmtId="0" fontId="15" fillId="0" borderId="20" xfId="0" applyFont="1" applyBorder="1" applyAlignment="1" applyProtection="1">
      <alignment horizontal="center" vertical="center"/>
      <protection locked="0"/>
    </xf>
    <xf numFmtId="166" fontId="15" fillId="0" borderId="25" xfId="0" applyNumberFormat="1" applyFont="1" applyBorder="1" applyAlignment="1">
      <alignment horizontal="center" vertical="center"/>
    </xf>
    <xf numFmtId="169" fontId="15" fillId="0" borderId="0" xfId="0" applyNumberFormat="1" applyFont="1" applyAlignment="1">
      <alignment horizontal="center" vertical="center"/>
    </xf>
    <xf numFmtId="41" fontId="56" fillId="14" borderId="10" xfId="4" applyFont="1" applyFill="1" applyBorder="1" applyAlignment="1">
      <alignment vertical="center"/>
      <protection locked="0"/>
    </xf>
    <xf numFmtId="41" fontId="56" fillId="14" borderId="10" xfId="0" applyNumberFormat="1" applyFont="1" applyFill="1" applyBorder="1" applyProtection="1">
      <alignment vertical="center"/>
      <protection locked="0"/>
    </xf>
    <xf numFmtId="41" fontId="56" fillId="14" borderId="10" xfId="0" applyNumberFormat="1" applyFont="1" applyFill="1" applyBorder="1" applyAlignment="1">
      <alignment horizontal="center" vertical="center"/>
    </xf>
    <xf numFmtId="41" fontId="56" fillId="14" borderId="10" xfId="0" applyNumberFormat="1" applyFont="1" applyFill="1" applyBorder="1" applyAlignment="1" applyProtection="1">
      <alignment horizontal="center" vertical="center"/>
      <protection locked="0"/>
    </xf>
    <xf numFmtId="14" fontId="56" fillId="0" borderId="0" xfId="0" applyNumberFormat="1" applyFont="1">
      <alignment vertical="center"/>
    </xf>
    <xf numFmtId="0" fontId="15" fillId="0" borderId="26" xfId="0" applyFont="1" applyBorder="1" applyAlignment="1" applyProtection="1">
      <alignment horizontal="center" vertical="center"/>
      <protection locked="0"/>
    </xf>
    <xf numFmtId="0" fontId="15" fillId="0" borderId="27" xfId="0" applyFont="1" applyBorder="1" applyAlignment="1" applyProtection="1">
      <alignment horizontal="center" vertical="center"/>
      <protection locked="0"/>
    </xf>
    <xf numFmtId="0" fontId="15" fillId="0" borderId="28" xfId="0" applyFont="1" applyBorder="1" applyAlignment="1" applyProtection="1">
      <alignment horizontal="center" vertical="center"/>
      <protection locked="0"/>
    </xf>
    <xf numFmtId="41" fontId="3" fillId="0" borderId="11" xfId="4" applyFont="1" applyBorder="1" applyAlignment="1" applyProtection="1">
      <alignment horizontal="center" vertical="center"/>
    </xf>
    <xf numFmtId="174" fontId="5" fillId="2" borderId="14" xfId="0" applyNumberFormat="1" applyFont="1" applyFill="1" applyBorder="1" applyAlignment="1">
      <alignment horizontal="center" vertical="center"/>
    </xf>
    <xf numFmtId="0" fontId="3" fillId="0" borderId="14" xfId="0" applyFont="1" applyBorder="1" applyProtection="1">
      <alignment vertical="center"/>
      <protection locked="0"/>
    </xf>
    <xf numFmtId="41" fontId="3" fillId="0" borderId="25" xfId="4" applyFont="1" applyBorder="1" applyAlignment="1" applyProtection="1">
      <alignment horizontal="center" vertical="center"/>
    </xf>
    <xf numFmtId="169" fontId="43" fillId="0" borderId="0" xfId="0" applyNumberFormat="1" applyFont="1" applyProtection="1">
      <alignment vertical="center"/>
      <protection locked="0"/>
    </xf>
    <xf numFmtId="0" fontId="113" fillId="0" borderId="0" xfId="0" applyFont="1" applyProtection="1">
      <alignment vertical="center"/>
      <protection locked="0"/>
    </xf>
    <xf numFmtId="189" fontId="113" fillId="0" borderId="0" xfId="0" applyNumberFormat="1" applyFont="1" applyProtection="1">
      <alignment vertical="center"/>
      <protection locked="0"/>
    </xf>
    <xf numFmtId="0" fontId="57" fillId="0" borderId="0" xfId="0" applyFont="1" applyAlignment="1" applyProtection="1">
      <alignment horizontal="center"/>
      <protection locked="0"/>
    </xf>
    <xf numFmtId="10" fontId="1" fillId="0" borderId="0" xfId="0" applyNumberFormat="1" applyFont="1" applyAlignment="1" applyProtection="1">
      <alignment horizontal="right"/>
      <protection locked="0"/>
    </xf>
    <xf numFmtId="0" fontId="47" fillId="0" borderId="0" xfId="0" applyFont="1" applyAlignment="1" applyProtection="1">
      <protection locked="0"/>
    </xf>
    <xf numFmtId="0" fontId="47" fillId="0" borderId="0" xfId="0" applyFont="1" applyAlignment="1">
      <alignment horizontal="left"/>
    </xf>
    <xf numFmtId="0" fontId="17" fillId="0" borderId="0" xfId="0" applyFont="1" applyAlignment="1" applyProtection="1">
      <alignment horizontal="right"/>
      <protection locked="0"/>
    </xf>
    <xf numFmtId="0" fontId="47" fillId="0" borderId="0" xfId="0" applyFont="1" applyAlignment="1" applyProtection="1">
      <alignment horizontal="left"/>
      <protection locked="0"/>
    </xf>
    <xf numFmtId="167" fontId="47" fillId="0" borderId="0" xfId="0" applyNumberFormat="1" applyFont="1" applyAlignment="1">
      <alignment horizontal="left"/>
    </xf>
    <xf numFmtId="0" fontId="47" fillId="0" borderId="0" xfId="0" applyFont="1" applyAlignment="1" applyProtection="1">
      <alignment horizontal="center"/>
      <protection locked="0"/>
    </xf>
    <xf numFmtId="41" fontId="3" fillId="0" borderId="10" xfId="7" applyNumberFormat="1" applyFont="1" applyBorder="1" applyAlignment="1">
      <alignment vertical="center"/>
      <protection locked="0"/>
    </xf>
    <xf numFmtId="0" fontId="17" fillId="0" borderId="0" xfId="7" applyFont="1">
      <protection locked="0"/>
    </xf>
    <xf numFmtId="41" fontId="3" fillId="0" borderId="10" xfId="7" applyNumberFormat="1" applyFont="1" applyBorder="1">
      <protection locked="0"/>
    </xf>
    <xf numFmtId="41" fontId="17" fillId="0" borderId="0" xfId="0" applyNumberFormat="1" applyFont="1" applyAlignment="1" applyProtection="1">
      <protection locked="0"/>
    </xf>
    <xf numFmtId="41" fontId="17" fillId="0" borderId="10" xfId="0" applyNumberFormat="1" applyFont="1" applyBorder="1" applyAlignment="1" applyProtection="1">
      <protection locked="0"/>
    </xf>
    <xf numFmtId="41" fontId="17" fillId="0" borderId="10" xfId="0" applyNumberFormat="1" applyFont="1" applyBorder="1" applyAlignment="1"/>
    <xf numFmtId="41" fontId="17" fillId="0" borderId="22" xfId="4" applyFont="1" applyBorder="1">
      <protection locked="0"/>
    </xf>
    <xf numFmtId="41" fontId="17" fillId="0" borderId="0" xfId="4" applyFont="1">
      <protection locked="0"/>
    </xf>
    <xf numFmtId="41" fontId="17" fillId="0" borderId="23" xfId="0" applyNumberFormat="1" applyFont="1" applyBorder="1" applyAlignment="1" applyProtection="1">
      <protection locked="0"/>
    </xf>
    <xf numFmtId="41" fontId="47" fillId="0" borderId="10" xfId="0" applyNumberFormat="1" applyFont="1" applyBorder="1" applyAlignment="1"/>
    <xf numFmtId="0" fontId="17" fillId="0" borderId="22" xfId="0" applyFont="1" applyBorder="1" applyAlignment="1" applyProtection="1">
      <protection locked="0"/>
    </xf>
    <xf numFmtId="0" fontId="17" fillId="0" borderId="61" xfId="0" applyFont="1" applyBorder="1" applyAlignment="1" applyProtection="1">
      <protection locked="0"/>
    </xf>
    <xf numFmtId="41" fontId="17" fillId="0" borderId="9" xfId="0" applyNumberFormat="1" applyFont="1" applyBorder="1" applyAlignment="1"/>
    <xf numFmtId="0" fontId="47" fillId="0" borderId="61" xfId="0" applyFont="1" applyBorder="1" applyAlignment="1" applyProtection="1">
      <protection locked="0"/>
    </xf>
    <xf numFmtId="41" fontId="47" fillId="0" borderId="10" xfId="0" applyNumberFormat="1" applyFont="1" applyBorder="1">
      <alignment vertical="center"/>
    </xf>
    <xf numFmtId="10" fontId="47" fillId="0" borderId="10" xfId="0" applyNumberFormat="1" applyFont="1" applyBorder="1" applyAlignment="1"/>
    <xf numFmtId="41" fontId="47" fillId="0" borderId="10" xfId="0" applyNumberFormat="1" applyFont="1" applyBorder="1" applyAlignment="1" applyProtection="1">
      <protection locked="0"/>
    </xf>
    <xf numFmtId="0" fontId="17" fillId="0" borderId="76" xfId="0" applyFont="1" applyBorder="1" applyAlignment="1" applyProtection="1">
      <protection locked="0"/>
    </xf>
    <xf numFmtId="41" fontId="47" fillId="0" borderId="76" xfId="0" applyNumberFormat="1" applyFont="1" applyBorder="1" applyAlignment="1"/>
    <xf numFmtId="0" fontId="17" fillId="0" borderId="0" xfId="0" applyFont="1" applyAlignment="1" applyProtection="1">
      <alignment horizontal="center" vertical="center"/>
      <protection locked="0"/>
    </xf>
    <xf numFmtId="174" fontId="70" fillId="0" borderId="0" xfId="3" applyNumberFormat="1" applyFont="1" applyAlignment="1" applyProtection="1">
      <alignment horizontal="center" vertical="center"/>
    </xf>
    <xf numFmtId="41" fontId="47" fillId="0" borderId="0" xfId="0" applyNumberFormat="1" applyFont="1" applyAlignment="1"/>
    <xf numFmtId="174" fontId="17" fillId="0" borderId="0" xfId="3" applyNumberFormat="1" applyFont="1" applyAlignment="1">
      <alignment horizontal="center" vertical="center"/>
      <protection locked="0"/>
    </xf>
    <xf numFmtId="0" fontId="67" fillId="0" borderId="0" xfId="0" applyFont="1" applyAlignment="1" applyProtection="1">
      <protection locked="0"/>
    </xf>
    <xf numFmtId="164" fontId="43" fillId="4" borderId="0" xfId="0" applyNumberFormat="1" applyFont="1" applyFill="1" applyProtection="1">
      <alignment vertical="center"/>
      <protection locked="0"/>
    </xf>
    <xf numFmtId="41" fontId="43" fillId="4" borderId="0" xfId="4" applyFont="1" applyFill="1" applyAlignment="1">
      <alignment vertical="center"/>
      <protection locked="0"/>
    </xf>
    <xf numFmtId="0" fontId="15" fillId="4" borderId="0" xfId="0" applyFont="1" applyFill="1" applyAlignment="1" applyProtection="1">
      <alignment horizontal="center" vertical="center"/>
      <protection locked="0"/>
    </xf>
    <xf numFmtId="0" fontId="15" fillId="4" borderId="0" xfId="0" applyFont="1" applyFill="1" applyProtection="1">
      <alignment vertical="center"/>
      <protection locked="0"/>
    </xf>
    <xf numFmtId="164" fontId="15" fillId="4" borderId="0" xfId="0" applyNumberFormat="1" applyFont="1" applyFill="1" applyProtection="1">
      <alignment vertical="center"/>
      <protection locked="0"/>
    </xf>
    <xf numFmtId="41" fontId="15" fillId="4" borderId="0" xfId="4" applyFont="1" applyFill="1" applyAlignment="1">
      <alignment vertical="center"/>
      <protection locked="0"/>
    </xf>
    <xf numFmtId="164" fontId="15" fillId="4" borderId="69" xfId="0" applyNumberFormat="1" applyFont="1" applyFill="1" applyBorder="1" applyProtection="1">
      <alignment vertical="center"/>
      <protection locked="0"/>
    </xf>
    <xf numFmtId="0" fontId="15" fillId="4" borderId="95" xfId="0" applyFont="1" applyFill="1" applyBorder="1" applyAlignment="1" applyProtection="1">
      <alignment horizontal="center" vertical="center"/>
      <protection locked="0"/>
    </xf>
    <xf numFmtId="0" fontId="15" fillId="4" borderId="72" xfId="0" applyFont="1" applyFill="1" applyBorder="1" applyProtection="1">
      <alignment vertical="center"/>
      <protection locked="0"/>
    </xf>
    <xf numFmtId="0" fontId="15" fillId="4" borderId="100" xfId="0" applyFont="1" applyFill="1" applyBorder="1" applyAlignment="1" applyProtection="1">
      <alignment horizontal="center" vertical="center"/>
      <protection locked="0"/>
    </xf>
    <xf numFmtId="0" fontId="15" fillId="4" borderId="35" xfId="0" applyFont="1" applyFill="1" applyBorder="1" applyAlignment="1" applyProtection="1">
      <alignment horizontal="center" vertical="center"/>
      <protection locked="0"/>
    </xf>
    <xf numFmtId="0" fontId="15" fillId="4" borderId="51" xfId="0" applyFont="1" applyFill="1" applyBorder="1" applyAlignment="1" applyProtection="1">
      <alignment horizontal="center" vertical="center"/>
      <protection locked="0"/>
    </xf>
    <xf numFmtId="0" fontId="15" fillId="4" borderId="42" xfId="0" applyFont="1" applyFill="1" applyBorder="1" applyAlignment="1" applyProtection="1">
      <alignment horizontal="center" vertical="center"/>
      <protection locked="0"/>
    </xf>
    <xf numFmtId="0" fontId="15" fillId="4" borderId="44" xfId="0" applyFont="1" applyFill="1" applyBorder="1" applyProtection="1">
      <alignment vertical="center"/>
      <protection locked="0"/>
    </xf>
    <xf numFmtId="0" fontId="15" fillId="4" borderId="34" xfId="0" applyFont="1" applyFill="1" applyBorder="1" applyAlignment="1" applyProtection="1">
      <alignment horizontal="center" vertical="center"/>
      <protection locked="0"/>
    </xf>
    <xf numFmtId="0" fontId="15" fillId="4" borderId="17" xfId="0" applyFont="1" applyFill="1" applyBorder="1" applyAlignment="1" applyProtection="1">
      <alignment horizontal="center" vertical="center"/>
      <protection locked="0"/>
    </xf>
    <xf numFmtId="164" fontId="15" fillId="4" borderId="66" xfId="0" applyNumberFormat="1" applyFont="1" applyFill="1" applyBorder="1" applyAlignment="1" applyProtection="1">
      <alignment horizontal="center" vertical="center"/>
      <protection locked="0"/>
    </xf>
    <xf numFmtId="41" fontId="15" fillId="4" borderId="20" xfId="4" applyFont="1" applyFill="1" applyBorder="1" applyAlignment="1">
      <alignment horizontal="center" vertical="center"/>
      <protection locked="0"/>
    </xf>
    <xf numFmtId="0" fontId="15" fillId="4" borderId="37" xfId="0" applyFont="1" applyFill="1" applyBorder="1" applyAlignment="1" applyProtection="1">
      <alignment horizontal="center" vertical="center"/>
      <protection locked="0"/>
    </xf>
    <xf numFmtId="0" fontId="15" fillId="4" borderId="40" xfId="0" applyFont="1" applyFill="1" applyBorder="1" applyProtection="1">
      <alignment vertical="center"/>
      <protection locked="0"/>
    </xf>
    <xf numFmtId="164" fontId="15" fillId="4" borderId="5" xfId="4" applyNumberFormat="1" applyFont="1" applyFill="1" applyBorder="1" applyAlignment="1">
      <alignment vertical="center"/>
      <protection locked="0"/>
    </xf>
    <xf numFmtId="190" fontId="15" fillId="4" borderId="6" xfId="4" applyNumberFormat="1" applyFont="1" applyFill="1" applyBorder="1" applyAlignment="1">
      <alignment vertical="center"/>
      <protection locked="0"/>
    </xf>
    <xf numFmtId="164" fontId="15" fillId="4" borderId="6" xfId="4" applyNumberFormat="1" applyFont="1" applyFill="1" applyBorder="1" applyAlignment="1">
      <alignment vertical="center"/>
      <protection locked="0"/>
    </xf>
    <xf numFmtId="41" fontId="15" fillId="4" borderId="43" xfId="4" applyFont="1" applyFill="1" applyBorder="1" applyAlignment="1" applyProtection="1">
      <alignment vertical="center"/>
    </xf>
    <xf numFmtId="0" fontId="15" fillId="4" borderId="35" xfId="0" applyFont="1" applyFill="1" applyBorder="1" applyProtection="1">
      <alignment vertical="center"/>
      <protection locked="0"/>
    </xf>
    <xf numFmtId="164" fontId="15" fillId="4" borderId="9" xfId="4" applyNumberFormat="1" applyFont="1" applyFill="1" applyBorder="1" applyAlignment="1">
      <alignment vertical="center"/>
      <protection locked="0"/>
    </xf>
    <xf numFmtId="190" fontId="15" fillId="4" borderId="10" xfId="4" applyNumberFormat="1" applyFont="1" applyFill="1" applyBorder="1" applyAlignment="1">
      <alignment vertical="center"/>
      <protection locked="0"/>
    </xf>
    <xf numFmtId="164" fontId="15" fillId="4" borderId="10" xfId="4" applyNumberFormat="1" applyFont="1" applyFill="1" applyBorder="1" applyAlignment="1">
      <alignment vertical="center"/>
      <protection locked="0"/>
    </xf>
    <xf numFmtId="0" fontId="15" fillId="4" borderId="77" xfId="0" applyFont="1" applyFill="1" applyBorder="1" applyAlignment="1" applyProtection="1">
      <alignment horizontal="center" vertical="center"/>
      <protection locked="0"/>
    </xf>
    <xf numFmtId="164" fontId="15" fillId="4" borderId="13" xfId="4" applyNumberFormat="1" applyFont="1" applyFill="1" applyBorder="1" applyAlignment="1">
      <alignment vertical="center"/>
      <protection locked="0"/>
    </xf>
    <xf numFmtId="190" fontId="15" fillId="4" borderId="14" xfId="4" applyNumberFormat="1" applyFont="1" applyFill="1" applyBorder="1" applyAlignment="1">
      <alignment vertical="center"/>
      <protection locked="0"/>
    </xf>
    <xf numFmtId="164" fontId="15" fillId="4" borderId="14" xfId="4" applyNumberFormat="1" applyFont="1" applyFill="1" applyBorder="1" applyAlignment="1">
      <alignment vertical="center"/>
      <protection locked="0"/>
    </xf>
    <xf numFmtId="0" fontId="15" fillId="4" borderId="54" xfId="0" applyFont="1" applyFill="1" applyBorder="1" applyProtection="1">
      <alignment vertical="center"/>
      <protection locked="0"/>
    </xf>
    <xf numFmtId="41" fontId="15" fillId="4" borderId="37" xfId="4" applyFont="1" applyFill="1" applyBorder="1" applyAlignment="1" applyProtection="1">
      <alignment vertical="center"/>
    </xf>
    <xf numFmtId="164" fontId="15" fillId="4" borderId="96" xfId="4" applyNumberFormat="1" applyFont="1" applyFill="1" applyBorder="1" applyAlignment="1">
      <alignment vertical="center"/>
      <protection locked="0"/>
    </xf>
    <xf numFmtId="190" fontId="15" fillId="4" borderId="27" xfId="4" applyNumberFormat="1" applyFont="1" applyFill="1" applyBorder="1" applyAlignment="1">
      <alignment vertical="center"/>
      <protection locked="0"/>
    </xf>
    <xf numFmtId="164" fontId="15" fillId="4" borderId="27" xfId="4" applyNumberFormat="1" applyFont="1" applyFill="1" applyBorder="1" applyAlignment="1">
      <alignment vertical="center"/>
      <protection locked="0"/>
    </xf>
    <xf numFmtId="0" fontId="15" fillId="4" borderId="54" xfId="0" applyFont="1" applyFill="1" applyBorder="1" applyAlignment="1" applyProtection="1">
      <alignment horizontal="center" vertical="center"/>
      <protection locked="0"/>
    </xf>
    <xf numFmtId="0" fontId="15" fillId="4" borderId="52" xfId="0" applyFont="1" applyFill="1" applyBorder="1" applyAlignment="1" applyProtection="1">
      <alignment horizontal="center" vertical="center"/>
      <protection locked="0"/>
    </xf>
    <xf numFmtId="41" fontId="15" fillId="4" borderId="42" xfId="4" applyFont="1" applyFill="1" applyBorder="1" applyAlignment="1" applyProtection="1">
      <alignment vertical="center"/>
    </xf>
    <xf numFmtId="164" fontId="15" fillId="4" borderId="61" xfId="4" applyNumberFormat="1" applyFont="1" applyFill="1" applyBorder="1" applyAlignment="1">
      <alignment vertical="center"/>
      <protection locked="0"/>
    </xf>
    <xf numFmtId="190" fontId="15" fillId="4" borderId="22" xfId="4" applyNumberFormat="1" applyFont="1" applyFill="1" applyBorder="1" applyAlignment="1">
      <alignment vertical="center"/>
      <protection locked="0"/>
    </xf>
    <xf numFmtId="164" fontId="15" fillId="4" borderId="22" xfId="4" applyNumberFormat="1" applyFont="1" applyFill="1" applyBorder="1" applyAlignment="1">
      <alignment vertical="center"/>
      <protection locked="0"/>
    </xf>
    <xf numFmtId="0" fontId="15" fillId="4" borderId="23" xfId="0" applyFont="1" applyFill="1" applyBorder="1" applyAlignment="1" applyProtection="1">
      <alignment horizontal="center" vertical="center"/>
      <protection locked="0"/>
    </xf>
    <xf numFmtId="41" fontId="15" fillId="4" borderId="42" xfId="4" applyFont="1" applyFill="1" applyBorder="1" applyAlignment="1">
      <alignment vertical="center"/>
      <protection locked="0"/>
    </xf>
    <xf numFmtId="0" fontId="15" fillId="4" borderId="90" xfId="0" applyFont="1" applyFill="1" applyBorder="1" applyAlignment="1" applyProtection="1">
      <alignment horizontal="center" vertical="center"/>
      <protection locked="0"/>
    </xf>
    <xf numFmtId="41" fontId="15" fillId="4" borderId="44" xfId="4" applyFont="1" applyFill="1" applyBorder="1" applyAlignment="1" applyProtection="1">
      <alignment vertical="center"/>
    </xf>
    <xf numFmtId="164" fontId="15" fillId="4" borderId="29" xfId="4" applyNumberFormat="1" applyFont="1" applyFill="1" applyBorder="1" applyAlignment="1">
      <alignment vertical="center"/>
      <protection locked="0"/>
    </xf>
    <xf numFmtId="190" fontId="15" fillId="4" borderId="20" xfId="4" applyNumberFormat="1" applyFont="1" applyFill="1" applyBorder="1" applyAlignment="1">
      <alignment vertical="center"/>
      <protection locked="0"/>
    </xf>
    <xf numFmtId="164" fontId="15" fillId="4" borderId="20" xfId="4" applyNumberFormat="1" applyFont="1" applyFill="1" applyBorder="1" applyAlignment="1">
      <alignment vertical="center"/>
      <protection locked="0"/>
    </xf>
    <xf numFmtId="41" fontId="15" fillId="4" borderId="78" xfId="4" applyFont="1" applyFill="1" applyBorder="1" applyAlignment="1" applyProtection="1">
      <alignment vertical="center"/>
    </xf>
    <xf numFmtId="0" fontId="15" fillId="4" borderId="44" xfId="0" applyFont="1" applyFill="1" applyBorder="1" applyAlignment="1" applyProtection="1">
      <alignment horizontal="center" vertical="center"/>
      <protection locked="0"/>
    </xf>
    <xf numFmtId="0" fontId="15" fillId="4" borderId="78" xfId="0" applyFont="1" applyFill="1" applyBorder="1" applyAlignment="1" applyProtection="1">
      <alignment horizontal="center" vertical="center"/>
      <protection locked="0"/>
    </xf>
    <xf numFmtId="41" fontId="15" fillId="4" borderId="38" xfId="4" applyFont="1" applyFill="1" applyBorder="1" applyAlignment="1" applyProtection="1">
      <alignment vertical="center"/>
    </xf>
    <xf numFmtId="164" fontId="15" fillId="4" borderId="26" xfId="4" applyNumberFormat="1" applyFont="1" applyFill="1" applyBorder="1" applyAlignment="1">
      <alignment vertical="center"/>
      <protection locked="0"/>
    </xf>
    <xf numFmtId="164" fontId="15" fillId="4" borderId="20" xfId="0" applyNumberFormat="1" applyFont="1" applyFill="1" applyBorder="1" applyAlignment="1" applyProtection="1">
      <alignment horizontal="center" vertical="center"/>
      <protection locked="0"/>
    </xf>
    <xf numFmtId="164" fontId="15" fillId="4" borderId="6" xfId="4" applyNumberFormat="1" applyFont="1" applyFill="1" applyBorder="1" applyAlignment="1" applyProtection="1">
      <alignment vertical="center"/>
    </xf>
    <xf numFmtId="190" fontId="15" fillId="4" borderId="6" xfId="4" applyNumberFormat="1" applyFont="1" applyFill="1" applyBorder="1" applyAlignment="1">
      <alignment horizontal="center" vertical="center"/>
      <protection locked="0"/>
    </xf>
    <xf numFmtId="189" fontId="15" fillId="4" borderId="10" xfId="4" applyNumberFormat="1" applyFont="1" applyFill="1" applyBorder="1" applyAlignment="1">
      <alignment vertical="center"/>
      <protection locked="0"/>
    </xf>
    <xf numFmtId="189" fontId="15" fillId="4" borderId="27" xfId="4" applyNumberFormat="1" applyFont="1" applyFill="1" applyBorder="1" applyAlignment="1">
      <alignment vertical="center"/>
      <protection locked="0"/>
    </xf>
    <xf numFmtId="189" fontId="15" fillId="4" borderId="6" xfId="4" applyNumberFormat="1" applyFont="1" applyFill="1" applyBorder="1" applyAlignment="1">
      <alignment vertical="center"/>
      <protection locked="0"/>
    </xf>
    <xf numFmtId="191" fontId="15" fillId="4" borderId="10" xfId="4" applyNumberFormat="1" applyFont="1" applyFill="1" applyBorder="1" applyAlignment="1">
      <alignment vertical="center"/>
      <protection locked="0"/>
    </xf>
    <xf numFmtId="192" fontId="15" fillId="4" borderId="6" xfId="4" applyNumberFormat="1" applyFont="1" applyFill="1" applyBorder="1" applyAlignment="1">
      <alignment vertical="center"/>
      <protection locked="0"/>
    </xf>
    <xf numFmtId="0" fontId="15" fillId="4" borderId="20" xfId="0" applyFont="1" applyFill="1" applyBorder="1" applyAlignment="1" applyProtection="1">
      <alignment horizontal="center" vertical="center"/>
      <protection locked="0"/>
    </xf>
    <xf numFmtId="170" fontId="15" fillId="4" borderId="6" xfId="4" applyNumberFormat="1" applyFont="1" applyFill="1" applyBorder="1" applyAlignment="1">
      <alignment vertical="center"/>
      <protection locked="0"/>
    </xf>
    <xf numFmtId="170" fontId="15" fillId="4" borderId="10" xfId="4" applyNumberFormat="1" applyFont="1" applyFill="1" applyBorder="1" applyAlignment="1">
      <alignment vertical="center"/>
      <protection locked="0"/>
    </xf>
    <xf numFmtId="170" fontId="15" fillId="4" borderId="14" xfId="4" applyNumberFormat="1" applyFont="1" applyFill="1" applyBorder="1" applyAlignment="1">
      <alignment vertical="center"/>
      <protection locked="0"/>
    </xf>
    <xf numFmtId="170" fontId="15" fillId="4" borderId="27" xfId="4" applyNumberFormat="1" applyFont="1" applyFill="1" applyBorder="1" applyAlignment="1">
      <alignment vertical="center"/>
      <protection locked="0"/>
    </xf>
    <xf numFmtId="41" fontId="15" fillId="4" borderId="25" xfId="4" applyFont="1" applyFill="1" applyBorder="1" applyAlignment="1">
      <alignment horizontal="center" vertical="center"/>
      <protection locked="0"/>
    </xf>
    <xf numFmtId="192" fontId="15" fillId="4" borderId="7" xfId="4" applyNumberFormat="1" applyFont="1" applyFill="1" applyBorder="1" applyAlignment="1">
      <alignment vertical="center"/>
      <protection locked="0"/>
    </xf>
    <xf numFmtId="164" fontId="15" fillId="4" borderId="10" xfId="4" applyNumberFormat="1" applyFont="1" applyFill="1" applyBorder="1" applyAlignment="1" applyProtection="1">
      <alignment vertical="center"/>
    </xf>
    <xf numFmtId="187" fontId="15" fillId="4" borderId="10" xfId="4" applyNumberFormat="1" applyFont="1" applyFill="1" applyBorder="1" applyAlignment="1" applyProtection="1">
      <alignment vertical="center"/>
    </xf>
    <xf numFmtId="187" fontId="15" fillId="4" borderId="11" xfId="4" applyNumberFormat="1" applyFont="1" applyFill="1" applyBorder="1" applyAlignment="1" applyProtection="1">
      <alignment vertical="center"/>
    </xf>
    <xf numFmtId="192" fontId="15" fillId="4" borderId="10" xfId="4" applyNumberFormat="1" applyFont="1" applyFill="1" applyBorder="1" applyAlignment="1" applyProtection="1">
      <alignment vertical="center"/>
    </xf>
    <xf numFmtId="190" fontId="15" fillId="4" borderId="10" xfId="4" applyNumberFormat="1" applyFont="1" applyFill="1" applyBorder="1" applyAlignment="1" applyProtection="1">
      <alignment vertical="center"/>
    </xf>
    <xf numFmtId="190" fontId="15" fillId="4" borderId="11" xfId="4" applyNumberFormat="1" applyFont="1" applyFill="1" applyBorder="1" applyAlignment="1" applyProtection="1">
      <alignment vertical="center"/>
    </xf>
    <xf numFmtId="192" fontId="15" fillId="4" borderId="10" xfId="4" applyNumberFormat="1" applyFont="1" applyFill="1" applyBorder="1" applyAlignment="1">
      <alignment vertical="center"/>
      <protection locked="0"/>
    </xf>
    <xf numFmtId="164" fontId="15" fillId="4" borderId="20" xfId="4" applyNumberFormat="1" applyFont="1" applyFill="1" applyBorder="1" applyAlignment="1" applyProtection="1">
      <alignment vertical="center"/>
    </xf>
    <xf numFmtId="190" fontId="15" fillId="4" borderId="20" xfId="4" applyNumberFormat="1" applyFont="1" applyFill="1" applyBorder="1" applyAlignment="1" applyProtection="1">
      <alignment vertical="center"/>
    </xf>
    <xf numFmtId="192" fontId="15" fillId="4" borderId="20" xfId="4" applyNumberFormat="1" applyFont="1" applyFill="1" applyBorder="1" applyAlignment="1" applyProtection="1">
      <alignment vertical="center"/>
    </xf>
    <xf numFmtId="190" fontId="15" fillId="4" borderId="25" xfId="4" applyNumberFormat="1" applyFont="1" applyFill="1" applyBorder="1" applyAlignment="1" applyProtection="1">
      <alignment vertical="center"/>
    </xf>
    <xf numFmtId="187" fontId="15" fillId="4" borderId="6" xfId="4" applyNumberFormat="1" applyFont="1" applyFill="1" applyBorder="1" applyAlignment="1" applyProtection="1">
      <alignment vertical="center"/>
    </xf>
    <xf numFmtId="187" fontId="15" fillId="4" borderId="28" xfId="4" applyNumberFormat="1" applyFont="1" applyFill="1" applyBorder="1" applyAlignment="1" applyProtection="1">
      <alignment vertical="center"/>
    </xf>
    <xf numFmtId="189" fontId="15" fillId="4" borderId="22" xfId="4" applyNumberFormat="1" applyFont="1" applyFill="1" applyBorder="1" applyAlignment="1">
      <alignment vertical="center"/>
      <protection locked="0"/>
    </xf>
    <xf numFmtId="189" fontId="15" fillId="4" borderId="14" xfId="4" applyNumberFormat="1" applyFont="1" applyFill="1" applyBorder="1" applyAlignment="1">
      <alignment vertical="center"/>
      <protection locked="0"/>
    </xf>
    <xf numFmtId="192" fontId="15" fillId="4" borderId="14" xfId="4" applyNumberFormat="1" applyFont="1" applyFill="1" applyBorder="1" applyAlignment="1">
      <alignment vertical="center"/>
      <protection locked="0"/>
    </xf>
    <xf numFmtId="192" fontId="15" fillId="4" borderId="6" xfId="4" applyNumberFormat="1" applyFont="1" applyFill="1" applyBorder="1" applyAlignment="1" applyProtection="1">
      <alignment vertical="center"/>
    </xf>
    <xf numFmtId="187" fontId="15" fillId="4" borderId="15" xfId="4" applyNumberFormat="1" applyFont="1" applyFill="1" applyBorder="1" applyAlignment="1" applyProtection="1">
      <alignment vertical="center"/>
    </xf>
    <xf numFmtId="192" fontId="15" fillId="4" borderId="22" xfId="4" applyNumberFormat="1" applyFont="1" applyFill="1" applyBorder="1" applyAlignment="1">
      <alignment vertical="center"/>
      <protection locked="0"/>
    </xf>
    <xf numFmtId="164" fontId="15" fillId="4" borderId="22" xfId="4" applyNumberFormat="1" applyFont="1" applyFill="1" applyBorder="1" applyAlignment="1" applyProtection="1">
      <alignment vertical="center"/>
    </xf>
    <xf numFmtId="190" fontId="15" fillId="4" borderId="14" xfId="4" applyNumberFormat="1" applyFont="1" applyFill="1" applyBorder="1" applyAlignment="1" applyProtection="1">
      <alignment vertical="center"/>
    </xf>
    <xf numFmtId="190" fontId="15" fillId="4" borderId="15" xfId="4" applyNumberFormat="1" applyFont="1" applyFill="1" applyBorder="1" applyAlignment="1" applyProtection="1">
      <alignment vertical="center"/>
    </xf>
    <xf numFmtId="192" fontId="15" fillId="4" borderId="27" xfId="4" applyNumberFormat="1" applyFont="1" applyFill="1" applyBorder="1" applyAlignment="1">
      <alignment vertical="center"/>
      <protection locked="0"/>
    </xf>
    <xf numFmtId="164" fontId="15" fillId="4" borderId="27" xfId="4" applyNumberFormat="1" applyFont="1" applyFill="1" applyBorder="1" applyAlignment="1" applyProtection="1">
      <alignment vertical="center"/>
    </xf>
    <xf numFmtId="190" fontId="15" fillId="4" borderId="27" xfId="4" applyNumberFormat="1" applyFont="1" applyFill="1" applyBorder="1" applyAlignment="1" applyProtection="1">
      <alignment vertical="center"/>
    </xf>
    <xf numFmtId="192" fontId="15" fillId="4" borderId="27" xfId="4" applyNumberFormat="1" applyFont="1" applyFill="1" applyBorder="1" applyAlignment="1" applyProtection="1">
      <alignment vertical="center"/>
    </xf>
    <xf numFmtId="190" fontId="15" fillId="4" borderId="28" xfId="4" applyNumberFormat="1" applyFont="1" applyFill="1" applyBorder="1" applyAlignment="1" applyProtection="1">
      <alignment vertical="center"/>
    </xf>
    <xf numFmtId="192" fontId="15" fillId="4" borderId="20" xfId="4" applyNumberFormat="1" applyFont="1" applyFill="1" applyBorder="1" applyAlignment="1">
      <alignment vertical="center"/>
      <protection locked="0"/>
    </xf>
    <xf numFmtId="190" fontId="15" fillId="4" borderId="25" xfId="4" applyNumberFormat="1" applyFont="1" applyFill="1" applyBorder="1" applyAlignment="1">
      <alignment vertical="center"/>
      <protection locked="0"/>
    </xf>
    <xf numFmtId="190" fontId="15" fillId="4" borderId="7" xfId="4" applyNumberFormat="1" applyFont="1" applyFill="1" applyBorder="1" applyAlignment="1" applyProtection="1">
      <alignment vertical="center"/>
    </xf>
    <xf numFmtId="190" fontId="15" fillId="4" borderId="50" xfId="4" applyNumberFormat="1" applyFont="1" applyFill="1" applyBorder="1" applyAlignment="1" applyProtection="1">
      <alignment vertical="center"/>
    </xf>
    <xf numFmtId="192" fontId="15" fillId="4" borderId="5" xfId="4" applyNumberFormat="1" applyFont="1" applyFill="1" applyBorder="1" applyAlignment="1" applyProtection="1">
      <alignment vertical="center"/>
    </xf>
    <xf numFmtId="191" fontId="15" fillId="4" borderId="14" xfId="4" applyNumberFormat="1" applyFont="1" applyFill="1" applyBorder="1" applyAlignment="1">
      <alignment vertical="center"/>
      <protection locked="0"/>
    </xf>
    <xf numFmtId="187" fontId="15" fillId="4" borderId="50" xfId="4" applyNumberFormat="1" applyFont="1" applyFill="1" applyBorder="1" applyAlignment="1" applyProtection="1">
      <alignment vertical="center"/>
    </xf>
    <xf numFmtId="187" fontId="15" fillId="4" borderId="5" xfId="4" applyNumberFormat="1" applyFont="1" applyFill="1" applyBorder="1" applyAlignment="1" applyProtection="1">
      <alignment vertical="center"/>
    </xf>
    <xf numFmtId="0" fontId="43" fillId="4" borderId="54" xfId="0" applyFont="1" applyFill="1" applyBorder="1" applyProtection="1">
      <alignment vertical="center"/>
      <protection locked="0"/>
    </xf>
    <xf numFmtId="0" fontId="43" fillId="4" borderId="69" xfId="0" applyFont="1" applyFill="1" applyBorder="1" applyProtection="1">
      <alignment vertical="center"/>
      <protection locked="0"/>
    </xf>
    <xf numFmtId="0" fontId="43" fillId="4" borderId="35" xfId="0" applyFont="1" applyFill="1" applyBorder="1" applyProtection="1">
      <alignment vertical="center"/>
      <protection locked="0"/>
    </xf>
    <xf numFmtId="0" fontId="101" fillId="4" borderId="78" xfId="0" applyFont="1" applyFill="1" applyBorder="1" applyAlignment="1" applyProtection="1">
      <alignment vertical="center" wrapText="1"/>
      <protection locked="0"/>
    </xf>
    <xf numFmtId="183" fontId="101" fillId="4" borderId="5" xfId="0" applyNumberFormat="1" applyFont="1" applyFill="1" applyBorder="1" applyProtection="1">
      <alignment vertical="center"/>
      <protection locked="0"/>
    </xf>
    <xf numFmtId="0" fontId="101" fillId="4" borderId="28" xfId="0" applyFont="1" applyFill="1" applyBorder="1" applyProtection="1">
      <alignment vertical="center"/>
      <protection locked="0"/>
    </xf>
    <xf numFmtId="14" fontId="101" fillId="4" borderId="5" xfId="0" applyNumberFormat="1" applyFont="1" applyFill="1" applyBorder="1" applyProtection="1">
      <alignment vertical="center"/>
      <protection locked="0"/>
    </xf>
    <xf numFmtId="0" fontId="101" fillId="4" borderId="5" xfId="0" applyFont="1" applyFill="1" applyBorder="1" applyProtection="1">
      <alignment vertical="center"/>
      <protection locked="0"/>
    </xf>
    <xf numFmtId="0" fontId="101" fillId="4" borderId="42" xfId="0" applyFont="1" applyFill="1" applyBorder="1" applyProtection="1">
      <alignment vertical="center"/>
      <protection locked="0"/>
    </xf>
    <xf numFmtId="0" fontId="101" fillId="4" borderId="9" xfId="0" applyFont="1" applyFill="1" applyBorder="1" applyProtection="1">
      <alignment vertical="center"/>
      <protection locked="0"/>
    </xf>
    <xf numFmtId="0" fontId="101" fillId="4" borderId="11" xfId="0" applyFont="1" applyFill="1" applyBorder="1" applyProtection="1">
      <alignment vertical="center"/>
      <protection locked="0"/>
    </xf>
    <xf numFmtId="0" fontId="101" fillId="4" borderId="44" xfId="0" applyFont="1" applyFill="1" applyBorder="1" applyProtection="1">
      <alignment vertical="center"/>
      <protection locked="0"/>
    </xf>
    <xf numFmtId="0" fontId="101" fillId="4" borderId="66" xfId="0" applyFont="1" applyFill="1" applyBorder="1" applyAlignment="1" applyProtection="1">
      <alignment horizontal="center" vertical="center"/>
      <protection locked="0"/>
    </xf>
    <xf numFmtId="0" fontId="101" fillId="4" borderId="25" xfId="0" applyFont="1" applyFill="1" applyBorder="1" applyAlignment="1" applyProtection="1">
      <alignment horizontal="center" vertical="center"/>
      <protection locked="0"/>
    </xf>
    <xf numFmtId="0" fontId="101" fillId="4" borderId="38" xfId="0" applyFont="1" applyFill="1" applyBorder="1" applyProtection="1">
      <alignment vertical="center"/>
      <protection locked="0"/>
    </xf>
    <xf numFmtId="41" fontId="101" fillId="4" borderId="6" xfId="4" applyFont="1" applyFill="1" applyBorder="1" applyAlignment="1" applyProtection="1">
      <alignment vertical="center"/>
    </xf>
    <xf numFmtId="0" fontId="101" fillId="4" borderId="7" xfId="0" applyFont="1" applyFill="1" applyBorder="1" applyProtection="1">
      <alignment vertical="center"/>
      <protection locked="0"/>
    </xf>
    <xf numFmtId="41" fontId="101" fillId="4" borderId="5" xfId="4" applyFont="1" applyFill="1" applyBorder="1" applyAlignment="1" applyProtection="1">
      <alignment vertical="center"/>
    </xf>
    <xf numFmtId="41" fontId="101" fillId="4" borderId="43" xfId="4" applyFont="1" applyFill="1" applyBorder="1" applyAlignment="1">
      <alignment vertical="center"/>
      <protection locked="0"/>
    </xf>
    <xf numFmtId="41" fontId="101" fillId="4" borderId="9" xfId="4" applyFont="1" applyFill="1" applyBorder="1" applyAlignment="1">
      <alignment vertical="center"/>
      <protection locked="0"/>
    </xf>
    <xf numFmtId="41" fontId="101" fillId="4" borderId="11" xfId="4" applyFont="1" applyFill="1" applyBorder="1" applyAlignment="1">
      <alignment vertical="center"/>
      <protection locked="0"/>
    </xf>
    <xf numFmtId="0" fontId="99" fillId="4" borderId="44" xfId="0" applyFont="1" applyFill="1" applyBorder="1" applyProtection="1">
      <alignment vertical="center"/>
      <protection locked="0"/>
    </xf>
    <xf numFmtId="41" fontId="101" fillId="4" borderId="29" xfId="4" applyFont="1" applyFill="1" applyBorder="1" applyAlignment="1">
      <alignment vertical="center"/>
      <protection locked="0"/>
    </xf>
    <xf numFmtId="41" fontId="101" fillId="4" borderId="25" xfId="4" applyFont="1" applyFill="1" applyBorder="1" applyAlignment="1">
      <alignment vertical="center"/>
      <protection locked="0"/>
    </xf>
    <xf numFmtId="41" fontId="101" fillId="4" borderId="66" xfId="4" applyFont="1" applyFill="1" applyBorder="1" applyAlignment="1">
      <alignment vertical="center"/>
      <protection locked="0"/>
    </xf>
    <xf numFmtId="41" fontId="101" fillId="4" borderId="87" xfId="4" applyFont="1" applyFill="1" applyBorder="1" applyAlignment="1">
      <alignment vertical="center"/>
      <protection locked="0"/>
    </xf>
    <xf numFmtId="0" fontId="43" fillId="4" borderId="71" xfId="0" applyFont="1" applyFill="1" applyBorder="1" applyProtection="1">
      <alignment vertical="center"/>
      <protection locked="0"/>
    </xf>
    <xf numFmtId="0" fontId="101" fillId="4" borderId="37" xfId="0" applyFont="1" applyFill="1" applyBorder="1" applyAlignment="1" applyProtection="1">
      <alignment vertical="center" wrapText="1"/>
      <protection locked="0"/>
    </xf>
    <xf numFmtId="14" fontId="101" fillId="4" borderId="26" xfId="0" applyNumberFormat="1" applyFont="1" applyFill="1" applyBorder="1" applyProtection="1">
      <alignment vertical="center"/>
      <protection locked="0"/>
    </xf>
    <xf numFmtId="0" fontId="101" fillId="4" borderId="26" xfId="0" applyFont="1" applyFill="1" applyBorder="1" applyProtection="1">
      <alignment vertical="center"/>
      <protection locked="0"/>
    </xf>
    <xf numFmtId="0" fontId="101" fillId="4" borderId="59" xfId="0" applyFont="1" applyFill="1" applyBorder="1" applyProtection="1">
      <alignment vertical="center"/>
      <protection locked="0"/>
    </xf>
    <xf numFmtId="0" fontId="101" fillId="4" borderId="8" xfId="0" applyFont="1" applyFill="1" applyBorder="1" applyProtection="1">
      <alignment vertical="center"/>
      <protection locked="0"/>
    </xf>
    <xf numFmtId="0" fontId="101" fillId="4" borderId="50" xfId="0" applyFont="1" applyFill="1" applyBorder="1" applyProtection="1">
      <alignment vertical="center"/>
      <protection locked="0"/>
    </xf>
    <xf numFmtId="0" fontId="101" fillId="4" borderId="29" xfId="0" applyFont="1" applyFill="1" applyBorder="1" applyAlignment="1" applyProtection="1">
      <alignment horizontal="center" vertical="center"/>
      <protection locked="0"/>
    </xf>
    <xf numFmtId="0" fontId="101" fillId="4" borderId="58" xfId="0" applyFont="1" applyFill="1" applyBorder="1" applyAlignment="1" applyProtection="1">
      <alignment horizontal="center" vertical="center"/>
      <protection locked="0"/>
    </xf>
    <xf numFmtId="0" fontId="101" fillId="4" borderId="37" xfId="0" applyFont="1" applyFill="1" applyBorder="1" applyProtection="1">
      <alignment vertical="center"/>
      <protection locked="0"/>
    </xf>
    <xf numFmtId="0" fontId="99" fillId="4" borderId="11" xfId="0" applyFont="1" applyFill="1" applyBorder="1" applyProtection="1">
      <alignment vertical="center"/>
      <protection locked="0"/>
    </xf>
    <xf numFmtId="0" fontId="99" fillId="4" borderId="50" xfId="0" applyFont="1" applyFill="1" applyBorder="1" applyProtection="1">
      <alignment vertical="center"/>
      <protection locked="0"/>
    </xf>
    <xf numFmtId="41" fontId="101" fillId="4" borderId="42" xfId="4" applyFont="1" applyFill="1" applyBorder="1" applyAlignment="1">
      <alignment vertical="center"/>
      <protection locked="0"/>
    </xf>
    <xf numFmtId="166" fontId="99" fillId="4" borderId="8" xfId="0" applyNumberFormat="1" applyFont="1" applyFill="1" applyBorder="1" applyProtection="1">
      <alignment vertical="center"/>
      <protection locked="0"/>
    </xf>
    <xf numFmtId="0" fontId="99" fillId="4" borderId="8" xfId="0" applyFont="1" applyFill="1" applyBorder="1" applyProtection="1">
      <alignment vertical="center"/>
      <protection locked="0"/>
    </xf>
    <xf numFmtId="41" fontId="101" fillId="4" borderId="44" xfId="4" applyFont="1" applyFill="1" applyBorder="1" applyAlignment="1">
      <alignment vertical="center"/>
      <protection locked="0"/>
    </xf>
    <xf numFmtId="166" fontId="99" fillId="4" borderId="29" xfId="0" applyNumberFormat="1" applyFont="1" applyFill="1" applyBorder="1" applyProtection="1">
      <alignment vertical="center"/>
      <protection locked="0"/>
    </xf>
    <xf numFmtId="0" fontId="99" fillId="4" borderId="58" xfId="0" applyFont="1" applyFill="1" applyBorder="1" applyProtection="1">
      <alignment vertical="center"/>
      <protection locked="0"/>
    </xf>
    <xf numFmtId="0" fontId="99" fillId="4" borderId="29" xfId="0" applyFont="1" applyFill="1" applyBorder="1" applyProtection="1">
      <alignment vertical="center"/>
      <protection locked="0"/>
    </xf>
    <xf numFmtId="0" fontId="99" fillId="4" borderId="25" xfId="0" applyFont="1" applyFill="1" applyBorder="1" applyProtection="1">
      <alignment vertical="center"/>
      <protection locked="0"/>
    </xf>
    <xf numFmtId="41" fontId="43" fillId="4" borderId="0" xfId="0" applyNumberFormat="1" applyFont="1" applyFill="1">
      <alignment vertical="center"/>
    </xf>
    <xf numFmtId="41" fontId="43" fillId="4" borderId="0" xfId="0" applyNumberFormat="1" applyFont="1" applyFill="1" applyProtection="1">
      <alignment vertical="center"/>
      <protection locked="0"/>
    </xf>
    <xf numFmtId="0" fontId="101" fillId="4" borderId="62" xfId="0" applyFont="1" applyFill="1" applyBorder="1" applyProtection="1">
      <alignment vertical="center"/>
      <protection locked="0"/>
    </xf>
    <xf numFmtId="0" fontId="101" fillId="4" borderId="72" xfId="0" applyFont="1" applyFill="1" applyBorder="1" applyProtection="1">
      <alignment vertical="center"/>
      <protection locked="0"/>
    </xf>
    <xf numFmtId="41" fontId="101" fillId="4" borderId="26" xfId="4" applyFont="1" applyFill="1" applyBorder="1" applyAlignment="1" applyProtection="1">
      <alignment vertical="center"/>
    </xf>
    <xf numFmtId="0" fontId="15" fillId="4" borderId="1" xfId="0" applyFont="1" applyFill="1" applyBorder="1" applyAlignment="1" applyProtection="1">
      <alignment horizontal="center" vertical="center"/>
      <protection locked="0"/>
    </xf>
    <xf numFmtId="0" fontId="15" fillId="4" borderId="2" xfId="0" applyFont="1" applyFill="1" applyBorder="1" applyAlignment="1" applyProtection="1">
      <alignment horizontal="center" vertical="center"/>
      <protection locked="0"/>
    </xf>
    <xf numFmtId="164" fontId="15" fillId="4" borderId="0" xfId="0" applyNumberFormat="1" applyFont="1" applyFill="1" applyAlignment="1" applyProtection="1">
      <alignment horizontal="center" vertical="center"/>
      <protection locked="0"/>
    </xf>
    <xf numFmtId="172" fontId="15" fillId="4" borderId="0" xfId="0" applyNumberFormat="1" applyFont="1" applyFill="1" applyAlignment="1" applyProtection="1">
      <alignment horizontal="center" vertical="center"/>
      <protection locked="0"/>
    </xf>
    <xf numFmtId="0" fontId="54" fillId="4" borderId="0" xfId="0" applyFont="1" applyFill="1" applyAlignment="1" applyProtection="1">
      <alignment horizontal="center" vertical="center"/>
      <protection locked="0"/>
    </xf>
    <xf numFmtId="0" fontId="54" fillId="4" borderId="0" xfId="0" applyFont="1" applyFill="1" applyProtection="1">
      <alignment vertical="center"/>
      <protection locked="0"/>
    </xf>
    <xf numFmtId="164" fontId="54" fillId="4" borderId="0" xfId="0" applyNumberFormat="1" applyFont="1" applyFill="1" applyProtection="1">
      <alignment vertical="center"/>
      <protection locked="0"/>
    </xf>
    <xf numFmtId="0" fontId="15" fillId="4" borderId="88" xfId="0" applyFont="1" applyFill="1" applyBorder="1" applyAlignment="1" applyProtection="1">
      <alignment horizontal="center" vertical="center"/>
      <protection locked="0"/>
    </xf>
    <xf numFmtId="164" fontId="15" fillId="4" borderId="6" xfId="4" applyNumberFormat="1" applyFont="1" applyFill="1" applyBorder="1" applyAlignment="1" applyProtection="1">
      <alignment vertical="center"/>
      <protection locked="0"/>
    </xf>
    <xf numFmtId="187" fontId="15" fillId="4" borderId="7" xfId="4" applyNumberFormat="1" applyFont="1" applyFill="1" applyBorder="1" applyAlignment="1" applyProtection="1">
      <alignment vertical="center"/>
      <protection locked="0"/>
    </xf>
    <xf numFmtId="190" fontId="15" fillId="4" borderId="7" xfId="4" applyNumberFormat="1" applyFont="1" applyFill="1" applyBorder="1" applyAlignment="1" applyProtection="1">
      <alignment vertical="center"/>
      <protection locked="0"/>
    </xf>
    <xf numFmtId="164" fontId="15" fillId="4" borderId="10" xfId="4" applyNumberFormat="1" applyFont="1" applyFill="1" applyBorder="1" applyAlignment="1" applyProtection="1">
      <alignment vertical="center"/>
      <protection locked="0"/>
    </xf>
    <xf numFmtId="190" fontId="15" fillId="4" borderId="11" xfId="4" applyNumberFormat="1" applyFont="1" applyFill="1" applyBorder="1" applyAlignment="1" applyProtection="1">
      <alignment vertical="center"/>
      <protection locked="0"/>
    </xf>
    <xf numFmtId="41" fontId="15" fillId="4" borderId="38" xfId="4" applyFont="1" applyFill="1" applyBorder="1" applyAlignment="1" applyProtection="1">
      <alignment vertical="center" wrapText="1"/>
    </xf>
    <xf numFmtId="41" fontId="15" fillId="4" borderId="55" xfId="4" applyFont="1" applyFill="1" applyBorder="1" applyAlignment="1" applyProtection="1">
      <alignment vertical="center"/>
    </xf>
    <xf numFmtId="191" fontId="15" fillId="4" borderId="6" xfId="4" applyNumberFormat="1" applyFont="1" applyFill="1" applyBorder="1" applyAlignment="1">
      <alignment vertical="center"/>
      <protection locked="0"/>
    </xf>
    <xf numFmtId="41" fontId="15" fillId="4" borderId="6" xfId="4" applyFont="1" applyFill="1" applyBorder="1" applyAlignment="1">
      <alignment vertical="center"/>
      <protection locked="0"/>
    </xf>
    <xf numFmtId="166" fontId="43" fillId="10" borderId="50" xfId="0" applyNumberFormat="1" applyFont="1" applyFill="1" applyBorder="1" applyProtection="1">
      <alignment vertical="center"/>
      <protection locked="0"/>
    </xf>
    <xf numFmtId="164" fontId="15" fillId="4" borderId="0" xfId="4" applyNumberFormat="1" applyFont="1" applyFill="1" applyAlignment="1">
      <alignment horizontal="right" vertical="center"/>
      <protection locked="0"/>
    </xf>
    <xf numFmtId="41" fontId="15" fillId="4" borderId="0" xfId="4" applyFont="1" applyFill="1" applyAlignment="1">
      <alignment horizontal="right" vertical="center"/>
      <protection locked="0"/>
    </xf>
    <xf numFmtId="180" fontId="15" fillId="4" borderId="6" xfId="4" applyNumberFormat="1" applyFont="1" applyFill="1" applyBorder="1" applyAlignment="1">
      <alignment vertical="center"/>
      <protection locked="0"/>
    </xf>
    <xf numFmtId="166" fontId="43" fillId="10" borderId="10" xfId="0" applyNumberFormat="1" applyFont="1" applyFill="1" applyBorder="1" applyProtection="1">
      <alignment vertical="center"/>
      <protection locked="0"/>
    </xf>
    <xf numFmtId="164" fontId="15" fillId="4" borderId="14" xfId="4" applyNumberFormat="1" applyFont="1" applyFill="1" applyBorder="1" applyAlignment="1" applyProtection="1">
      <alignment vertical="center"/>
    </xf>
    <xf numFmtId="164" fontId="15" fillId="4" borderId="0" xfId="4" applyNumberFormat="1" applyFont="1" applyFill="1" applyAlignment="1">
      <alignment horizontal="center" vertical="center"/>
      <protection locked="0"/>
    </xf>
    <xf numFmtId="172" fontId="15" fillId="4" borderId="0" xfId="4" applyNumberFormat="1" applyFont="1" applyFill="1" applyAlignment="1">
      <alignment horizontal="center" vertical="center"/>
      <protection locked="0"/>
    </xf>
    <xf numFmtId="187" fontId="15" fillId="4" borderId="7" xfId="4" applyNumberFormat="1" applyFont="1" applyFill="1" applyBorder="1" applyAlignment="1" applyProtection="1">
      <alignment vertical="center"/>
    </xf>
    <xf numFmtId="190" fontId="15" fillId="4" borderId="6" xfId="4" applyNumberFormat="1" applyFont="1" applyFill="1" applyBorder="1" applyAlignment="1" applyProtection="1">
      <alignment vertical="center"/>
    </xf>
    <xf numFmtId="0" fontId="15" fillId="4" borderId="104" xfId="0" applyFont="1" applyFill="1" applyBorder="1" applyAlignment="1" applyProtection="1">
      <alignment horizontal="center" vertical="center"/>
      <protection locked="0"/>
    </xf>
    <xf numFmtId="0" fontId="15" fillId="4" borderId="71" xfId="0" applyFont="1" applyFill="1" applyBorder="1" applyAlignment="1" applyProtection="1">
      <alignment horizontal="center" vertical="center"/>
      <protection locked="0"/>
    </xf>
    <xf numFmtId="41" fontId="15" fillId="4" borderId="27" xfId="4" applyNumberFormat="1" applyFont="1" applyFill="1" applyBorder="1" applyAlignment="1" applyProtection="1">
      <alignment vertical="center"/>
      <protection locked="0"/>
    </xf>
    <xf numFmtId="192" fontId="15" fillId="4" borderId="28" xfId="4" applyNumberFormat="1" applyFont="1" applyFill="1" applyBorder="1" applyAlignment="1" applyProtection="1">
      <alignment vertical="center"/>
      <protection locked="0"/>
    </xf>
    <xf numFmtId="41" fontId="15" fillId="4" borderId="63" xfId="4" applyNumberFormat="1" applyFont="1" applyFill="1" applyBorder="1" applyAlignment="1">
      <alignment vertical="center"/>
      <protection locked="0"/>
    </xf>
    <xf numFmtId="192" fontId="15" fillId="4" borderId="63" xfId="4" applyNumberFormat="1" applyFont="1" applyFill="1" applyBorder="1" applyAlignment="1">
      <alignment vertical="center"/>
      <protection locked="0"/>
    </xf>
    <xf numFmtId="41" fontId="15" fillId="4" borderId="35" xfId="4" applyFont="1" applyFill="1" applyBorder="1" applyAlignment="1" applyProtection="1">
      <alignment vertical="center"/>
    </xf>
    <xf numFmtId="164" fontId="15" fillId="4" borderId="66" xfId="4" applyNumberFormat="1" applyFont="1" applyFill="1" applyBorder="1" applyAlignment="1">
      <alignment vertical="center"/>
      <protection locked="0"/>
    </xf>
    <xf numFmtId="0" fontId="15" fillId="4" borderId="54" xfId="0" applyFont="1" applyFill="1" applyBorder="1" applyAlignment="1" applyProtection="1">
      <alignment horizontal="center" vertical="center" textRotation="255"/>
      <protection locked="0"/>
    </xf>
    <xf numFmtId="0" fontId="15" fillId="4" borderId="39" xfId="0" applyFont="1" applyFill="1" applyBorder="1" applyAlignment="1" applyProtection="1">
      <alignment horizontal="center" vertical="center"/>
      <protection locked="0"/>
    </xf>
    <xf numFmtId="41" fontId="15" fillId="4" borderId="37" xfId="4" applyFont="1" applyFill="1" applyBorder="1" applyAlignment="1">
      <alignment vertical="center"/>
      <protection locked="0"/>
    </xf>
    <xf numFmtId="41" fontId="15" fillId="4" borderId="5" xfId="4" applyNumberFormat="1" applyFont="1" applyFill="1" applyBorder="1" applyAlignment="1">
      <alignment vertical="center"/>
      <protection locked="0"/>
    </xf>
    <xf numFmtId="41" fontId="15" fillId="4" borderId="6" xfId="4" applyNumberFormat="1" applyFont="1" applyFill="1" applyBorder="1" applyAlignment="1">
      <alignment vertical="center"/>
      <protection locked="0"/>
    </xf>
    <xf numFmtId="41" fontId="15" fillId="4" borderId="9" xfId="4" applyNumberFormat="1" applyFont="1" applyFill="1" applyBorder="1" applyAlignment="1">
      <alignment vertical="center"/>
      <protection locked="0"/>
    </xf>
    <xf numFmtId="41" fontId="15" fillId="4" borderId="10" xfId="4" applyNumberFormat="1" applyFont="1" applyFill="1" applyBorder="1" applyAlignment="1">
      <alignment vertical="center"/>
      <protection locked="0"/>
    </xf>
    <xf numFmtId="41" fontId="15" fillId="4" borderId="13" xfId="4" applyNumberFormat="1" applyFont="1" applyFill="1" applyBorder="1" applyAlignment="1">
      <alignment vertical="center"/>
      <protection locked="0"/>
    </xf>
    <xf numFmtId="41" fontId="15" fillId="4" borderId="14" xfId="4" applyNumberFormat="1" applyFont="1" applyFill="1" applyBorder="1" applyAlignment="1">
      <alignment vertical="center"/>
      <protection locked="0"/>
    </xf>
    <xf numFmtId="0" fontId="15" fillId="4" borderId="54" xfId="0" applyFont="1" applyFill="1" applyBorder="1" applyAlignment="1" applyProtection="1">
      <alignment vertical="center" textRotation="255"/>
      <protection locked="0"/>
    </xf>
    <xf numFmtId="0" fontId="15" fillId="4" borderId="1" xfId="0" applyFont="1" applyFill="1" applyBorder="1" applyProtection="1">
      <alignment vertical="center"/>
      <protection locked="0"/>
    </xf>
    <xf numFmtId="0" fontId="15" fillId="4" borderId="78" xfId="0" applyFont="1" applyFill="1" applyBorder="1" applyProtection="1">
      <alignment vertical="center"/>
      <protection locked="0"/>
    </xf>
    <xf numFmtId="0" fontId="15" fillId="4" borderId="37" xfId="0" applyFont="1" applyFill="1" applyBorder="1" applyProtection="1">
      <alignment vertical="center"/>
      <protection locked="0"/>
    </xf>
    <xf numFmtId="0" fontId="15" fillId="4" borderId="16" xfId="0" applyFont="1" applyFill="1" applyBorder="1" applyAlignment="1" applyProtection="1">
      <alignment vertical="center" textRotation="255"/>
      <protection locked="0"/>
    </xf>
    <xf numFmtId="0" fontId="15" fillId="4" borderId="34" xfId="0" applyFont="1" applyFill="1" applyBorder="1" applyProtection="1">
      <alignment vertical="center"/>
      <protection locked="0"/>
    </xf>
    <xf numFmtId="0" fontId="55" fillId="4" borderId="0" xfId="0" applyFont="1" applyFill="1" applyAlignment="1" applyProtection="1">
      <alignment horizontal="center" vertical="center"/>
      <protection locked="0"/>
    </xf>
    <xf numFmtId="164" fontId="54" fillId="4" borderId="71" xfId="0" applyNumberFormat="1" applyFont="1" applyFill="1" applyBorder="1" applyProtection="1">
      <alignment vertical="center"/>
      <protection locked="0"/>
    </xf>
    <xf numFmtId="189" fontId="15" fillId="4" borderId="20" xfId="4" applyNumberFormat="1" applyFont="1" applyFill="1" applyBorder="1" applyAlignment="1">
      <alignment vertical="center"/>
      <protection locked="0"/>
    </xf>
    <xf numFmtId="187" fontId="15" fillId="4" borderId="6" xfId="4" applyNumberFormat="1" applyFont="1" applyFill="1" applyBorder="1" applyAlignment="1">
      <alignment vertical="center"/>
      <protection locked="0"/>
    </xf>
    <xf numFmtId="185" fontId="15" fillId="4" borderId="6" xfId="4" applyNumberFormat="1" applyFont="1" applyFill="1" applyBorder="1" applyAlignment="1">
      <alignment vertical="center"/>
      <protection locked="0"/>
    </xf>
    <xf numFmtId="41" fontId="15" fillId="4" borderId="22" xfId="4" applyFont="1" applyFill="1" applyBorder="1" applyAlignment="1">
      <alignment vertical="center"/>
      <protection locked="0"/>
    </xf>
    <xf numFmtId="185" fontId="15" fillId="4" borderId="22" xfId="4" applyNumberFormat="1" applyFont="1" applyFill="1" applyBorder="1" applyAlignment="1">
      <alignment vertical="center"/>
      <protection locked="0"/>
    </xf>
    <xf numFmtId="41" fontId="15" fillId="4" borderId="27" xfId="4" applyFont="1" applyFill="1" applyBorder="1" applyAlignment="1">
      <alignment vertical="center"/>
      <protection locked="0"/>
    </xf>
    <xf numFmtId="180" fontId="15" fillId="4" borderId="27" xfId="4" applyNumberFormat="1" applyFont="1" applyFill="1" applyBorder="1" applyAlignment="1">
      <alignment vertical="center"/>
      <protection locked="0"/>
    </xf>
    <xf numFmtId="180" fontId="15" fillId="4" borderId="22" xfId="4" applyNumberFormat="1" applyFont="1" applyFill="1" applyBorder="1" applyAlignment="1">
      <alignment vertical="center"/>
      <protection locked="0"/>
    </xf>
    <xf numFmtId="164" fontId="43" fillId="4" borderId="71" xfId="0" applyNumberFormat="1" applyFont="1" applyFill="1" applyBorder="1" applyProtection="1">
      <alignment vertical="center"/>
      <protection locked="0"/>
    </xf>
    <xf numFmtId="41" fontId="43" fillId="4" borderId="71" xfId="4" applyFont="1" applyFill="1" applyBorder="1" applyAlignment="1">
      <alignment vertical="center"/>
      <protection locked="0"/>
    </xf>
    <xf numFmtId="187" fontId="15" fillId="4" borderId="27" xfId="4" applyNumberFormat="1" applyFont="1" applyFill="1" applyBorder="1" applyAlignment="1" applyProtection="1">
      <alignment vertical="center"/>
    </xf>
    <xf numFmtId="187" fontId="15" fillId="4" borderId="22" xfId="4" applyNumberFormat="1" applyFont="1" applyFill="1" applyBorder="1" applyAlignment="1" applyProtection="1">
      <alignment vertical="center"/>
    </xf>
    <xf numFmtId="187" fontId="15" fillId="4" borderId="20" xfId="4" applyNumberFormat="1" applyFont="1" applyFill="1" applyBorder="1" applyAlignment="1" applyProtection="1">
      <alignment vertical="center"/>
    </xf>
    <xf numFmtId="187" fontId="15" fillId="4" borderId="25" xfId="4" applyNumberFormat="1" applyFont="1" applyFill="1" applyBorder="1" applyAlignment="1" applyProtection="1">
      <alignment vertical="center"/>
    </xf>
    <xf numFmtId="190" fontId="15" fillId="4" borderId="22" xfId="4" applyNumberFormat="1" applyFont="1" applyFill="1" applyBorder="1" applyAlignment="1" applyProtection="1">
      <alignment vertical="center"/>
    </xf>
    <xf numFmtId="190" fontId="15" fillId="4" borderId="98" xfId="4" applyNumberFormat="1" applyFont="1" applyFill="1" applyBorder="1" applyAlignment="1" applyProtection="1">
      <alignment vertical="center"/>
    </xf>
    <xf numFmtId="164" fontId="15" fillId="4" borderId="58" xfId="4" applyNumberFormat="1" applyFont="1" applyFill="1" applyBorder="1" applyAlignment="1">
      <alignment horizontal="left" vertical="center"/>
      <protection locked="0"/>
    </xf>
    <xf numFmtId="41" fontId="15" fillId="4" borderId="66" xfId="4" applyFont="1" applyFill="1" applyBorder="1" applyAlignment="1">
      <alignment horizontal="left" vertical="center"/>
      <protection locked="0"/>
    </xf>
    <xf numFmtId="41" fontId="15" fillId="4" borderId="6" xfId="4" applyFont="1" applyFill="1" applyBorder="1" applyAlignment="1" applyProtection="1">
      <alignment vertical="center"/>
    </xf>
    <xf numFmtId="41" fontId="15" fillId="4" borderId="7" xfId="4" applyFont="1" applyFill="1" applyBorder="1" applyAlignment="1" applyProtection="1">
      <alignment vertical="center"/>
    </xf>
    <xf numFmtId="190" fontId="43" fillId="4" borderId="0" xfId="0" applyNumberFormat="1" applyFont="1" applyFill="1" applyProtection="1">
      <alignment vertical="center"/>
      <protection locked="0"/>
    </xf>
    <xf numFmtId="190" fontId="15" fillId="4" borderId="27" xfId="4" applyNumberFormat="1" applyFont="1" applyFill="1" applyBorder="1" applyAlignment="1" applyProtection="1">
      <alignment vertical="center"/>
      <protection locked="0"/>
    </xf>
    <xf numFmtId="190" fontId="15" fillId="4" borderId="20" xfId="4" applyNumberFormat="1" applyFont="1" applyFill="1" applyBorder="1" applyAlignment="1" applyProtection="1">
      <alignment vertical="center"/>
      <protection locked="0"/>
    </xf>
    <xf numFmtId="180" fontId="15" fillId="4" borderId="10" xfId="4" applyNumberFormat="1" applyFont="1" applyFill="1" applyBorder="1" applyAlignment="1">
      <alignment vertical="center"/>
      <protection locked="0"/>
    </xf>
    <xf numFmtId="41" fontId="15" fillId="4" borderId="8" xfId="4" applyNumberFormat="1" applyFont="1" applyFill="1" applyBorder="1" applyAlignment="1">
      <alignment vertical="center"/>
      <protection locked="0"/>
    </xf>
    <xf numFmtId="0" fontId="15" fillId="4" borderId="16" xfId="0" applyFont="1" applyFill="1" applyBorder="1" applyAlignment="1" applyProtection="1">
      <alignment horizontal="center" vertical="center"/>
      <protection locked="0"/>
    </xf>
    <xf numFmtId="0" fontId="15" fillId="4" borderId="101" xfId="0" applyFont="1" applyFill="1" applyBorder="1" applyAlignment="1" applyProtection="1">
      <alignment horizontal="center" vertical="center"/>
      <protection locked="0"/>
    </xf>
    <xf numFmtId="41" fontId="15" fillId="4" borderId="77" xfId="4" applyFont="1" applyFill="1" applyBorder="1" applyAlignment="1" applyProtection="1">
      <alignment vertical="center"/>
    </xf>
    <xf numFmtId="41" fontId="15" fillId="4" borderId="105" xfId="4" applyNumberFormat="1" applyFont="1" applyFill="1" applyBorder="1" applyAlignment="1">
      <alignment vertical="center"/>
      <protection locked="0"/>
    </xf>
    <xf numFmtId="41" fontId="15" fillId="4" borderId="65" xfId="4" applyNumberFormat="1" applyFont="1" applyFill="1" applyBorder="1" applyAlignment="1">
      <alignment vertical="center"/>
      <protection locked="0"/>
    </xf>
    <xf numFmtId="41" fontId="15" fillId="4" borderId="20" xfId="4" applyNumberFormat="1" applyFont="1" applyFill="1" applyBorder="1" applyAlignment="1">
      <alignment vertical="center"/>
      <protection locked="0"/>
    </xf>
    <xf numFmtId="41" fontId="15" fillId="4" borderId="10" xfId="4" applyFont="1" applyFill="1" applyBorder="1" applyAlignment="1">
      <alignment vertical="center"/>
      <protection locked="0"/>
    </xf>
    <xf numFmtId="41" fontId="15" fillId="4" borderId="14" xfId="4" applyFont="1" applyFill="1" applyBorder="1" applyAlignment="1">
      <alignment vertical="center"/>
      <protection locked="0"/>
    </xf>
    <xf numFmtId="41" fontId="15" fillId="4" borderId="20" xfId="4" applyFont="1" applyFill="1" applyBorder="1" applyAlignment="1">
      <alignment vertical="center"/>
      <protection locked="0"/>
    </xf>
    <xf numFmtId="0" fontId="15" fillId="4" borderId="3" xfId="0" applyFont="1" applyFill="1" applyBorder="1" applyAlignment="1" applyProtection="1">
      <alignment horizontal="left" vertical="center"/>
      <protection locked="0"/>
    </xf>
    <xf numFmtId="0" fontId="15" fillId="4" borderId="37" xfId="0" applyFont="1" applyFill="1" applyBorder="1" applyAlignment="1" applyProtection="1">
      <alignment horizontal="left" vertical="center"/>
      <protection locked="0"/>
    </xf>
    <xf numFmtId="0" fontId="15" fillId="4" borderId="72" xfId="0" applyFont="1" applyFill="1" applyBorder="1" applyAlignment="1" applyProtection="1">
      <alignment horizontal="left" vertical="center"/>
      <protection locked="0"/>
    </xf>
    <xf numFmtId="0" fontId="15" fillId="4" borderId="55" xfId="0" applyFont="1" applyFill="1" applyBorder="1" applyAlignment="1" applyProtection="1">
      <alignment horizontal="left" vertical="center"/>
      <protection locked="0"/>
    </xf>
    <xf numFmtId="0" fontId="15" fillId="4" borderId="35" xfId="0" applyFont="1" applyFill="1" applyBorder="1" applyAlignment="1" applyProtection="1">
      <alignment horizontal="left" vertical="center"/>
      <protection locked="0"/>
    </xf>
    <xf numFmtId="0" fontId="15" fillId="4" borderId="43" xfId="0" applyFont="1" applyFill="1" applyBorder="1" applyAlignment="1" applyProtection="1">
      <alignment horizontal="left" vertical="center"/>
      <protection locked="0"/>
    </xf>
    <xf numFmtId="0" fontId="15" fillId="4" borderId="44" xfId="0" applyFont="1" applyFill="1" applyBorder="1" applyAlignment="1" applyProtection="1">
      <alignment horizontal="left" vertical="center"/>
      <protection locked="0"/>
    </xf>
    <xf numFmtId="0" fontId="15" fillId="4" borderId="17" xfId="0" applyFont="1" applyFill="1" applyBorder="1" applyAlignment="1" applyProtection="1">
      <alignment horizontal="left" vertical="center"/>
      <protection locked="0"/>
    </xf>
    <xf numFmtId="0" fontId="15" fillId="4" borderId="2" xfId="0" applyFont="1" applyFill="1" applyBorder="1" applyAlignment="1" applyProtection="1">
      <alignment horizontal="left" vertical="center"/>
      <protection locked="0"/>
    </xf>
    <xf numFmtId="0" fontId="15" fillId="4" borderId="78" xfId="0" applyFont="1" applyFill="1" applyBorder="1" applyAlignment="1" applyProtection="1">
      <alignment horizontal="left" vertical="center"/>
      <protection locked="0"/>
    </xf>
    <xf numFmtId="0" fontId="15" fillId="4" borderId="38" xfId="0" applyFont="1" applyFill="1" applyBorder="1" applyAlignment="1" applyProtection="1">
      <alignment horizontal="left" vertical="center"/>
      <protection locked="0"/>
    </xf>
    <xf numFmtId="0" fontId="15" fillId="4" borderId="40" xfId="0" applyFont="1" applyFill="1" applyBorder="1" applyAlignment="1" applyProtection="1">
      <alignment horizontal="left" vertical="center"/>
      <protection locked="0"/>
    </xf>
    <xf numFmtId="0" fontId="15" fillId="4" borderId="87" xfId="0" applyFont="1" applyFill="1" applyBorder="1" applyAlignment="1" applyProtection="1">
      <alignment horizontal="left" vertical="center"/>
      <protection locked="0"/>
    </xf>
    <xf numFmtId="0" fontId="15" fillId="4" borderId="16" xfId="0" applyFont="1" applyFill="1" applyBorder="1" applyAlignment="1" applyProtection="1">
      <alignment horizontal="left" vertical="center"/>
      <protection locked="0"/>
    </xf>
    <xf numFmtId="0" fontId="15" fillId="4" borderId="69" xfId="0" applyFont="1" applyFill="1" applyBorder="1" applyAlignment="1" applyProtection="1">
      <alignment horizontal="left" vertical="center"/>
      <protection locked="0"/>
    </xf>
    <xf numFmtId="0" fontId="43" fillId="4" borderId="55" xfId="0" applyFont="1" applyFill="1" applyBorder="1" applyProtection="1">
      <alignment vertical="center"/>
      <protection locked="0"/>
    </xf>
    <xf numFmtId="0" fontId="54" fillId="4" borderId="16" xfId="0" applyFont="1" applyFill="1" applyBorder="1" applyProtection="1">
      <alignment vertical="center"/>
      <protection locked="0"/>
    </xf>
    <xf numFmtId="0" fontId="54" fillId="4" borderId="69" xfId="0" applyFont="1" applyFill="1" applyBorder="1" applyProtection="1">
      <alignment vertical="center"/>
      <protection locked="0"/>
    </xf>
    <xf numFmtId="164" fontId="43" fillId="4" borderId="69" xfId="0" applyNumberFormat="1" applyFont="1" applyFill="1" applyBorder="1" applyProtection="1">
      <alignment vertical="center"/>
      <protection locked="0"/>
    </xf>
    <xf numFmtId="41" fontId="43" fillId="4" borderId="69" xfId="4" applyFont="1" applyFill="1" applyBorder="1" applyAlignment="1">
      <alignment vertical="center"/>
      <protection locked="0"/>
    </xf>
    <xf numFmtId="41" fontId="117" fillId="2" borderId="0" xfId="4" applyFont="1" applyFill="1" applyAlignment="1">
      <alignment vertical="center"/>
      <protection locked="0"/>
    </xf>
    <xf numFmtId="164" fontId="117" fillId="2" borderId="0" xfId="0" applyNumberFormat="1" applyFont="1" applyFill="1" applyProtection="1">
      <alignment vertical="center"/>
      <protection locked="0"/>
    </xf>
    <xf numFmtId="41" fontId="43" fillId="2" borderId="0" xfId="4" applyFont="1" applyFill="1" applyAlignment="1">
      <alignment vertical="center"/>
      <protection locked="0"/>
    </xf>
    <xf numFmtId="164" fontId="15" fillId="4" borderId="65" xfId="4" applyNumberFormat="1" applyFont="1" applyFill="1" applyBorder="1" applyAlignment="1">
      <alignment vertical="center"/>
      <protection locked="0"/>
    </xf>
    <xf numFmtId="164" fontId="118" fillId="4" borderId="0" xfId="0" applyNumberFormat="1" applyFont="1" applyFill="1" applyProtection="1">
      <alignment vertical="center"/>
      <protection locked="0"/>
    </xf>
    <xf numFmtId="164" fontId="117" fillId="4" borderId="0" xfId="0" applyNumberFormat="1" applyFont="1" applyFill="1" applyProtection="1">
      <alignment vertical="center"/>
      <protection locked="0"/>
    </xf>
    <xf numFmtId="41" fontId="15" fillId="4" borderId="10" xfId="4" applyFont="1" applyFill="1" applyBorder="1" applyAlignment="1" applyProtection="1">
      <alignment vertical="center"/>
    </xf>
    <xf numFmtId="164" fontId="15" fillId="4" borderId="65" xfId="4" applyNumberFormat="1" applyFont="1" applyFill="1" applyBorder="1" applyAlignment="1" applyProtection="1">
      <alignment vertical="center"/>
    </xf>
    <xf numFmtId="41" fontId="15" fillId="4" borderId="65" xfId="4" applyFont="1" applyFill="1" applyBorder="1" applyAlignment="1" applyProtection="1">
      <alignment vertical="center"/>
    </xf>
    <xf numFmtId="41" fontId="15" fillId="4" borderId="25" xfId="4" applyFont="1" applyFill="1" applyBorder="1" applyAlignment="1" applyProtection="1">
      <alignment vertical="center"/>
    </xf>
    <xf numFmtId="41" fontId="15" fillId="4" borderId="68" xfId="4" applyFont="1" applyFill="1" applyBorder="1" applyAlignment="1" applyProtection="1">
      <alignment vertical="center"/>
    </xf>
    <xf numFmtId="41" fontId="15" fillId="4" borderId="7" xfId="4" applyFont="1" applyFill="1" applyBorder="1" applyAlignment="1">
      <alignment vertical="center"/>
      <protection locked="0"/>
    </xf>
    <xf numFmtId="41" fontId="15" fillId="4" borderId="11" xfId="4" applyFont="1" applyFill="1" applyBorder="1" applyAlignment="1">
      <alignment vertical="center"/>
      <protection locked="0"/>
    </xf>
    <xf numFmtId="41" fontId="15" fillId="4" borderId="25" xfId="4" applyFont="1" applyFill="1" applyBorder="1" applyAlignment="1">
      <alignment vertical="center"/>
      <protection locked="0"/>
    </xf>
    <xf numFmtId="164" fontId="15" fillId="4" borderId="94" xfId="4" applyNumberFormat="1" applyFont="1" applyFill="1" applyBorder="1" applyAlignment="1">
      <alignment vertical="center"/>
      <protection locked="0"/>
    </xf>
    <xf numFmtId="41" fontId="15" fillId="4" borderId="69" xfId="4" applyFont="1" applyFill="1" applyBorder="1" applyAlignment="1">
      <alignment vertical="center"/>
      <protection locked="0"/>
    </xf>
    <xf numFmtId="164" fontId="15" fillId="4" borderId="69" xfId="4" applyNumberFormat="1" applyFont="1" applyFill="1" applyBorder="1" applyAlignment="1">
      <alignment vertical="center"/>
      <protection locked="0"/>
    </xf>
    <xf numFmtId="41" fontId="15" fillId="4" borderId="17" xfId="4" applyFont="1" applyFill="1" applyBorder="1" applyAlignment="1">
      <alignment vertical="center"/>
      <protection locked="0"/>
    </xf>
    <xf numFmtId="41" fontId="43" fillId="4" borderId="17" xfId="4" applyFont="1" applyFill="1" applyBorder="1" applyAlignment="1">
      <alignment vertical="center"/>
      <protection locked="0"/>
    </xf>
    <xf numFmtId="164" fontId="56" fillId="4" borderId="0" xfId="0" applyNumberFormat="1" applyFont="1" applyFill="1" applyAlignment="1" applyProtection="1">
      <alignment horizontal="center" vertical="center"/>
      <protection locked="0"/>
    </xf>
    <xf numFmtId="164" fontId="0" fillId="0" borderId="0" xfId="0" applyNumberFormat="1" applyFont="1" applyProtection="1">
      <alignment vertical="center"/>
      <protection locked="0"/>
    </xf>
    <xf numFmtId="0" fontId="118" fillId="0" borderId="0" xfId="0" applyFont="1" applyAlignment="1" applyProtection="1">
      <protection locked="0"/>
    </xf>
    <xf numFmtId="0" fontId="43" fillId="0" borderId="69" xfId="0" applyFont="1" applyBorder="1" applyAlignment="1" applyProtection="1">
      <alignment horizontal="center" vertical="center"/>
      <protection locked="0"/>
    </xf>
    <xf numFmtId="0" fontId="78" fillId="0" borderId="27" xfId="0" applyFont="1" applyBorder="1" applyAlignment="1" applyProtection="1">
      <alignment horizontal="center" vertical="center"/>
      <protection locked="0"/>
    </xf>
    <xf numFmtId="0" fontId="78" fillId="0" borderId="14" xfId="0" applyFont="1" applyBorder="1" applyAlignment="1" applyProtection="1">
      <alignment horizontal="center" vertical="center"/>
      <protection locked="0"/>
    </xf>
    <xf numFmtId="0" fontId="78" fillId="0" borderId="10" xfId="0" applyFont="1" applyBorder="1" applyAlignment="1" applyProtection="1">
      <alignment horizontal="center" vertical="center"/>
      <protection locked="0"/>
    </xf>
    <xf numFmtId="41" fontId="118" fillId="0" borderId="6" xfId="4" applyFont="1" applyBorder="1" applyAlignment="1">
      <alignment horizontal="center" vertical="center"/>
      <protection locked="0"/>
    </xf>
    <xf numFmtId="41" fontId="118" fillId="0" borderId="10" xfId="4" applyFont="1" applyBorder="1" applyAlignment="1">
      <alignment horizontal="center" vertical="center"/>
      <protection locked="0"/>
    </xf>
    <xf numFmtId="1" fontId="118" fillId="0" borderId="6" xfId="4" applyNumberFormat="1" applyFont="1" applyBorder="1" applyAlignment="1">
      <alignment horizontal="center" vertical="center"/>
      <protection locked="0"/>
    </xf>
    <xf numFmtId="1" fontId="120" fillId="0" borderId="6" xfId="4" applyNumberFormat="1" applyFont="1" applyBorder="1" applyAlignment="1">
      <alignment horizontal="center" vertical="center"/>
      <protection locked="0"/>
    </xf>
    <xf numFmtId="1" fontId="118" fillId="0" borderId="10" xfId="4" applyNumberFormat="1" applyFont="1" applyBorder="1" applyAlignment="1">
      <alignment horizontal="center" vertical="center"/>
      <protection locked="0"/>
    </xf>
    <xf numFmtId="41" fontId="120" fillId="0" borderId="10" xfId="4" applyFont="1" applyBorder="1" applyAlignment="1">
      <alignment horizontal="center" vertical="center"/>
      <protection locked="0"/>
    </xf>
    <xf numFmtId="183" fontId="118" fillId="0" borderId="4" xfId="0" applyNumberFormat="1" applyFont="1" applyBorder="1" applyProtection="1">
      <alignment vertical="center"/>
      <protection locked="0"/>
    </xf>
    <xf numFmtId="0" fontId="78" fillId="2" borderId="8" xfId="0" applyFont="1" applyFill="1" applyBorder="1" applyProtection="1">
      <alignment vertical="center"/>
      <protection locked="0"/>
    </xf>
    <xf numFmtId="1" fontId="78" fillId="2" borderId="10" xfId="4" applyNumberFormat="1" applyFont="1" applyFill="1" applyBorder="1" applyAlignment="1">
      <alignment horizontal="center" vertical="center"/>
      <protection locked="0"/>
    </xf>
    <xf numFmtId="41" fontId="78" fillId="2" borderId="10" xfId="4" applyFont="1" applyFill="1" applyBorder="1" applyAlignment="1" applyProtection="1">
      <alignment horizontal="center" vertical="center"/>
    </xf>
    <xf numFmtId="167" fontId="78" fillId="0" borderId="0" xfId="0" applyNumberFormat="1" applyFont="1" applyAlignment="1" applyProtection="1">
      <alignment horizontal="left" vertical="center"/>
      <protection locked="0"/>
    </xf>
    <xf numFmtId="166" fontId="78" fillId="0" borderId="10" xfId="0" applyNumberFormat="1" applyFont="1" applyBorder="1" applyAlignment="1" applyProtection="1">
      <alignment horizontal="center" vertical="center"/>
      <protection locked="0"/>
    </xf>
    <xf numFmtId="0" fontId="78" fillId="0" borderId="10" xfId="0" applyNumberFormat="1" applyFont="1" applyBorder="1" applyAlignment="1" applyProtection="1">
      <alignment horizontal="center" vertical="center"/>
      <protection locked="0"/>
    </xf>
    <xf numFmtId="41" fontId="118" fillId="0" borderId="6" xfId="4" applyFont="1" applyBorder="1" applyAlignment="1">
      <alignment vertical="center"/>
      <protection locked="0"/>
    </xf>
    <xf numFmtId="41" fontId="118" fillId="0" borderId="6" xfId="4" applyFont="1" applyBorder="1" applyAlignment="1" applyProtection="1">
      <alignment vertical="center"/>
    </xf>
    <xf numFmtId="41" fontId="118" fillId="0" borderId="10" xfId="4" applyFont="1" applyBorder="1" applyAlignment="1">
      <alignment horizontal="right" vertical="center"/>
      <protection locked="0"/>
    </xf>
    <xf numFmtId="41" fontId="118" fillId="0" borderId="10" xfId="4" applyFont="1" applyBorder="1" applyAlignment="1">
      <alignment vertical="center"/>
      <protection locked="0"/>
    </xf>
    <xf numFmtId="41" fontId="78" fillId="2" borderId="10" xfId="4" applyFont="1" applyFill="1" applyBorder="1" applyAlignment="1">
      <alignment vertical="center"/>
      <protection locked="0"/>
    </xf>
    <xf numFmtId="41" fontId="78" fillId="2" borderId="10" xfId="4" applyFont="1" applyFill="1" applyBorder="1" applyAlignment="1" applyProtection="1">
      <alignment vertical="center"/>
    </xf>
    <xf numFmtId="41" fontId="118" fillId="0" borderId="10" xfId="4" applyFont="1" applyBorder="1" applyAlignment="1" applyProtection="1">
      <alignment vertical="center"/>
    </xf>
    <xf numFmtId="0" fontId="15" fillId="0" borderId="0" xfId="0" applyFont="1" applyAlignment="1" applyProtection="1">
      <alignment horizontal="center"/>
      <protection locked="0"/>
    </xf>
    <xf numFmtId="41" fontId="118" fillId="0" borderId="7" xfId="4" applyFont="1" applyBorder="1" applyAlignment="1">
      <alignment vertical="center"/>
      <protection locked="0"/>
    </xf>
    <xf numFmtId="41" fontId="118" fillId="0" borderId="11" xfId="4" applyFont="1" applyBorder="1" applyAlignment="1">
      <alignment vertical="center"/>
      <protection locked="0"/>
    </xf>
    <xf numFmtId="41" fontId="78" fillId="2" borderId="11" xfId="4" applyFont="1" applyFill="1" applyBorder="1" applyAlignment="1" applyProtection="1">
      <alignment vertical="center"/>
    </xf>
    <xf numFmtId="41" fontId="118" fillId="0" borderId="0" xfId="0" applyNumberFormat="1" applyFont="1" applyAlignment="1" applyProtection="1">
      <protection locked="0"/>
    </xf>
    <xf numFmtId="0" fontId="118" fillId="0" borderId="8" xfId="0" applyFont="1" applyBorder="1" applyProtection="1">
      <alignment vertical="center"/>
      <protection locked="0"/>
    </xf>
    <xf numFmtId="1" fontId="118" fillId="2" borderId="10" xfId="4" applyNumberFormat="1" applyFont="1" applyFill="1" applyBorder="1" applyAlignment="1">
      <alignment horizontal="center" vertical="center"/>
      <protection locked="0"/>
    </xf>
    <xf numFmtId="183" fontId="118" fillId="2" borderId="10" xfId="0" applyNumberFormat="1" applyFont="1" applyFill="1" applyBorder="1" applyAlignment="1" applyProtection="1">
      <alignment vertical="center"/>
      <protection locked="0"/>
    </xf>
    <xf numFmtId="41" fontId="118" fillId="2" borderId="10" xfId="4" applyFont="1" applyFill="1" applyBorder="1" applyAlignment="1">
      <alignment horizontal="center" vertical="center"/>
      <protection locked="0"/>
    </xf>
    <xf numFmtId="1" fontId="118" fillId="10" borderId="10" xfId="4" applyNumberFormat="1" applyFont="1" applyFill="1" applyBorder="1" applyAlignment="1">
      <alignment horizontal="center" vertical="center"/>
      <protection locked="0"/>
    </xf>
    <xf numFmtId="41" fontId="118" fillId="10" borderId="10" xfId="4" applyFont="1" applyFill="1" applyBorder="1" applyAlignment="1">
      <alignment horizontal="center" vertical="center"/>
      <protection locked="0"/>
    </xf>
    <xf numFmtId="41" fontId="118" fillId="2" borderId="11" xfId="4" applyFont="1" applyFill="1" applyBorder="1" applyAlignment="1">
      <alignment vertical="center"/>
      <protection locked="0"/>
    </xf>
    <xf numFmtId="41" fontId="118" fillId="10" borderId="11" xfId="4" applyFont="1" applyFill="1" applyBorder="1" applyAlignment="1">
      <alignment vertical="center"/>
      <protection locked="0"/>
    </xf>
    <xf numFmtId="0" fontId="78" fillId="10" borderId="12" xfId="0" applyFont="1" applyFill="1" applyBorder="1" applyProtection="1">
      <alignment vertical="center"/>
      <protection locked="0"/>
    </xf>
    <xf numFmtId="41" fontId="78" fillId="10" borderId="10" xfId="4" applyFont="1" applyFill="1" applyBorder="1" applyAlignment="1" applyProtection="1">
      <alignment horizontal="center" vertical="center"/>
    </xf>
    <xf numFmtId="0" fontId="78" fillId="2" borderId="12" xfId="0" applyFont="1" applyFill="1" applyBorder="1" applyProtection="1">
      <alignment vertical="center"/>
      <protection locked="0"/>
    </xf>
    <xf numFmtId="41" fontId="118" fillId="2" borderId="10" xfId="4" applyFont="1" applyFill="1" applyBorder="1" applyAlignment="1">
      <alignment vertical="center"/>
      <protection locked="0"/>
    </xf>
    <xf numFmtId="41" fontId="118" fillId="10" borderId="10" xfId="4" applyFont="1" applyFill="1" applyBorder="1" applyAlignment="1">
      <alignment vertical="center"/>
      <protection locked="0"/>
    </xf>
    <xf numFmtId="41" fontId="78" fillId="10" borderId="10" xfId="4" applyFont="1" applyFill="1" applyBorder="1" applyAlignment="1" applyProtection="1">
      <alignment vertical="center"/>
    </xf>
    <xf numFmtId="41" fontId="78" fillId="10" borderId="11" xfId="4" applyFont="1" applyFill="1" applyBorder="1" applyAlignment="1" applyProtection="1">
      <alignment vertical="center"/>
    </xf>
    <xf numFmtId="0" fontId="78" fillId="2" borderId="29" xfId="0" applyFont="1" applyFill="1" applyBorder="1" applyAlignment="1" applyProtection="1">
      <alignment horizontal="center" vertical="center" wrapText="1"/>
      <protection locked="0"/>
    </xf>
    <xf numFmtId="1" fontId="78" fillId="2" borderId="20" xfId="4" applyNumberFormat="1" applyFont="1" applyFill="1" applyBorder="1" applyAlignment="1">
      <alignment horizontal="center" vertical="center"/>
      <protection locked="0"/>
    </xf>
    <xf numFmtId="41" fontId="78" fillId="2" borderId="20" xfId="4" applyFont="1" applyFill="1" applyBorder="1" applyAlignment="1" applyProtection="1">
      <alignment horizontal="center" vertical="center"/>
    </xf>
    <xf numFmtId="0" fontId="43" fillId="0" borderId="4" xfId="0" applyFont="1" applyBorder="1" applyAlignment="1" applyProtection="1">
      <protection locked="0"/>
    </xf>
    <xf numFmtId="0" fontId="43" fillId="0" borderId="6" xfId="0" applyFont="1" applyBorder="1" applyAlignment="1" applyProtection="1">
      <alignment horizontal="center"/>
      <protection locked="0"/>
    </xf>
    <xf numFmtId="0" fontId="43" fillId="0" borderId="6" xfId="0" applyFont="1" applyBorder="1" applyAlignment="1" applyProtection="1">
      <protection locked="0"/>
    </xf>
    <xf numFmtId="0" fontId="43" fillId="0" borderId="8" xfId="0" applyFont="1" applyBorder="1" applyAlignment="1" applyProtection="1">
      <protection locked="0"/>
    </xf>
    <xf numFmtId="0" fontId="43" fillId="0" borderId="10" xfId="0" applyFont="1" applyBorder="1" applyAlignment="1" applyProtection="1">
      <alignment horizontal="center"/>
      <protection locked="0"/>
    </xf>
    <xf numFmtId="0" fontId="43" fillId="0" borderId="29" xfId="0" applyFont="1" applyBorder="1" applyAlignment="1" applyProtection="1">
      <protection locked="0"/>
    </xf>
    <xf numFmtId="41" fontId="78" fillId="2" borderId="20" xfId="4" applyFont="1" applyFill="1" applyBorder="1" applyAlignment="1">
      <alignment horizontal="center" vertical="center"/>
      <protection locked="0"/>
    </xf>
    <xf numFmtId="169" fontId="78" fillId="2" borderId="25" xfId="4" applyNumberFormat="1" applyFont="1" applyFill="1" applyBorder="1" applyAlignment="1" applyProtection="1">
      <alignment horizontal="center" vertical="center"/>
    </xf>
    <xf numFmtId="0" fontId="43" fillId="0" borderId="56" xfId="0" applyFont="1" applyBorder="1" applyAlignment="1" applyProtection="1">
      <protection locked="0"/>
    </xf>
    <xf numFmtId="0" fontId="43" fillId="0" borderId="88" xfId="0" applyFont="1" applyBorder="1" applyAlignment="1" applyProtection="1">
      <protection locked="0"/>
    </xf>
    <xf numFmtId="0" fontId="43" fillId="0" borderId="58" xfId="0" applyFont="1" applyBorder="1" applyAlignment="1" applyProtection="1">
      <protection locked="0"/>
    </xf>
    <xf numFmtId="0" fontId="43" fillId="0" borderId="10" xfId="0" applyFont="1" applyBorder="1" applyAlignment="1">
      <alignment vertical="center"/>
    </xf>
    <xf numFmtId="0" fontId="92" fillId="0" borderId="0" xfId="0" applyFont="1">
      <alignment vertical="center"/>
    </xf>
    <xf numFmtId="0" fontId="103" fillId="0" borderId="0" xfId="0" applyFont="1">
      <alignment vertical="center"/>
    </xf>
    <xf numFmtId="0" fontId="43" fillId="0" borderId="0" xfId="0" applyFont="1" applyBorder="1">
      <alignment vertical="center"/>
    </xf>
    <xf numFmtId="0" fontId="43" fillId="10" borderId="14" xfId="0" applyFont="1" applyFill="1" applyBorder="1" applyAlignment="1">
      <alignment horizontal="center" vertical="center"/>
    </xf>
    <xf numFmtId="0" fontId="43" fillId="10" borderId="10" xfId="0" applyFont="1" applyFill="1" applyBorder="1" applyAlignment="1">
      <alignment horizontal="left" vertical="center"/>
    </xf>
    <xf numFmtId="0" fontId="43" fillId="10" borderId="10" xfId="0" applyFont="1" applyFill="1" applyBorder="1" applyAlignment="1">
      <alignment horizontal="center" vertical="center"/>
    </xf>
    <xf numFmtId="166" fontId="43" fillId="10" borderId="10" xfId="0" applyNumberFormat="1" applyFont="1" applyFill="1" applyBorder="1" applyAlignment="1">
      <alignment vertical="center"/>
    </xf>
    <xf numFmtId="166" fontId="43" fillId="10" borderId="10" xfId="0" applyNumberFormat="1" applyFont="1" applyFill="1" applyBorder="1" applyAlignment="1">
      <alignment horizontal="center" vertical="center"/>
    </xf>
    <xf numFmtId="0" fontId="43" fillId="10" borderId="22" xfId="0" applyFont="1" applyFill="1" applyBorder="1" applyAlignment="1">
      <alignment horizontal="center" vertical="center"/>
    </xf>
    <xf numFmtId="0" fontId="43" fillId="10" borderId="14" xfId="0" applyFont="1" applyFill="1" applyBorder="1" applyAlignment="1">
      <alignment horizontal="left" vertical="center"/>
    </xf>
    <xf numFmtId="166" fontId="43" fillId="10" borderId="14" xfId="0" applyNumberFormat="1" applyFont="1" applyFill="1" applyBorder="1" applyAlignment="1">
      <alignment horizontal="center" vertical="center"/>
    </xf>
    <xf numFmtId="14" fontId="43" fillId="10" borderId="22" xfId="0" applyNumberFormat="1" applyFont="1" applyFill="1" applyBorder="1" applyAlignment="1">
      <alignment horizontal="center" vertical="center"/>
    </xf>
    <xf numFmtId="0" fontId="43" fillId="10" borderId="6" xfId="0" applyFont="1" applyFill="1" applyBorder="1" applyAlignment="1">
      <alignment horizontal="center" vertical="center"/>
    </xf>
    <xf numFmtId="0" fontId="43" fillId="2" borderId="10" xfId="0" applyFont="1" applyFill="1" applyBorder="1" applyAlignment="1">
      <alignment horizontal="center" vertical="center"/>
    </xf>
    <xf numFmtId="0" fontId="43" fillId="2" borderId="22" xfId="0" applyFont="1" applyFill="1" applyBorder="1" applyAlignment="1">
      <alignment horizontal="center" vertical="center"/>
    </xf>
    <xf numFmtId="166" fontId="43" fillId="2" borderId="10" xfId="0" applyNumberFormat="1" applyFont="1" applyFill="1" applyBorder="1" applyAlignment="1">
      <alignment vertical="center"/>
    </xf>
    <xf numFmtId="166" fontId="43" fillId="2" borderId="14" xfId="0" applyNumberFormat="1" applyFont="1" applyFill="1" applyBorder="1" applyAlignment="1">
      <alignment horizontal="center" vertical="center"/>
    </xf>
    <xf numFmtId="0" fontId="43" fillId="10" borderId="22" xfId="0" applyFont="1" applyFill="1" applyBorder="1" applyAlignment="1">
      <alignment horizontal="right" vertical="center"/>
    </xf>
    <xf numFmtId="0" fontId="43" fillId="10" borderId="10" xfId="0" applyFont="1" applyFill="1" applyBorder="1" applyAlignment="1">
      <alignment horizontal="right" vertical="center"/>
    </xf>
    <xf numFmtId="166" fontId="43" fillId="10" borderId="10" xfId="0" applyNumberFormat="1" applyFont="1" applyFill="1" applyBorder="1" applyAlignment="1">
      <alignment horizontal="right" vertical="center"/>
    </xf>
    <xf numFmtId="166" fontId="43" fillId="10" borderId="43" xfId="0" applyNumberFormat="1" applyFont="1" applyFill="1" applyBorder="1" applyAlignment="1">
      <alignment horizontal="right" vertical="center"/>
    </xf>
    <xf numFmtId="0" fontId="43" fillId="10" borderId="23" xfId="0" applyFont="1" applyFill="1" applyBorder="1" applyAlignment="1">
      <alignment horizontal="left" vertical="center"/>
    </xf>
    <xf numFmtId="0" fontId="43" fillId="10" borderId="43" xfId="0" applyFont="1" applyFill="1" applyBorder="1" applyAlignment="1">
      <alignment horizontal="right" vertical="center"/>
    </xf>
    <xf numFmtId="166" fontId="43" fillId="10" borderId="51" xfId="0" applyNumberFormat="1" applyFont="1" applyFill="1" applyBorder="1" applyAlignment="1">
      <alignment horizontal="right" vertical="center"/>
    </xf>
    <xf numFmtId="0" fontId="121" fillId="10" borderId="23" xfId="0" applyFont="1" applyFill="1" applyBorder="1" applyAlignment="1">
      <alignment horizontal="left" vertical="center"/>
    </xf>
    <xf numFmtId="0" fontId="122" fillId="10" borderId="22" xfId="0" applyFont="1" applyFill="1" applyBorder="1" applyAlignment="1">
      <alignment horizontal="right" vertical="center"/>
    </xf>
    <xf numFmtId="0" fontId="121" fillId="10" borderId="43" xfId="0" applyFont="1" applyFill="1" applyBorder="1" applyAlignment="1">
      <alignment horizontal="right" vertical="center"/>
    </xf>
    <xf numFmtId="166" fontId="121" fillId="10" borderId="51" xfId="0" applyNumberFormat="1" applyFont="1" applyFill="1" applyBorder="1" applyAlignment="1">
      <alignment horizontal="right" vertical="center"/>
    </xf>
    <xf numFmtId="0" fontId="43" fillId="10" borderId="23" xfId="0" applyFont="1" applyFill="1" applyBorder="1" applyAlignment="1">
      <alignment horizontal="center" vertical="center"/>
    </xf>
    <xf numFmtId="0" fontId="43" fillId="10" borderId="43" xfId="0" applyFont="1" applyFill="1" applyBorder="1" applyAlignment="1">
      <alignment horizontal="center" vertical="center"/>
    </xf>
    <xf numFmtId="166" fontId="43" fillId="10" borderId="51" xfId="0" applyNumberFormat="1" applyFont="1" applyFill="1" applyBorder="1" applyAlignment="1">
      <alignment horizontal="center" vertical="center"/>
    </xf>
    <xf numFmtId="0" fontId="43" fillId="10" borderId="22" xfId="0" applyFont="1" applyFill="1" applyBorder="1" applyAlignment="1">
      <alignment vertical="center"/>
    </xf>
    <xf numFmtId="0" fontId="43" fillId="10" borderId="90" xfId="0" applyFont="1" applyFill="1" applyBorder="1" applyAlignment="1">
      <alignment horizontal="center" vertical="center"/>
    </xf>
    <xf numFmtId="0" fontId="43" fillId="10" borderId="53" xfId="0" applyFont="1" applyFill="1" applyBorder="1" applyAlignment="1">
      <alignment horizontal="center" vertical="center"/>
    </xf>
    <xf numFmtId="166" fontId="43" fillId="10" borderId="52" xfId="0" applyNumberFormat="1" applyFont="1" applyFill="1" applyBorder="1" applyAlignment="1">
      <alignment horizontal="center" vertical="center"/>
    </xf>
    <xf numFmtId="0" fontId="43" fillId="10" borderId="76" xfId="0" applyFont="1" applyFill="1" applyBorder="1">
      <alignment vertical="center"/>
    </xf>
    <xf numFmtId="0" fontId="43" fillId="10" borderId="38" xfId="0" applyFont="1" applyFill="1" applyBorder="1" applyAlignment="1">
      <alignment horizontal="center" vertical="center"/>
    </xf>
    <xf numFmtId="166" fontId="43" fillId="10" borderId="39" xfId="0" applyNumberFormat="1" applyFont="1" applyFill="1" applyBorder="1">
      <alignment vertical="center"/>
    </xf>
    <xf numFmtId="166" fontId="43" fillId="10" borderId="6" xfId="0" applyNumberFormat="1" applyFont="1" applyFill="1" applyBorder="1" applyAlignment="1">
      <alignment horizontal="center" vertical="center"/>
    </xf>
    <xf numFmtId="0" fontId="43" fillId="10" borderId="23" xfId="0" applyFont="1" applyFill="1" applyBorder="1">
      <alignment vertical="center"/>
    </xf>
    <xf numFmtId="166" fontId="43" fillId="10" borderId="51" xfId="0" applyNumberFormat="1" applyFont="1" applyFill="1" applyBorder="1">
      <alignment vertical="center"/>
    </xf>
    <xf numFmtId="14" fontId="43" fillId="2" borderId="22" xfId="0" applyNumberFormat="1" applyFont="1" applyFill="1" applyBorder="1" applyAlignment="1">
      <alignment vertical="center"/>
    </xf>
    <xf numFmtId="0" fontId="43" fillId="2" borderId="22" xfId="0" applyFont="1" applyFill="1" applyBorder="1" applyAlignment="1">
      <alignment vertical="center"/>
    </xf>
    <xf numFmtId="0" fontId="43" fillId="2" borderId="23" xfId="0" applyFont="1" applyFill="1" applyBorder="1">
      <alignment vertical="center"/>
    </xf>
    <xf numFmtId="0" fontId="43" fillId="2" borderId="43" xfId="0" applyFont="1" applyFill="1" applyBorder="1">
      <alignment vertical="center"/>
    </xf>
    <xf numFmtId="166" fontId="43" fillId="2" borderId="78" xfId="0" applyNumberFormat="1" applyFont="1" applyFill="1" applyBorder="1">
      <alignment vertical="center"/>
    </xf>
    <xf numFmtId="166" fontId="43" fillId="2" borderId="51" xfId="0" applyNumberFormat="1" applyFont="1" applyFill="1" applyBorder="1">
      <alignment vertical="center"/>
    </xf>
    <xf numFmtId="14" fontId="43" fillId="10" borderId="22" xfId="0" applyNumberFormat="1" applyFont="1" applyFill="1" applyBorder="1" applyAlignment="1">
      <alignment vertical="center"/>
    </xf>
    <xf numFmtId="0" fontId="43" fillId="10" borderId="43" xfId="0" applyFont="1" applyFill="1" applyBorder="1">
      <alignment vertical="center"/>
    </xf>
    <xf numFmtId="166" fontId="43" fillId="10" borderId="78" xfId="0" applyNumberFormat="1" applyFont="1" applyFill="1" applyBorder="1">
      <alignment vertical="center"/>
    </xf>
    <xf numFmtId="0" fontId="43" fillId="2" borderId="14" xfId="0" applyFont="1" applyFill="1" applyBorder="1" applyAlignment="1">
      <alignment vertical="center"/>
    </xf>
    <xf numFmtId="0" fontId="43" fillId="2" borderId="53" xfId="0" applyFont="1" applyFill="1" applyBorder="1">
      <alignment vertical="center"/>
    </xf>
    <xf numFmtId="166" fontId="43" fillId="2" borderId="35" xfId="0" applyNumberFormat="1" applyFont="1" applyFill="1" applyBorder="1">
      <alignment vertical="center"/>
    </xf>
    <xf numFmtId="166" fontId="43" fillId="2" borderId="52" xfId="0" applyNumberFormat="1" applyFont="1" applyFill="1" applyBorder="1">
      <alignment vertical="center"/>
    </xf>
    <xf numFmtId="0" fontId="43" fillId="10" borderId="10" xfId="0" applyFont="1" applyFill="1" applyBorder="1" applyAlignment="1">
      <alignment vertical="center"/>
    </xf>
    <xf numFmtId="0" fontId="43" fillId="10" borderId="10" xfId="0" applyNumberFormat="1" applyFont="1" applyFill="1" applyBorder="1">
      <alignment vertical="center"/>
    </xf>
    <xf numFmtId="166" fontId="43" fillId="10" borderId="10" xfId="0" applyNumberFormat="1" applyFont="1" applyFill="1" applyBorder="1">
      <alignment vertical="center"/>
    </xf>
    <xf numFmtId="0" fontId="43" fillId="10" borderId="6" xfId="0" applyFont="1" applyFill="1" applyBorder="1" applyAlignment="1">
      <alignment vertical="center"/>
    </xf>
    <xf numFmtId="0" fontId="43" fillId="10" borderId="38" xfId="0" applyFont="1" applyFill="1" applyBorder="1">
      <alignment vertical="center"/>
    </xf>
    <xf numFmtId="0" fontId="43" fillId="10" borderId="10" xfId="0" applyFont="1" applyFill="1" applyBorder="1">
      <alignment vertical="center"/>
    </xf>
    <xf numFmtId="0" fontId="43" fillId="10" borderId="0" xfId="0" applyFont="1" applyFill="1" applyBorder="1">
      <alignment vertical="center"/>
    </xf>
    <xf numFmtId="166" fontId="43" fillId="10" borderId="0" xfId="0" applyNumberFormat="1" applyFont="1" applyFill="1" applyBorder="1">
      <alignment vertical="center"/>
    </xf>
    <xf numFmtId="0" fontId="43" fillId="10" borderId="55" xfId="0" applyFont="1" applyFill="1" applyBorder="1">
      <alignment vertical="center"/>
    </xf>
    <xf numFmtId="166" fontId="43" fillId="10" borderId="54" xfId="0" applyNumberFormat="1" applyFont="1" applyFill="1" applyBorder="1">
      <alignment vertical="center"/>
    </xf>
    <xf numFmtId="0" fontId="43" fillId="10" borderId="53" xfId="0" applyFont="1" applyFill="1" applyBorder="1">
      <alignment vertical="center"/>
    </xf>
    <xf numFmtId="166" fontId="43" fillId="10" borderId="52" xfId="0" applyNumberFormat="1" applyFont="1" applyFill="1" applyBorder="1">
      <alignment vertical="center"/>
    </xf>
    <xf numFmtId="0" fontId="43" fillId="2" borderId="76" xfId="0" applyFont="1" applyFill="1" applyBorder="1">
      <alignment vertical="center"/>
    </xf>
    <xf numFmtId="0" fontId="43" fillId="10" borderId="9" xfId="0" applyFont="1" applyFill="1" applyBorder="1" applyAlignment="1">
      <alignment vertical="center"/>
    </xf>
    <xf numFmtId="14" fontId="43" fillId="2" borderId="10" xfId="0" applyNumberFormat="1" applyFont="1" applyFill="1" applyBorder="1" applyAlignment="1">
      <alignment vertical="center"/>
    </xf>
    <xf numFmtId="0" fontId="43" fillId="2" borderId="10" xfId="0" applyFont="1" applyFill="1" applyBorder="1" applyAlignment="1">
      <alignment vertical="center"/>
    </xf>
    <xf numFmtId="0" fontId="43" fillId="2" borderId="13" xfId="0" applyFont="1" applyFill="1" applyBorder="1" applyAlignment="1">
      <alignment vertical="center"/>
    </xf>
    <xf numFmtId="14" fontId="43" fillId="10" borderId="10" xfId="0" applyNumberFormat="1" applyFont="1" applyFill="1" applyBorder="1" applyAlignment="1">
      <alignment vertical="center"/>
    </xf>
    <xf numFmtId="0" fontId="43" fillId="10" borderId="10" xfId="0" applyNumberFormat="1" applyFont="1" applyFill="1" applyBorder="1" applyAlignment="1">
      <alignment vertical="center"/>
    </xf>
    <xf numFmtId="166" fontId="43" fillId="10" borderId="38" xfId="0" applyNumberFormat="1" applyFont="1" applyFill="1" applyBorder="1">
      <alignment vertical="center"/>
    </xf>
    <xf numFmtId="166" fontId="43" fillId="10" borderId="50" xfId="0" applyNumberFormat="1" applyFont="1" applyFill="1" applyBorder="1" applyAlignment="1">
      <alignment vertical="center"/>
    </xf>
    <xf numFmtId="0" fontId="43" fillId="2" borderId="10" xfId="0" applyNumberFormat="1" applyFont="1" applyFill="1" applyBorder="1" applyAlignment="1">
      <alignment vertical="center"/>
    </xf>
    <xf numFmtId="166" fontId="43" fillId="2" borderId="38" xfId="0" applyNumberFormat="1" applyFont="1" applyFill="1" applyBorder="1">
      <alignment vertical="center"/>
    </xf>
    <xf numFmtId="166" fontId="43" fillId="2" borderId="50" xfId="0" applyNumberFormat="1" applyFont="1" applyFill="1" applyBorder="1">
      <alignment vertical="center"/>
    </xf>
    <xf numFmtId="0" fontId="3" fillId="0" borderId="0" xfId="0" applyFont="1" applyAlignment="1">
      <alignment horizontal="center" vertical="center"/>
    </xf>
    <xf numFmtId="17" fontId="43" fillId="0" borderId="0" xfId="0" applyNumberFormat="1" applyFont="1">
      <alignment vertical="center"/>
    </xf>
    <xf numFmtId="0" fontId="43" fillId="0" borderId="11" xfId="0" applyFont="1" applyBorder="1" applyAlignment="1">
      <alignment vertical="center"/>
    </xf>
    <xf numFmtId="0" fontId="43" fillId="0" borderId="78" xfId="0" applyFont="1" applyBorder="1">
      <alignment vertical="center"/>
    </xf>
    <xf numFmtId="166" fontId="43" fillId="0" borderId="0" xfId="0" applyNumberFormat="1" applyFont="1">
      <alignment vertical="center"/>
    </xf>
    <xf numFmtId="166" fontId="43" fillId="10" borderId="14" xfId="0" applyNumberFormat="1" applyFont="1" applyFill="1" applyBorder="1" applyAlignment="1">
      <alignment vertical="center"/>
    </xf>
    <xf numFmtId="0" fontId="43" fillId="0" borderId="14" xfId="0" applyFont="1" applyBorder="1" applyAlignment="1">
      <alignment vertical="center"/>
    </xf>
    <xf numFmtId="166" fontId="43" fillId="10" borderId="6" xfId="0" applyNumberFormat="1" applyFont="1" applyFill="1" applyBorder="1" applyAlignment="1">
      <alignment vertical="center"/>
    </xf>
    <xf numFmtId="0" fontId="43" fillId="0" borderId="6" xfId="0" applyFont="1" applyBorder="1" applyAlignment="1">
      <alignment vertical="center"/>
    </xf>
    <xf numFmtId="0" fontId="43" fillId="0" borderId="10" xfId="0" applyFont="1" applyBorder="1" applyAlignment="1">
      <alignment horizontal="center" vertical="center"/>
    </xf>
    <xf numFmtId="0" fontId="43" fillId="0" borderId="55" xfId="0" applyFont="1" applyBorder="1" applyAlignment="1">
      <alignment horizontal="center" vertical="center"/>
    </xf>
    <xf numFmtId="14" fontId="43" fillId="10" borderId="14" xfId="0" applyNumberFormat="1" applyFont="1" applyFill="1" applyBorder="1" applyAlignment="1">
      <alignment vertical="center"/>
    </xf>
    <xf numFmtId="166" fontId="43" fillId="10" borderId="50" xfId="0" applyNumberFormat="1" applyFont="1" applyFill="1" applyBorder="1">
      <alignment vertical="center"/>
    </xf>
    <xf numFmtId="41" fontId="43" fillId="10" borderId="10" xfId="0" applyNumberFormat="1" applyFont="1" applyFill="1" applyBorder="1">
      <alignment vertical="center"/>
    </xf>
    <xf numFmtId="14" fontId="43" fillId="10" borderId="6" xfId="0" applyNumberFormat="1" applyFont="1" applyFill="1" applyBorder="1" applyAlignment="1">
      <alignment vertical="center"/>
    </xf>
    <xf numFmtId="0" fontId="43" fillId="10" borderId="35" xfId="0" applyFont="1" applyFill="1" applyBorder="1" applyAlignment="1">
      <alignment vertical="center"/>
    </xf>
    <xf numFmtId="0" fontId="43" fillId="10" borderId="35" xfId="0" applyNumberFormat="1" applyFont="1" applyFill="1" applyBorder="1">
      <alignment vertical="center"/>
    </xf>
    <xf numFmtId="0" fontId="15" fillId="2" borderId="10" xfId="0" applyFont="1" applyFill="1" applyBorder="1" applyAlignment="1">
      <alignment horizontal="center" vertical="center"/>
    </xf>
    <xf numFmtId="166" fontId="43" fillId="2" borderId="55" xfId="0" applyNumberFormat="1" applyFont="1" applyFill="1" applyBorder="1">
      <alignment vertical="center"/>
    </xf>
    <xf numFmtId="166" fontId="43" fillId="2" borderId="3" xfId="0" applyNumberFormat="1" applyFont="1" applyFill="1" applyBorder="1">
      <alignment vertical="center"/>
    </xf>
    <xf numFmtId="0" fontId="43" fillId="0" borderId="10" xfId="0" applyFont="1" applyBorder="1">
      <alignment vertical="center"/>
    </xf>
    <xf numFmtId="0" fontId="43" fillId="0" borderId="77" xfId="0" applyFont="1" applyBorder="1">
      <alignment vertical="center"/>
    </xf>
    <xf numFmtId="0" fontId="43" fillId="0" borderId="35" xfId="0" applyFont="1" applyBorder="1">
      <alignment vertical="center"/>
    </xf>
    <xf numFmtId="0" fontId="43" fillId="0" borderId="3" xfId="0" applyFont="1" applyBorder="1">
      <alignment vertical="center"/>
    </xf>
    <xf numFmtId="0" fontId="43" fillId="0" borderId="2" xfId="0" applyFont="1" applyBorder="1">
      <alignment vertical="center"/>
    </xf>
    <xf numFmtId="0" fontId="123" fillId="15" borderId="0" xfId="0" applyFont="1" applyFill="1" applyAlignment="1" applyProtection="1">
      <alignment horizontal="left" vertical="center"/>
      <protection locked="0"/>
    </xf>
    <xf numFmtId="167" fontId="42" fillId="0" borderId="0" xfId="0" applyNumberFormat="1" applyFont="1" applyAlignment="1">
      <alignment horizontal="left" vertical="center"/>
    </xf>
    <xf numFmtId="0" fontId="43" fillId="0" borderId="3" xfId="0" applyFont="1" applyBorder="1" applyProtection="1">
      <alignment vertical="center"/>
      <protection locked="0"/>
    </xf>
    <xf numFmtId="0" fontId="42" fillId="0" borderId="18" xfId="0" applyFont="1" applyBorder="1" applyAlignment="1" applyProtection="1">
      <alignment horizontal="center" vertical="center"/>
      <protection locked="0"/>
    </xf>
    <xf numFmtId="0" fontId="42" fillId="0" borderId="1" xfId="0" applyFont="1" applyBorder="1" applyAlignment="1" applyProtection="1">
      <alignment horizontal="center" vertical="center"/>
      <protection locked="0"/>
    </xf>
    <xf numFmtId="0" fontId="42" fillId="0" borderId="19" xfId="0" applyFont="1" applyBorder="1" applyAlignment="1" applyProtection="1">
      <alignment horizontal="center" vertical="center"/>
      <protection locked="0"/>
    </xf>
    <xf numFmtId="0" fontId="42" fillId="0" borderId="24" xfId="0" applyFont="1" applyBorder="1" applyAlignment="1" applyProtection="1">
      <alignment horizontal="center" vertical="center"/>
      <protection locked="0"/>
    </xf>
    <xf numFmtId="0" fontId="78" fillId="0" borderId="2" xfId="0" applyFont="1" applyBorder="1" applyAlignment="1" applyProtection="1">
      <alignment horizontal="center" vertical="center"/>
      <protection locked="0"/>
    </xf>
    <xf numFmtId="0" fontId="78" fillId="0" borderId="1" xfId="0" applyFont="1" applyBorder="1" applyAlignment="1" applyProtection="1">
      <alignment horizontal="center" vertical="center"/>
      <protection locked="0"/>
    </xf>
    <xf numFmtId="41" fontId="56" fillId="0" borderId="0" xfId="4" applyFont="1" applyAlignment="1">
      <alignment vertical="center"/>
      <protection locked="0"/>
    </xf>
    <xf numFmtId="0" fontId="1" fillId="0" borderId="100" xfId="0" applyFont="1" applyBorder="1" applyAlignment="1" applyProtection="1">
      <alignment horizontal="center" vertical="center"/>
      <protection locked="0"/>
    </xf>
    <xf numFmtId="41" fontId="43" fillId="0" borderId="6" xfId="4" applyFont="1" applyBorder="1" applyAlignment="1" applyProtection="1">
      <alignment horizontal="left" vertical="center"/>
    </xf>
    <xf numFmtId="0" fontId="1" fillId="0" borderId="5" xfId="0" applyFont="1" applyBorder="1" applyAlignment="1" applyProtection="1">
      <alignment horizontal="center" vertical="center"/>
      <protection locked="0"/>
    </xf>
    <xf numFmtId="193" fontId="1" fillId="0" borderId="6" xfId="0" applyNumberFormat="1" applyFont="1" applyBorder="1" applyAlignment="1" applyProtection="1">
      <alignment horizontal="right" vertical="center"/>
      <protection locked="0"/>
    </xf>
    <xf numFmtId="41" fontId="1" fillId="0" borderId="6" xfId="0" applyNumberFormat="1" applyFont="1" applyBorder="1" applyAlignment="1" applyProtection="1">
      <alignment horizontal="right" vertical="center"/>
      <protection locked="0"/>
    </xf>
    <xf numFmtId="41" fontId="1" fillId="0" borderId="7" xfId="4" applyFont="1" applyBorder="1" applyAlignment="1" applyProtection="1">
      <alignment vertical="center"/>
    </xf>
    <xf numFmtId="0" fontId="1" fillId="0" borderId="51" xfId="0" applyFont="1" applyBorder="1" applyAlignment="1" applyProtection="1">
      <alignment horizontal="center" vertical="center"/>
      <protection locked="0"/>
    </xf>
    <xf numFmtId="41" fontId="43" fillId="0" borderId="10" xfId="4" applyFont="1" applyBorder="1" applyAlignment="1" applyProtection="1">
      <alignment horizontal="left" vertical="center"/>
    </xf>
    <xf numFmtId="0" fontId="1" fillId="0" borderId="9" xfId="0" applyFont="1" applyBorder="1" applyAlignment="1" applyProtection="1">
      <alignment horizontal="center" vertical="center"/>
      <protection locked="0"/>
    </xf>
    <xf numFmtId="0" fontId="1" fillId="0" borderId="14" xfId="0" applyFont="1" applyBorder="1" applyProtection="1">
      <alignment vertical="center"/>
      <protection locked="0"/>
    </xf>
    <xf numFmtId="0" fontId="43" fillId="0" borderId="2" xfId="0" applyFont="1" applyBorder="1" applyAlignment="1" applyProtection="1">
      <alignment horizontal="center" vertical="center"/>
      <protection locked="0"/>
    </xf>
    <xf numFmtId="0" fontId="1" fillId="0" borderId="2" xfId="0" applyFont="1" applyBorder="1" applyProtection="1">
      <alignment vertical="center"/>
      <protection locked="0"/>
    </xf>
    <xf numFmtId="0" fontId="43" fillId="0" borderId="21" xfId="0" applyFont="1" applyBorder="1" applyProtection="1">
      <alignment vertical="center"/>
      <protection locked="0"/>
    </xf>
    <xf numFmtId="0" fontId="1" fillId="0" borderId="19" xfId="0" applyFont="1" applyBorder="1" applyProtection="1">
      <alignment vertical="center"/>
      <protection locked="0"/>
    </xf>
    <xf numFmtId="172" fontId="3" fillId="4" borderId="24" xfId="4" applyNumberFormat="1" applyFont="1" applyFill="1" applyBorder="1" applyAlignment="1" applyProtection="1">
      <alignment vertical="center"/>
    </xf>
    <xf numFmtId="0" fontId="78" fillId="0" borderId="18" xfId="0" applyFont="1" applyBorder="1" applyAlignment="1" applyProtection="1">
      <alignment horizontal="center" vertical="center"/>
      <protection locked="0"/>
    </xf>
    <xf numFmtId="0" fontId="1" fillId="0" borderId="6" xfId="0" applyFont="1" applyBorder="1" applyAlignment="1" applyProtection="1">
      <alignment horizontal="right" vertical="center"/>
      <protection locked="0"/>
    </xf>
    <xf numFmtId="41" fontId="1" fillId="0" borderId="6" xfId="1" applyNumberFormat="1" applyFont="1" applyFill="1" applyBorder="1" applyAlignment="1" applyProtection="1">
      <alignment vertical="center"/>
      <protection locked="0"/>
    </xf>
    <xf numFmtId="0" fontId="1" fillId="0" borderId="10" xfId="0" applyFont="1" applyBorder="1" applyAlignment="1" applyProtection="1">
      <alignment horizontal="right" vertical="center"/>
      <protection locked="0"/>
    </xf>
    <xf numFmtId="41" fontId="1" fillId="0" borderId="11" xfId="4" applyFont="1" applyBorder="1" applyAlignment="1" applyProtection="1">
      <alignment vertical="center"/>
    </xf>
    <xf numFmtId="41" fontId="1" fillId="0" borderId="6" xfId="1" applyNumberFormat="1" applyFont="1" applyFill="1" applyBorder="1" applyAlignment="1">
      <alignment vertical="center"/>
      <protection locked="0"/>
    </xf>
    <xf numFmtId="41" fontId="1" fillId="0" borderId="6" xfId="1" applyNumberFormat="1" applyFont="1" applyBorder="1" applyAlignment="1">
      <alignment vertical="center"/>
      <protection locked="0"/>
    </xf>
    <xf numFmtId="0" fontId="1" fillId="0" borderId="13" xfId="0" applyFont="1" applyBorder="1" applyAlignment="1" applyProtection="1">
      <alignment horizontal="center" vertical="center"/>
      <protection locked="0"/>
    </xf>
    <xf numFmtId="0" fontId="1" fillId="0" borderId="14" xfId="0" applyFont="1" applyBorder="1" applyAlignment="1" applyProtection="1">
      <alignment horizontal="right" vertical="center"/>
      <protection locked="0"/>
    </xf>
    <xf numFmtId="41" fontId="1" fillId="0" borderId="10" xfId="1" applyNumberFormat="1" applyFont="1" applyBorder="1" applyAlignment="1">
      <alignment vertical="center"/>
      <protection locked="0"/>
    </xf>
    <xf numFmtId="0" fontId="1" fillId="0" borderId="20" xfId="0" applyFont="1" applyBorder="1" applyProtection="1">
      <alignment vertical="center"/>
      <protection locked="0"/>
    </xf>
    <xf numFmtId="0" fontId="1" fillId="0" borderId="66" xfId="0" applyFont="1" applyBorder="1" applyAlignment="1" applyProtection="1">
      <alignment horizontal="center" vertical="center"/>
      <protection locked="0"/>
    </xf>
    <xf numFmtId="0" fontId="1" fillId="0" borderId="20" xfId="0" applyFont="1" applyBorder="1" applyAlignment="1" applyProtection="1">
      <alignment horizontal="right" vertical="center"/>
      <protection locked="0"/>
    </xf>
    <xf numFmtId="41" fontId="1" fillId="0" borderId="20" xfId="1" applyNumberFormat="1" applyFont="1" applyBorder="1" applyAlignment="1">
      <alignment vertical="center"/>
      <protection locked="0"/>
    </xf>
    <xf numFmtId="41" fontId="1" fillId="0" borderId="25" xfId="4" applyFont="1" applyBorder="1" applyAlignment="1" applyProtection="1">
      <alignment vertical="center"/>
    </xf>
    <xf numFmtId="0" fontId="3" fillId="0" borderId="27" xfId="0" applyFont="1" applyBorder="1" applyProtection="1">
      <alignment vertical="center"/>
      <protection locked="0"/>
    </xf>
    <xf numFmtId="0" fontId="1" fillId="0" borderId="6" xfId="0" applyFont="1" applyBorder="1" applyAlignment="1" applyProtection="1">
      <alignment horizontal="center" vertical="center"/>
      <protection locked="0"/>
    </xf>
    <xf numFmtId="41" fontId="1" fillId="0" borderId="6" xfId="4" applyFont="1" applyBorder="1" applyAlignment="1">
      <alignment vertical="center"/>
      <protection locked="0"/>
    </xf>
    <xf numFmtId="41" fontId="1" fillId="0" borderId="7" xfId="4" applyFont="1" applyBorder="1" applyAlignment="1">
      <alignment vertical="center"/>
      <protection locked="0"/>
    </xf>
    <xf numFmtId="41" fontId="1" fillId="0" borderId="10" xfId="4" applyFont="1" applyFill="1" applyBorder="1" applyAlignment="1" applyProtection="1">
      <alignment vertical="center"/>
      <protection locked="0"/>
    </xf>
    <xf numFmtId="41" fontId="1" fillId="0" borderId="14" xfId="4" applyFont="1" applyFill="1" applyBorder="1" applyAlignment="1" applyProtection="1">
      <alignment vertical="center"/>
      <protection locked="0"/>
    </xf>
    <xf numFmtId="0" fontId="43" fillId="0" borderId="140" xfId="0" applyFont="1" applyBorder="1" applyProtection="1">
      <alignment vertical="center"/>
      <protection locked="0"/>
    </xf>
    <xf numFmtId="0" fontId="43" fillId="0" borderId="140" xfId="0" applyFont="1" applyBorder="1" applyAlignment="1" applyProtection="1">
      <alignment horizontal="center" vertical="center"/>
      <protection locked="0"/>
    </xf>
    <xf numFmtId="170" fontId="43" fillId="0" borderId="0" xfId="1" applyNumberFormat="1" applyFont="1" applyAlignment="1">
      <alignment vertical="center"/>
      <protection locked="0"/>
    </xf>
    <xf numFmtId="170" fontId="43" fillId="0" borderId="140" xfId="0" applyNumberFormat="1" applyFont="1" applyBorder="1" applyProtection="1">
      <alignment vertical="center"/>
      <protection locked="0"/>
    </xf>
    <xf numFmtId="193" fontId="43" fillId="0" borderId="0" xfId="0" applyNumberFormat="1" applyFont="1" applyProtection="1">
      <alignment vertical="center"/>
      <protection locked="0"/>
    </xf>
    <xf numFmtId="3" fontId="43" fillId="0" borderId="0" xfId="0" applyNumberFormat="1" applyFont="1" applyProtection="1">
      <alignment vertical="center"/>
      <protection locked="0"/>
    </xf>
    <xf numFmtId="41" fontId="1" fillId="0" borderId="43" xfId="4" applyFont="1" applyBorder="1" applyAlignment="1" applyProtection="1">
      <alignment vertical="center"/>
    </xf>
    <xf numFmtId="0" fontId="1" fillId="0" borderId="52" xfId="0" applyFont="1" applyBorder="1" applyAlignment="1" applyProtection="1">
      <alignment horizontal="center" vertical="center"/>
      <protection locked="0"/>
    </xf>
    <xf numFmtId="0" fontId="1" fillId="0" borderId="13" xfId="0" applyFont="1" applyBorder="1" applyProtection="1">
      <alignment vertical="center"/>
      <protection locked="0"/>
    </xf>
    <xf numFmtId="41" fontId="1" fillId="0" borderId="53" xfId="4" applyFont="1" applyBorder="1" applyAlignment="1" applyProtection="1">
      <alignment vertical="center"/>
    </xf>
    <xf numFmtId="0" fontId="43" fillId="0" borderId="1" xfId="0" applyFont="1" applyBorder="1" applyProtection="1">
      <alignment vertical="center"/>
      <protection locked="0"/>
    </xf>
    <xf numFmtId="0" fontId="1" fillId="0" borderId="16" xfId="0" applyFont="1" applyBorder="1" applyProtection="1">
      <alignment vertical="center"/>
      <protection locked="0"/>
    </xf>
    <xf numFmtId="0" fontId="43" fillId="0" borderId="19" xfId="0" applyFont="1" applyBorder="1" applyProtection="1">
      <alignment vertical="center"/>
      <protection locked="0"/>
    </xf>
    <xf numFmtId="172" fontId="56" fillId="4" borderId="24" xfId="4" applyNumberFormat="1" applyFont="1" applyFill="1" applyBorder="1" applyAlignment="1" applyProtection="1">
      <alignment vertical="center"/>
    </xf>
    <xf numFmtId="0" fontId="67" fillId="0" borderId="39" xfId="0" applyFont="1" applyBorder="1" applyAlignment="1" applyProtection="1">
      <alignment horizontal="center" vertical="center"/>
      <protection locked="0"/>
    </xf>
    <xf numFmtId="0" fontId="1" fillId="0" borderId="6" xfId="0" applyFont="1" applyBorder="1" applyProtection="1">
      <alignment vertical="center"/>
      <protection locked="0"/>
    </xf>
    <xf numFmtId="0" fontId="1" fillId="0" borderId="5" xfId="0" applyFont="1" applyBorder="1" applyProtection="1">
      <alignment vertical="center"/>
      <protection locked="0"/>
    </xf>
    <xf numFmtId="0" fontId="67" fillId="0" borderId="51" xfId="0" applyFont="1" applyBorder="1" applyAlignment="1" applyProtection="1">
      <alignment horizontal="center" vertical="center"/>
      <protection locked="0"/>
    </xf>
    <xf numFmtId="41" fontId="3" fillId="0" borderId="7" xfId="4" applyFont="1" applyBorder="1" applyAlignment="1" applyProtection="1">
      <alignment vertical="center"/>
    </xf>
    <xf numFmtId="0" fontId="1" fillId="0" borderId="9" xfId="0" applyFont="1" applyBorder="1" applyAlignment="1" applyProtection="1">
      <alignment horizontal="right" vertical="center"/>
      <protection locked="0"/>
    </xf>
    <xf numFmtId="0" fontId="1" fillId="0" borderId="5" xfId="0" applyFont="1" applyBorder="1" applyAlignment="1" applyProtection="1">
      <alignment horizontal="right" vertical="center"/>
      <protection locked="0"/>
    </xf>
    <xf numFmtId="0" fontId="15" fillId="0" borderId="51"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41" fontId="1" fillId="0" borderId="6" xfId="4" applyFont="1" applyFill="1" applyBorder="1" applyAlignment="1" applyProtection="1">
      <alignment vertical="center"/>
      <protection locked="0"/>
    </xf>
    <xf numFmtId="41" fontId="1" fillId="4" borderId="7" xfId="4" applyFont="1" applyFill="1" applyBorder="1" applyAlignment="1" applyProtection="1">
      <alignment vertical="center"/>
    </xf>
    <xf numFmtId="41" fontId="1" fillId="0" borderId="98" xfId="4" applyFont="1" applyBorder="1" applyAlignment="1" applyProtection="1">
      <alignment vertical="center"/>
    </xf>
    <xf numFmtId="0" fontId="1" fillId="0" borderId="2" xfId="0" applyFont="1" applyBorder="1" applyAlignment="1" applyProtection="1">
      <alignment horizontal="center" vertical="center"/>
      <protection locked="0"/>
    </xf>
    <xf numFmtId="0" fontId="1" fillId="0" borderId="64" xfId="0" applyFont="1" applyBorder="1" applyProtection="1">
      <alignment vertical="center"/>
      <protection locked="0"/>
    </xf>
    <xf numFmtId="0" fontId="1" fillId="0" borderId="65" xfId="0" applyFont="1" applyBorder="1" applyAlignment="1" applyProtection="1">
      <alignment horizontal="center" vertical="center"/>
      <protection locked="0"/>
    </xf>
    <xf numFmtId="0" fontId="1" fillId="0" borderId="65" xfId="0" applyFont="1" applyBorder="1" applyProtection="1">
      <alignment vertical="center"/>
      <protection locked="0"/>
    </xf>
    <xf numFmtId="0" fontId="3" fillId="0" borderId="106" xfId="0" applyFont="1" applyBorder="1" applyAlignment="1" applyProtection="1">
      <alignment horizontal="center" vertical="center"/>
      <protection locked="0"/>
    </xf>
    <xf numFmtId="172" fontId="3" fillId="4" borderId="2" xfId="4" applyNumberFormat="1" applyFont="1" applyFill="1" applyBorder="1" applyAlignment="1" applyProtection="1">
      <alignment vertical="center"/>
    </xf>
    <xf numFmtId="172" fontId="3" fillId="4" borderId="3" xfId="4" applyNumberFormat="1" applyFont="1" applyFill="1" applyBorder="1" applyAlignment="1" applyProtection="1">
      <alignment vertical="center"/>
    </xf>
    <xf numFmtId="0" fontId="42" fillId="0" borderId="2" xfId="0" applyFont="1" applyBorder="1" applyAlignment="1" applyProtection="1">
      <alignment horizontal="center" vertical="center"/>
      <protection locked="0"/>
    </xf>
    <xf numFmtId="0" fontId="42" fillId="0" borderId="3" xfId="0" applyFont="1" applyBorder="1" applyAlignment="1" applyProtection="1">
      <alignment horizontal="center" vertical="center"/>
      <protection locked="0"/>
    </xf>
    <xf numFmtId="0" fontId="1" fillId="0" borderId="39" xfId="0" applyFont="1" applyBorder="1" applyAlignment="1" applyProtection="1">
      <alignment horizontal="center" vertical="center"/>
      <protection locked="0"/>
    </xf>
    <xf numFmtId="0" fontId="1" fillId="0" borderId="61" xfId="0" applyFont="1" applyBorder="1" applyAlignment="1" applyProtection="1">
      <alignment horizontal="center" vertical="center"/>
      <protection locked="0"/>
    </xf>
    <xf numFmtId="0" fontId="1" fillId="0" borderId="0" xfId="0" applyFont="1" applyAlignment="1" applyProtection="1">
      <alignment horizontal="right" vertical="center"/>
      <protection locked="0"/>
    </xf>
    <xf numFmtId="0" fontId="78" fillId="0" borderId="95" xfId="0" applyFont="1" applyBorder="1" applyAlignment="1" applyProtection="1">
      <alignment horizontal="center" vertical="center"/>
      <protection locked="0"/>
    </xf>
    <xf numFmtId="187" fontId="1" fillId="0" borderId="6" xfId="4" applyNumberFormat="1" applyFont="1" applyBorder="1" applyAlignment="1">
      <alignment horizontal="center" vertical="center"/>
      <protection locked="0"/>
    </xf>
    <xf numFmtId="170" fontId="56" fillId="4" borderId="2" xfId="1" applyNumberFormat="1" applyFont="1" applyFill="1" applyBorder="1" applyAlignment="1" applyProtection="1">
      <alignment vertical="center"/>
    </xf>
    <xf numFmtId="0" fontId="125" fillId="0" borderId="0" xfId="0" applyFont="1" applyProtection="1">
      <alignment vertical="center"/>
      <protection locked="0"/>
    </xf>
    <xf numFmtId="0" fontId="126" fillId="0" borderId="140" xfId="0" applyFont="1" applyBorder="1" applyProtection="1">
      <alignment vertical="center"/>
      <protection locked="0"/>
    </xf>
    <xf numFmtId="0" fontId="126" fillId="0" borderId="0" xfId="0" applyFont="1" applyProtection="1">
      <alignment vertical="center"/>
      <protection locked="0"/>
    </xf>
    <xf numFmtId="187" fontId="1" fillId="0" borderId="10" xfId="4" applyNumberFormat="1" applyFont="1" applyBorder="1" applyAlignment="1">
      <alignment horizontal="center" vertical="center"/>
      <protection locked="0"/>
    </xf>
    <xf numFmtId="187" fontId="1" fillId="0" borderId="10" xfId="4" applyNumberFormat="1" applyFont="1" applyFill="1" applyBorder="1" applyAlignment="1">
      <alignment horizontal="center" vertical="center"/>
      <protection locked="0"/>
    </xf>
    <xf numFmtId="187" fontId="1" fillId="0" borderId="14" xfId="4" applyNumberFormat="1" applyFont="1" applyBorder="1" applyAlignment="1">
      <alignment horizontal="center" vertical="center"/>
      <protection locked="0"/>
    </xf>
    <xf numFmtId="0" fontId="3" fillId="0" borderId="2" xfId="0" applyFont="1" applyBorder="1" applyAlignment="1" applyProtection="1">
      <alignment horizontal="center" vertical="center"/>
      <protection locked="0"/>
    </xf>
    <xf numFmtId="0" fontId="3" fillId="0" borderId="105" xfId="0" applyFont="1" applyBorder="1" applyProtection="1">
      <alignment vertical="center"/>
      <protection locked="0"/>
    </xf>
    <xf numFmtId="0" fontId="3" fillId="0" borderId="19" xfId="0" applyFont="1" applyBorder="1" applyProtection="1">
      <alignment vertical="center"/>
      <protection locked="0"/>
    </xf>
    <xf numFmtId="0" fontId="78" fillId="0" borderId="37" xfId="0" applyFont="1" applyBorder="1" applyAlignment="1" applyProtection="1">
      <alignment horizontal="center" vertical="center"/>
      <protection locked="0"/>
    </xf>
    <xf numFmtId="0" fontId="78" fillId="0" borderId="61" xfId="0" applyFont="1" applyBorder="1" applyAlignment="1" applyProtection="1">
      <alignment horizontal="center" vertical="center"/>
      <protection locked="0"/>
    </xf>
    <xf numFmtId="0" fontId="78" fillId="0" borderId="6" xfId="0" applyFont="1" applyBorder="1" applyAlignment="1" applyProtection="1">
      <alignment horizontal="center" vertical="center"/>
      <protection locked="0"/>
    </xf>
    <xf numFmtId="0" fontId="78" fillId="0" borderId="7" xfId="0" applyFont="1" applyBorder="1" applyAlignment="1" applyProtection="1">
      <alignment horizontal="center" vertical="center"/>
      <protection locked="0"/>
    </xf>
    <xf numFmtId="0" fontId="1" fillId="0" borderId="78" xfId="0" applyFont="1" applyBorder="1" applyAlignment="1" applyProtection="1">
      <alignment horizontal="center" vertical="center"/>
      <protection locked="0"/>
    </xf>
    <xf numFmtId="41" fontId="43" fillId="0" borderId="9" xfId="4" applyFont="1" applyBorder="1" applyAlignment="1" applyProtection="1">
      <alignment horizontal="left" vertical="center"/>
    </xf>
    <xf numFmtId="0" fontId="1" fillId="0" borderId="44" xfId="0" applyFont="1" applyBorder="1" applyAlignment="1" applyProtection="1">
      <alignment horizontal="center" vertical="center"/>
      <protection locked="0"/>
    </xf>
    <xf numFmtId="41" fontId="43" fillId="0" borderId="66" xfId="4" applyFont="1" applyBorder="1" applyAlignment="1" applyProtection="1">
      <alignment horizontal="left" vertical="center"/>
    </xf>
    <xf numFmtId="41" fontId="1" fillId="0" borderId="68" xfId="4" applyFont="1" applyBorder="1" applyAlignment="1" applyProtection="1">
      <alignment vertical="center"/>
    </xf>
    <xf numFmtId="0" fontId="1" fillId="0" borderId="105" xfId="0" applyFont="1" applyBorder="1" applyProtection="1">
      <alignment vertical="center"/>
      <protection locked="0"/>
    </xf>
    <xf numFmtId="0" fontId="1" fillId="0" borderId="5" xfId="0" applyFont="1" applyBorder="1">
      <alignment vertical="center"/>
    </xf>
    <xf numFmtId="0" fontId="43" fillId="0" borderId="6" xfId="0" applyFont="1" applyBorder="1" applyProtection="1">
      <alignment vertical="center"/>
      <protection locked="0"/>
    </xf>
    <xf numFmtId="41" fontId="43" fillId="0" borderId="7" xfId="4" applyFont="1" applyBorder="1" applyAlignment="1" applyProtection="1">
      <alignment vertical="center"/>
    </xf>
    <xf numFmtId="0" fontId="1" fillId="0" borderId="42" xfId="0" applyFont="1" applyBorder="1" applyAlignment="1" applyProtection="1">
      <alignment horizontal="center" vertical="center"/>
      <protection locked="0"/>
    </xf>
    <xf numFmtId="0" fontId="1" fillId="0" borderId="9" xfId="0" applyFont="1" applyBorder="1" applyAlignment="1">
      <alignment horizontal="left" vertical="center"/>
    </xf>
    <xf numFmtId="0" fontId="1" fillId="0" borderId="35" xfId="0" applyFont="1" applyBorder="1" applyAlignment="1" applyProtection="1">
      <alignment horizontal="center" vertical="center"/>
      <protection locked="0"/>
    </xf>
    <xf numFmtId="0" fontId="1" fillId="0" borderId="13" xfId="0" applyFont="1" applyBorder="1" applyAlignment="1">
      <alignment horizontal="left" vertical="center"/>
    </xf>
    <xf numFmtId="0" fontId="1" fillId="0" borderId="22" xfId="0" applyFont="1" applyBorder="1" applyAlignment="1" applyProtection="1">
      <alignment horizontal="center" vertical="center"/>
      <protection locked="0"/>
    </xf>
    <xf numFmtId="0" fontId="1" fillId="0" borderId="22" xfId="0" applyFont="1" applyBorder="1" applyProtection="1">
      <alignment vertical="center"/>
      <protection locked="0"/>
    </xf>
    <xf numFmtId="0" fontId="1" fillId="0" borderId="9" xfId="0" applyFont="1" applyBorder="1">
      <alignment vertical="center"/>
    </xf>
    <xf numFmtId="0" fontId="1" fillId="0" borderId="14" xfId="0" applyFont="1" applyBorder="1" applyAlignment="1" applyProtection="1">
      <alignment horizontal="center" vertical="center"/>
      <protection locked="0"/>
    </xf>
    <xf numFmtId="0" fontId="3" fillId="0" borderId="14" xfId="0" applyFont="1" applyBorder="1" applyAlignment="1" applyProtection="1">
      <alignment horizontal="center" vertical="center"/>
      <protection locked="0"/>
    </xf>
    <xf numFmtId="41" fontId="43" fillId="0" borderId="25" xfId="4" applyFont="1" applyBorder="1" applyAlignment="1" applyProtection="1">
      <alignment vertical="center"/>
    </xf>
    <xf numFmtId="41" fontId="56" fillId="0" borderId="24" xfId="4" applyFont="1" applyBorder="1" applyAlignment="1" applyProtection="1">
      <alignment vertical="center"/>
    </xf>
    <xf numFmtId="0" fontId="3" fillId="0" borderId="6" xfId="0" applyFont="1" applyBorder="1" applyAlignment="1" applyProtection="1">
      <alignment horizontal="center" vertical="center"/>
      <protection locked="0"/>
    </xf>
    <xf numFmtId="0" fontId="3" fillId="0" borderId="22" xfId="0" applyFont="1" applyBorder="1" applyAlignment="1" applyProtection="1">
      <alignment horizontal="center" vertical="center"/>
      <protection locked="0"/>
    </xf>
    <xf numFmtId="41" fontId="56" fillId="0" borderId="7" xfId="4" applyFont="1" applyBorder="1" applyAlignment="1" applyProtection="1">
      <alignment vertical="center"/>
    </xf>
    <xf numFmtId="0" fontId="1" fillId="0" borderId="27" xfId="0" applyFont="1" applyBorder="1" applyProtection="1">
      <alignment vertical="center"/>
      <protection locked="0"/>
    </xf>
    <xf numFmtId="0" fontId="3" fillId="0" borderId="27" xfId="0" applyFont="1" applyBorder="1" applyAlignment="1" applyProtection="1">
      <alignment horizontal="center" vertical="center"/>
      <protection locked="0"/>
    </xf>
    <xf numFmtId="41" fontId="43" fillId="0" borderId="7" xfId="4" applyFont="1" applyBorder="1" applyAlignment="1">
      <alignment vertical="center"/>
      <protection locked="0"/>
    </xf>
    <xf numFmtId="0" fontId="1" fillId="0" borderId="104" xfId="0" applyFont="1" applyBorder="1" applyProtection="1">
      <alignment vertical="center"/>
      <protection locked="0"/>
    </xf>
    <xf numFmtId="0" fontId="1" fillId="0" borderId="66" xfId="0" applyFont="1" applyBorder="1" applyProtection="1">
      <alignment vertical="center"/>
      <protection locked="0"/>
    </xf>
    <xf numFmtId="0" fontId="1" fillId="0" borderId="20" xfId="0" applyFont="1" applyBorder="1" applyAlignment="1" applyProtection="1">
      <alignment horizontal="center" vertical="center"/>
      <protection locked="0"/>
    </xf>
    <xf numFmtId="0" fontId="1" fillId="0" borderId="21" xfId="0" applyFont="1" applyBorder="1" applyProtection="1">
      <alignment vertical="center"/>
      <protection locked="0"/>
    </xf>
    <xf numFmtId="0" fontId="3" fillId="0" borderId="96" xfId="0" applyFont="1" applyBorder="1" applyAlignment="1">
      <alignment horizontal="left" vertical="center"/>
    </xf>
    <xf numFmtId="0" fontId="1" fillId="0" borderId="66" xfId="0" applyFont="1" applyBorder="1" applyAlignment="1">
      <alignment horizontal="left" vertical="center"/>
    </xf>
    <xf numFmtId="0" fontId="1" fillId="0" borderId="107" xfId="0" applyFont="1" applyBorder="1" applyProtection="1">
      <alignment vertical="center"/>
      <protection locked="0"/>
    </xf>
    <xf numFmtId="0" fontId="56" fillId="0" borderId="51" xfId="0" applyFont="1" applyBorder="1" applyAlignment="1" applyProtection="1">
      <alignment horizontal="center" vertical="center"/>
      <protection locked="0"/>
    </xf>
    <xf numFmtId="0" fontId="1" fillId="0" borderId="96" xfId="0" applyFont="1" applyBorder="1" applyProtection="1">
      <alignment vertical="center"/>
      <protection locked="0"/>
    </xf>
    <xf numFmtId="0" fontId="3" fillId="0" borderId="51" xfId="0" applyFont="1" applyBorder="1" applyAlignment="1" applyProtection="1">
      <alignment horizontal="center" vertical="center"/>
      <protection locked="0"/>
    </xf>
    <xf numFmtId="0" fontId="1" fillId="0" borderId="9" xfId="0" applyFont="1" applyBorder="1" applyProtection="1">
      <alignment vertical="center"/>
      <protection locked="0"/>
    </xf>
    <xf numFmtId="38" fontId="1" fillId="0" borderId="10" xfId="0" applyNumberFormat="1" applyFont="1" applyBorder="1" applyProtection="1">
      <alignment vertical="center"/>
      <protection locked="0"/>
    </xf>
    <xf numFmtId="170" fontId="1" fillId="0" borderId="10" xfId="1" applyNumberFormat="1" applyFont="1" applyFill="1" applyBorder="1" applyAlignment="1" applyProtection="1">
      <alignment vertical="center"/>
      <protection locked="0"/>
    </xf>
    <xf numFmtId="0" fontId="56" fillId="0" borderId="54" xfId="0" applyFont="1" applyBorder="1" applyProtection="1">
      <alignment vertical="center"/>
      <protection locked="0"/>
    </xf>
    <xf numFmtId="0" fontId="1" fillId="0" borderId="101" xfId="0" applyFont="1" applyBorder="1" applyAlignment="1" applyProtection="1">
      <alignment horizontal="center" vertical="center"/>
      <protection locked="0"/>
    </xf>
    <xf numFmtId="0" fontId="1" fillId="0" borderId="20" xfId="0" applyFont="1" applyBorder="1" applyAlignment="1" applyProtection="1">
      <alignment horizontal="left" vertical="center"/>
      <protection locked="0"/>
    </xf>
    <xf numFmtId="41" fontId="1" fillId="0" borderId="20" xfId="4" applyFont="1" applyFill="1" applyBorder="1" applyAlignment="1">
      <alignment vertical="center"/>
      <protection locked="0"/>
    </xf>
    <xf numFmtId="41" fontId="1" fillId="0" borderId="25" xfId="4" applyFont="1" applyBorder="1" applyAlignment="1">
      <alignment vertical="center"/>
      <protection locked="0"/>
    </xf>
    <xf numFmtId="0" fontId="3" fillId="0" borderId="100" xfId="0" applyFont="1" applyBorder="1" applyAlignment="1" applyProtection="1">
      <alignment horizontal="center" vertical="center"/>
      <protection locked="0"/>
    </xf>
    <xf numFmtId="0" fontId="1" fillId="0" borderId="96" xfId="0" applyFont="1" applyBorder="1" applyAlignment="1" applyProtection="1">
      <alignment horizontal="center" vertical="center"/>
      <protection locked="0"/>
    </xf>
    <xf numFmtId="41" fontId="1" fillId="0" borderId="27" xfId="4" applyFont="1" applyBorder="1" applyAlignment="1">
      <alignment vertical="center"/>
      <protection locked="0"/>
    </xf>
    <xf numFmtId="41" fontId="1" fillId="0" borderId="28" xfId="4" applyFont="1" applyBorder="1" applyAlignment="1">
      <alignment vertical="center"/>
      <protection locked="0"/>
    </xf>
    <xf numFmtId="41" fontId="1" fillId="0" borderId="10" xfId="4" applyFont="1" applyBorder="1" applyAlignment="1">
      <alignment horizontal="center" vertical="center"/>
      <protection locked="0"/>
    </xf>
    <xf numFmtId="41" fontId="1" fillId="0" borderId="20" xfId="4" applyFont="1" applyBorder="1" applyAlignment="1">
      <alignment vertical="center"/>
      <protection locked="0"/>
    </xf>
    <xf numFmtId="0" fontId="3" fillId="0" borderId="61" xfId="0" applyFont="1" applyBorder="1" applyAlignment="1" applyProtection="1">
      <alignment horizontal="center" vertical="center"/>
      <protection locked="0"/>
    </xf>
    <xf numFmtId="170" fontId="56" fillId="0" borderId="0" xfId="1" applyNumberFormat="1" applyFont="1" applyAlignment="1">
      <alignment vertical="center"/>
      <protection locked="0"/>
    </xf>
    <xf numFmtId="193" fontId="1" fillId="0" borderId="5" xfId="0" applyNumberFormat="1" applyFont="1" applyBorder="1" applyProtection="1">
      <alignment vertical="center"/>
      <protection locked="0"/>
    </xf>
    <xf numFmtId="41" fontId="1" fillId="4" borderId="28" xfId="4" applyFont="1" applyFill="1" applyBorder="1" applyAlignment="1" applyProtection="1">
      <alignment vertical="center"/>
    </xf>
    <xf numFmtId="2" fontId="1" fillId="0" borderId="9" xfId="0" applyNumberFormat="1" applyFont="1" applyBorder="1" applyProtection="1">
      <alignment vertical="center"/>
      <protection locked="0"/>
    </xf>
    <xf numFmtId="41" fontId="1" fillId="0" borderId="9" xfId="4" applyFont="1" applyBorder="1" applyAlignment="1">
      <alignment vertical="center"/>
      <protection locked="0"/>
    </xf>
    <xf numFmtId="41" fontId="1" fillId="0" borderId="22" xfId="1" applyNumberFormat="1" applyFont="1" applyBorder="1" applyAlignment="1">
      <alignment vertical="center"/>
      <protection locked="0"/>
    </xf>
    <xf numFmtId="0" fontId="1" fillId="0" borderId="17" xfId="0" applyFont="1" applyBorder="1" applyProtection="1">
      <alignment vertical="center"/>
      <protection locked="0"/>
    </xf>
    <xf numFmtId="0" fontId="1" fillId="0" borderId="34" xfId="0" applyFont="1" applyBorder="1" applyAlignment="1" applyProtection="1">
      <alignment horizontal="center" vertical="center"/>
      <protection locked="0"/>
    </xf>
    <xf numFmtId="0" fontId="1" fillId="0" borderId="34" xfId="0" applyFont="1" applyBorder="1" applyProtection="1">
      <alignment vertical="center"/>
      <protection locked="0"/>
    </xf>
    <xf numFmtId="172" fontId="3" fillId="4" borderId="2" xfId="0" applyNumberFormat="1" applyFont="1" applyFill="1" applyBorder="1">
      <alignment vertical="center"/>
    </xf>
    <xf numFmtId="0" fontId="1" fillId="0" borderId="3" xfId="0" applyFont="1" applyBorder="1" applyProtection="1">
      <alignment vertical="center"/>
      <protection locked="0"/>
    </xf>
    <xf numFmtId="0" fontId="5" fillId="0" borderId="3" xfId="0" applyFont="1" applyBorder="1" applyProtection="1">
      <alignment vertical="center"/>
      <protection locked="0"/>
    </xf>
    <xf numFmtId="0" fontId="42" fillId="0" borderId="21" xfId="0" applyFont="1" applyBorder="1" applyAlignment="1" applyProtection="1">
      <alignment horizontal="center" vertical="center"/>
      <protection locked="0"/>
    </xf>
    <xf numFmtId="180" fontId="1" fillId="0" borderId="6" xfId="4" applyNumberFormat="1" applyFont="1" applyBorder="1" applyAlignment="1">
      <alignment vertical="center"/>
      <protection locked="0"/>
    </xf>
    <xf numFmtId="180" fontId="1" fillId="0" borderId="14" xfId="4" applyNumberFormat="1" applyFont="1" applyBorder="1" applyAlignment="1">
      <alignment vertical="center"/>
      <protection locked="0"/>
    </xf>
    <xf numFmtId="180" fontId="1" fillId="0" borderId="10" xfId="4" applyNumberFormat="1" applyFont="1" applyBorder="1" applyAlignment="1">
      <alignment vertical="center"/>
      <protection locked="0"/>
    </xf>
    <xf numFmtId="41" fontId="1" fillId="0" borderId="10" xfId="4" applyFont="1" applyFill="1" applyBorder="1" applyAlignment="1">
      <alignment vertical="center"/>
      <protection locked="0"/>
    </xf>
    <xf numFmtId="180" fontId="1" fillId="0" borderId="65" xfId="4" applyNumberFormat="1" applyFont="1" applyBorder="1" applyAlignment="1">
      <alignment vertical="center"/>
      <protection locked="0"/>
    </xf>
    <xf numFmtId="41" fontId="1" fillId="0" borderId="65" xfId="4" applyFont="1" applyBorder="1" applyAlignment="1">
      <alignment vertical="center"/>
      <protection locked="0"/>
    </xf>
    <xf numFmtId="0" fontId="3" fillId="4" borderId="105" xfId="0" applyFont="1" applyFill="1" applyBorder="1" applyProtection="1">
      <alignment vertical="center"/>
      <protection locked="0"/>
    </xf>
    <xf numFmtId="0" fontId="1" fillId="4" borderId="19" xfId="0" applyFont="1" applyFill="1" applyBorder="1" applyProtection="1">
      <alignment vertical="center"/>
      <protection locked="0"/>
    </xf>
    <xf numFmtId="0" fontId="3" fillId="4" borderId="19" xfId="0" applyFont="1" applyFill="1" applyBorder="1" applyAlignment="1" applyProtection="1">
      <alignment horizontal="center" vertical="center"/>
      <protection locked="0"/>
    </xf>
    <xf numFmtId="0" fontId="1" fillId="4" borderId="61" xfId="0" applyFont="1" applyFill="1" applyBorder="1" applyAlignment="1" applyProtection="1">
      <alignment horizontal="center" vertical="center"/>
      <protection locked="0"/>
    </xf>
    <xf numFmtId="180" fontId="1" fillId="4" borderId="22" xfId="4" applyNumberFormat="1" applyFont="1" applyFill="1" applyBorder="1" applyAlignment="1">
      <alignment vertical="center"/>
      <protection locked="0"/>
    </xf>
    <xf numFmtId="0" fontId="1" fillId="4" borderId="9" xfId="0" applyFont="1" applyFill="1" applyBorder="1" applyAlignment="1" applyProtection="1">
      <alignment horizontal="center" vertical="center"/>
      <protection locked="0"/>
    </xf>
    <xf numFmtId="180" fontId="1" fillId="4" borderId="10" xfId="4" applyNumberFormat="1" applyFont="1" applyFill="1" applyBorder="1" applyAlignment="1">
      <alignment vertical="center"/>
      <protection locked="0"/>
    </xf>
    <xf numFmtId="0" fontId="1" fillId="4" borderId="10" xfId="0" applyFont="1" applyFill="1" applyBorder="1" applyProtection="1">
      <alignment vertical="center"/>
      <protection locked="0"/>
    </xf>
    <xf numFmtId="0" fontId="1" fillId="4" borderId="10" xfId="0" applyFont="1" applyFill="1" applyBorder="1" applyAlignment="1" applyProtection="1">
      <alignment horizontal="center" vertical="center"/>
      <protection locked="0"/>
    </xf>
    <xf numFmtId="41" fontId="1" fillId="4" borderId="14" xfId="4" applyFont="1" applyFill="1" applyBorder="1" applyAlignment="1">
      <alignment vertical="center"/>
      <protection locked="0"/>
    </xf>
    <xf numFmtId="41" fontId="1" fillId="4" borderId="10" xfId="4" applyFont="1" applyFill="1" applyBorder="1" applyAlignment="1">
      <alignment vertical="center"/>
      <protection locked="0"/>
    </xf>
    <xf numFmtId="0" fontId="1" fillId="4" borderId="20" xfId="0" applyFont="1" applyFill="1" applyBorder="1" applyProtection="1">
      <alignment vertical="center"/>
      <protection locked="0"/>
    </xf>
    <xf numFmtId="0" fontId="1" fillId="4" borderId="65" xfId="0" applyFont="1" applyFill="1" applyBorder="1" applyProtection="1">
      <alignment vertical="center"/>
      <protection locked="0"/>
    </xf>
    <xf numFmtId="180" fontId="1" fillId="4" borderId="65" xfId="4" applyNumberFormat="1" applyFont="1" applyFill="1" applyBorder="1" applyAlignment="1">
      <alignment vertical="center"/>
      <protection locked="0"/>
    </xf>
    <xf numFmtId="41" fontId="1" fillId="4" borderId="68" xfId="4" applyFont="1" applyFill="1" applyBorder="1" applyAlignment="1" applyProtection="1">
      <alignment vertical="center"/>
    </xf>
    <xf numFmtId="0" fontId="1" fillId="4" borderId="5" xfId="0" applyFont="1" applyFill="1" applyBorder="1" applyAlignment="1" applyProtection="1">
      <alignment horizontal="center" vertical="center"/>
      <protection locked="0"/>
    </xf>
    <xf numFmtId="180" fontId="1" fillId="4" borderId="6" xfId="4" applyNumberFormat="1" applyFont="1" applyFill="1" applyBorder="1" applyAlignment="1">
      <alignment vertical="center"/>
      <protection locked="0"/>
    </xf>
    <xf numFmtId="41" fontId="1" fillId="4" borderId="10" xfId="4" applyFont="1" applyFill="1" applyBorder="1" applyAlignment="1" applyProtection="1">
      <alignment vertical="center"/>
      <protection locked="0"/>
    </xf>
    <xf numFmtId="41" fontId="1" fillId="4" borderId="11" xfId="4" applyFont="1" applyFill="1" applyBorder="1" applyAlignment="1" applyProtection="1">
      <alignment vertical="center"/>
    </xf>
    <xf numFmtId="0" fontId="1" fillId="4" borderId="9" xfId="0" applyFont="1" applyFill="1" applyBorder="1" applyProtection="1">
      <alignment vertical="center"/>
      <protection locked="0"/>
    </xf>
    <xf numFmtId="180" fontId="1" fillId="0" borderId="20" xfId="4" applyNumberFormat="1" applyFont="1" applyBorder="1" applyAlignment="1">
      <alignment vertical="center"/>
      <protection locked="0"/>
    </xf>
    <xf numFmtId="41" fontId="1" fillId="0" borderId="20" xfId="4" applyFont="1" applyFill="1" applyBorder="1" applyAlignment="1" applyProtection="1">
      <alignment vertical="center"/>
      <protection locked="0"/>
    </xf>
    <xf numFmtId="0" fontId="43" fillId="0" borderId="0" xfId="0" applyFont="1" applyAlignment="1" applyProtection="1">
      <alignment horizontal="center" vertical="center" wrapText="1"/>
      <protection locked="0"/>
    </xf>
    <xf numFmtId="0" fontId="43" fillId="0" borderId="140" xfId="0" applyFont="1" applyBorder="1" applyAlignment="1" applyProtection="1">
      <alignment vertical="center" wrapText="1"/>
      <protection locked="0"/>
    </xf>
    <xf numFmtId="0" fontId="43" fillId="0" borderId="141" xfId="0" applyFont="1" applyBorder="1" applyProtection="1">
      <alignment vertical="center"/>
      <protection locked="0"/>
    </xf>
    <xf numFmtId="0" fontId="0" fillId="0" borderId="37" xfId="0" applyFont="1" applyBorder="1" applyAlignment="1"/>
    <xf numFmtId="0" fontId="8" fillId="2" borderId="37" xfId="0" applyFont="1" applyFill="1" applyBorder="1" applyAlignment="1">
      <alignment horizontal="center" vertical="center"/>
    </xf>
    <xf numFmtId="0" fontId="44" fillId="4" borderId="76" xfId="0" applyFont="1" applyFill="1" applyBorder="1" applyAlignment="1">
      <alignment horizontal="center" vertical="center"/>
    </xf>
    <xf numFmtId="0" fontId="44" fillId="4" borderId="78" xfId="0" applyFont="1" applyFill="1" applyBorder="1">
      <alignment vertical="center"/>
    </xf>
    <xf numFmtId="0" fontId="44" fillId="4" borderId="11" xfId="0" applyFont="1" applyFill="1" applyBorder="1" applyAlignment="1">
      <alignment horizontal="center" vertical="center"/>
    </xf>
    <xf numFmtId="0" fontId="127" fillId="0" borderId="77" xfId="0" applyFont="1" applyBorder="1" applyAlignment="1">
      <alignment horizontal="justify" vertical="center"/>
    </xf>
    <xf numFmtId="0" fontId="0" fillId="4" borderId="42" xfId="0" applyFont="1" applyFill="1" applyBorder="1" applyAlignment="1">
      <alignment wrapText="1"/>
    </xf>
    <xf numFmtId="0" fontId="127" fillId="0" borderId="35" xfId="0" applyFont="1" applyBorder="1" applyAlignment="1">
      <alignment horizontal="justify" vertical="center"/>
    </xf>
    <xf numFmtId="0" fontId="44" fillId="4" borderId="42" xfId="0" applyFont="1" applyFill="1" applyBorder="1">
      <alignment vertical="center"/>
    </xf>
    <xf numFmtId="0" fontId="127" fillId="0" borderId="42" xfId="0" applyFont="1" applyBorder="1" applyAlignment="1">
      <alignment horizontal="justify" vertical="center"/>
    </xf>
    <xf numFmtId="0" fontId="127" fillId="0" borderId="78" xfId="0" applyFont="1" applyBorder="1" applyAlignment="1">
      <alignment horizontal="justify" vertical="center"/>
    </xf>
    <xf numFmtId="0" fontId="0" fillId="4" borderId="50" xfId="0" applyFont="1" applyFill="1" applyBorder="1" applyAlignment="1">
      <alignment horizontal="center" vertical="center"/>
    </xf>
    <xf numFmtId="0" fontId="44" fillId="4" borderId="50" xfId="0" applyFont="1" applyFill="1" applyBorder="1" applyAlignment="1">
      <alignment horizontal="center" vertical="center"/>
    </xf>
    <xf numFmtId="0" fontId="127" fillId="4" borderId="42" xfId="0" applyFont="1" applyFill="1" applyBorder="1" applyAlignment="1">
      <alignment wrapText="1"/>
    </xf>
    <xf numFmtId="0" fontId="0" fillId="4" borderId="42" xfId="0" applyFont="1" applyFill="1" applyBorder="1" applyAlignment="1"/>
    <xf numFmtId="0" fontId="127" fillId="4" borderId="42" xfId="0" applyFont="1" applyFill="1" applyBorder="1" applyAlignment="1">
      <alignment vertical="center" wrapText="1"/>
    </xf>
    <xf numFmtId="0" fontId="8" fillId="4" borderId="42" xfId="0" applyFont="1" applyFill="1" applyBorder="1" applyAlignment="1">
      <alignment wrapText="1"/>
    </xf>
    <xf numFmtId="0" fontId="8" fillId="4" borderId="42" xfId="0" applyFont="1" applyFill="1" applyBorder="1" applyAlignment="1"/>
    <xf numFmtId="0" fontId="44" fillId="4" borderId="42" xfId="0" applyFont="1" applyFill="1" applyBorder="1" applyAlignment="1">
      <alignment wrapText="1"/>
    </xf>
    <xf numFmtId="0" fontId="0" fillId="0" borderId="25" xfId="0" applyFont="1" applyBorder="1" applyAlignment="1"/>
    <xf numFmtId="0" fontId="0" fillId="0" borderId="44" xfId="0" applyFont="1" applyBorder="1" applyAlignment="1"/>
    <xf numFmtId="0" fontId="0" fillId="0" borderId="37" xfId="0" applyFont="1" applyBorder="1">
      <alignment vertical="center"/>
    </xf>
    <xf numFmtId="0" fontId="97" fillId="0" borderId="37" xfId="0" applyFont="1" applyBorder="1" applyAlignment="1">
      <alignment horizontal="center" vertical="center"/>
    </xf>
    <xf numFmtId="0" fontId="44" fillId="2" borderId="76" xfId="0" applyFont="1" applyFill="1" applyBorder="1" applyAlignment="1">
      <alignment horizontal="center" vertical="center"/>
    </xf>
    <xf numFmtId="0" fontId="44" fillId="2" borderId="78" xfId="0" applyFont="1" applyFill="1" applyBorder="1">
      <alignment vertical="center"/>
    </xf>
    <xf numFmtId="0" fontId="0" fillId="0" borderId="56" xfId="0" applyFont="1" applyBorder="1" applyAlignment="1">
      <alignment horizontal="center" vertical="center"/>
    </xf>
    <xf numFmtId="0" fontId="128" fillId="0" borderId="78" xfId="5" applyFont="1" applyBorder="1" applyAlignment="1" applyProtection="1">
      <alignment vertical="center"/>
    </xf>
    <xf numFmtId="0" fontId="0" fillId="0" borderId="42" xfId="0" applyFont="1" applyBorder="1" applyAlignment="1">
      <alignment vertical="center" wrapText="1"/>
    </xf>
    <xf numFmtId="0" fontId="44" fillId="2" borderId="50" xfId="0" applyFont="1" applyFill="1" applyBorder="1" applyAlignment="1">
      <alignment horizontal="center" vertical="center"/>
    </xf>
    <xf numFmtId="0" fontId="44" fillId="2" borderId="42" xfId="0" applyFont="1" applyFill="1" applyBorder="1">
      <alignment vertical="center"/>
    </xf>
    <xf numFmtId="0" fontId="0" fillId="0" borderId="42" xfId="0" applyFont="1" applyBorder="1">
      <alignment vertical="center"/>
    </xf>
    <xf numFmtId="41" fontId="0" fillId="0" borderId="0" xfId="4" applyFont="1" applyAlignment="1" applyProtection="1">
      <alignment vertical="center"/>
    </xf>
    <xf numFmtId="0" fontId="44" fillId="0" borderId="50" xfId="0" applyFont="1" applyBorder="1" applyAlignment="1">
      <alignment horizontal="center" vertical="center"/>
    </xf>
    <xf numFmtId="0" fontId="44" fillId="0" borderId="42" xfId="0" applyFont="1" applyBorder="1" applyAlignment="1">
      <alignment vertical="center" wrapText="1"/>
    </xf>
    <xf numFmtId="0" fontId="44" fillId="0" borderId="42" xfId="0" applyFont="1" applyBorder="1">
      <alignment vertical="center"/>
    </xf>
    <xf numFmtId="0" fontId="0" fillId="0" borderId="50" xfId="0" applyFont="1" applyBorder="1">
      <alignment vertical="center"/>
    </xf>
    <xf numFmtId="0" fontId="44" fillId="0" borderId="57" xfId="0" applyFont="1" applyBorder="1" applyAlignment="1">
      <alignment horizontal="center" vertical="center"/>
    </xf>
    <xf numFmtId="0" fontId="0" fillId="0" borderId="77" xfId="0" applyFont="1" applyBorder="1" applyAlignment="1">
      <alignment vertical="center" wrapText="1"/>
    </xf>
    <xf numFmtId="0" fontId="44" fillId="0" borderId="77" xfId="0" applyFont="1" applyBorder="1" applyAlignment="1">
      <alignment vertical="center" wrapText="1"/>
    </xf>
    <xf numFmtId="0" fontId="0" fillId="0" borderId="44" xfId="0" applyFont="1" applyBorder="1">
      <alignment vertical="center"/>
    </xf>
    <xf numFmtId="0" fontId="34" fillId="0" borderId="0" xfId="0" quotePrefix="1" applyFont="1" applyAlignment="1">
      <alignment vertical="center" wrapText="1"/>
    </xf>
    <xf numFmtId="0" fontId="0" fillId="0" borderId="19" xfId="0" quotePrefix="1" applyFont="1" applyBorder="1" applyAlignment="1">
      <alignment horizontal="center" vertical="center"/>
    </xf>
    <xf numFmtId="0" fontId="2" fillId="0" borderId="0" xfId="0" applyFont="1" applyAlignment="1" applyProtection="1">
      <alignment horizontal="center" vertical="center"/>
      <protection locked="0"/>
    </xf>
    <xf numFmtId="0" fontId="78" fillId="0" borderId="1" xfId="0" applyFont="1" applyBorder="1" applyAlignment="1" applyProtection="1">
      <alignment horizontal="center" vertical="center"/>
      <protection locked="0"/>
    </xf>
    <xf numFmtId="0" fontId="78" fillId="0" borderId="104" xfId="0" applyFont="1" applyBorder="1" applyAlignment="1" applyProtection="1">
      <alignment horizontal="center" vertical="center"/>
      <protection locked="0"/>
    </xf>
    <xf numFmtId="0" fontId="78" fillId="0" borderId="3" xfId="0" applyFont="1" applyBorder="1" applyAlignment="1" applyProtection="1">
      <alignment horizontal="center" vertical="center"/>
      <protection locked="0"/>
    </xf>
    <xf numFmtId="0" fontId="56" fillId="4" borderId="3" xfId="0" applyFont="1" applyFill="1" applyBorder="1" applyAlignment="1" applyProtection="1">
      <alignment horizontal="center" vertical="center" wrapText="1"/>
      <protection locked="0"/>
    </xf>
    <xf numFmtId="0" fontId="56" fillId="4" borderId="2" xfId="0" applyFont="1" applyFill="1" applyBorder="1" applyAlignment="1" applyProtection="1">
      <alignment horizontal="center" vertical="center" wrapText="1"/>
      <protection locked="0"/>
    </xf>
    <xf numFmtId="0" fontId="125" fillId="0" borderId="54" xfId="0" applyFont="1" applyBorder="1" applyAlignment="1" applyProtection="1">
      <alignment horizontal="center" vertical="center"/>
      <protection locked="0"/>
    </xf>
    <xf numFmtId="0" fontId="125" fillId="0" borderId="0" xfId="0" applyFont="1" applyAlignment="1" applyProtection="1">
      <alignment horizontal="center" vertical="center"/>
      <protection locked="0"/>
    </xf>
    <xf numFmtId="0" fontId="43" fillId="0" borderId="141" xfId="0" applyFont="1" applyBorder="1" applyAlignment="1" applyProtection="1">
      <alignment horizontal="center" vertical="center"/>
      <protection locked="0"/>
    </xf>
    <xf numFmtId="0" fontId="124" fillId="0" borderId="141" xfId="0" applyFont="1" applyBorder="1" applyAlignment="1" applyProtection="1">
      <alignment horizontal="center" vertical="center" textRotation="90"/>
      <protection locked="0"/>
    </xf>
    <xf numFmtId="0" fontId="43" fillId="0" borderId="0" xfId="0" applyFont="1" applyAlignment="1" applyProtection="1">
      <alignment horizontal="center" vertical="center"/>
      <protection locked="0"/>
    </xf>
    <xf numFmtId="0" fontId="90" fillId="0" borderId="0" xfId="0" applyFont="1" applyAlignment="1" applyProtection="1">
      <alignment horizontal="left" vertical="center"/>
      <protection locked="0"/>
    </xf>
    <xf numFmtId="0" fontId="43" fillId="0" borderId="0" xfId="0" applyFont="1" applyAlignment="1" applyProtection="1">
      <alignment horizontal="left" vertical="center"/>
      <protection locked="0"/>
    </xf>
    <xf numFmtId="170" fontId="56" fillId="4" borderId="95" xfId="1" applyNumberFormat="1" applyFont="1" applyFill="1" applyBorder="1" applyAlignment="1" applyProtection="1">
      <alignment horizontal="center" vertical="center"/>
    </xf>
    <xf numFmtId="170" fontId="56" fillId="4" borderId="34" xfId="1" applyNumberFormat="1" applyFont="1" applyFill="1" applyBorder="1" applyAlignment="1" applyProtection="1">
      <alignment horizontal="center" vertical="center"/>
    </xf>
    <xf numFmtId="41" fontId="56" fillId="4" borderId="95" xfId="0" applyNumberFormat="1" applyFont="1" applyFill="1" applyBorder="1" applyAlignment="1">
      <alignment horizontal="center" vertical="center"/>
    </xf>
    <xf numFmtId="41" fontId="56" fillId="4" borderId="34" xfId="0" applyNumberFormat="1" applyFont="1" applyFill="1" applyBorder="1" applyAlignment="1">
      <alignment horizontal="center" vertical="center"/>
    </xf>
    <xf numFmtId="0" fontId="56" fillId="2" borderId="0" xfId="0" applyFont="1" applyFill="1" applyAlignment="1" applyProtection="1">
      <alignment horizontal="center" vertical="center"/>
      <protection locked="0"/>
    </xf>
    <xf numFmtId="0" fontId="43" fillId="0" borderId="0" xfId="0" applyFont="1" applyProtection="1">
      <alignment vertical="center"/>
      <protection locked="0"/>
    </xf>
    <xf numFmtId="0" fontId="124" fillId="0" borderId="0" xfId="0" applyFont="1" applyAlignment="1" applyProtection="1">
      <alignment horizontal="center" vertical="center" textRotation="90"/>
      <protection locked="0"/>
    </xf>
    <xf numFmtId="0" fontId="90" fillId="0" borderId="0" xfId="0" applyFont="1" applyAlignment="1" applyProtection="1">
      <alignment horizontal="center" vertical="center" wrapText="1"/>
      <protection locked="0"/>
    </xf>
    <xf numFmtId="0" fontId="56" fillId="4" borderId="70" xfId="0" applyFont="1" applyFill="1" applyBorder="1" applyAlignment="1" applyProtection="1">
      <alignment horizontal="center" vertical="center" wrapText="1"/>
      <protection locked="0"/>
    </xf>
    <xf numFmtId="0" fontId="56" fillId="4" borderId="72" xfId="0" applyFont="1" applyFill="1" applyBorder="1" applyAlignment="1" applyProtection="1">
      <alignment horizontal="center" vertical="center" wrapText="1"/>
      <protection locked="0"/>
    </xf>
    <xf numFmtId="0" fontId="56" fillId="4" borderId="16" xfId="0" applyFont="1" applyFill="1" applyBorder="1" applyAlignment="1" applyProtection="1">
      <alignment horizontal="center" vertical="center" wrapText="1"/>
      <protection locked="0"/>
    </xf>
    <xf numFmtId="0" fontId="56" fillId="4" borderId="17" xfId="0" applyFont="1" applyFill="1" applyBorder="1" applyAlignment="1" applyProtection="1">
      <alignment horizontal="center" vertical="center" wrapText="1"/>
      <protection locked="0"/>
    </xf>
    <xf numFmtId="0" fontId="78" fillId="4" borderId="1" xfId="0" applyFont="1" applyFill="1" applyBorder="1" applyAlignment="1" applyProtection="1">
      <alignment horizontal="center" vertical="center"/>
      <protection locked="0"/>
    </xf>
    <xf numFmtId="0" fontId="78" fillId="4" borderId="104" xfId="0" applyFont="1" applyFill="1" applyBorder="1" applyAlignment="1" applyProtection="1">
      <alignment horizontal="center" vertical="center"/>
      <protection locked="0"/>
    </xf>
    <xf numFmtId="0" fontId="78" fillId="4" borderId="3" xfId="0" applyFont="1" applyFill="1" applyBorder="1" applyAlignment="1" applyProtection="1">
      <alignment horizontal="center" vertical="center"/>
      <protection locked="0"/>
    </xf>
    <xf numFmtId="0" fontId="2" fillId="0" borderId="0" xfId="0" applyFont="1" applyAlignment="1">
      <alignment horizontal="center" vertical="center"/>
    </xf>
    <xf numFmtId="0" fontId="3" fillId="0" borderId="0" xfId="0" applyFont="1" applyAlignment="1">
      <alignment horizontal="left" vertical="center"/>
    </xf>
    <xf numFmtId="167" fontId="3" fillId="0" borderId="0" xfId="0" applyNumberFormat="1" applyFont="1" applyAlignment="1">
      <alignment horizontal="left" vertical="center"/>
    </xf>
    <xf numFmtId="0" fontId="56" fillId="0" borderId="70" xfId="0" applyFont="1" applyBorder="1" applyAlignment="1">
      <alignment horizontal="center" vertical="center"/>
    </xf>
    <xf numFmtId="0" fontId="56" fillId="0" borderId="72" xfId="0" applyFont="1" applyBorder="1" applyAlignment="1">
      <alignment horizontal="center" vertical="center"/>
    </xf>
    <xf numFmtId="0" fontId="56" fillId="0" borderId="16" xfId="0" applyFont="1" applyBorder="1" applyAlignment="1">
      <alignment horizontal="center" vertical="center"/>
    </xf>
    <xf numFmtId="0" fontId="56" fillId="0" borderId="17" xfId="0" applyFont="1" applyBorder="1" applyAlignment="1">
      <alignment horizontal="center" vertical="center"/>
    </xf>
    <xf numFmtId="0" fontId="56" fillId="0" borderId="95" xfId="0" applyFont="1" applyBorder="1" applyAlignment="1">
      <alignment horizontal="center" vertical="center"/>
    </xf>
    <xf numFmtId="0" fontId="56" fillId="0" borderId="34" xfId="0" applyFont="1" applyBorder="1" applyAlignment="1">
      <alignment horizontal="center" vertical="center"/>
    </xf>
    <xf numFmtId="166" fontId="43" fillId="10" borderId="10" xfId="0" applyNumberFormat="1" applyFont="1" applyFill="1" applyBorder="1" applyAlignment="1">
      <alignment horizontal="center" vertical="center"/>
    </xf>
    <xf numFmtId="0" fontId="43" fillId="10" borderId="10" xfId="0" applyFont="1" applyFill="1" applyBorder="1" applyAlignment="1">
      <alignment horizontal="center" vertical="center"/>
    </xf>
    <xf numFmtId="0" fontId="43" fillId="10" borderId="69" xfId="0" applyFont="1" applyFill="1" applyBorder="1">
      <alignment vertical="center"/>
    </xf>
    <xf numFmtId="0" fontId="43" fillId="10" borderId="17" xfId="0" applyFont="1" applyFill="1" applyBorder="1">
      <alignment vertical="center"/>
    </xf>
    <xf numFmtId="0" fontId="15" fillId="2" borderId="10" xfId="0" applyFont="1" applyFill="1" applyBorder="1" applyAlignment="1">
      <alignment horizontal="center" vertical="center"/>
    </xf>
    <xf numFmtId="0" fontId="43" fillId="0" borderId="1" xfId="0" applyFont="1" applyBorder="1">
      <alignment vertical="center"/>
    </xf>
    <xf numFmtId="0" fontId="43" fillId="0" borderId="3" xfId="0" applyFont="1" applyBorder="1">
      <alignment vertical="center"/>
    </xf>
    <xf numFmtId="0" fontId="56" fillId="0" borderId="0" xfId="0" applyFont="1" applyAlignment="1">
      <alignment horizontal="center" vertical="center"/>
    </xf>
    <xf numFmtId="0" fontId="56" fillId="2" borderId="0" xfId="0" applyFont="1" applyFill="1" applyAlignment="1">
      <alignment horizontal="center" vertical="center"/>
    </xf>
    <xf numFmtId="0" fontId="43" fillId="0" borderId="0" xfId="0" applyFont="1">
      <alignment vertical="center"/>
    </xf>
    <xf numFmtId="0" fontId="43" fillId="0" borderId="0" xfId="0" applyFont="1" applyAlignment="1">
      <alignment horizontal="left" vertical="center"/>
    </xf>
    <xf numFmtId="0" fontId="90" fillId="0" borderId="0" xfId="0" applyFont="1" applyAlignment="1">
      <alignment horizontal="left" vertical="center"/>
    </xf>
    <xf numFmtId="14" fontId="43" fillId="10" borderId="22" xfId="0" applyNumberFormat="1" applyFont="1" applyFill="1" applyBorder="1" applyAlignment="1">
      <alignment horizontal="center" vertical="center"/>
    </xf>
    <xf numFmtId="14" fontId="43" fillId="10" borderId="22" xfId="0" applyNumberFormat="1" applyFont="1" applyFill="1" applyBorder="1" applyAlignment="1">
      <alignment vertical="center"/>
    </xf>
    <xf numFmtId="14" fontId="43" fillId="10" borderId="14" xfId="0" applyNumberFormat="1" applyFont="1" applyFill="1" applyBorder="1" applyAlignment="1">
      <alignment horizontal="center" vertical="center"/>
    </xf>
    <xf numFmtId="0" fontId="43" fillId="10" borderId="14" xfId="0" applyFont="1" applyFill="1" applyBorder="1" applyAlignment="1">
      <alignment horizontal="center" vertical="center"/>
    </xf>
    <xf numFmtId="0" fontId="43" fillId="10" borderId="22" xfId="0" applyFont="1" applyFill="1" applyBorder="1" applyAlignment="1">
      <alignment horizontal="center" vertical="center"/>
    </xf>
    <xf numFmtId="0" fontId="43" fillId="10" borderId="6" xfId="0" applyFont="1" applyFill="1" applyBorder="1" applyAlignment="1">
      <alignment horizontal="center" vertical="center"/>
    </xf>
    <xf numFmtId="0" fontId="43" fillId="10" borderId="22" xfId="0" applyFont="1" applyFill="1" applyBorder="1" applyAlignment="1">
      <alignment vertical="center"/>
    </xf>
    <xf numFmtId="0" fontId="119" fillId="0" borderId="0" xfId="0" applyFont="1" applyAlignment="1" applyProtection="1">
      <alignment horizontal="center" vertical="center"/>
      <protection locked="0"/>
    </xf>
    <xf numFmtId="0" fontId="78" fillId="0" borderId="0" xfId="0" applyFont="1" applyProtection="1">
      <alignment vertical="center"/>
      <protection locked="0"/>
    </xf>
    <xf numFmtId="0" fontId="78" fillId="0" borderId="27" xfId="0" applyFont="1" applyBorder="1" applyAlignment="1" applyProtection="1">
      <alignment horizontal="center" vertical="center"/>
      <protection locked="0"/>
    </xf>
    <xf numFmtId="0" fontId="78" fillId="0" borderId="14" xfId="0" applyFont="1" applyBorder="1" applyAlignment="1" applyProtection="1">
      <alignment horizontal="center" vertical="center"/>
      <protection locked="0"/>
    </xf>
    <xf numFmtId="0" fontId="78" fillId="0" borderId="28" xfId="0" applyFont="1" applyBorder="1" applyAlignment="1" applyProtection="1">
      <alignment horizontal="center" vertical="center"/>
      <protection locked="0"/>
    </xf>
    <xf numFmtId="0" fontId="78" fillId="0" borderId="15" xfId="0" applyFont="1" applyBorder="1" applyAlignment="1" applyProtection="1">
      <alignment horizontal="center" vertical="center"/>
      <protection locked="0"/>
    </xf>
    <xf numFmtId="0" fontId="78" fillId="0" borderId="26" xfId="0" applyFont="1" applyBorder="1" applyAlignment="1" applyProtection="1">
      <alignment horizontal="center" vertical="center"/>
      <protection locked="0"/>
    </xf>
    <xf numFmtId="0" fontId="78" fillId="0" borderId="12" xfId="0" applyFont="1" applyBorder="1" applyAlignment="1" applyProtection="1">
      <alignment horizontal="center" vertical="center"/>
      <protection locked="0"/>
    </xf>
    <xf numFmtId="175" fontId="118" fillId="0" borderId="97" xfId="0" applyNumberFormat="1" applyFont="1" applyBorder="1" applyAlignment="1" applyProtection="1">
      <alignment horizontal="center" vertical="center"/>
      <protection locked="0"/>
    </xf>
    <xf numFmtId="175" fontId="118" fillId="0" borderId="12" xfId="0" applyNumberFormat="1" applyFont="1" applyBorder="1" applyAlignment="1" applyProtection="1">
      <alignment horizontal="center" vertical="center"/>
      <protection locked="0"/>
    </xf>
    <xf numFmtId="183" fontId="118" fillId="0" borderId="12" xfId="0" applyNumberFormat="1" applyFont="1" applyBorder="1" applyAlignment="1" applyProtection="1">
      <alignment horizontal="center" vertical="center"/>
      <protection locked="0"/>
    </xf>
    <xf numFmtId="183" fontId="118" fillId="0" borderId="97" xfId="0" applyNumberFormat="1" applyFont="1" applyBorder="1" applyAlignment="1" applyProtection="1">
      <alignment horizontal="center" vertical="center"/>
      <protection locked="0"/>
    </xf>
    <xf numFmtId="183" fontId="118" fillId="0" borderId="4" xfId="0" applyNumberFormat="1" applyFont="1" applyBorder="1" applyAlignment="1" applyProtection="1">
      <alignment horizontal="center" vertical="center"/>
      <protection locked="0"/>
    </xf>
    <xf numFmtId="183" fontId="118" fillId="0" borderId="0" xfId="0" applyNumberFormat="1" applyFont="1" applyAlignment="1" applyProtection="1">
      <alignment horizontal="center" vertical="center"/>
      <protection locked="0"/>
    </xf>
    <xf numFmtId="183" fontId="118" fillId="0" borderId="0" xfId="0" applyNumberFormat="1" applyFont="1" applyFill="1" applyAlignment="1" applyProtection="1">
      <alignment horizontal="center" vertical="center"/>
      <protection locked="0"/>
    </xf>
    <xf numFmtId="0" fontId="118" fillId="0" borderId="12" xfId="0" applyFont="1" applyBorder="1" applyAlignment="1" applyProtection="1">
      <alignment horizontal="center" vertical="center"/>
      <protection locked="0"/>
    </xf>
    <xf numFmtId="0" fontId="118" fillId="0" borderId="97" xfId="0" applyFont="1" applyBorder="1" applyAlignment="1" applyProtection="1">
      <alignment horizontal="center" vertical="center"/>
      <protection locked="0"/>
    </xf>
    <xf numFmtId="0" fontId="118" fillId="0" borderId="4" xfId="0" applyFont="1" applyBorder="1" applyAlignment="1" applyProtection="1">
      <alignment horizontal="center" vertical="center"/>
      <protection locked="0"/>
    </xf>
    <xf numFmtId="14" fontId="118" fillId="0" borderId="12" xfId="0" applyNumberFormat="1" applyFont="1" applyBorder="1" applyAlignment="1" applyProtection="1">
      <alignment horizontal="center" vertical="center"/>
      <protection locked="0"/>
    </xf>
    <xf numFmtId="0" fontId="15" fillId="4" borderId="0" xfId="0" applyFont="1" applyFill="1" applyAlignment="1" applyProtection="1">
      <alignment horizontal="center" vertical="center"/>
      <protection locked="0"/>
    </xf>
    <xf numFmtId="0" fontId="14" fillId="4" borderId="0" xfId="0" applyFont="1" applyFill="1" applyAlignment="1" applyProtection="1">
      <alignment horizontal="center" vertical="center"/>
      <protection locked="0"/>
    </xf>
    <xf numFmtId="0" fontId="15" fillId="4" borderId="0" xfId="0" applyFont="1" applyFill="1" applyAlignment="1">
      <alignment horizontal="left" vertical="center"/>
    </xf>
    <xf numFmtId="167" fontId="15" fillId="4" borderId="0" xfId="0" applyNumberFormat="1" applyFont="1" applyFill="1" applyAlignment="1">
      <alignment horizontal="left" vertical="center"/>
    </xf>
    <xf numFmtId="0" fontId="100" fillId="4" borderId="0" xfId="0" applyFont="1" applyFill="1" applyAlignment="1" applyProtection="1">
      <alignment horizontal="center" vertical="center"/>
      <protection locked="0"/>
    </xf>
    <xf numFmtId="0" fontId="15" fillId="4" borderId="100" xfId="0" applyFont="1" applyFill="1" applyBorder="1" applyAlignment="1" applyProtection="1">
      <alignment horizontal="center" vertical="center"/>
      <protection locked="0"/>
    </xf>
    <xf numFmtId="0" fontId="15" fillId="4" borderId="96" xfId="0" applyFont="1" applyFill="1" applyBorder="1" applyAlignment="1" applyProtection="1">
      <alignment horizontal="center" vertical="center"/>
      <protection locked="0"/>
    </xf>
    <xf numFmtId="0" fontId="15" fillId="4" borderId="59" xfId="0" applyFont="1" applyFill="1" applyBorder="1" applyAlignment="1" applyProtection="1">
      <alignment horizontal="center" vertical="center"/>
      <protection locked="0"/>
    </xf>
    <xf numFmtId="0" fontId="15" fillId="4" borderId="40" xfId="0" applyFont="1" applyFill="1" applyBorder="1" applyAlignment="1" applyProtection="1">
      <alignment horizontal="center" vertical="center"/>
      <protection locked="0"/>
    </xf>
    <xf numFmtId="178" fontId="15" fillId="4" borderId="139" xfId="0" applyNumberFormat="1" applyFont="1" applyFill="1" applyBorder="1" applyAlignment="1" applyProtection="1">
      <alignment horizontal="center" vertical="center"/>
      <protection locked="0"/>
    </xf>
    <xf numFmtId="178" fontId="15" fillId="4" borderId="107" xfId="0" applyNumberFormat="1" applyFont="1" applyFill="1" applyBorder="1" applyAlignment="1" applyProtection="1">
      <alignment horizontal="center" vertical="center"/>
      <protection locked="0"/>
    </xf>
    <xf numFmtId="178" fontId="15" fillId="4" borderId="56" xfId="0" applyNumberFormat="1" applyFont="1" applyFill="1" applyBorder="1" applyAlignment="1" applyProtection="1">
      <alignment horizontal="center" vertical="center"/>
      <protection locked="0"/>
    </xf>
    <xf numFmtId="178" fontId="15" fillId="4" borderId="5" xfId="0" applyNumberFormat="1" applyFont="1" applyFill="1" applyBorder="1" applyAlignment="1" applyProtection="1">
      <alignment horizontal="center" vertical="center"/>
      <protection locked="0"/>
    </xf>
    <xf numFmtId="0" fontId="15" fillId="4" borderId="139" xfId="0" applyFont="1" applyFill="1" applyBorder="1" applyAlignment="1" applyProtection="1">
      <alignment horizontal="center" vertical="center"/>
      <protection locked="0"/>
    </xf>
    <xf numFmtId="0" fontId="15" fillId="4" borderId="107" xfId="0" applyFont="1" applyFill="1" applyBorder="1" applyAlignment="1" applyProtection="1">
      <alignment horizontal="center" vertical="center"/>
      <protection locked="0"/>
    </xf>
    <xf numFmtId="0" fontId="15" fillId="4" borderId="56" xfId="0" applyFont="1" applyFill="1" applyBorder="1" applyAlignment="1" applyProtection="1">
      <alignment horizontal="center" vertical="center"/>
      <protection locked="0"/>
    </xf>
    <xf numFmtId="0" fontId="15" fillId="4" borderId="5" xfId="0" applyFont="1" applyFill="1" applyBorder="1" applyAlignment="1" applyProtection="1">
      <alignment horizontal="center" vertical="center"/>
      <protection locked="0"/>
    </xf>
    <xf numFmtId="0" fontId="15" fillId="4" borderId="60" xfId="0" applyFont="1" applyFill="1" applyBorder="1" applyAlignment="1" applyProtection="1">
      <alignment horizontal="center" vertical="center"/>
      <protection locked="0"/>
    </xf>
    <xf numFmtId="0" fontId="15" fillId="4" borderId="61" xfId="0" applyFont="1" applyFill="1" applyBorder="1" applyAlignment="1" applyProtection="1">
      <alignment horizontal="center" vertical="center"/>
      <protection locked="0"/>
    </xf>
    <xf numFmtId="0" fontId="15" fillId="4" borderId="51" xfId="0" applyFont="1" applyFill="1" applyBorder="1" applyAlignment="1" applyProtection="1">
      <alignment horizontal="center" vertical="center"/>
      <protection locked="0"/>
    </xf>
    <xf numFmtId="0" fontId="15" fillId="4" borderId="9" xfId="0" applyFont="1" applyFill="1" applyBorder="1" applyAlignment="1" applyProtection="1">
      <alignment horizontal="center" vertical="center"/>
      <protection locked="0"/>
    </xf>
    <xf numFmtId="0" fontId="15" fillId="4" borderId="50" xfId="0" applyFont="1" applyFill="1" applyBorder="1" applyAlignment="1" applyProtection="1">
      <alignment horizontal="center" vertical="center"/>
      <protection locked="0"/>
    </xf>
    <xf numFmtId="0" fontId="114" fillId="4" borderId="50" xfId="0" applyFont="1" applyFill="1" applyBorder="1" applyAlignment="1" applyProtection="1">
      <alignment horizontal="center" vertical="center" wrapText="1"/>
      <protection locked="0"/>
    </xf>
    <xf numFmtId="0" fontId="114" fillId="4" borderId="9" xfId="0" applyFont="1" applyFill="1" applyBorder="1" applyAlignment="1" applyProtection="1">
      <alignment horizontal="center" vertical="center" wrapText="1"/>
      <protection locked="0"/>
    </xf>
    <xf numFmtId="0" fontId="15" fillId="4" borderId="43" xfId="0" applyFont="1" applyFill="1" applyBorder="1" applyAlignment="1" applyProtection="1">
      <alignment horizontal="center" vertical="center"/>
      <protection locked="0"/>
    </xf>
    <xf numFmtId="0" fontId="115" fillId="4" borderId="0" xfId="0" applyFont="1" applyFill="1" applyAlignment="1" applyProtection="1">
      <alignment horizontal="left" vertical="center"/>
      <protection locked="0"/>
    </xf>
    <xf numFmtId="0" fontId="15" fillId="4" borderId="0" xfId="0" applyFont="1" applyFill="1" applyAlignment="1" applyProtection="1">
      <alignment horizontal="left" vertical="center"/>
      <protection locked="0"/>
    </xf>
    <xf numFmtId="172" fontId="15" fillId="4" borderId="104" xfId="0" applyNumberFormat="1" applyFont="1" applyFill="1" applyBorder="1" applyAlignment="1">
      <alignment horizontal="center" vertical="center"/>
    </xf>
    <xf numFmtId="172" fontId="15" fillId="4" borderId="21" xfId="0" applyNumberFormat="1" applyFont="1" applyFill="1" applyBorder="1" applyAlignment="1">
      <alignment horizontal="center" vertical="center"/>
    </xf>
    <xf numFmtId="172" fontId="15" fillId="4" borderId="106" xfId="0" applyNumberFormat="1" applyFont="1" applyFill="1" applyBorder="1" applyAlignment="1">
      <alignment horizontal="center" vertical="center"/>
    </xf>
    <xf numFmtId="166" fontId="15" fillId="4" borderId="106" xfId="4" applyNumberFormat="1" applyFont="1" applyFill="1" applyBorder="1" applyAlignment="1" applyProtection="1">
      <alignment horizontal="right" vertical="center"/>
    </xf>
    <xf numFmtId="166" fontId="15" fillId="4" borderId="21" xfId="4" applyNumberFormat="1" applyFont="1" applyFill="1" applyBorder="1" applyAlignment="1" applyProtection="1">
      <alignment horizontal="right" vertical="center"/>
    </xf>
    <xf numFmtId="172" fontId="15" fillId="4" borderId="106" xfId="4" applyNumberFormat="1" applyFont="1" applyFill="1" applyBorder="1" applyAlignment="1" applyProtection="1">
      <alignment horizontal="center" vertical="center"/>
    </xf>
    <xf numFmtId="172" fontId="15" fillId="4" borderId="21" xfId="4" applyNumberFormat="1" applyFont="1" applyFill="1" applyBorder="1" applyAlignment="1" applyProtection="1">
      <alignment horizontal="center" vertical="center"/>
    </xf>
    <xf numFmtId="172" fontId="15" fillId="4" borderId="3" xfId="4" applyNumberFormat="1" applyFont="1" applyFill="1" applyBorder="1" applyAlignment="1" applyProtection="1">
      <alignment horizontal="center" vertical="center"/>
    </xf>
    <xf numFmtId="172" fontId="15" fillId="4" borderId="0" xfId="0" applyNumberFormat="1" applyFont="1" applyFill="1" applyAlignment="1" applyProtection="1">
      <alignment horizontal="center" vertical="center"/>
      <protection locked="0"/>
    </xf>
    <xf numFmtId="0" fontId="15" fillId="4" borderId="0" xfId="0" applyFont="1" applyFill="1">
      <alignment vertical="center"/>
    </xf>
    <xf numFmtId="0" fontId="15" fillId="4" borderId="27" xfId="0" applyFont="1" applyFill="1" applyBorder="1" applyAlignment="1" applyProtection="1">
      <alignment horizontal="center" vertical="center"/>
      <protection locked="0"/>
    </xf>
    <xf numFmtId="0" fontId="15" fillId="4" borderId="28" xfId="0" applyFont="1" applyFill="1" applyBorder="1" applyAlignment="1" applyProtection="1">
      <alignment horizontal="center" vertical="center"/>
      <protection locked="0"/>
    </xf>
    <xf numFmtId="182" fontId="15" fillId="4" borderId="27" xfId="0" applyNumberFormat="1" applyFont="1" applyFill="1" applyBorder="1" applyAlignment="1">
      <alignment horizontal="center" vertical="center"/>
    </xf>
    <xf numFmtId="182" fontId="15" fillId="4" borderId="10" xfId="0" applyNumberFormat="1" applyFont="1" applyFill="1" applyBorder="1" applyAlignment="1">
      <alignment horizontal="center" vertical="center"/>
    </xf>
    <xf numFmtId="0" fontId="15" fillId="4" borderId="10" xfId="0" applyFont="1" applyFill="1" applyBorder="1" applyAlignment="1" applyProtection="1">
      <alignment horizontal="center" vertical="center"/>
      <protection locked="0"/>
    </xf>
    <xf numFmtId="0" fontId="116" fillId="4" borderId="50" xfId="0" applyFont="1" applyFill="1" applyBorder="1" applyAlignment="1" applyProtection="1">
      <alignment horizontal="center" vertical="center" wrapText="1"/>
      <protection locked="0"/>
    </xf>
    <xf numFmtId="0" fontId="116" fillId="4" borderId="9" xfId="0" applyFont="1" applyFill="1" applyBorder="1" applyAlignment="1" applyProtection="1">
      <alignment horizontal="center" vertical="center" wrapText="1"/>
      <protection locked="0"/>
    </xf>
    <xf numFmtId="0" fontId="15" fillId="4" borderId="11" xfId="0" applyFont="1" applyFill="1" applyBorder="1" applyAlignment="1" applyProtection="1">
      <alignment horizontal="center" vertical="center"/>
      <protection locked="0"/>
    </xf>
    <xf numFmtId="0" fontId="15" fillId="4" borderId="10" xfId="0" applyFont="1" applyFill="1" applyBorder="1" applyAlignment="1">
      <alignment horizontal="center" vertical="center"/>
    </xf>
    <xf numFmtId="0" fontId="15" fillId="4" borderId="50" xfId="0" applyFont="1" applyFill="1" applyBorder="1" applyAlignment="1">
      <alignment horizontal="center" vertical="center"/>
    </xf>
    <xf numFmtId="0" fontId="15" fillId="4" borderId="9" xfId="0" applyFont="1" applyFill="1" applyBorder="1" applyAlignment="1">
      <alignment horizontal="center" vertical="center"/>
    </xf>
    <xf numFmtId="172" fontId="15" fillId="4" borderId="104" xfId="4" applyNumberFormat="1" applyFont="1" applyFill="1" applyBorder="1" applyAlignment="1" applyProtection="1">
      <alignment horizontal="left" vertical="center"/>
    </xf>
    <xf numFmtId="172" fontId="15" fillId="4" borderId="21" xfId="4" applyNumberFormat="1" applyFont="1" applyFill="1" applyBorder="1" applyAlignment="1" applyProtection="1">
      <alignment horizontal="left" vertical="center"/>
    </xf>
    <xf numFmtId="172" fontId="15" fillId="4" borderId="26" xfId="4" applyNumberFormat="1" applyFont="1" applyFill="1" applyBorder="1" applyAlignment="1" applyProtection="1">
      <alignment horizontal="center" vertical="center"/>
    </xf>
    <xf numFmtId="172" fontId="15" fillId="4" borderId="27" xfId="4" applyNumberFormat="1" applyFont="1" applyFill="1" applyBorder="1" applyAlignment="1" applyProtection="1">
      <alignment horizontal="center" vertical="center"/>
    </xf>
    <xf numFmtId="172" fontId="15" fillId="4" borderId="28" xfId="4" applyNumberFormat="1" applyFont="1" applyFill="1" applyBorder="1" applyAlignment="1" applyProtection="1">
      <alignment horizontal="center" vertical="center"/>
    </xf>
    <xf numFmtId="172" fontId="15" fillId="4" borderId="29" xfId="4" applyNumberFormat="1" applyFont="1" applyFill="1" applyBorder="1" applyAlignment="1" applyProtection="1">
      <alignment horizontal="center" vertical="center"/>
    </xf>
    <xf numFmtId="172" fontId="15" fillId="4" borderId="20" xfId="4" applyNumberFormat="1" applyFont="1" applyFill="1" applyBorder="1" applyAlignment="1" applyProtection="1">
      <alignment horizontal="center" vertical="center"/>
    </xf>
    <xf numFmtId="166" fontId="15" fillId="4" borderId="20" xfId="4" applyNumberFormat="1" applyFont="1" applyFill="1" applyBorder="1" applyAlignment="1" applyProtection="1">
      <alignment horizontal="left" vertical="center"/>
    </xf>
    <xf numFmtId="172" fontId="15" fillId="4" borderId="20" xfId="4" applyNumberFormat="1" applyFont="1" applyFill="1" applyBorder="1" applyAlignment="1" applyProtection="1">
      <alignment vertical="center"/>
    </xf>
    <xf numFmtId="172" fontId="15" fillId="4" borderId="20" xfId="4" applyNumberFormat="1" applyFont="1" applyFill="1" applyBorder="1" applyAlignment="1">
      <alignment vertical="center"/>
      <protection locked="0"/>
    </xf>
    <xf numFmtId="172" fontId="15" fillId="4" borderId="25" xfId="4" applyNumberFormat="1" applyFont="1" applyFill="1" applyBorder="1" applyAlignment="1">
      <alignment vertical="center"/>
      <protection locked="0"/>
    </xf>
    <xf numFmtId="41" fontId="15" fillId="4" borderId="76" xfId="4" applyFont="1" applyFill="1" applyBorder="1" applyAlignment="1">
      <alignment vertical="center"/>
      <protection locked="0"/>
    </xf>
    <xf numFmtId="41" fontId="15" fillId="4" borderId="5" xfId="4" applyFont="1" applyFill="1" applyBorder="1" applyAlignment="1">
      <alignment vertical="center"/>
      <protection locked="0"/>
    </xf>
    <xf numFmtId="41" fontId="15" fillId="4" borderId="56" xfId="4" applyFont="1" applyFill="1" applyBorder="1" applyAlignment="1">
      <alignment vertical="center"/>
      <protection locked="0"/>
    </xf>
    <xf numFmtId="41" fontId="15" fillId="4" borderId="56" xfId="4" applyFont="1" applyFill="1" applyBorder="1" applyAlignment="1">
      <alignment horizontal="left" vertical="center"/>
      <protection locked="0"/>
    </xf>
    <xf numFmtId="41" fontId="15" fillId="4" borderId="5" xfId="4" applyFont="1" applyFill="1" applyBorder="1" applyAlignment="1">
      <alignment horizontal="left" vertical="center"/>
      <protection locked="0"/>
    </xf>
    <xf numFmtId="172" fontId="15" fillId="4" borderId="76" xfId="4" applyNumberFormat="1" applyFont="1" applyFill="1" applyBorder="1" applyAlignment="1" applyProtection="1">
      <alignment vertical="center"/>
    </xf>
    <xf numFmtId="172" fontId="15" fillId="4" borderId="5" xfId="4" applyNumberFormat="1" applyFont="1" applyFill="1" applyBorder="1" applyAlignment="1" applyProtection="1">
      <alignment vertical="center"/>
    </xf>
    <xf numFmtId="41" fontId="15" fillId="4" borderId="7" xfId="4" applyFont="1" applyFill="1" applyBorder="1" applyAlignment="1">
      <alignment horizontal="center" vertical="center"/>
      <protection locked="0"/>
    </xf>
    <xf numFmtId="41" fontId="15" fillId="4" borderId="87" xfId="4" applyFont="1" applyFill="1" applyBorder="1" applyAlignment="1">
      <alignment vertical="center"/>
      <protection locked="0"/>
    </xf>
    <xf numFmtId="41" fontId="15" fillId="4" borderId="66" xfId="4" applyFont="1" applyFill="1" applyBorder="1" applyAlignment="1">
      <alignment vertical="center"/>
      <protection locked="0"/>
    </xf>
    <xf numFmtId="41" fontId="15" fillId="4" borderId="58" xfId="4" applyFont="1" applyFill="1" applyBorder="1" applyAlignment="1">
      <alignment vertical="center"/>
      <protection locked="0"/>
    </xf>
    <xf numFmtId="172" fontId="15" fillId="4" borderId="58" xfId="4" applyNumberFormat="1" applyFont="1" applyFill="1" applyBorder="1" applyAlignment="1" applyProtection="1">
      <alignment vertical="center"/>
    </xf>
    <xf numFmtId="172" fontId="15" fillId="4" borderId="87" xfId="4" applyNumberFormat="1" applyFont="1" applyFill="1" applyBorder="1" applyAlignment="1" applyProtection="1">
      <alignment vertical="center"/>
    </xf>
    <xf numFmtId="172" fontId="15" fillId="4" borderId="66" xfId="4" applyNumberFormat="1" applyFont="1" applyFill="1" applyBorder="1" applyAlignment="1" applyProtection="1">
      <alignment vertical="center"/>
    </xf>
    <xf numFmtId="41" fontId="15" fillId="4" borderId="68" xfId="4" applyFont="1" applyFill="1" applyBorder="1" applyAlignment="1">
      <alignment vertical="center"/>
      <protection locked="0"/>
    </xf>
    <xf numFmtId="172" fontId="15" fillId="4" borderId="99" xfId="4" applyNumberFormat="1" applyFont="1" applyFill="1" applyBorder="1" applyAlignment="1">
      <alignment vertical="center"/>
      <protection locked="0"/>
    </xf>
    <xf numFmtId="172" fontId="15" fillId="4" borderId="96" xfId="4" applyNumberFormat="1" applyFont="1" applyFill="1" applyBorder="1" applyAlignment="1">
      <alignment vertical="center"/>
      <protection locked="0"/>
    </xf>
    <xf numFmtId="172" fontId="15" fillId="4" borderId="59" xfId="4" applyNumberFormat="1" applyFont="1" applyFill="1" applyBorder="1" applyAlignment="1" applyProtection="1">
      <alignment vertical="center"/>
    </xf>
    <xf numFmtId="172" fontId="15" fillId="4" borderId="96" xfId="4" applyNumberFormat="1" applyFont="1" applyFill="1" applyBorder="1" applyAlignment="1" applyProtection="1">
      <alignment vertical="center"/>
    </xf>
    <xf numFmtId="172" fontId="15" fillId="4" borderId="59" xfId="4" applyNumberFormat="1" applyFont="1" applyFill="1" applyBorder="1" applyAlignment="1">
      <alignment vertical="center"/>
      <protection locked="0"/>
    </xf>
    <xf numFmtId="172" fontId="15" fillId="4" borderId="59" xfId="4" applyNumberFormat="1" applyFont="1" applyFill="1" applyBorder="1" applyAlignment="1">
      <alignment horizontal="left" vertical="center"/>
      <protection locked="0"/>
    </xf>
    <xf numFmtId="172" fontId="15" fillId="4" borderId="96" xfId="4" applyNumberFormat="1" applyFont="1" applyFill="1" applyBorder="1" applyAlignment="1">
      <alignment horizontal="left" vertical="center"/>
      <protection locked="0"/>
    </xf>
    <xf numFmtId="172" fontId="15" fillId="4" borderId="99" xfId="4" applyNumberFormat="1" applyFont="1" applyFill="1" applyBorder="1" applyAlignment="1" applyProtection="1">
      <alignment vertical="center"/>
    </xf>
    <xf numFmtId="172" fontId="15" fillId="4" borderId="40" xfId="4" applyNumberFormat="1" applyFont="1" applyFill="1" applyBorder="1" applyAlignment="1" applyProtection="1">
      <alignment vertical="center"/>
    </xf>
    <xf numFmtId="172" fontId="15" fillId="4" borderId="87" xfId="4" applyNumberFormat="1" applyFont="1" applyFill="1" applyBorder="1" applyAlignment="1">
      <alignment vertical="center"/>
      <protection locked="0"/>
    </xf>
    <xf numFmtId="172" fontId="15" fillId="4" borderId="66" xfId="4" applyNumberFormat="1" applyFont="1" applyFill="1" applyBorder="1" applyAlignment="1">
      <alignment vertical="center"/>
      <protection locked="0"/>
    </xf>
    <xf numFmtId="172" fontId="15" fillId="4" borderId="58" xfId="4" applyNumberFormat="1" applyFont="1" applyFill="1" applyBorder="1" applyAlignment="1">
      <alignment vertical="center"/>
      <protection locked="0"/>
    </xf>
    <xf numFmtId="172" fontId="15" fillId="4" borderId="58" xfId="4" applyNumberFormat="1" applyFont="1" applyFill="1" applyBorder="1" applyAlignment="1">
      <alignment horizontal="left" vertical="center"/>
      <protection locked="0"/>
    </xf>
    <xf numFmtId="172" fontId="15" fillId="4" borderId="66" xfId="4" applyNumberFormat="1" applyFont="1" applyFill="1" applyBorder="1" applyAlignment="1">
      <alignment horizontal="left" vertical="center"/>
      <protection locked="0"/>
    </xf>
    <xf numFmtId="172" fontId="15" fillId="4" borderId="88" xfId="4" applyNumberFormat="1" applyFont="1" applyFill="1" applyBorder="1" applyAlignment="1">
      <alignment vertical="center"/>
      <protection locked="0"/>
    </xf>
    <xf numFmtId="41" fontId="15" fillId="4" borderId="104" xfId="4" applyFont="1" applyFill="1" applyBorder="1" applyAlignment="1">
      <alignment vertical="center"/>
      <protection locked="0"/>
    </xf>
    <xf numFmtId="41" fontId="15" fillId="4" borderId="21" xfId="4" applyFont="1" applyFill="1" applyBorder="1" applyAlignment="1">
      <alignment vertical="center"/>
      <protection locked="0"/>
    </xf>
    <xf numFmtId="41" fontId="15" fillId="4" borderId="106" xfId="4" applyFont="1" applyFill="1" applyBorder="1" applyAlignment="1">
      <alignment vertical="center"/>
      <protection locked="0"/>
    </xf>
    <xf numFmtId="41" fontId="15" fillId="4" borderId="106" xfId="4" applyFont="1" applyFill="1" applyBorder="1" applyAlignment="1">
      <alignment horizontal="center" vertical="center"/>
      <protection locked="0"/>
    </xf>
    <xf numFmtId="41" fontId="15" fillId="4" borderId="21" xfId="4" applyFont="1" applyFill="1" applyBorder="1" applyAlignment="1">
      <alignment horizontal="center" vertical="center"/>
      <protection locked="0"/>
    </xf>
    <xf numFmtId="41" fontId="15" fillId="4" borderId="104" xfId="4" applyFont="1" applyFill="1" applyBorder="1" applyAlignment="1">
      <alignment horizontal="center" vertical="center"/>
      <protection locked="0"/>
    </xf>
    <xf numFmtId="41" fontId="15" fillId="4" borderId="3" xfId="4" applyFont="1" applyFill="1" applyBorder="1" applyAlignment="1">
      <alignment horizontal="center" vertical="center"/>
      <protection locked="0"/>
    </xf>
    <xf numFmtId="181" fontId="15" fillId="4" borderId="27" xfId="0" applyNumberFormat="1" applyFont="1" applyFill="1" applyBorder="1" applyAlignment="1">
      <alignment horizontal="center" vertical="center"/>
    </xf>
    <xf numFmtId="181" fontId="15" fillId="4" borderId="10" xfId="0" applyNumberFormat="1" applyFont="1" applyFill="1" applyBorder="1" applyAlignment="1">
      <alignment horizontal="center" vertical="center"/>
    </xf>
    <xf numFmtId="181" fontId="15" fillId="4" borderId="139" xfId="0" applyNumberFormat="1" applyFont="1" applyFill="1" applyBorder="1" applyAlignment="1">
      <alignment horizontal="center" vertical="center"/>
    </xf>
    <xf numFmtId="181" fontId="15" fillId="4" borderId="107" xfId="0" applyNumberFormat="1" applyFont="1" applyFill="1" applyBorder="1" applyAlignment="1">
      <alignment horizontal="center" vertical="center"/>
    </xf>
    <xf numFmtId="181" fontId="15" fillId="4" borderId="56" xfId="0" applyNumberFormat="1" applyFont="1" applyFill="1" applyBorder="1" applyAlignment="1">
      <alignment horizontal="center" vertical="center"/>
    </xf>
    <xf numFmtId="181" fontId="15" fillId="4" borderId="5" xfId="0" applyNumberFormat="1" applyFont="1" applyFill="1" applyBorder="1" applyAlignment="1">
      <alignment horizontal="center" vertical="center"/>
    </xf>
    <xf numFmtId="181" fontId="15" fillId="4" borderId="139" xfId="0" applyNumberFormat="1" applyFont="1" applyFill="1" applyBorder="1" applyAlignment="1" applyProtection="1">
      <alignment horizontal="center" vertical="center"/>
      <protection locked="0"/>
    </xf>
    <xf numFmtId="181" fontId="15" fillId="4" borderId="107" xfId="0" applyNumberFormat="1" applyFont="1" applyFill="1" applyBorder="1" applyAlignment="1" applyProtection="1">
      <alignment horizontal="center" vertical="center"/>
      <protection locked="0"/>
    </xf>
    <xf numFmtId="181" fontId="15" fillId="4" borderId="56" xfId="0" applyNumberFormat="1" applyFont="1" applyFill="1" applyBorder="1" applyAlignment="1" applyProtection="1">
      <alignment horizontal="center" vertical="center"/>
      <protection locked="0"/>
    </xf>
    <xf numFmtId="181" fontId="15" fillId="4" borderId="5" xfId="0" applyNumberFormat="1" applyFont="1" applyFill="1" applyBorder="1" applyAlignment="1" applyProtection="1">
      <alignment horizontal="center" vertical="center"/>
      <protection locked="0"/>
    </xf>
    <xf numFmtId="181" fontId="15" fillId="4" borderId="27" xfId="0" applyNumberFormat="1" applyFont="1" applyFill="1" applyBorder="1" applyAlignment="1" applyProtection="1">
      <alignment horizontal="center" vertical="center"/>
      <protection locked="0"/>
    </xf>
    <xf numFmtId="181" fontId="15" fillId="4" borderId="10" xfId="0" applyNumberFormat="1" applyFont="1" applyFill="1" applyBorder="1" applyAlignment="1" applyProtection="1">
      <alignment horizontal="center" vertical="center"/>
      <protection locked="0"/>
    </xf>
    <xf numFmtId="0" fontId="15" fillId="4" borderId="10" xfId="4" applyNumberFormat="1" applyFont="1" applyFill="1" applyBorder="1" applyAlignment="1" applyProtection="1">
      <alignment horizontal="center" vertical="center"/>
    </xf>
    <xf numFmtId="0" fontId="15" fillId="4" borderId="50" xfId="4" applyNumberFormat="1" applyFont="1" applyFill="1" applyBorder="1" applyAlignment="1" applyProtection="1">
      <alignment horizontal="center" vertical="center"/>
    </xf>
    <xf numFmtId="0" fontId="15" fillId="4" borderId="9" xfId="4" applyNumberFormat="1" applyFont="1" applyFill="1" applyBorder="1" applyAlignment="1" applyProtection="1">
      <alignment horizontal="center" vertical="center"/>
    </xf>
    <xf numFmtId="0" fontId="15" fillId="4" borderId="1" xfId="0" applyFont="1" applyFill="1" applyBorder="1" applyAlignment="1" applyProtection="1">
      <alignment horizontal="left" vertical="center"/>
      <protection locked="0"/>
    </xf>
    <xf numFmtId="0" fontId="15" fillId="4" borderId="104" xfId="0" applyFont="1" applyFill="1" applyBorder="1" applyAlignment="1" applyProtection="1">
      <alignment horizontal="left" vertical="center"/>
      <protection locked="0"/>
    </xf>
    <xf numFmtId="0" fontId="15" fillId="4" borderId="3" xfId="0" applyFont="1" applyFill="1" applyBorder="1" applyAlignment="1" applyProtection="1">
      <alignment horizontal="left" vertical="center"/>
      <protection locked="0"/>
    </xf>
    <xf numFmtId="172" fontId="15" fillId="4" borderId="1" xfId="4" applyNumberFormat="1" applyFont="1" applyFill="1" applyBorder="1" applyAlignment="1" applyProtection="1">
      <alignment horizontal="center" vertical="center"/>
    </xf>
    <xf numFmtId="172" fontId="15" fillId="4" borderId="104" xfId="4" applyNumberFormat="1" applyFont="1" applyFill="1" applyBorder="1" applyAlignment="1" applyProtection="1">
      <alignment horizontal="center" vertical="center"/>
    </xf>
    <xf numFmtId="41" fontId="15" fillId="4" borderId="1" xfId="4" applyFont="1" applyFill="1" applyBorder="1" applyAlignment="1">
      <alignment horizontal="center" vertical="center"/>
      <protection locked="0"/>
    </xf>
    <xf numFmtId="41" fontId="15" fillId="4" borderId="106" xfId="4" applyFont="1" applyFill="1" applyBorder="1" applyAlignment="1" applyProtection="1">
      <alignment horizontal="center" vertical="center"/>
    </xf>
    <xf numFmtId="41" fontId="15" fillId="4" borderId="21" xfId="4" applyFont="1" applyFill="1" applyBorder="1" applyAlignment="1" applyProtection="1">
      <alignment horizontal="center" vertical="center"/>
    </xf>
    <xf numFmtId="41" fontId="15" fillId="4" borderId="104" xfId="4" applyFont="1" applyFill="1" applyBorder="1" applyAlignment="1" applyProtection="1">
      <alignment horizontal="center" vertical="center"/>
    </xf>
    <xf numFmtId="0" fontId="15" fillId="4" borderId="1" xfId="0" applyFont="1" applyFill="1" applyBorder="1" applyAlignment="1" applyProtection="1">
      <alignment horizontal="center" vertical="center"/>
      <protection locked="0"/>
    </xf>
    <xf numFmtId="0" fontId="15" fillId="4" borderId="104" xfId="0" applyFont="1" applyFill="1" applyBorder="1" applyAlignment="1" applyProtection="1">
      <alignment horizontal="center" vertical="center"/>
      <protection locked="0"/>
    </xf>
    <xf numFmtId="0" fontId="15" fillId="4" borderId="3" xfId="0" applyFont="1" applyFill="1" applyBorder="1" applyAlignment="1" applyProtection="1">
      <alignment horizontal="center" vertical="center"/>
      <protection locked="0"/>
    </xf>
    <xf numFmtId="0" fontId="56" fillId="4" borderId="0" xfId="0" applyFont="1" applyFill="1" applyAlignment="1" applyProtection="1">
      <alignment horizontal="center" vertical="center"/>
      <protection locked="0"/>
    </xf>
    <xf numFmtId="0" fontId="43" fillId="4" borderId="0" xfId="0" applyFont="1" applyFill="1" applyAlignment="1" applyProtection="1">
      <alignment horizontal="left" vertical="center"/>
      <protection locked="0"/>
    </xf>
    <xf numFmtId="0" fontId="15" fillId="4" borderId="95" xfId="0" applyFont="1" applyFill="1" applyBorder="1" applyAlignment="1" applyProtection="1">
      <alignment horizontal="center" vertical="center" wrapText="1"/>
      <protection locked="0"/>
    </xf>
    <xf numFmtId="0" fontId="15" fillId="4" borderId="78" xfId="0" applyFont="1" applyFill="1" applyBorder="1" applyAlignment="1" applyProtection="1">
      <alignment horizontal="center" vertical="center" wrapText="1"/>
      <protection locked="0"/>
    </xf>
    <xf numFmtId="0" fontId="15" fillId="4" borderId="95" xfId="0" applyFont="1" applyFill="1" applyBorder="1" applyAlignment="1" applyProtection="1">
      <alignment horizontal="center" vertical="center" textRotation="255" wrapText="1"/>
      <protection locked="0"/>
    </xf>
    <xf numFmtId="0" fontId="15" fillId="4" borderId="35" xfId="0" applyFont="1" applyFill="1" applyBorder="1" applyAlignment="1" applyProtection="1">
      <alignment horizontal="center" vertical="center" textRotation="255" wrapText="1"/>
      <protection locked="0"/>
    </xf>
    <xf numFmtId="0" fontId="15" fillId="4" borderId="34" xfId="0" applyFont="1" applyFill="1" applyBorder="1" applyAlignment="1" applyProtection="1">
      <alignment horizontal="center" vertical="center" textRotation="255" wrapText="1"/>
      <protection locked="0"/>
    </xf>
    <xf numFmtId="0" fontId="15" fillId="4" borderId="95" xfId="0" applyFont="1" applyFill="1" applyBorder="1" applyAlignment="1" applyProtection="1">
      <alignment horizontal="center" vertical="center" textRotation="45" wrapText="1"/>
      <protection locked="0"/>
    </xf>
    <xf numFmtId="0" fontId="15" fillId="4" borderId="34" xfId="0" applyFont="1" applyFill="1" applyBorder="1" applyAlignment="1" applyProtection="1">
      <alignment horizontal="center" vertical="center" textRotation="45" wrapText="1"/>
      <protection locked="0"/>
    </xf>
    <xf numFmtId="0" fontId="15" fillId="4" borderId="95" xfId="0" applyFont="1" applyFill="1" applyBorder="1" applyAlignment="1" applyProtection="1">
      <alignment horizontal="center" vertical="center" textRotation="255"/>
      <protection locked="0"/>
    </xf>
    <xf numFmtId="0" fontId="15" fillId="4" borderId="35" xfId="0" applyFont="1" applyFill="1" applyBorder="1" applyAlignment="1" applyProtection="1">
      <alignment horizontal="center" vertical="center" textRotation="255"/>
      <protection locked="0"/>
    </xf>
    <xf numFmtId="0" fontId="15" fillId="4" borderId="34" xfId="0" applyFont="1" applyFill="1" applyBorder="1" applyAlignment="1" applyProtection="1">
      <alignment horizontal="center" vertical="center" textRotation="255"/>
      <protection locked="0"/>
    </xf>
    <xf numFmtId="0" fontId="15" fillId="4" borderId="95" xfId="0" applyFont="1" applyFill="1" applyBorder="1" applyAlignment="1" applyProtection="1">
      <alignment horizontal="center" vertical="center"/>
      <protection locked="0"/>
    </xf>
    <xf numFmtId="0" fontId="15" fillId="4" borderId="35" xfId="0" applyFont="1" applyFill="1" applyBorder="1" applyAlignment="1" applyProtection="1">
      <alignment horizontal="center" vertical="center"/>
      <protection locked="0"/>
    </xf>
    <xf numFmtId="0" fontId="15" fillId="4" borderId="34" xfId="0" applyFont="1" applyFill="1" applyBorder="1" applyAlignment="1" applyProtection="1">
      <alignment horizontal="center" vertical="center"/>
      <protection locked="0"/>
    </xf>
    <xf numFmtId="0" fontId="15" fillId="4" borderId="88" xfId="0" applyFont="1" applyFill="1" applyBorder="1" applyAlignment="1" applyProtection="1">
      <alignment horizontal="center" vertical="center"/>
      <protection locked="0"/>
    </xf>
    <xf numFmtId="0" fontId="15" fillId="4" borderId="72" xfId="0" applyFont="1" applyFill="1" applyBorder="1" applyAlignment="1" applyProtection="1">
      <alignment horizontal="center" vertical="center"/>
      <protection locked="0"/>
    </xf>
    <xf numFmtId="0" fontId="15" fillId="4" borderId="55" xfId="0" applyFont="1" applyFill="1" applyBorder="1" applyAlignment="1" applyProtection="1">
      <alignment horizontal="center" vertical="center"/>
      <protection locked="0"/>
    </xf>
    <xf numFmtId="0" fontId="15" fillId="4" borderId="17" xfId="0" applyFont="1" applyFill="1" applyBorder="1" applyAlignment="1" applyProtection="1">
      <alignment horizontal="center" vertical="center"/>
      <protection locked="0"/>
    </xf>
    <xf numFmtId="0" fontId="15" fillId="4" borderId="35" xfId="0" applyFont="1" applyFill="1" applyBorder="1" applyAlignment="1" applyProtection="1">
      <alignment horizontal="center" vertical="center" wrapText="1"/>
      <protection locked="0"/>
    </xf>
    <xf numFmtId="0" fontId="15" fillId="4" borderId="55" xfId="0" applyFont="1" applyFill="1" applyBorder="1" applyAlignment="1" applyProtection="1">
      <alignment horizontal="center" vertical="center" wrapText="1"/>
      <protection locked="0"/>
    </xf>
    <xf numFmtId="0" fontId="46" fillId="0" borderId="0" xfId="0" applyFont="1" applyAlignment="1" applyProtection="1">
      <alignment horizontal="center" vertical="center"/>
      <protection locked="0"/>
    </xf>
    <xf numFmtId="0" fontId="102" fillId="13" borderId="50" xfId="0" applyFont="1" applyFill="1" applyBorder="1" applyProtection="1">
      <alignment vertical="center"/>
      <protection locked="0"/>
    </xf>
    <xf numFmtId="0" fontId="102" fillId="13" borderId="9" xfId="0" applyFont="1" applyFill="1" applyBorder="1" applyProtection="1">
      <alignment vertical="center"/>
      <protection locked="0"/>
    </xf>
    <xf numFmtId="0" fontId="2" fillId="14" borderId="0" xfId="0" applyFont="1" applyFill="1" applyAlignment="1" applyProtection="1">
      <alignment horizontal="center" vertical="center"/>
      <protection locked="0"/>
    </xf>
    <xf numFmtId="0" fontId="78" fillId="14" borderId="0" xfId="0" applyFont="1" applyFill="1" applyAlignment="1" applyProtection="1">
      <alignment horizontal="center" vertical="center"/>
      <protection locked="0"/>
    </xf>
    <xf numFmtId="0" fontId="3" fillId="2" borderId="0" xfId="0" applyFont="1" applyFill="1" applyAlignment="1" applyProtection="1">
      <alignment horizontal="left" vertical="center" wrapText="1"/>
      <protection locked="0"/>
    </xf>
    <xf numFmtId="0" fontId="3" fillId="2" borderId="55" xfId="0" applyFont="1" applyFill="1" applyBorder="1" applyAlignment="1" applyProtection="1">
      <alignment horizontal="left" vertical="center" wrapText="1"/>
      <protection locked="0"/>
    </xf>
    <xf numFmtId="0" fontId="3" fillId="2" borderId="69" xfId="0" applyFont="1" applyFill="1" applyBorder="1" applyAlignment="1" applyProtection="1">
      <alignment horizontal="left" vertical="center" wrapText="1"/>
      <protection locked="0"/>
    </xf>
    <xf numFmtId="0" fontId="3" fillId="2" borderId="17" xfId="0" applyFont="1" applyFill="1" applyBorder="1" applyAlignment="1" applyProtection="1">
      <alignment horizontal="left" vertical="center" wrapText="1"/>
      <protection locked="0"/>
    </xf>
    <xf numFmtId="169" fontId="3" fillId="0" borderId="0" xfId="0" applyNumberFormat="1" applyFont="1" applyAlignment="1" applyProtection="1">
      <alignment horizontal="center" vertical="center"/>
      <protection locked="0"/>
    </xf>
    <xf numFmtId="0" fontId="3" fillId="0" borderId="0" xfId="0" applyFont="1" applyAlignment="1" applyProtection="1">
      <alignment horizontal="center" vertical="center"/>
      <protection locked="0"/>
    </xf>
    <xf numFmtId="0" fontId="3" fillId="14" borderId="14" xfId="0" applyFont="1" applyFill="1" applyBorder="1" applyAlignment="1" applyProtection="1">
      <alignment horizontal="left" vertical="center"/>
      <protection locked="0"/>
    </xf>
    <xf numFmtId="0" fontId="3" fillId="14" borderId="22" xfId="0" applyFont="1" applyFill="1" applyBorder="1" applyAlignment="1" applyProtection="1">
      <alignment horizontal="left" vertical="center"/>
      <protection locked="0"/>
    </xf>
    <xf numFmtId="0" fontId="3" fillId="14" borderId="6" xfId="0" applyFont="1" applyFill="1" applyBorder="1" applyAlignment="1" applyProtection="1">
      <alignment horizontal="left" vertical="center"/>
      <protection locked="0"/>
    </xf>
    <xf numFmtId="0" fontId="3" fillId="2" borderId="52" xfId="0" applyFont="1" applyFill="1" applyBorder="1" applyAlignment="1" applyProtection="1">
      <alignment horizontal="center" vertical="center"/>
      <protection locked="0"/>
    </xf>
    <xf numFmtId="0" fontId="3" fillId="2" borderId="13" xfId="0" applyFont="1" applyFill="1" applyBorder="1" applyAlignment="1" applyProtection="1">
      <alignment horizontal="center" vertical="center"/>
      <protection locked="0"/>
    </xf>
    <xf numFmtId="0" fontId="3" fillId="2" borderId="57" xfId="0" applyFont="1" applyFill="1" applyBorder="1" applyAlignment="1" applyProtection="1">
      <alignment horizontal="center" vertical="center"/>
      <protection locked="0"/>
    </xf>
    <xf numFmtId="0" fontId="56" fillId="0" borderId="116" xfId="0" applyFont="1" applyBorder="1" applyAlignment="1" applyProtection="1">
      <alignment horizontal="center" vertical="center"/>
      <protection locked="0"/>
    </xf>
    <xf numFmtId="0" fontId="56" fillId="0" borderId="117" xfId="0" applyFont="1" applyBorder="1" applyAlignment="1" applyProtection="1">
      <alignment horizontal="center" vertical="center"/>
      <protection locked="0"/>
    </xf>
    <xf numFmtId="0" fontId="56" fillId="0" borderId="118" xfId="0" applyFont="1" applyBorder="1" applyAlignment="1" applyProtection="1">
      <alignment horizontal="center" vertical="center"/>
      <protection locked="0"/>
    </xf>
    <xf numFmtId="0" fontId="56" fillId="0" borderId="123" xfId="0" applyFont="1" applyBorder="1" applyAlignment="1" applyProtection="1">
      <alignment horizontal="center" vertical="center"/>
      <protection locked="0"/>
    </xf>
    <xf numFmtId="0" fontId="56" fillId="0" borderId="109" xfId="0" applyFont="1" applyBorder="1" applyAlignment="1" applyProtection="1">
      <alignment horizontal="center" vertical="center"/>
      <protection locked="0"/>
    </xf>
    <xf numFmtId="0" fontId="56" fillId="0" borderId="110" xfId="0" applyFont="1" applyBorder="1" applyAlignment="1" applyProtection="1">
      <alignment horizontal="center" vertical="center"/>
      <protection locked="0"/>
    </xf>
    <xf numFmtId="0" fontId="56" fillId="0" borderId="0" xfId="0" applyFont="1" applyAlignment="1" applyProtection="1">
      <alignment horizontal="center" vertical="center"/>
      <protection locked="0"/>
    </xf>
    <xf numFmtId="0" fontId="56" fillId="0" borderId="55" xfId="0" applyFont="1" applyBorder="1" applyAlignment="1" applyProtection="1">
      <alignment horizontal="center" vertical="center"/>
      <protection locked="0"/>
    </xf>
    <xf numFmtId="0" fontId="56" fillId="4" borderId="55" xfId="0" applyFont="1" applyFill="1" applyBorder="1" applyAlignment="1" applyProtection="1">
      <alignment horizontal="center" vertical="center"/>
      <protection locked="0"/>
    </xf>
    <xf numFmtId="0" fontId="56" fillId="0" borderId="124" xfId="0" applyFont="1" applyBorder="1" applyAlignment="1" applyProtection="1">
      <alignment horizontal="center" vertical="center"/>
      <protection locked="0"/>
    </xf>
    <xf numFmtId="0" fontId="56" fillId="0" borderId="120" xfId="0" applyFont="1" applyBorder="1" applyAlignment="1" applyProtection="1">
      <alignment horizontal="center" vertical="center"/>
      <protection locked="0"/>
    </xf>
    <xf numFmtId="0" fontId="56" fillId="0" borderId="119" xfId="0" applyFont="1" applyBorder="1" applyAlignment="1" applyProtection="1">
      <alignment horizontal="center" vertical="center"/>
      <protection locked="0"/>
    </xf>
    <xf numFmtId="0" fontId="56" fillId="0" borderId="130" xfId="0" applyFont="1" applyBorder="1" applyAlignment="1" applyProtection="1">
      <alignment horizontal="center" vertical="center"/>
      <protection locked="0"/>
    </xf>
    <xf numFmtId="0" fontId="56" fillId="0" borderId="136" xfId="0" applyFont="1" applyBorder="1" applyAlignment="1" applyProtection="1">
      <alignment horizontal="center" vertical="center"/>
      <protection locked="0"/>
    </xf>
    <xf numFmtId="0" fontId="56" fillId="0" borderId="129" xfId="0" applyFont="1" applyBorder="1" applyAlignment="1" applyProtection="1">
      <alignment horizontal="center" vertical="center"/>
      <protection locked="0"/>
    </xf>
    <xf numFmtId="0" fontId="56" fillId="0" borderId="112" xfId="0" applyFont="1" applyBorder="1" applyAlignment="1" applyProtection="1">
      <alignment horizontal="center" vertical="center"/>
      <protection locked="0"/>
    </xf>
    <xf numFmtId="0" fontId="56" fillId="0" borderId="53" xfId="0" applyFont="1" applyBorder="1" applyAlignment="1" applyProtection="1">
      <alignment horizontal="center" vertical="center"/>
      <protection locked="0"/>
    </xf>
    <xf numFmtId="0" fontId="56" fillId="0" borderId="90" xfId="0" applyFont="1" applyBorder="1" applyAlignment="1" applyProtection="1">
      <alignment horizontal="center" vertical="center"/>
      <protection locked="0"/>
    </xf>
    <xf numFmtId="0" fontId="56" fillId="4" borderId="90" xfId="0" applyFont="1" applyFill="1" applyBorder="1" applyAlignment="1" applyProtection="1">
      <alignment horizontal="center" vertical="center"/>
      <protection locked="0"/>
    </xf>
    <xf numFmtId="0" fontId="56" fillId="4" borderId="53" xfId="0" applyFont="1" applyFill="1" applyBorder="1" applyAlignment="1" applyProtection="1">
      <alignment horizontal="center" vertical="center"/>
      <protection locked="0"/>
    </xf>
    <xf numFmtId="0" fontId="56" fillId="0" borderId="52" xfId="0" applyFont="1" applyBorder="1" applyAlignment="1" applyProtection="1">
      <alignment horizontal="center" vertical="center"/>
      <protection locked="0"/>
    </xf>
    <xf numFmtId="0" fontId="56" fillId="0" borderId="13" xfId="0" applyFont="1" applyBorder="1" applyAlignment="1" applyProtection="1">
      <alignment horizontal="center" vertical="center"/>
      <protection locked="0"/>
    </xf>
    <xf numFmtId="0" fontId="56" fillId="0" borderId="113" xfId="0" applyFont="1" applyBorder="1" applyAlignment="1" applyProtection="1">
      <alignment horizontal="center" vertical="center"/>
      <protection locked="0"/>
    </xf>
    <xf numFmtId="0" fontId="56" fillId="0" borderId="126" xfId="0" applyFont="1" applyBorder="1" applyAlignment="1" applyProtection="1">
      <alignment horizontal="center" vertical="center"/>
      <protection locked="0"/>
    </xf>
    <xf numFmtId="0" fontId="3" fillId="10" borderId="10" xfId="0" applyFont="1" applyFill="1" applyBorder="1" applyAlignment="1" applyProtection="1">
      <alignment horizontal="center" vertical="center"/>
      <protection locked="0"/>
    </xf>
    <xf numFmtId="0" fontId="56" fillId="0" borderId="10" xfId="0" applyFont="1" applyBorder="1" applyAlignment="1" applyProtection="1">
      <alignment horizontal="center" vertical="center"/>
      <protection locked="0"/>
    </xf>
    <xf numFmtId="0" fontId="56" fillId="0" borderId="14" xfId="0" applyFont="1" applyBorder="1" applyAlignment="1" applyProtection="1">
      <alignment horizontal="center" vertical="center"/>
      <protection locked="0"/>
    </xf>
    <xf numFmtId="0" fontId="56" fillId="0" borderId="135" xfId="0" applyFont="1" applyBorder="1" applyAlignment="1" applyProtection="1">
      <alignment horizontal="center" vertical="center"/>
      <protection locked="0"/>
    </xf>
    <xf numFmtId="0" fontId="56" fillId="0" borderId="57" xfId="0" applyFont="1" applyBorder="1" applyAlignment="1" applyProtection="1">
      <alignment horizontal="center" vertical="center"/>
      <protection locked="0"/>
    </xf>
    <xf numFmtId="0" fontId="1" fillId="2" borderId="57" xfId="0" applyFont="1" applyFill="1" applyBorder="1" applyAlignment="1" applyProtection="1">
      <alignment horizontal="center" vertical="center"/>
      <protection locked="0"/>
    </xf>
    <xf numFmtId="0" fontId="1" fillId="2" borderId="13" xfId="0" applyFont="1" applyFill="1" applyBorder="1" applyAlignment="1" applyProtection="1">
      <alignment horizontal="center" vertical="center"/>
      <protection locked="0"/>
    </xf>
    <xf numFmtId="0" fontId="78" fillId="8" borderId="1" xfId="0" applyFont="1" applyFill="1" applyBorder="1" applyAlignment="1" applyProtection="1">
      <alignment horizontal="center" vertical="center"/>
      <protection locked="0"/>
    </xf>
    <xf numFmtId="0" fontId="78" fillId="8" borderId="104" xfId="0" applyFont="1" applyFill="1" applyBorder="1" applyAlignment="1" applyProtection="1">
      <alignment horizontal="center" vertical="center"/>
      <protection locked="0"/>
    </xf>
    <xf numFmtId="0" fontId="78" fillId="8" borderId="3" xfId="0" applyFont="1" applyFill="1" applyBorder="1" applyAlignment="1" applyProtection="1">
      <alignment horizontal="center" vertical="center"/>
      <protection locked="0"/>
    </xf>
    <xf numFmtId="41" fontId="44" fillId="2" borderId="57" xfId="4" applyFont="1" applyFill="1" applyBorder="1" applyAlignment="1">
      <alignment horizontal="center" vertical="center"/>
      <protection locked="0"/>
    </xf>
    <xf numFmtId="41" fontId="44" fillId="2" borderId="13" xfId="4" applyFont="1" applyFill="1" applyBorder="1" applyAlignment="1">
      <alignment horizontal="center" vertical="center"/>
      <protection locked="0"/>
    </xf>
    <xf numFmtId="9" fontId="44" fillId="2" borderId="57" xfId="3" applyFont="1" applyFill="1" applyBorder="1" applyAlignment="1">
      <alignment horizontal="center" vertical="center"/>
      <protection locked="0"/>
    </xf>
    <xf numFmtId="9" fontId="44" fillId="2" borderId="13" xfId="3" applyFont="1" applyFill="1" applyBorder="1" applyAlignment="1">
      <alignment horizontal="center" vertical="center"/>
      <protection locked="0"/>
    </xf>
    <xf numFmtId="0" fontId="47" fillId="2" borderId="57" xfId="0" applyFont="1" applyFill="1" applyBorder="1" applyAlignment="1" applyProtection="1">
      <alignment horizontal="center" vertical="center"/>
      <protection locked="0"/>
    </xf>
    <xf numFmtId="0" fontId="47" fillId="2" borderId="13" xfId="0" applyFont="1" applyFill="1" applyBorder="1" applyAlignment="1" applyProtection="1">
      <alignment horizontal="center" vertical="center"/>
      <protection locked="0"/>
    </xf>
    <xf numFmtId="0" fontId="47" fillId="8" borderId="57" xfId="0" applyFont="1" applyFill="1" applyBorder="1" applyAlignment="1" applyProtection="1">
      <alignment horizontal="center" vertical="center"/>
      <protection locked="0"/>
    </xf>
    <xf numFmtId="0" fontId="47" fillId="8" borderId="13" xfId="0" applyFont="1" applyFill="1" applyBorder="1" applyAlignment="1" applyProtection="1">
      <alignment horizontal="center" vertical="center"/>
      <protection locked="0"/>
    </xf>
    <xf numFmtId="0" fontId="3" fillId="2" borderId="10" xfId="0" applyFont="1" applyFill="1" applyBorder="1" applyAlignment="1" applyProtection="1">
      <alignment horizontal="center" vertical="center"/>
      <protection locked="0"/>
    </xf>
    <xf numFmtId="0" fontId="105" fillId="0" borderId="0" xfId="0" applyFont="1" applyAlignment="1" applyProtection="1">
      <alignment horizontal="center" vertical="center"/>
      <protection locked="0"/>
    </xf>
    <xf numFmtId="0" fontId="56" fillId="8" borderId="70" xfId="0" applyFont="1" applyFill="1" applyBorder="1" applyAlignment="1" applyProtection="1">
      <alignment horizontal="center" vertical="center"/>
      <protection locked="0"/>
    </xf>
    <xf numFmtId="0" fontId="56" fillId="8" borderId="71" xfId="0" applyFont="1" applyFill="1" applyBorder="1" applyAlignment="1" applyProtection="1">
      <alignment horizontal="center" vertical="center"/>
      <protection locked="0"/>
    </xf>
    <xf numFmtId="0" fontId="56" fillId="8" borderId="72" xfId="0" applyFont="1" applyFill="1" applyBorder="1" applyAlignment="1" applyProtection="1">
      <alignment horizontal="center" vertical="center"/>
      <protection locked="0"/>
    </xf>
    <xf numFmtId="0" fontId="56" fillId="8" borderId="16" xfId="0" applyFont="1" applyFill="1" applyBorder="1" applyAlignment="1" applyProtection="1">
      <alignment horizontal="center" vertical="center"/>
      <protection locked="0"/>
    </xf>
    <xf numFmtId="0" fontId="56" fillId="8" borderId="69" xfId="0" applyFont="1" applyFill="1" applyBorder="1" applyAlignment="1" applyProtection="1">
      <alignment horizontal="center" vertical="center"/>
      <protection locked="0"/>
    </xf>
    <xf numFmtId="0" fontId="56" fillId="8" borderId="17" xfId="0" applyFont="1" applyFill="1" applyBorder="1" applyAlignment="1" applyProtection="1">
      <alignment horizontal="center" vertical="center"/>
      <protection locked="0"/>
    </xf>
    <xf numFmtId="0" fontId="44" fillId="8" borderId="70" xfId="0" applyFont="1" applyFill="1" applyBorder="1" applyAlignment="1" applyProtection="1">
      <alignment horizontal="center" vertical="center"/>
      <protection locked="0"/>
    </xf>
    <xf numFmtId="0" fontId="44" fillId="8" borderId="71" xfId="0" applyFont="1" applyFill="1" applyBorder="1" applyAlignment="1" applyProtection="1">
      <alignment horizontal="center" vertical="center"/>
      <protection locked="0"/>
    </xf>
    <xf numFmtId="0" fontId="44" fillId="8" borderId="72" xfId="0" applyFont="1" applyFill="1" applyBorder="1" applyAlignment="1" applyProtection="1">
      <alignment horizontal="center" vertical="center"/>
      <protection locked="0"/>
    </xf>
    <xf numFmtId="0" fontId="44" fillId="8" borderId="16" xfId="0" applyFont="1" applyFill="1" applyBorder="1" applyAlignment="1" applyProtection="1">
      <alignment horizontal="center" vertical="center"/>
      <protection locked="0"/>
    </xf>
    <xf numFmtId="0" fontId="44" fillId="8" borderId="69" xfId="0" applyFont="1" applyFill="1" applyBorder="1" applyAlignment="1" applyProtection="1">
      <alignment horizontal="center" vertical="center"/>
      <protection locked="0"/>
    </xf>
    <xf numFmtId="0" fontId="44" fillId="8" borderId="17" xfId="0" applyFont="1" applyFill="1" applyBorder="1" applyAlignment="1" applyProtection="1">
      <alignment horizontal="center" vertical="center"/>
      <protection locked="0"/>
    </xf>
    <xf numFmtId="0" fontId="46" fillId="0" borderId="0" xfId="0" applyFont="1" applyAlignment="1" applyProtection="1">
      <alignment horizontal="center"/>
      <protection locked="0"/>
    </xf>
    <xf numFmtId="0" fontId="17" fillId="0" borderId="0" xfId="0" applyFont="1" applyAlignment="1" applyProtection="1">
      <alignment horizontal="center"/>
      <protection locked="0"/>
    </xf>
    <xf numFmtId="0" fontId="57" fillId="0" borderId="70" xfId="0" applyFont="1" applyBorder="1" applyAlignment="1" applyProtection="1">
      <alignment horizontal="center"/>
      <protection locked="0"/>
    </xf>
    <xf numFmtId="0" fontId="57" fillId="0" borderId="16" xfId="0" applyFont="1" applyBorder="1" applyAlignment="1" applyProtection="1">
      <alignment horizontal="center"/>
      <protection locked="0"/>
    </xf>
    <xf numFmtId="0" fontId="47" fillId="0" borderId="99" xfId="0" applyFont="1" applyBorder="1" applyAlignment="1" applyProtection="1">
      <alignment horizontal="center" vertical="center"/>
      <protection locked="0"/>
    </xf>
    <xf numFmtId="0" fontId="47" fillId="0" borderId="90" xfId="0" applyFont="1" applyBorder="1" applyAlignment="1" applyProtection="1">
      <alignment horizontal="center" vertical="center"/>
      <protection locked="0"/>
    </xf>
    <xf numFmtId="0" fontId="56" fillId="0" borderId="70" xfId="0" applyFont="1" applyBorder="1" applyAlignment="1" applyProtection="1">
      <alignment horizontal="center" vertical="center"/>
      <protection locked="0"/>
    </xf>
    <xf numFmtId="0" fontId="56" fillId="0" borderId="54" xfId="0" applyFont="1" applyBorder="1" applyAlignment="1" applyProtection="1">
      <alignment horizontal="center" vertical="center"/>
      <protection locked="0"/>
    </xf>
    <xf numFmtId="0" fontId="56" fillId="0" borderId="95" xfId="0" applyFont="1" applyBorder="1" applyAlignment="1" applyProtection="1">
      <alignment horizontal="center" vertical="center"/>
      <protection locked="0"/>
    </xf>
    <xf numFmtId="0" fontId="56" fillId="0" borderId="35" xfId="0" applyFont="1" applyBorder="1" applyAlignment="1" applyProtection="1">
      <alignment horizontal="center" vertical="center"/>
      <protection locked="0"/>
    </xf>
    <xf numFmtId="0" fontId="2" fillId="0" borderId="0" xfId="0" applyFont="1" applyAlignment="1" applyProtection="1">
      <alignment horizontal="center"/>
      <protection locked="0"/>
    </xf>
    <xf numFmtId="178" fontId="56" fillId="0" borderId="0" xfId="0" applyNumberFormat="1" applyFont="1" applyAlignment="1">
      <alignment horizontal="left"/>
    </xf>
    <xf numFmtId="0" fontId="56" fillId="0" borderId="0" xfId="0" applyFont="1" applyAlignment="1">
      <alignment horizontal="left"/>
    </xf>
    <xf numFmtId="182" fontId="56" fillId="2" borderId="0" xfId="0" applyNumberFormat="1" applyFont="1" applyFill="1" applyAlignment="1" applyProtection="1">
      <alignment horizontal="center"/>
      <protection locked="0"/>
    </xf>
    <xf numFmtId="0" fontId="56" fillId="2" borderId="0" xfId="0" applyFont="1" applyFill="1" applyAlignment="1" applyProtection="1">
      <alignment horizontal="center"/>
      <protection locked="0"/>
    </xf>
    <xf numFmtId="41" fontId="44" fillId="0" borderId="0" xfId="4" applyFont="1">
      <protection locked="0"/>
    </xf>
    <xf numFmtId="182" fontId="43" fillId="0" borderId="0" xfId="4" applyNumberFormat="1" applyFont="1" applyProtection="1"/>
    <xf numFmtId="41" fontId="43" fillId="0" borderId="0" xfId="4" applyFont="1" applyProtection="1"/>
    <xf numFmtId="0" fontId="56" fillId="0" borderId="0" xfId="0" quotePrefix="1" applyFont="1" applyAlignment="1" applyProtection="1">
      <alignment horizontal="center"/>
      <protection locked="0"/>
    </xf>
    <xf numFmtId="0" fontId="56" fillId="0" borderId="0" xfId="0" applyFont="1" applyAlignment="1" applyProtection="1">
      <alignment horizontal="center"/>
      <protection locked="0"/>
    </xf>
    <xf numFmtId="41" fontId="44" fillId="0" borderId="0" xfId="4" applyFont="1" applyProtection="1"/>
    <xf numFmtId="41" fontId="43" fillId="0" borderId="0" xfId="4" applyFont="1">
      <protection locked="0"/>
    </xf>
    <xf numFmtId="41" fontId="0" fillId="0" borderId="0" xfId="4" applyFont="1">
      <protection locked="0"/>
    </xf>
    <xf numFmtId="182" fontId="43" fillId="0" borderId="0" xfId="0" applyNumberFormat="1" applyFont="1" applyAlignment="1"/>
    <xf numFmtId="41" fontId="43" fillId="0" borderId="0" xfId="0" applyNumberFormat="1" applyFont="1" applyAlignment="1" applyProtection="1">
      <protection locked="0"/>
    </xf>
    <xf numFmtId="0" fontId="43" fillId="0" borderId="0" xfId="0" applyFont="1" applyAlignment="1" applyProtection="1">
      <protection locked="0"/>
    </xf>
    <xf numFmtId="0" fontId="92" fillId="0" borderId="0" xfId="0" applyFont="1" applyAlignment="1" applyProtection="1">
      <alignment horizontal="center" vertical="center"/>
      <protection locked="0"/>
    </xf>
    <xf numFmtId="0" fontId="3" fillId="0" borderId="0" xfId="0" applyFont="1">
      <alignment vertical="center"/>
    </xf>
    <xf numFmtId="167" fontId="3" fillId="0" borderId="0" xfId="0" applyNumberFormat="1" applyFont="1" applyAlignment="1" applyProtection="1">
      <alignment horizontal="left" vertical="center"/>
      <protection locked="0"/>
    </xf>
    <xf numFmtId="0" fontId="56" fillId="0" borderId="1" xfId="0" applyFont="1" applyBorder="1" applyAlignment="1">
      <alignment horizontal="center" vertical="center"/>
    </xf>
    <xf numFmtId="0" fontId="56" fillId="0" borderId="3" xfId="0" applyFont="1" applyBorder="1" applyAlignment="1">
      <alignment horizontal="center" vertical="center"/>
    </xf>
    <xf numFmtId="0" fontId="56" fillId="0" borderId="104" xfId="0" applyFont="1" applyBorder="1" applyAlignment="1">
      <alignment horizontal="center" vertical="center"/>
    </xf>
    <xf numFmtId="9" fontId="56" fillId="0" borderId="95" xfId="3" quotePrefix="1" applyFont="1" applyBorder="1" applyAlignment="1" applyProtection="1">
      <alignment horizontal="center" vertical="center"/>
    </xf>
    <xf numFmtId="9" fontId="56" fillId="0" borderId="34" xfId="3" applyFont="1" applyBorder="1" applyAlignment="1" applyProtection="1">
      <alignment horizontal="center" vertical="center"/>
    </xf>
    <xf numFmtId="0" fontId="43" fillId="0" borderId="0" xfId="0" applyFont="1" applyAlignment="1">
      <alignment horizontal="center" vertical="center"/>
    </xf>
    <xf numFmtId="0" fontId="56" fillId="0" borderId="71" xfId="0" applyFont="1" applyBorder="1" applyAlignment="1">
      <alignment horizontal="center" vertical="center"/>
    </xf>
    <xf numFmtId="0" fontId="68" fillId="0" borderId="0" xfId="0" applyFont="1" applyAlignment="1">
      <alignment horizontal="center" vertical="center"/>
    </xf>
    <xf numFmtId="0" fontId="100" fillId="0" borderId="0" xfId="0" applyFont="1" applyAlignment="1" applyProtection="1">
      <alignment horizontal="center" vertical="center"/>
      <protection locked="0"/>
    </xf>
    <xf numFmtId="180" fontId="56" fillId="0" borderId="0" xfId="4" applyNumberFormat="1" applyFont="1" applyAlignment="1" applyProtection="1">
      <alignment vertical="center"/>
    </xf>
    <xf numFmtId="0" fontId="67" fillId="0" borderId="0" xfId="0" applyFont="1" applyAlignment="1" applyProtection="1">
      <alignment horizontal="left" vertical="center"/>
      <protection locked="0"/>
    </xf>
    <xf numFmtId="181" fontId="56" fillId="0" borderId="0" xfId="4" applyNumberFormat="1" applyFont="1" applyAlignment="1" applyProtection="1">
      <alignment horizontal="left" vertical="center"/>
    </xf>
    <xf numFmtId="0" fontId="43" fillId="2" borderId="50" xfId="0" applyFont="1" applyFill="1" applyBorder="1" applyAlignment="1" applyProtection="1">
      <alignment horizontal="center" vertical="center"/>
      <protection locked="0"/>
    </xf>
    <xf numFmtId="0" fontId="43" fillId="2" borderId="9" xfId="0" applyFont="1" applyFill="1" applyBorder="1" applyAlignment="1" applyProtection="1">
      <alignment horizontal="center" vertical="center"/>
      <protection locked="0"/>
    </xf>
    <xf numFmtId="41" fontId="43" fillId="0" borderId="50" xfId="0" applyNumberFormat="1" applyFont="1" applyBorder="1" applyAlignment="1" applyProtection="1">
      <alignment horizontal="center" vertical="center"/>
      <protection locked="0"/>
    </xf>
    <xf numFmtId="41" fontId="43" fillId="0" borderId="9" xfId="0" applyNumberFormat="1" applyFont="1" applyBorder="1" applyAlignment="1" applyProtection="1">
      <alignment horizontal="center" vertical="center"/>
      <protection locked="0"/>
    </xf>
    <xf numFmtId="0" fontId="43" fillId="0" borderId="50" xfId="0" applyFont="1" applyBorder="1" applyAlignment="1" applyProtection="1">
      <alignment horizontal="center" vertical="center"/>
      <protection locked="0"/>
    </xf>
    <xf numFmtId="0" fontId="43" fillId="0" borderId="9" xfId="0" applyFont="1" applyBorder="1" applyAlignment="1" applyProtection="1">
      <alignment horizontal="center" vertical="center"/>
      <protection locked="0"/>
    </xf>
    <xf numFmtId="180" fontId="56" fillId="0" borderId="0" xfId="4" applyNumberFormat="1" applyFont="1" applyAlignment="1">
      <alignment horizontal="center" vertical="center"/>
      <protection locked="0"/>
    </xf>
    <xf numFmtId="0" fontId="99" fillId="0" borderId="95" xfId="0" applyFont="1" applyBorder="1" applyAlignment="1" applyProtection="1">
      <alignment horizontal="center" vertical="center"/>
      <protection locked="0"/>
    </xf>
    <xf numFmtId="0" fontId="99" fillId="0" borderId="34" xfId="0" applyFont="1" applyBorder="1" applyAlignment="1" applyProtection="1">
      <alignment horizontal="center" vertical="center"/>
      <protection locked="0"/>
    </xf>
    <xf numFmtId="0" fontId="99" fillId="0" borderId="71" xfId="0" applyFont="1" applyBorder="1" applyAlignment="1" applyProtection="1">
      <alignment horizontal="center" vertical="center"/>
      <protection locked="0"/>
    </xf>
    <xf numFmtId="0" fontId="99" fillId="0" borderId="69" xfId="0" applyFont="1" applyBorder="1" applyAlignment="1" applyProtection="1">
      <alignment horizontal="center" vertical="center"/>
      <protection locked="0"/>
    </xf>
    <xf numFmtId="180" fontId="99" fillId="0" borderId="95" xfId="4" applyNumberFormat="1" applyFont="1" applyBorder="1" applyAlignment="1">
      <alignment horizontal="center" vertical="center" wrapText="1"/>
      <protection locked="0"/>
    </xf>
    <xf numFmtId="180" fontId="99" fillId="0" borderId="34" xfId="4" applyNumberFormat="1" applyFont="1" applyBorder="1" applyAlignment="1">
      <alignment horizontal="center" vertical="center" wrapText="1"/>
      <protection locked="0"/>
    </xf>
    <xf numFmtId="180" fontId="99" fillId="0" borderId="71" xfId="4" applyNumberFormat="1" applyFont="1" applyBorder="1" applyAlignment="1">
      <alignment horizontal="center" vertical="center"/>
      <protection locked="0"/>
    </xf>
    <xf numFmtId="180" fontId="99" fillId="0" borderId="69" xfId="4" applyNumberFormat="1" applyFont="1" applyBorder="1" applyAlignment="1">
      <alignment horizontal="center" vertical="center"/>
      <protection locked="0"/>
    </xf>
    <xf numFmtId="180" fontId="99" fillId="0" borderId="95" xfId="4" applyNumberFormat="1" applyFont="1" applyBorder="1" applyAlignment="1">
      <alignment horizontal="center" vertical="center"/>
      <protection locked="0"/>
    </xf>
    <xf numFmtId="180" fontId="99" fillId="0" borderId="34" xfId="4" applyNumberFormat="1" applyFont="1" applyBorder="1" applyAlignment="1">
      <alignment horizontal="center" vertical="center"/>
      <protection locked="0"/>
    </xf>
    <xf numFmtId="41" fontId="43" fillId="0" borderId="14" xfId="4" applyFont="1" applyBorder="1" applyAlignment="1">
      <alignment horizontal="center" vertical="center"/>
      <protection locked="0"/>
    </xf>
    <xf numFmtId="41" fontId="43" fillId="0" borderId="6" xfId="4" applyFont="1" applyBorder="1" applyAlignment="1">
      <alignment horizontal="center" vertical="center"/>
      <protection locked="0"/>
    </xf>
    <xf numFmtId="41" fontId="43" fillId="0" borderId="14" xfId="4" applyFont="1" applyBorder="1" applyAlignment="1" applyProtection="1">
      <alignment horizontal="center" vertical="center"/>
    </xf>
    <xf numFmtId="41" fontId="43" fillId="0" borderId="6" xfId="4" applyFont="1" applyBorder="1" applyAlignment="1" applyProtection="1">
      <alignment horizontal="center" vertical="center"/>
    </xf>
    <xf numFmtId="180" fontId="43" fillId="0" borderId="14" xfId="4" applyNumberFormat="1" applyFont="1" applyBorder="1" applyAlignment="1">
      <alignment horizontal="center" vertical="center"/>
      <protection locked="0"/>
    </xf>
    <xf numFmtId="180" fontId="43" fillId="0" borderId="6" xfId="4" applyNumberFormat="1" applyFont="1" applyBorder="1" applyAlignment="1">
      <alignment horizontal="center" vertical="center"/>
      <protection locked="0"/>
    </xf>
    <xf numFmtId="0" fontId="99" fillId="0" borderId="40" xfId="0" applyFont="1" applyBorder="1" applyAlignment="1" applyProtection="1">
      <alignment horizontal="center" vertical="center"/>
      <protection locked="0"/>
    </xf>
    <xf numFmtId="0" fontId="99" fillId="0" borderId="88" xfId="0" applyFont="1" applyBorder="1" applyAlignment="1" applyProtection="1">
      <alignment horizontal="center" vertical="center"/>
      <protection locked="0"/>
    </xf>
    <xf numFmtId="41" fontId="43" fillId="0" borderId="0" xfId="0" applyNumberFormat="1" applyFont="1" applyBorder="1" applyAlignment="1" applyProtection="1">
      <alignment horizontal="center" vertical="center"/>
      <protection locked="0"/>
    </xf>
    <xf numFmtId="0" fontId="43" fillId="0" borderId="0" xfId="0" applyFont="1" applyBorder="1" applyAlignment="1" applyProtection="1">
      <alignment horizontal="center" vertical="center"/>
      <protection locked="0"/>
    </xf>
    <xf numFmtId="43" fontId="43" fillId="0" borderId="0" xfId="0" applyNumberFormat="1" applyFont="1" applyBorder="1" applyAlignment="1" applyProtection="1">
      <alignment horizontal="center" vertical="center"/>
      <protection locked="0"/>
    </xf>
    <xf numFmtId="43" fontId="43" fillId="2" borderId="95" xfId="0" applyNumberFormat="1" applyFont="1" applyFill="1" applyBorder="1" applyAlignment="1" applyProtection="1">
      <alignment horizontal="center" vertical="center"/>
      <protection locked="0"/>
    </xf>
    <xf numFmtId="0" fontId="43" fillId="2" borderId="34" xfId="0" applyFont="1" applyFill="1" applyBorder="1" applyAlignment="1" applyProtection="1">
      <alignment horizontal="center" vertical="center"/>
      <protection locked="0"/>
    </xf>
    <xf numFmtId="41" fontId="43" fillId="0" borderId="55" xfId="0" applyNumberFormat="1" applyFont="1" applyBorder="1" applyAlignment="1" applyProtection="1">
      <alignment horizontal="center" vertical="center"/>
      <protection locked="0"/>
    </xf>
    <xf numFmtId="0" fontId="43" fillId="0" borderId="55" xfId="0" applyFont="1" applyBorder="1" applyAlignment="1" applyProtection="1">
      <alignment horizontal="center" vertical="center"/>
      <protection locked="0"/>
    </xf>
    <xf numFmtId="0" fontId="43" fillId="0" borderId="70" xfId="0" applyFont="1" applyBorder="1" applyAlignment="1" applyProtection="1">
      <alignment horizontal="center" vertical="center"/>
      <protection locked="0"/>
    </xf>
    <xf numFmtId="0" fontId="43" fillId="0" borderId="16" xfId="0" applyFont="1" applyBorder="1" applyAlignment="1" applyProtection="1">
      <alignment horizontal="center" vertical="center"/>
      <protection locked="0"/>
    </xf>
    <xf numFmtId="0" fontId="20" fillId="0" borderId="0" xfId="0" applyFont="1" applyAlignment="1" applyProtection="1">
      <alignment horizontal="center" vertical="center"/>
      <protection locked="0"/>
    </xf>
    <xf numFmtId="0" fontId="24" fillId="0" borderId="0" xfId="0" applyFont="1">
      <alignment vertical="center"/>
    </xf>
    <xf numFmtId="0" fontId="0" fillId="0" borderId="0" xfId="0" applyFont="1" applyAlignment="1" applyProtection="1">
      <alignment horizontal="center" vertical="center"/>
      <protection locked="0"/>
    </xf>
    <xf numFmtId="0" fontId="97" fillId="0" borderId="72" xfId="0" applyFont="1" applyBorder="1" applyAlignment="1">
      <alignment horizontal="center" vertical="center"/>
    </xf>
    <xf numFmtId="0" fontId="97" fillId="0" borderId="55" xfId="0" applyFont="1" applyBorder="1" applyAlignment="1">
      <alignment horizontal="center" vertical="center"/>
    </xf>
    <xf numFmtId="0" fontId="82" fillId="0" borderId="103" xfId="0" applyFont="1" applyBorder="1" applyAlignment="1" applyProtection="1">
      <alignment horizontal="center" vertical="center" textRotation="90"/>
      <protection locked="0"/>
    </xf>
    <xf numFmtId="0" fontId="42" fillId="0" borderId="1" xfId="0" applyFont="1" applyBorder="1" applyAlignment="1">
      <alignment horizontal="center" vertical="center"/>
    </xf>
    <xf numFmtId="0" fontId="42" fillId="0" borderId="104" xfId="0" applyFont="1" applyBorder="1" applyAlignment="1">
      <alignment horizontal="center" vertical="center"/>
    </xf>
    <xf numFmtId="0" fontId="42" fillId="0" borderId="3" xfId="0" applyFont="1" applyBorder="1" applyAlignment="1">
      <alignment horizontal="center" vertical="center"/>
    </xf>
    <xf numFmtId="0" fontId="14" fillId="0" borderId="0" xfId="0" applyFont="1" applyAlignment="1" applyProtection="1">
      <alignment horizontal="center" vertical="center"/>
      <protection locked="0"/>
    </xf>
    <xf numFmtId="177" fontId="15" fillId="0" borderId="0" xfId="0" applyNumberFormat="1" applyFont="1">
      <alignment vertical="center"/>
    </xf>
    <xf numFmtId="0" fontId="15" fillId="0" borderId="0" xfId="0" applyFont="1">
      <alignment vertical="center"/>
    </xf>
    <xf numFmtId="167" fontId="15" fillId="0" borderId="0" xfId="0" applyNumberFormat="1" applyFont="1" applyAlignment="1">
      <alignment horizontal="left" vertical="center"/>
    </xf>
    <xf numFmtId="0" fontId="3" fillId="0" borderId="27" xfId="0" applyFont="1" applyBorder="1" applyAlignment="1">
      <alignment horizontal="center" vertical="center"/>
    </xf>
    <xf numFmtId="0" fontId="83" fillId="0" borderId="103" xfId="0" applyFont="1" applyBorder="1" applyAlignment="1" applyProtection="1">
      <alignment horizontal="center" vertical="center" textRotation="90"/>
      <protection locked="0"/>
    </xf>
    <xf numFmtId="41" fontId="85" fillId="0" borderId="103" xfId="4" applyFont="1" applyBorder="1" applyAlignment="1">
      <alignment horizontal="center" vertical="center" textRotation="90"/>
      <protection locked="0"/>
    </xf>
    <xf numFmtId="0" fontId="3" fillId="0" borderId="26" xfId="0" applyFont="1" applyBorder="1" applyAlignment="1">
      <alignment horizontal="center" vertical="center"/>
    </xf>
    <xf numFmtId="0" fontId="3" fillId="0" borderId="29" xfId="0" applyFont="1" applyBorder="1" applyAlignment="1">
      <alignment horizontal="center" vertical="center"/>
    </xf>
    <xf numFmtId="0" fontId="3" fillId="0" borderId="59" xfId="0" applyFont="1" applyBorder="1" applyAlignment="1" applyProtection="1">
      <alignment horizontal="center" vertical="center"/>
      <protection locked="0"/>
    </xf>
    <xf numFmtId="0" fontId="3" fillId="0" borderId="58" xfId="0" applyFont="1" applyBorder="1" applyAlignment="1" applyProtection="1">
      <alignment horizontal="center" vertical="center"/>
      <protection locked="0"/>
    </xf>
    <xf numFmtId="0" fontId="3" fillId="0" borderId="37" xfId="0" applyFont="1" applyBorder="1" applyAlignment="1">
      <alignment horizontal="center" vertical="center"/>
    </xf>
    <xf numFmtId="0" fontId="3" fillId="0" borderId="77" xfId="0" applyFont="1" applyBorder="1" applyAlignment="1">
      <alignment horizontal="center" vertical="center"/>
    </xf>
    <xf numFmtId="173" fontId="3" fillId="0" borderId="27" xfId="4" applyNumberFormat="1" applyFont="1" applyBorder="1" applyAlignment="1" applyProtection="1">
      <alignment horizontal="center" vertical="center"/>
    </xf>
    <xf numFmtId="173" fontId="3" fillId="0" borderId="20" xfId="4" applyNumberFormat="1" applyFont="1" applyBorder="1" applyAlignment="1" applyProtection="1">
      <alignment horizontal="center" vertical="center"/>
    </xf>
    <xf numFmtId="174" fontId="3" fillId="0" borderId="27" xfId="0" applyNumberFormat="1" applyFont="1" applyBorder="1" applyAlignment="1">
      <alignment horizontal="center" vertical="center" wrapText="1"/>
    </xf>
    <xf numFmtId="174" fontId="3" fillId="0" borderId="20" xfId="0" applyNumberFormat="1" applyFont="1" applyBorder="1" applyAlignment="1">
      <alignment horizontal="center" vertical="center" wrapText="1"/>
    </xf>
    <xf numFmtId="173" fontId="3" fillId="0" borderId="27" xfId="4" applyNumberFormat="1" applyFont="1" applyBorder="1" applyAlignment="1" applyProtection="1">
      <alignment horizontal="center" vertical="center" wrapText="1"/>
    </xf>
    <xf numFmtId="173" fontId="3" fillId="0" borderId="20" xfId="4" applyNumberFormat="1" applyFont="1" applyBorder="1" applyAlignment="1" applyProtection="1">
      <alignment horizontal="center" vertical="center" wrapText="1"/>
    </xf>
    <xf numFmtId="0" fontId="86" fillId="0" borderId="60" xfId="0" applyFont="1" applyBorder="1" applyAlignment="1" applyProtection="1">
      <alignment vertical="center" wrapText="1"/>
      <protection locked="0"/>
    </xf>
    <xf numFmtId="0" fontId="86" fillId="0" borderId="0" xfId="0" applyFont="1" applyAlignment="1" applyProtection="1">
      <alignment vertical="center" wrapText="1"/>
      <protection locked="0"/>
    </xf>
    <xf numFmtId="0" fontId="86" fillId="0" borderId="0" xfId="0" applyFont="1" applyAlignment="1" applyProtection="1">
      <alignment horizontal="left" vertical="center"/>
      <protection locked="0"/>
    </xf>
    <xf numFmtId="0" fontId="86" fillId="0" borderId="0" xfId="0" applyFont="1" applyProtection="1">
      <alignment vertical="center"/>
      <protection locked="0"/>
    </xf>
    <xf numFmtId="0" fontId="15" fillId="0" borderId="0" xfId="0" applyFont="1" applyAlignment="1" applyProtection="1">
      <alignment horizontal="center" vertical="center"/>
      <protection locked="0"/>
    </xf>
    <xf numFmtId="0" fontId="78" fillId="0" borderId="1" xfId="0" applyFont="1" applyBorder="1" applyAlignment="1">
      <alignment horizontal="center" vertical="center"/>
    </xf>
    <xf numFmtId="0" fontId="78" fillId="0" borderId="104" xfId="0" applyFont="1" applyBorder="1" applyAlignment="1">
      <alignment horizontal="center" vertical="center"/>
    </xf>
    <xf numFmtId="0" fontId="78" fillId="0" borderId="3" xfId="0" applyFont="1" applyBorder="1" applyAlignment="1">
      <alignment horizontal="center" vertical="center"/>
    </xf>
    <xf numFmtId="0" fontId="15" fillId="0" borderId="1" xfId="0" applyFont="1" applyBorder="1" applyAlignment="1">
      <alignment horizontal="center" vertical="center"/>
    </xf>
    <xf numFmtId="0" fontId="15" fillId="0" borderId="104" xfId="0" applyFont="1" applyBorder="1" applyAlignment="1">
      <alignment horizontal="center" vertical="center"/>
    </xf>
    <xf numFmtId="0" fontId="15" fillId="0" borderId="3" xfId="0" applyFont="1" applyBorder="1" applyAlignment="1">
      <alignment horizontal="center" vertical="center"/>
    </xf>
    <xf numFmtId="0" fontId="3" fillId="0" borderId="59" xfId="0" applyFont="1" applyBorder="1" applyAlignment="1">
      <alignment horizontal="center" vertical="center"/>
    </xf>
    <xf numFmtId="0" fontId="3" fillId="0" borderId="58" xfId="0" applyFont="1" applyBorder="1" applyAlignment="1">
      <alignment horizontal="center" vertical="center"/>
    </xf>
    <xf numFmtId="0" fontId="3" fillId="0" borderId="44" xfId="0" applyFont="1" applyBorder="1" applyAlignment="1">
      <alignment horizontal="center" vertical="center"/>
    </xf>
    <xf numFmtId="174" fontId="3" fillId="0" borderId="27" xfId="3" applyNumberFormat="1" applyFont="1" applyBorder="1" applyAlignment="1" applyProtection="1">
      <alignment horizontal="center" vertical="center" wrapText="1"/>
    </xf>
    <xf numFmtId="174" fontId="3" fillId="0" borderId="20" xfId="3" applyNumberFormat="1" applyFont="1" applyBorder="1" applyAlignment="1" applyProtection="1">
      <alignment horizontal="center" vertical="center" wrapText="1"/>
    </xf>
    <xf numFmtId="0" fontId="3" fillId="0" borderId="0" xfId="0" applyFont="1" applyAlignment="1" applyProtection="1">
      <alignment horizontal="center"/>
      <protection locked="0"/>
    </xf>
    <xf numFmtId="0" fontId="86" fillId="0" borderId="60" xfId="0" applyFont="1" applyBorder="1" applyAlignment="1" applyProtection="1">
      <alignment vertical="top" wrapText="1"/>
      <protection locked="0"/>
    </xf>
    <xf numFmtId="0" fontId="86" fillId="0" borderId="0" xfId="0" applyFont="1" applyAlignment="1" applyProtection="1">
      <alignment vertical="top" wrapText="1"/>
      <protection locked="0"/>
    </xf>
    <xf numFmtId="41" fontId="84" fillId="0" borderId="1" xfId="4" applyFont="1" applyBorder="1" applyAlignment="1" applyProtection="1">
      <alignment horizontal="center" vertical="center"/>
    </xf>
    <xf numFmtId="41" fontId="84" fillId="0" borderId="104" xfId="4" applyFont="1" applyBorder="1" applyAlignment="1" applyProtection="1">
      <alignment horizontal="center" vertical="center"/>
    </xf>
    <xf numFmtId="41" fontId="84" fillId="0" borderId="3" xfId="4" applyFont="1" applyBorder="1" applyAlignment="1" applyProtection="1">
      <alignment horizontal="center" vertical="center"/>
    </xf>
    <xf numFmtId="0" fontId="14" fillId="0" borderId="0" xfId="0" applyFont="1" applyAlignment="1" applyProtection="1">
      <alignment horizontal="center"/>
      <protection locked="0"/>
    </xf>
    <xf numFmtId="0" fontId="78" fillId="0" borderId="0" xfId="0" applyFont="1" applyAlignment="1">
      <alignment horizontal="center"/>
    </xf>
    <xf numFmtId="0" fontId="15" fillId="0" borderId="70" xfId="0" applyFont="1" applyBorder="1" applyAlignment="1">
      <alignment horizontal="center"/>
    </xf>
    <xf numFmtId="0" fontId="15" fillId="0" borderId="71" xfId="0" applyFont="1" applyBorder="1" applyAlignment="1">
      <alignment horizontal="center"/>
    </xf>
    <xf numFmtId="0" fontId="15" fillId="0" borderId="16" xfId="0" applyFont="1" applyBorder="1" applyAlignment="1">
      <alignment horizontal="center"/>
    </xf>
    <xf numFmtId="0" fontId="15" fillId="0" borderId="69" xfId="0" applyFont="1" applyBorder="1" applyAlignment="1">
      <alignment horizontal="center"/>
    </xf>
    <xf numFmtId="0" fontId="15" fillId="0" borderId="72" xfId="0" applyFont="1" applyBorder="1" applyAlignment="1">
      <alignment horizontal="center" vertical="center"/>
    </xf>
    <xf numFmtId="0" fontId="15" fillId="0" borderId="17" xfId="0" applyFont="1" applyBorder="1" applyAlignment="1">
      <alignment horizontal="center" vertical="center"/>
    </xf>
    <xf numFmtId="0" fontId="77" fillId="0" borderId="76" xfId="0" applyFont="1" applyBorder="1" applyAlignment="1">
      <alignment horizontal="center"/>
    </xf>
    <xf numFmtId="0" fontId="21" fillId="0" borderId="0" xfId="0" applyFont="1" applyAlignment="1">
      <alignment horizontal="center"/>
    </xf>
    <xf numFmtId="0" fontId="69" fillId="0" borderId="0" xfId="0" applyFont="1" applyAlignment="1">
      <alignment horizontal="center"/>
    </xf>
    <xf numFmtId="0" fontId="44" fillId="2" borderId="0" xfId="0" applyFont="1" applyFill="1" applyAlignment="1" applyProtection="1">
      <alignment horizontal="left" vertical="center"/>
      <protection locked="0"/>
    </xf>
    <xf numFmtId="0" fontId="44" fillId="2" borderId="0" xfId="0" applyFont="1" applyFill="1" applyProtection="1">
      <alignment vertical="center"/>
      <protection locked="0"/>
    </xf>
    <xf numFmtId="0" fontId="21" fillId="0" borderId="0" xfId="0" applyFont="1" applyAlignment="1" applyProtection="1">
      <alignment horizontal="center" vertical="center"/>
      <protection locked="0"/>
    </xf>
    <xf numFmtId="0" fontId="69" fillId="0" borderId="0" xfId="0" applyFont="1" applyAlignment="1" applyProtection="1">
      <alignment horizontal="center"/>
      <protection locked="0"/>
    </xf>
    <xf numFmtId="0" fontId="27" fillId="0" borderId="0" xfId="0" applyFont="1" applyAlignment="1" applyProtection="1">
      <alignment horizontal="center" vertical="center"/>
      <protection locked="0"/>
    </xf>
    <xf numFmtId="0" fontId="67" fillId="0" borderId="69" xfId="0" applyFont="1" applyBorder="1" applyAlignment="1">
      <alignment horizontal="left" vertical="center"/>
    </xf>
    <xf numFmtId="0" fontId="56" fillId="0" borderId="0" xfId="0" applyFont="1" applyAlignment="1">
      <alignment horizontal="center" vertical="center" wrapText="1"/>
    </xf>
    <xf numFmtId="0" fontId="67" fillId="0" borderId="62" xfId="0" applyFont="1" applyBorder="1" applyAlignment="1">
      <alignment horizontal="center" vertical="center"/>
    </xf>
    <xf numFmtId="0" fontId="67" fillId="0" borderId="64" xfId="0" applyFont="1" applyBorder="1" applyAlignment="1">
      <alignment horizontal="center" vertical="center"/>
    </xf>
    <xf numFmtId="0" fontId="67" fillId="0" borderId="63" xfId="0" applyFont="1" applyBorder="1" applyAlignment="1">
      <alignment horizontal="center" vertical="center"/>
    </xf>
    <xf numFmtId="0" fontId="67" fillId="0" borderId="65" xfId="0" applyFont="1" applyBorder="1" applyAlignment="1">
      <alignment horizontal="center" vertical="center"/>
    </xf>
    <xf numFmtId="0" fontId="3" fillId="0" borderId="54" xfId="0" applyFont="1" applyBorder="1" applyAlignment="1">
      <alignment horizontal="left" vertical="center"/>
    </xf>
    <xf numFmtId="0" fontId="3" fillId="0" borderId="16" xfId="0" applyFont="1" applyBorder="1" applyAlignment="1">
      <alignment horizontal="left" vertical="center"/>
    </xf>
    <xf numFmtId="0" fontId="15" fillId="0" borderId="54" xfId="0" applyFont="1" applyBorder="1" applyAlignment="1">
      <alignment horizontal="left" vertical="center"/>
    </xf>
    <xf numFmtId="0" fontId="15" fillId="0" borderId="16" xfId="0" applyFont="1" applyBorder="1" applyAlignment="1">
      <alignment horizontal="left" vertical="center"/>
    </xf>
    <xf numFmtId="0" fontId="67" fillId="0" borderId="63" xfId="0" applyFont="1" applyBorder="1" applyAlignment="1">
      <alignment horizontal="center" vertical="center" wrapText="1"/>
    </xf>
    <xf numFmtId="0" fontId="67" fillId="0" borderId="65" xfId="0" applyFont="1" applyBorder="1" applyAlignment="1">
      <alignment horizontal="center" vertical="center" wrapText="1"/>
    </xf>
    <xf numFmtId="41" fontId="43" fillId="0" borderId="55" xfId="4" applyFont="1" applyBorder="1" applyAlignment="1" applyProtection="1">
      <alignment horizontal="left" vertical="center"/>
    </xf>
    <xf numFmtId="41" fontId="43" fillId="0" borderId="17" xfId="4" applyFont="1" applyBorder="1" applyAlignment="1" applyProtection="1">
      <alignment horizontal="left" vertical="center"/>
    </xf>
    <xf numFmtId="0" fontId="43" fillId="0" borderId="55" xfId="0" applyFont="1" applyBorder="1" applyAlignment="1">
      <alignment horizontal="left" vertical="center"/>
    </xf>
    <xf numFmtId="0" fontId="43" fillId="0" borderId="17" xfId="0" applyFont="1" applyBorder="1" applyAlignment="1">
      <alignment horizontal="left" vertical="center"/>
    </xf>
    <xf numFmtId="0" fontId="67" fillId="0" borderId="67" xfId="0" applyFont="1" applyBorder="1" applyAlignment="1">
      <alignment horizontal="center" vertical="center"/>
    </xf>
    <xf numFmtId="0" fontId="67" fillId="0" borderId="68" xfId="0" applyFont="1" applyBorder="1" applyAlignment="1">
      <alignment horizontal="center" vertical="center"/>
    </xf>
    <xf numFmtId="0" fontId="63" fillId="0" borderId="0" xfId="0" applyFont="1" applyAlignment="1">
      <alignment horizontal="center" vertical="center"/>
    </xf>
    <xf numFmtId="0" fontId="62" fillId="0" borderId="0" xfId="0" applyFont="1" applyAlignment="1">
      <alignment horizontal="center" vertical="center"/>
    </xf>
    <xf numFmtId="0" fontId="61" fillId="0" borderId="0" xfId="0" applyFont="1" applyAlignment="1">
      <alignment horizontal="center" vertical="center"/>
    </xf>
    <xf numFmtId="0" fontId="62" fillId="0" borderId="95" xfId="0" applyFont="1" applyBorder="1" applyAlignment="1">
      <alignment horizontal="center" vertical="center" wrapText="1"/>
    </xf>
    <xf numFmtId="0" fontId="62" fillId="0" borderId="34" xfId="0" applyFont="1" applyBorder="1" applyAlignment="1">
      <alignment horizontal="center" vertical="center" wrapText="1"/>
    </xf>
    <xf numFmtId="0" fontId="62" fillId="0" borderId="95" xfId="0" applyFont="1" applyBorder="1" applyAlignment="1">
      <alignment horizontal="center" vertical="center"/>
    </xf>
    <xf numFmtId="0" fontId="62" fillId="0" borderId="34" xfId="0" applyFont="1" applyBorder="1" applyAlignment="1">
      <alignment horizontal="center" vertical="center"/>
    </xf>
    <xf numFmtId="0" fontId="65" fillId="0" borderId="95" xfId="0" applyFont="1" applyBorder="1" applyAlignment="1">
      <alignment horizontal="center" vertical="center"/>
    </xf>
    <xf numFmtId="0" fontId="65" fillId="0" borderId="34" xfId="0" applyFont="1" applyBorder="1" applyAlignment="1">
      <alignment horizontal="center" vertical="center"/>
    </xf>
    <xf numFmtId="0" fontId="65" fillId="0" borderId="70" xfId="0" applyFont="1" applyBorder="1" applyAlignment="1">
      <alignment horizontal="center" vertical="center"/>
    </xf>
    <xf numFmtId="0" fontId="65" fillId="0" borderId="71" xfId="0" applyFont="1" applyBorder="1" applyAlignment="1">
      <alignment horizontal="center" vertical="center"/>
    </xf>
    <xf numFmtId="0" fontId="65" fillId="0" borderId="72" xfId="0" applyFont="1" applyBorder="1" applyAlignment="1">
      <alignment horizontal="center" vertical="center"/>
    </xf>
    <xf numFmtId="0" fontId="65" fillId="0" borderId="16" xfId="0" applyFont="1" applyBorder="1" applyAlignment="1">
      <alignment horizontal="center" vertical="center"/>
    </xf>
    <xf numFmtId="0" fontId="65" fillId="0" borderId="69" xfId="0" applyFont="1" applyBorder="1" applyAlignment="1">
      <alignment horizontal="center" vertical="center"/>
    </xf>
    <xf numFmtId="0" fontId="65" fillId="0" borderId="17" xfId="0" applyFont="1" applyBorder="1" applyAlignment="1">
      <alignment horizontal="center" vertical="center"/>
    </xf>
    <xf numFmtId="0" fontId="47" fillId="0" borderId="26" xfId="0" applyFont="1" applyBorder="1" applyAlignment="1">
      <alignment horizontal="left" vertical="center"/>
    </xf>
    <xf numFmtId="0" fontId="47" fillId="0" borderId="27" xfId="0" applyFont="1" applyBorder="1" applyAlignment="1">
      <alignment horizontal="left" vertical="center"/>
    </xf>
    <xf numFmtId="0" fontId="47" fillId="0" borderId="8" xfId="0" applyFont="1" applyBorder="1" applyAlignment="1">
      <alignment horizontal="left" vertical="center"/>
    </xf>
    <xf numFmtId="0" fontId="47" fillId="0" borderId="10" xfId="0" applyFont="1" applyBorder="1" applyAlignment="1">
      <alignment horizontal="left" vertical="center"/>
    </xf>
    <xf numFmtId="0" fontId="47" fillId="0" borderId="8" xfId="0" applyFont="1" applyBorder="1" applyAlignment="1">
      <alignment horizontal="center" vertical="center"/>
    </xf>
    <xf numFmtId="0" fontId="47" fillId="0" borderId="10" xfId="0" applyFont="1" applyBorder="1" applyAlignment="1">
      <alignment horizontal="center" vertical="center"/>
    </xf>
    <xf numFmtId="0" fontId="47" fillId="0" borderId="23" xfId="0" applyFont="1" applyBorder="1" applyAlignment="1">
      <alignment horizontal="center" vertical="center"/>
    </xf>
    <xf numFmtId="0" fontId="47" fillId="0" borderId="43" xfId="0" applyFont="1" applyBorder="1">
      <alignment vertical="center"/>
    </xf>
    <xf numFmtId="0" fontId="47" fillId="0" borderId="50" xfId="0" applyFont="1" applyBorder="1" applyAlignment="1">
      <alignment horizontal="center" vertical="center"/>
    </xf>
    <xf numFmtId="0" fontId="47" fillId="0" borderId="43" xfId="0" applyFont="1" applyBorder="1" applyAlignment="1">
      <alignment horizontal="center" vertical="center"/>
    </xf>
    <xf numFmtId="0" fontId="47" fillId="0" borderId="58" xfId="0" applyFont="1" applyBorder="1" applyAlignment="1">
      <alignment horizontal="center" vertical="center"/>
    </xf>
    <xf numFmtId="0" fontId="47" fillId="0" borderId="88" xfId="0" applyFont="1" applyBorder="1" applyAlignment="1">
      <alignment horizontal="center" vertical="center"/>
    </xf>
    <xf numFmtId="0" fontId="48" fillId="0" borderId="62" xfId="0" applyFont="1" applyBorder="1" applyAlignment="1">
      <alignment horizontal="center" vertical="center"/>
    </xf>
    <xf numFmtId="0" fontId="48" fillId="0" borderId="97" xfId="0" applyFont="1" applyBorder="1" applyAlignment="1">
      <alignment horizontal="center" vertical="center"/>
    </xf>
    <xf numFmtId="0" fontId="48" fillId="0" borderId="64" xfId="0" applyFont="1" applyBorder="1" applyAlignment="1">
      <alignment horizontal="center" vertical="center"/>
    </xf>
    <xf numFmtId="0" fontId="48" fillId="0" borderId="63" xfId="0" applyFont="1" applyBorder="1" applyAlignment="1">
      <alignment horizontal="center" vertical="center"/>
    </xf>
    <xf numFmtId="0" fontId="48" fillId="0" borderId="22" xfId="0" applyFont="1" applyBorder="1" applyAlignment="1">
      <alignment horizontal="center" vertical="center"/>
    </xf>
    <xf numFmtId="0" fontId="48" fillId="0" borderId="65" xfId="0" applyFont="1" applyBorder="1" applyAlignment="1">
      <alignment horizontal="center" vertical="center"/>
    </xf>
    <xf numFmtId="0" fontId="48" fillId="0" borderId="67" xfId="0" applyFont="1" applyBorder="1" applyAlignment="1">
      <alignment horizontal="center" vertical="center"/>
    </xf>
    <xf numFmtId="0" fontId="48" fillId="0" borderId="98" xfId="0" applyFont="1" applyBorder="1" applyAlignment="1">
      <alignment horizontal="center" vertical="center"/>
    </xf>
    <xf numFmtId="0" fontId="48" fillId="0" borderId="68" xfId="0" applyFont="1" applyBorder="1" applyAlignment="1">
      <alignment horizontal="center" vertical="center"/>
    </xf>
    <xf numFmtId="0" fontId="57" fillId="0" borderId="0" xfId="0" applyFont="1" applyAlignment="1">
      <alignment horizontal="center"/>
    </xf>
    <xf numFmtId="0" fontId="62" fillId="0" borderId="0" xfId="0" applyFont="1" applyAlignment="1">
      <alignment horizontal="center"/>
    </xf>
    <xf numFmtId="0" fontId="61" fillId="0" borderId="0" xfId="0" applyFont="1" applyAlignment="1">
      <alignment horizontal="center"/>
    </xf>
    <xf numFmtId="0" fontId="57" fillId="0" borderId="0" xfId="10" applyFont="1" applyAlignment="1">
      <alignment horizontal="center" vertical="center"/>
    </xf>
    <xf numFmtId="0" fontId="44" fillId="0" borderId="0" xfId="10" applyFont="1" applyAlignment="1">
      <alignment horizontal="center" vertical="center"/>
    </xf>
    <xf numFmtId="0" fontId="61" fillId="0" borderId="0" xfId="10" applyFont="1" applyAlignment="1">
      <alignment horizontal="center" vertical="center"/>
    </xf>
    <xf numFmtId="0" fontId="48" fillId="0" borderId="95" xfId="10" applyFont="1" applyBorder="1" applyAlignment="1">
      <alignment horizontal="center" vertical="center"/>
    </xf>
    <xf numFmtId="0" fontId="48" fillId="0" borderId="34" xfId="10" applyFont="1" applyBorder="1" applyAlignment="1">
      <alignment horizontal="center" vertical="center"/>
    </xf>
    <xf numFmtId="0" fontId="2" fillId="0" borderId="0" xfId="0" applyFont="1" applyAlignment="1">
      <alignment horizontal="center"/>
    </xf>
    <xf numFmtId="166" fontId="43" fillId="0" borderId="6" xfId="0" applyNumberFormat="1" applyFont="1" applyBorder="1" applyAlignment="1">
      <alignment horizontal="center"/>
    </xf>
    <xf numFmtId="166" fontId="43" fillId="0" borderId="7" xfId="0" applyNumberFormat="1" applyFont="1" applyBorder="1" applyAlignment="1">
      <alignment horizontal="center"/>
    </xf>
    <xf numFmtId="0" fontId="43" fillId="0" borderId="6" xfId="0" applyFont="1" applyBorder="1" applyAlignment="1"/>
    <xf numFmtId="0" fontId="43" fillId="0" borderId="7" xfId="0" applyFont="1" applyBorder="1" applyAlignment="1"/>
    <xf numFmtId="0" fontId="43" fillId="0" borderId="90" xfId="0" applyFont="1" applyBorder="1" applyAlignment="1"/>
    <xf numFmtId="0" fontId="43" fillId="0" borderId="13" xfId="0" applyFont="1" applyBorder="1" applyAlignment="1"/>
    <xf numFmtId="0" fontId="43" fillId="0" borderId="50" xfId="0" applyFont="1" applyBorder="1" applyAlignment="1">
      <alignment horizontal="center"/>
    </xf>
    <xf numFmtId="0" fontId="43" fillId="0" borderId="23" xfId="0" applyFont="1" applyBorder="1" applyAlignment="1">
      <alignment horizontal="center"/>
    </xf>
    <xf numFmtId="0" fontId="43" fillId="0" borderId="43" xfId="0" applyFont="1" applyBorder="1" applyAlignment="1">
      <alignment horizontal="center"/>
    </xf>
    <xf numFmtId="0" fontId="43" fillId="0" borderId="50" xfId="0" applyFont="1" applyBorder="1" applyAlignment="1"/>
    <xf numFmtId="0" fontId="43" fillId="0" borderId="23" xfId="0" applyFont="1" applyBorder="1" applyAlignment="1"/>
    <xf numFmtId="0" fontId="43" fillId="0" borderId="43" xfId="0" applyFont="1" applyBorder="1" applyAlignment="1"/>
    <xf numFmtId="0" fontId="43" fillId="0" borderId="9" xfId="0" applyFont="1" applyBorder="1" applyAlignment="1"/>
    <xf numFmtId="0" fontId="43" fillId="0" borderId="10" xfId="0" applyFont="1" applyBorder="1" applyAlignment="1"/>
    <xf numFmtId="0" fontId="43" fillId="0" borderId="11" xfId="0" applyFont="1" applyBorder="1" applyAlignment="1"/>
    <xf numFmtId="0" fontId="43" fillId="0" borderId="51" xfId="0" applyFont="1" applyBorder="1" applyAlignment="1"/>
    <xf numFmtId="166" fontId="43" fillId="0" borderId="50" xfId="0" applyNumberFormat="1" applyFont="1" applyBorder="1" applyAlignment="1">
      <alignment horizontal="center"/>
    </xf>
    <xf numFmtId="0" fontId="43" fillId="0" borderId="50" xfId="0" applyFont="1" applyBorder="1" applyAlignment="1">
      <alignment horizontal="left"/>
    </xf>
    <xf numFmtId="0" fontId="43" fillId="0" borderId="23" xfId="0" applyFont="1" applyBorder="1" applyAlignment="1">
      <alignment horizontal="left"/>
    </xf>
    <xf numFmtId="0" fontId="43" fillId="0" borderId="9" xfId="0" applyFont="1" applyBorder="1" applyAlignment="1">
      <alignment horizontal="left"/>
    </xf>
    <xf numFmtId="0" fontId="43" fillId="0" borderId="73" xfId="0" applyFont="1" applyBorder="1" applyAlignment="1">
      <alignment horizontal="right"/>
    </xf>
    <xf numFmtId="0" fontId="43" fillId="0" borderId="74" xfId="0" applyFont="1" applyBorder="1" applyAlignment="1">
      <alignment horizontal="right"/>
    </xf>
    <xf numFmtId="0" fontId="43" fillId="0" borderId="79" xfId="0" applyFont="1" applyBorder="1" applyAlignment="1">
      <alignment horizontal="right"/>
    </xf>
    <xf numFmtId="166" fontId="43" fillId="0" borderId="80" xfId="0" applyNumberFormat="1" applyFont="1" applyBorder="1" applyAlignment="1">
      <alignment horizontal="center"/>
    </xf>
    <xf numFmtId="0" fontId="43" fillId="0" borderId="81" xfId="0" applyFont="1" applyBorder="1" applyAlignment="1">
      <alignment horizontal="center"/>
    </xf>
    <xf numFmtId="0" fontId="43" fillId="0" borderId="82" xfId="0" applyFont="1" applyBorder="1" applyAlignment="1">
      <alignment horizontal="center"/>
    </xf>
    <xf numFmtId="0" fontId="43" fillId="0" borderId="80" xfId="0" applyFont="1" applyBorder="1" applyAlignment="1">
      <alignment horizontal="center"/>
    </xf>
    <xf numFmtId="0" fontId="43" fillId="0" borderId="80" xfId="0" applyFont="1" applyBorder="1" applyAlignment="1"/>
    <xf numFmtId="0" fontId="43" fillId="0" borderId="81" xfId="0" applyFont="1" applyBorder="1" applyAlignment="1"/>
    <xf numFmtId="0" fontId="43" fillId="0" borderId="82" xfId="0" applyFont="1" applyBorder="1" applyAlignment="1"/>
    <xf numFmtId="0" fontId="43" fillId="0" borderId="91" xfId="0" applyFont="1" applyBorder="1" applyAlignment="1">
      <alignment horizontal="center"/>
    </xf>
    <xf numFmtId="0" fontId="43" fillId="0" borderId="92" xfId="0" applyFont="1" applyBorder="1" applyAlignment="1">
      <alignment horizontal="center"/>
    </xf>
    <xf numFmtId="0" fontId="43" fillId="0" borderId="93" xfId="0" applyFont="1" applyBorder="1" applyAlignment="1">
      <alignment horizontal="center"/>
    </xf>
    <xf numFmtId="0" fontId="43" fillId="0" borderId="91" xfId="0" applyFont="1" applyBorder="1" applyAlignment="1"/>
    <xf numFmtId="0" fontId="43" fillId="0" borderId="92" xfId="0" applyFont="1" applyBorder="1" applyAlignment="1"/>
    <xf numFmtId="0" fontId="43" fillId="0" borderId="93" xfId="0" applyFont="1" applyBorder="1" applyAlignment="1"/>
    <xf numFmtId="0" fontId="43" fillId="0" borderId="60" xfId="0" applyFont="1" applyBorder="1" applyAlignment="1"/>
    <xf numFmtId="0" fontId="43" fillId="0" borderId="0" xfId="0" applyFont="1" applyAlignment="1"/>
    <xf numFmtId="0" fontId="43" fillId="0" borderId="55" xfId="0" applyFont="1" applyBorder="1" applyAlignment="1"/>
    <xf numFmtId="0" fontId="43" fillId="0" borderId="94" xfId="0" applyFont="1" applyBorder="1" applyAlignment="1">
      <alignment horizontal="center"/>
    </xf>
    <xf numFmtId="0" fontId="43" fillId="0" borderId="69" xfId="0" applyFont="1" applyBorder="1" applyAlignment="1">
      <alignment horizontal="center"/>
    </xf>
    <xf numFmtId="0" fontId="43" fillId="0" borderId="17" xfId="0" applyFont="1" applyBorder="1" applyAlignment="1">
      <alignment horizontal="center"/>
    </xf>
    <xf numFmtId="0" fontId="43" fillId="0" borderId="94" xfId="0" applyFont="1" applyBorder="1" applyAlignment="1"/>
    <xf numFmtId="0" fontId="43" fillId="0" borderId="69" xfId="0" applyFont="1" applyBorder="1" applyAlignment="1"/>
    <xf numFmtId="0" fontId="43" fillId="0" borderId="17" xfId="0" applyFont="1" applyBorder="1" applyAlignment="1"/>
    <xf numFmtId="0" fontId="43" fillId="0" borderId="0" xfId="0" applyFont="1" applyAlignment="1">
      <alignment horizontal="center"/>
    </xf>
    <xf numFmtId="0" fontId="43" fillId="0" borderId="6" xfId="0" applyFont="1" applyBorder="1" applyAlignment="1">
      <alignment horizontal="center"/>
    </xf>
    <xf numFmtId="0" fontId="43" fillId="0" borderId="7" xfId="0" applyFont="1" applyBorder="1" applyAlignment="1">
      <alignment horizontal="center"/>
    </xf>
    <xf numFmtId="0" fontId="56" fillId="0" borderId="73" xfId="0" applyFont="1" applyBorder="1" applyAlignment="1">
      <alignment horizontal="center" vertical="center"/>
    </xf>
    <xf numFmtId="0" fontId="56" fillId="0" borderId="74" xfId="0" applyFont="1" applyBorder="1" applyAlignment="1">
      <alignment horizontal="center" vertical="center"/>
    </xf>
    <xf numFmtId="0" fontId="56" fillId="0" borderId="79" xfId="0" applyFont="1" applyBorder="1" applyAlignment="1">
      <alignment horizontal="center" vertical="center"/>
    </xf>
    <xf numFmtId="0" fontId="43" fillId="0" borderId="85" xfId="0" applyFont="1" applyBorder="1" applyAlignment="1">
      <alignment horizontal="center"/>
    </xf>
    <xf numFmtId="0" fontId="43" fillId="0" borderId="84" xfId="0" applyFont="1" applyBorder="1" applyAlignment="1">
      <alignment horizontal="center"/>
    </xf>
    <xf numFmtId="0" fontId="43" fillId="0" borderId="86" xfId="0" applyFont="1" applyBorder="1" applyAlignment="1">
      <alignment horizontal="center"/>
    </xf>
    <xf numFmtId="0" fontId="43" fillId="0" borderId="85" xfId="0" applyFont="1" applyBorder="1" applyAlignment="1"/>
    <xf numFmtId="0" fontId="43" fillId="0" borderId="84" xfId="0" applyFont="1" applyBorder="1" applyAlignment="1"/>
    <xf numFmtId="0" fontId="43" fillId="0" borderId="86" xfId="0" applyFont="1" applyBorder="1" applyAlignment="1"/>
    <xf numFmtId="0" fontId="43" fillId="0" borderId="58" xfId="0" applyFont="1" applyBorder="1" applyAlignment="1">
      <alignment horizontal="center"/>
    </xf>
    <xf numFmtId="0" fontId="43" fillId="0" borderId="87" xfId="0" applyFont="1" applyBorder="1" applyAlignment="1">
      <alignment horizontal="center"/>
    </xf>
    <xf numFmtId="0" fontId="43" fillId="0" borderId="88" xfId="0" applyFont="1" applyBorder="1" applyAlignment="1">
      <alignment horizontal="center"/>
    </xf>
    <xf numFmtId="0" fontId="43" fillId="0" borderId="58" xfId="0" applyFont="1" applyBorder="1" applyAlignment="1"/>
    <xf numFmtId="0" fontId="43" fillId="0" borderId="87" xfId="0" applyFont="1" applyBorder="1" applyAlignment="1"/>
    <xf numFmtId="0" fontId="43" fillId="0" borderId="88" xfId="0" applyFont="1" applyBorder="1" applyAlignment="1"/>
    <xf numFmtId="0" fontId="46" fillId="0" borderId="0" xfId="0" applyFont="1" applyAlignment="1">
      <alignment horizontal="center" vertical="center"/>
    </xf>
    <xf numFmtId="0" fontId="50" fillId="0" borderId="0" xfId="0" applyFont="1" applyAlignment="1">
      <alignment horizontal="center" vertical="center"/>
    </xf>
    <xf numFmtId="0" fontId="45" fillId="0" borderId="0" xfId="0" applyFont="1">
      <alignment vertical="center"/>
    </xf>
    <xf numFmtId="0" fontId="53" fillId="0" borderId="0" xfId="0" applyFont="1" applyAlignment="1">
      <alignment horizontal="center" vertical="center"/>
    </xf>
    <xf numFmtId="0" fontId="48" fillId="0" borderId="63" xfId="0" applyFont="1" applyBorder="1" applyAlignment="1">
      <alignment horizontal="center" vertical="center" wrapText="1"/>
    </xf>
    <xf numFmtId="0" fontId="48" fillId="0" borderId="65" xfId="0" applyFont="1" applyBorder="1" applyAlignment="1">
      <alignment horizontal="center" vertical="center" wrapText="1"/>
    </xf>
    <xf numFmtId="0" fontId="45" fillId="0" borderId="0" xfId="0" applyFont="1" applyAlignment="1">
      <alignment horizontal="center" vertical="center"/>
    </xf>
    <xf numFmtId="0" fontId="3" fillId="0" borderId="0" xfId="0" applyFont="1" applyAlignment="1">
      <alignment horizontal="center"/>
    </xf>
    <xf numFmtId="0" fontId="44" fillId="0" borderId="27" xfId="0" applyFont="1" applyBorder="1" applyAlignment="1">
      <alignment horizontal="center" vertical="center"/>
    </xf>
    <xf numFmtId="0" fontId="44" fillId="0" borderId="20" xfId="0" applyFont="1" applyBorder="1" applyAlignment="1">
      <alignment horizontal="center" vertical="center"/>
    </xf>
    <xf numFmtId="0" fontId="44" fillId="0" borderId="28" xfId="0" applyFont="1" applyBorder="1" applyAlignment="1">
      <alignment horizontal="center" vertical="center"/>
    </xf>
    <xf numFmtId="0" fontId="44" fillId="0" borderId="25" xfId="0" applyFont="1" applyBorder="1" applyAlignment="1">
      <alignment horizontal="center" vertical="center"/>
    </xf>
    <xf numFmtId="0" fontId="44" fillId="0" borderId="26" xfId="0" applyFont="1" applyBorder="1" applyAlignment="1">
      <alignment horizontal="center" vertical="center"/>
    </xf>
    <xf numFmtId="0" fontId="44" fillId="0" borderId="29" xfId="0" applyFont="1" applyBorder="1" applyAlignment="1">
      <alignment horizontal="center" vertical="center"/>
    </xf>
    <xf numFmtId="0" fontId="21" fillId="0" borderId="0" xfId="0" applyFont="1" applyAlignment="1">
      <alignment horizontal="center" vertical="center"/>
    </xf>
    <xf numFmtId="0" fontId="44" fillId="0" borderId="0" xfId="0" applyFont="1" applyAlignment="1">
      <alignment horizontal="center" vertical="center"/>
    </xf>
    <xf numFmtId="0" fontId="44" fillId="0" borderId="12" xfId="0" applyFont="1" applyBorder="1" applyAlignment="1">
      <alignment horizontal="center" vertical="center"/>
    </xf>
    <xf numFmtId="0" fontId="44" fillId="0" borderId="14" xfId="0" applyFont="1" applyBorder="1" applyAlignment="1">
      <alignment horizontal="center" vertical="center"/>
    </xf>
    <xf numFmtId="0" fontId="44" fillId="0" borderId="15" xfId="0" applyFont="1" applyBorder="1" applyAlignment="1">
      <alignment horizontal="center" vertical="center"/>
    </xf>
    <xf numFmtId="0" fontId="42" fillId="0" borderId="0" xfId="0" applyFont="1" applyAlignment="1">
      <alignment horizontal="center" vertical="center"/>
    </xf>
    <xf numFmtId="0" fontId="1" fillId="0" borderId="0" xfId="0" applyFont="1" applyAlignment="1">
      <alignment horizontal="left" vertical="top"/>
    </xf>
    <xf numFmtId="0" fontId="1" fillId="0" borderId="0" xfId="0" applyFont="1" applyAlignment="1">
      <alignment horizontal="left" vertical="center"/>
    </xf>
    <xf numFmtId="0" fontId="1" fillId="0" borderId="0" xfId="0" applyFont="1" applyAlignment="1">
      <alignment horizontal="center" vertical="center"/>
    </xf>
    <xf numFmtId="0" fontId="1" fillId="0" borderId="52" xfId="0" applyFont="1" applyBorder="1" applyAlignment="1">
      <alignment horizontal="left" vertical="top"/>
    </xf>
    <xf numFmtId="0" fontId="1" fillId="0" borderId="53" xfId="0" applyFont="1" applyBorder="1" applyAlignment="1">
      <alignment horizontal="left" vertical="top"/>
    </xf>
    <xf numFmtId="0" fontId="1" fillId="0" borderId="54" xfId="0" applyFont="1" applyBorder="1" applyAlignment="1">
      <alignment horizontal="left" vertical="top"/>
    </xf>
    <xf numFmtId="0" fontId="1" fillId="0" borderId="55" xfId="0" applyFont="1" applyBorder="1" applyAlignment="1">
      <alignment horizontal="left" vertical="top"/>
    </xf>
    <xf numFmtId="0" fontId="1" fillId="0" borderId="16" xfId="0" applyFont="1" applyBorder="1" applyAlignment="1">
      <alignment horizontal="left" vertical="top"/>
    </xf>
    <xf numFmtId="0" fontId="1" fillId="0" borderId="17" xfId="0" applyFont="1" applyBorder="1" applyAlignment="1">
      <alignment horizontal="left" vertical="top"/>
    </xf>
    <xf numFmtId="0" fontId="3" fillId="0" borderId="51" xfId="0" applyFont="1" applyBorder="1" applyAlignment="1">
      <alignment horizontal="center" vertical="center"/>
    </xf>
    <xf numFmtId="0" fontId="3" fillId="0" borderId="43" xfId="0" applyFont="1" applyBorder="1" applyAlignment="1">
      <alignment horizontal="center" vertical="center"/>
    </xf>
    <xf numFmtId="0" fontId="1" fillId="0" borderId="39" xfId="0" applyFont="1" applyBorder="1" applyAlignment="1">
      <alignment horizontal="left" vertical="top"/>
    </xf>
    <xf numFmtId="0" fontId="1" fillId="0" borderId="38" xfId="0" applyFont="1" applyBorder="1" applyAlignment="1">
      <alignment horizontal="left" vertical="top"/>
    </xf>
    <xf numFmtId="0" fontId="38" fillId="0" borderId="0" xfId="0" applyFont="1" applyAlignment="1">
      <alignment horizontal="center" vertical="center"/>
    </xf>
    <xf numFmtId="0" fontId="40" fillId="0" borderId="50" xfId="0" applyFont="1" applyBorder="1" applyAlignment="1">
      <alignment horizontal="center" vertical="center"/>
    </xf>
    <xf numFmtId="0" fontId="40" fillId="0" borderId="23" xfId="0" applyFont="1" applyBorder="1" applyAlignment="1">
      <alignment horizontal="center" vertical="center"/>
    </xf>
    <xf numFmtId="0" fontId="40" fillId="0" borderId="9" xfId="0" applyFont="1" applyBorder="1" applyAlignment="1">
      <alignment horizontal="center" vertical="center"/>
    </xf>
    <xf numFmtId="0" fontId="40" fillId="0" borderId="10" xfId="0" applyFont="1" applyBorder="1" applyAlignment="1">
      <alignment horizontal="center" vertical="center"/>
    </xf>
    <xf numFmtId="0" fontId="0" fillId="0" borderId="10" xfId="0" applyFont="1" applyBorder="1" applyAlignment="1">
      <alignment horizontal="center" vertical="center"/>
    </xf>
    <xf numFmtId="0" fontId="20" fillId="0" borderId="0" xfId="9" applyFont="1" applyAlignment="1" applyProtection="1">
      <alignment horizontal="center" vertical="center"/>
    </xf>
    <xf numFmtId="0" fontId="21" fillId="0" borderId="0" xfId="9" applyFont="1" applyAlignment="1" applyProtection="1">
      <alignment horizontal="right"/>
    </xf>
    <xf numFmtId="0" fontId="32" fillId="0" borderId="0" xfId="0" applyFont="1" applyAlignment="1">
      <alignment horizontal="left" vertical="center" wrapText="1"/>
    </xf>
    <xf numFmtId="0" fontId="33" fillId="0" borderId="0" xfId="0" applyFont="1" applyAlignment="1">
      <alignment horizontal="left" vertical="center" wrapText="1"/>
    </xf>
    <xf numFmtId="0" fontId="34" fillId="0" borderId="0" xfId="0" quotePrefix="1" applyFont="1" applyAlignment="1">
      <alignment horizontal="left" vertical="center" wrapText="1"/>
    </xf>
    <xf numFmtId="0" fontId="34" fillId="0" borderId="0" xfId="0" applyFont="1" applyAlignment="1">
      <alignment horizontal="left" vertical="center" wrapText="1"/>
    </xf>
    <xf numFmtId="0" fontId="34" fillId="0" borderId="0" xfId="0" applyFont="1" applyAlignment="1">
      <alignment vertical="center" wrapText="1"/>
    </xf>
    <xf numFmtId="0" fontId="24" fillId="0" borderId="30" xfId="9" applyFont="1" applyBorder="1" applyAlignment="1" applyProtection="1">
      <alignment horizontal="center" vertical="center"/>
    </xf>
    <xf numFmtId="0" fontId="24" fillId="0" borderId="33" xfId="9" applyFont="1" applyBorder="1" applyAlignment="1" applyProtection="1">
      <alignment horizontal="center" vertical="center"/>
    </xf>
    <xf numFmtId="0" fontId="24" fillId="0" borderId="31" xfId="9" applyFont="1" applyBorder="1" applyAlignment="1" applyProtection="1">
      <alignment horizontal="center" vertical="center"/>
    </xf>
    <xf numFmtId="0" fontId="24" fillId="0" borderId="34" xfId="9" applyFont="1" applyBorder="1" applyAlignment="1" applyProtection="1">
      <alignment horizontal="center" vertical="center"/>
    </xf>
    <xf numFmtId="0" fontId="24" fillId="0" borderId="35" xfId="9" applyFont="1" applyBorder="1" applyAlignment="1" applyProtection="1">
      <alignment horizontal="center" vertical="center"/>
    </xf>
    <xf numFmtId="0" fontId="0" fillId="0" borderId="0" xfId="0" applyFont="1" applyAlignment="1">
      <alignment horizontal="center" vertical="center"/>
    </xf>
    <xf numFmtId="0" fontId="14" fillId="0" borderId="0" xfId="0" applyFont="1" applyAlignment="1">
      <alignment horizontal="center" vertical="center"/>
    </xf>
    <xf numFmtId="0" fontId="14" fillId="0" borderId="0" xfId="0" applyFont="1">
      <alignment vertical="center"/>
    </xf>
    <xf numFmtId="0" fontId="6" fillId="0" borderId="0" xfId="0" applyFont="1" applyAlignment="1">
      <alignment horizontal="left" vertical="center"/>
    </xf>
    <xf numFmtId="0" fontId="7" fillId="0" borderId="0" xfId="0" applyFont="1" applyAlignment="1">
      <alignment horizontal="center" vertical="center"/>
    </xf>
    <xf numFmtId="0" fontId="10" fillId="0" borderId="1" xfId="0" applyFont="1" applyBorder="1" applyAlignment="1">
      <alignment horizontal="center" vertical="center"/>
    </xf>
    <xf numFmtId="0" fontId="10" fillId="0" borderId="21" xfId="0" applyFont="1" applyBorder="1" applyAlignment="1">
      <alignment horizontal="center" vertical="center"/>
    </xf>
  </cellXfs>
  <cellStyles count="11">
    <cellStyle name="Comma" xfId="1" builtinId="3"/>
    <cellStyle name="Comma [0]" xfId="4" builtinId="6"/>
    <cellStyle name="Comma 2" xfId="6" xr:uid="{00000000-0005-0000-0000-000031000000}"/>
    <cellStyle name="Currency" xfId="2" builtinId="4"/>
    <cellStyle name="Hyperlink" xfId="5" builtinId="8"/>
    <cellStyle name="Normal" xfId="0" builtinId="0"/>
    <cellStyle name="Normal 2" xfId="7" xr:uid="{00000000-0005-0000-0000-000032000000}"/>
    <cellStyle name="Normal 3" xfId="8" xr:uid="{00000000-0005-0000-0000-000033000000}"/>
    <cellStyle name="Normal 4" xfId="9" xr:uid="{00000000-0005-0000-0000-000034000000}"/>
    <cellStyle name="Normal 5" xfId="10" xr:uid="{00000000-0005-0000-0000-000035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externalLink" Target="externalLinks/externalLink2.xml"/><Relationship Id="rId58" Type="http://schemas.openxmlformats.org/officeDocument/2006/relationships/sheetMetadata" Target="metadata.xml"/><Relationship Id="rId5" Type="http://schemas.openxmlformats.org/officeDocument/2006/relationships/worksheet" Target="worksheets/sheet5.xml"/><Relationship Id="rId61" Type="http://schemas.openxmlformats.org/officeDocument/2006/relationships/customXml" Target="../customXml/item2.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haredStrings" Target="sharedString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externalLink" Target="externalLinks/externalLink1.xml"/><Relationship Id="rId6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3.jpeg"/></Relationships>
</file>

<file path=xl/drawings/_rels/drawing8.xml.rels><?xml version="1.0" encoding="UTF-8" standalone="yes"?>
<Relationships xmlns="http://schemas.openxmlformats.org/package/2006/relationships"><Relationship Id="rId1" Type="http://schemas.openxmlformats.org/officeDocument/2006/relationships/image" Target="../media/image4.jpeg"/></Relationships>
</file>

<file path=xl/drawings/_rels/drawing9.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eg"/></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eg"/></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eg"/></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eg"/></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4.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4.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4.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4.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2.xml.rels><?xml version="1.0" encoding="UTF-8" standalone="yes"?>
<Relationships xmlns="http://schemas.openxmlformats.org/package/2006/relationships"><Relationship Id="rId1" Type="http://schemas.openxmlformats.org/officeDocument/2006/relationships/image" Target="../media/image4.jpe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6.xml.rels><?xml version="1.0" encoding="UTF-8" standalone="yes"?>
<Relationships xmlns="http://schemas.openxmlformats.org/package/2006/relationships"><Relationship Id="rId1" Type="http://schemas.openxmlformats.org/officeDocument/2006/relationships/image" Target="../media/image4.jpeg"/></Relationships>
</file>

<file path=xl/drawings/_rels/drawing37.xml.rels><?xml version="1.0" encoding="UTF-8" standalone="yes"?>
<Relationships xmlns="http://schemas.openxmlformats.org/package/2006/relationships"><Relationship Id="rId1" Type="http://schemas.openxmlformats.org/officeDocument/2006/relationships/image" Target="../media/image4.jpeg"/></Relationships>
</file>

<file path=xl/drawings/_rels/drawing3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0.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xdr:from>
      <xdr:col>0</xdr:col>
      <xdr:colOff>17797</xdr:colOff>
      <xdr:row>2</xdr:row>
      <xdr:rowOff>0</xdr:rowOff>
    </xdr:from>
    <xdr:to>
      <xdr:col>1</xdr:col>
      <xdr:colOff>154702</xdr:colOff>
      <xdr:row>4</xdr:row>
      <xdr:rowOff>37951</xdr:rowOff>
    </xdr:to>
    <xdr:pic>
      <xdr:nvPicPr>
        <xdr:cNvPr id="2" name="Picture 266" descr=" ">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rcRect/>
        <a:stretch>
          <a:fillRect/>
        </a:stretch>
      </xdr:blipFill>
      <xdr:spPr>
        <a:xfrm>
          <a:off x="17780" y="323850"/>
          <a:ext cx="584200" cy="608965"/>
        </a:xfrm>
        <a:prstGeom prst="rect">
          <a:avLst/>
        </a:prstGeom>
        <a:noFill/>
        <a:ln w="9525" cap="flat" cmpd="sng">
          <a:noFill/>
          <a:prstDash val="solid"/>
          <a:miter/>
        </a:ln>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74642</xdr:colOff>
      <xdr:row>0</xdr:row>
      <xdr:rowOff>88552</xdr:rowOff>
    </xdr:from>
    <xdr:to>
      <xdr:col>1</xdr:col>
      <xdr:colOff>82460</xdr:colOff>
      <xdr:row>4</xdr:row>
      <xdr:rowOff>63251</xdr:rowOff>
    </xdr:to>
    <xdr:pic>
      <xdr:nvPicPr>
        <xdr:cNvPr id="2" name="Picture 266" descr=" ">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rcRect/>
        <a:stretch>
          <a:fillRect/>
        </a:stretch>
      </xdr:blipFill>
      <xdr:spPr>
        <a:xfrm>
          <a:off x="74295" y="88265"/>
          <a:ext cx="550545" cy="622300"/>
        </a:xfrm>
        <a:prstGeom prst="rect">
          <a:avLst/>
        </a:prstGeom>
        <a:noFill/>
        <a:ln w="9525" cap="flat" cmpd="sng">
          <a:noFill/>
          <a:prstDash val="solid"/>
          <a:miter/>
        </a:ln>
        <a:effec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84345</xdr:colOff>
      <xdr:row>3</xdr:row>
      <xdr:rowOff>25300</xdr:rowOff>
    </xdr:from>
    <xdr:to>
      <xdr:col>1</xdr:col>
      <xdr:colOff>345237</xdr:colOff>
      <xdr:row>6</xdr:row>
      <xdr:rowOff>50601</xdr:rowOff>
    </xdr:to>
    <xdr:pic>
      <xdr:nvPicPr>
        <xdr:cNvPr id="2" name="Picture 264" descr=" ">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83820" y="643890"/>
          <a:ext cx="632460" cy="663575"/>
        </a:xfrm>
        <a:prstGeom prst="rect">
          <a:avLst/>
        </a:prstGeom>
        <a:noFill/>
        <a:ln w="9525" cap="flat" cmpd="sng">
          <a:noFill/>
          <a:prstDash val="solid"/>
          <a:miter/>
        </a:ln>
        <a:effectLst/>
      </xdr:spPr>
    </xdr:pic>
    <xdr:clientData/>
  </xdr:twoCellAnchor>
  <xdr:twoCellAnchor>
    <xdr:from>
      <xdr:col>1</xdr:col>
      <xdr:colOff>49999</xdr:colOff>
      <xdr:row>424</xdr:row>
      <xdr:rowOff>0</xdr:rowOff>
    </xdr:from>
    <xdr:to>
      <xdr:col>4</xdr:col>
      <xdr:colOff>15863</xdr:colOff>
      <xdr:row>442</xdr:row>
      <xdr:rowOff>75902</xdr:rowOff>
    </xdr:to>
    <xdr:pic>
      <xdr:nvPicPr>
        <xdr:cNvPr id="3" name="Picture 1" descr=" ">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2"/>
        <a:srcRect t="39980" r="68628" b="12260"/>
        <a:stretch>
          <a:fillRect/>
        </a:stretch>
      </xdr:blipFill>
      <xdr:spPr>
        <a:xfrm>
          <a:off x="421005" y="59744610"/>
          <a:ext cx="3966210" cy="2457450"/>
        </a:xfrm>
        <a:prstGeom prst="rect">
          <a:avLst/>
        </a:prstGeom>
        <a:noFill/>
        <a:ln w="9525" cap="flat" cmpd="sng">
          <a:noFill/>
          <a:prstDash val="solid"/>
          <a:miter/>
        </a:ln>
        <a:effec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83460</xdr:colOff>
      <xdr:row>4</xdr:row>
      <xdr:rowOff>133350</xdr:rowOff>
    </xdr:from>
    <xdr:to>
      <xdr:col>0</xdr:col>
      <xdr:colOff>711058</xdr:colOff>
      <xdr:row>8</xdr:row>
      <xdr:rowOff>21617</xdr:rowOff>
    </xdr:to>
    <xdr:pic>
      <xdr:nvPicPr>
        <xdr:cNvPr id="2" name="Picture 274" descr=" ">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a:srcRect/>
        <a:stretch>
          <a:fillRect/>
        </a:stretch>
      </xdr:blipFill>
      <xdr:spPr>
        <a:xfrm>
          <a:off x="83185" y="904875"/>
          <a:ext cx="627380" cy="812800"/>
        </a:xfrm>
        <a:prstGeom prst="rect">
          <a:avLst/>
        </a:prstGeom>
        <a:noFill/>
        <a:ln w="9525" cap="flat" cmpd="sng">
          <a:noFill/>
          <a:prstDash val="solid"/>
          <a:miter/>
        </a:ln>
        <a:effectLst/>
      </xdr:spPr>
    </xdr:pic>
    <xdr:clientData/>
  </xdr:twoCellAnchor>
  <xdr:twoCellAnchor>
    <xdr:from>
      <xdr:col>0</xdr:col>
      <xdr:colOff>54087</xdr:colOff>
      <xdr:row>136</xdr:row>
      <xdr:rowOff>0</xdr:rowOff>
    </xdr:from>
    <xdr:to>
      <xdr:col>3</xdr:col>
      <xdr:colOff>16071</xdr:colOff>
      <xdr:row>154</xdr:row>
      <xdr:rowOff>75902</xdr:rowOff>
    </xdr:to>
    <xdr:pic>
      <xdr:nvPicPr>
        <xdr:cNvPr id="3" name="Picture 1" descr=" ">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a:srcRect t="39980" r="68628" b="12260"/>
        <a:stretch>
          <a:fillRect/>
        </a:stretch>
      </xdr:blipFill>
      <xdr:spPr>
        <a:xfrm>
          <a:off x="53975" y="14042390"/>
          <a:ext cx="3895725" cy="2990215"/>
        </a:xfrm>
        <a:prstGeom prst="rect">
          <a:avLst/>
        </a:prstGeom>
        <a:noFill/>
        <a:ln w="9525" cap="flat" cmpd="sng">
          <a:noFill/>
          <a:prstDash val="solid"/>
          <a:miter/>
        </a:ln>
        <a:effec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224305</xdr:colOff>
      <xdr:row>1</xdr:row>
      <xdr:rowOff>202592</xdr:rowOff>
    </xdr:from>
    <xdr:to>
      <xdr:col>0</xdr:col>
      <xdr:colOff>1072706</xdr:colOff>
      <xdr:row>4</xdr:row>
      <xdr:rowOff>138628</xdr:rowOff>
    </xdr:to>
    <xdr:pic>
      <xdr:nvPicPr>
        <xdr:cNvPr id="2" name="Picture 259" descr=" ">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a:srcRect/>
        <a:stretch>
          <a:fillRect/>
        </a:stretch>
      </xdr:blipFill>
      <xdr:spPr>
        <a:xfrm>
          <a:off x="224155" y="478790"/>
          <a:ext cx="848360" cy="979170"/>
        </a:xfrm>
        <a:prstGeom prst="rect">
          <a:avLst/>
        </a:prstGeom>
        <a:noFill/>
        <a:ln w="9525" cap="flat" cmpd="sng">
          <a:noFill/>
          <a:prstDash val="solid"/>
          <a:miter/>
        </a:ln>
        <a:effectLst/>
      </xdr:spPr>
    </xdr:pic>
    <xdr:clientData/>
  </xdr:twoCellAnchor>
  <xdr:twoCellAnchor>
    <xdr:from>
      <xdr:col>0</xdr:col>
      <xdr:colOff>52777</xdr:colOff>
      <xdr:row>375</xdr:row>
      <xdr:rowOff>0</xdr:rowOff>
    </xdr:from>
    <xdr:to>
      <xdr:col>3</xdr:col>
      <xdr:colOff>596695</xdr:colOff>
      <xdr:row>393</xdr:row>
      <xdr:rowOff>62507</xdr:rowOff>
    </xdr:to>
    <xdr:pic>
      <xdr:nvPicPr>
        <xdr:cNvPr id="3" name="Picture 2" descr=" ">
          <a:extLst>
            <a:ext uri="{FF2B5EF4-FFF2-40B4-BE49-F238E27FC236}">
              <a16:creationId xmlns:a16="http://schemas.microsoft.com/office/drawing/2014/main" id="{00000000-0008-0000-0400-000003000000}"/>
            </a:ext>
          </a:extLst>
        </xdr:cNvPr>
        <xdr:cNvPicPr/>
      </xdr:nvPicPr>
      <xdr:blipFill>
        <a:blip xmlns:r="http://schemas.openxmlformats.org/officeDocument/2006/relationships" r:embed="rId2"/>
        <a:srcRect t="39980" r="68628" b="12260"/>
        <a:stretch>
          <a:fillRect/>
        </a:stretch>
      </xdr:blipFill>
      <xdr:spPr>
        <a:xfrm>
          <a:off x="52705" y="42659300"/>
          <a:ext cx="3896360" cy="6920230"/>
        </a:xfrm>
        <a:prstGeom prst="rect">
          <a:avLst/>
        </a:prstGeom>
        <a:noFill/>
        <a:ln w="9525" cap="flat" cmpd="sng">
          <a:noFill/>
          <a:prstDash val="solid"/>
          <a:miter/>
        </a:ln>
        <a:effec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30616</xdr:colOff>
      <xdr:row>0</xdr:row>
      <xdr:rowOff>139700</xdr:rowOff>
    </xdr:from>
    <xdr:to>
      <xdr:col>1</xdr:col>
      <xdr:colOff>584200</xdr:colOff>
      <xdr:row>2</xdr:row>
      <xdr:rowOff>380727</xdr:rowOff>
    </xdr:to>
    <xdr:pic>
      <xdr:nvPicPr>
        <xdr:cNvPr id="2" name="Picture 271" descr=" ">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a:srcRect/>
        <a:stretch>
          <a:fillRect/>
        </a:stretch>
      </xdr:blipFill>
      <xdr:spPr>
        <a:xfrm>
          <a:off x="649605" y="139700"/>
          <a:ext cx="550545" cy="659765"/>
        </a:xfrm>
        <a:prstGeom prst="rect">
          <a:avLst/>
        </a:prstGeom>
        <a:noFill/>
        <a:ln w="9525" cap="flat" cmpd="sng">
          <a:noFill/>
          <a:prstDash val="solid"/>
          <a:miter/>
        </a:ln>
        <a:effectLst/>
      </xdr:spPr>
    </xdr:pic>
    <xdr:clientData/>
  </xdr:twoCellAnchor>
  <xdr:twoCellAnchor>
    <xdr:from>
      <xdr:col>1</xdr:col>
      <xdr:colOff>36686</xdr:colOff>
      <xdr:row>86</xdr:row>
      <xdr:rowOff>75502</xdr:rowOff>
    </xdr:from>
    <xdr:to>
      <xdr:col>2</xdr:col>
      <xdr:colOff>27430</xdr:colOff>
      <xdr:row>88</xdr:row>
      <xdr:rowOff>101500</xdr:rowOff>
    </xdr:to>
    <xdr:pic>
      <xdr:nvPicPr>
        <xdr:cNvPr id="3" name="Picture 272" descr=" ">
          <a:extLst>
            <a:ext uri="{FF2B5EF4-FFF2-40B4-BE49-F238E27FC236}">
              <a16:creationId xmlns:a16="http://schemas.microsoft.com/office/drawing/2014/main" id="{00000000-0008-0000-0500-000003000000}"/>
            </a:ext>
          </a:extLst>
        </xdr:cNvPr>
        <xdr:cNvPicPr/>
      </xdr:nvPicPr>
      <xdr:blipFill>
        <a:blip xmlns:r="http://schemas.openxmlformats.org/officeDocument/2006/relationships" r:embed="rId1"/>
        <a:srcRect/>
        <a:stretch>
          <a:fillRect/>
        </a:stretch>
      </xdr:blipFill>
      <xdr:spPr>
        <a:xfrm>
          <a:off x="655320" y="31469330"/>
          <a:ext cx="572135" cy="526415"/>
        </a:xfrm>
        <a:prstGeom prst="rect">
          <a:avLst/>
        </a:prstGeom>
        <a:noFill/>
        <a:ln w="9525" cap="flat" cmpd="sng">
          <a:noFill/>
          <a:prstDash val="solid"/>
          <a:miter/>
        </a:ln>
        <a:effectLst/>
      </xdr:spPr>
    </xdr:pic>
    <xdr:clientData/>
  </xdr:twoCellAnchor>
  <xdr:twoCellAnchor>
    <xdr:from>
      <xdr:col>1</xdr:col>
      <xdr:colOff>27301</xdr:colOff>
      <xdr:row>183</xdr:row>
      <xdr:rowOff>88180</xdr:rowOff>
    </xdr:from>
    <xdr:to>
      <xdr:col>2</xdr:col>
      <xdr:colOff>18055</xdr:colOff>
      <xdr:row>185</xdr:row>
      <xdr:rowOff>0</xdr:rowOff>
    </xdr:to>
    <xdr:pic>
      <xdr:nvPicPr>
        <xdr:cNvPr id="4" name="Picture 273" descr=" ">
          <a:extLst>
            <a:ext uri="{FF2B5EF4-FFF2-40B4-BE49-F238E27FC236}">
              <a16:creationId xmlns:a16="http://schemas.microsoft.com/office/drawing/2014/main" id="{00000000-0008-0000-0500-000004000000}"/>
            </a:ext>
          </a:extLst>
        </xdr:cNvPr>
        <xdr:cNvPicPr/>
      </xdr:nvPicPr>
      <xdr:blipFill>
        <a:blip xmlns:r="http://schemas.openxmlformats.org/officeDocument/2006/relationships" r:embed="rId1"/>
        <a:srcRect/>
        <a:stretch>
          <a:fillRect/>
        </a:stretch>
      </xdr:blipFill>
      <xdr:spPr>
        <a:xfrm>
          <a:off x="645795" y="65489455"/>
          <a:ext cx="572135" cy="455295"/>
        </a:xfrm>
        <a:prstGeom prst="rect">
          <a:avLst/>
        </a:prstGeom>
        <a:noFill/>
        <a:ln w="9525" cap="flat" cmpd="sng">
          <a:noFill/>
          <a:prstDash val="solid"/>
          <a:miter/>
        </a:ln>
        <a:effec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98809</xdr:colOff>
      <xdr:row>3</xdr:row>
      <xdr:rowOff>25003</xdr:rowOff>
    </xdr:from>
    <xdr:to>
      <xdr:col>0</xdr:col>
      <xdr:colOff>829999</xdr:colOff>
      <xdr:row>7</xdr:row>
      <xdr:rowOff>0</xdr:rowOff>
    </xdr:to>
    <xdr:pic>
      <xdr:nvPicPr>
        <xdr:cNvPr id="2" name="Picture 1" descr=" ">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a:srcRect/>
        <a:stretch>
          <a:fillRect/>
        </a:stretch>
      </xdr:blipFill>
      <xdr:spPr>
        <a:xfrm>
          <a:off x="98425" y="891540"/>
          <a:ext cx="731520" cy="813435"/>
        </a:xfrm>
        <a:prstGeom prst="rect">
          <a:avLst/>
        </a:prstGeom>
        <a:noFill/>
        <a:ln w="9525" cap="flat" cmpd="sng">
          <a:noFill/>
          <a:prstDash val="solid"/>
          <a:miter/>
        </a:ln>
        <a:effec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574999</xdr:colOff>
      <xdr:row>0</xdr:row>
      <xdr:rowOff>139154</xdr:rowOff>
    </xdr:from>
    <xdr:to>
      <xdr:col>0</xdr:col>
      <xdr:colOff>1280355</xdr:colOff>
      <xdr:row>4</xdr:row>
      <xdr:rowOff>0</xdr:rowOff>
    </xdr:to>
    <xdr:pic>
      <xdr:nvPicPr>
        <xdr:cNvPr id="2" name="Picture 1" descr=" ">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a:srcRect/>
        <a:stretch>
          <a:fillRect/>
        </a:stretch>
      </xdr:blipFill>
      <xdr:spPr>
        <a:xfrm>
          <a:off x="574675" y="139065"/>
          <a:ext cx="705485" cy="765810"/>
        </a:xfrm>
        <a:prstGeom prst="rect">
          <a:avLst/>
        </a:prstGeom>
        <a:noFill/>
        <a:ln w="9525" cap="flat" cmpd="sng">
          <a:noFill/>
          <a:prstDash val="solid"/>
          <a:miter/>
        </a:ln>
        <a:effec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113273</xdr:colOff>
      <xdr:row>3</xdr:row>
      <xdr:rowOff>0</xdr:rowOff>
    </xdr:from>
    <xdr:to>
      <xdr:col>3</xdr:col>
      <xdr:colOff>386031</xdr:colOff>
      <xdr:row>4</xdr:row>
      <xdr:rowOff>50601</xdr:rowOff>
    </xdr:to>
    <xdr:pic>
      <xdr:nvPicPr>
        <xdr:cNvPr id="2" name="Picture 1" descr=" ">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a:srcRect/>
        <a:stretch>
          <a:fillRect/>
        </a:stretch>
      </xdr:blipFill>
      <xdr:spPr>
        <a:xfrm>
          <a:off x="455930" y="314325"/>
          <a:ext cx="586740" cy="526415"/>
        </a:xfrm>
        <a:prstGeom prst="rect">
          <a:avLst/>
        </a:prstGeom>
        <a:noFill/>
        <a:ln w="9525" cap="flat" cmpd="sng">
          <a:noFill/>
          <a:prstDash val="solid"/>
          <a:miter/>
        </a:ln>
        <a:effec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84722</xdr:colOff>
      <xdr:row>6</xdr:row>
      <xdr:rowOff>12687</xdr:rowOff>
    </xdr:from>
    <xdr:to>
      <xdr:col>1</xdr:col>
      <xdr:colOff>388571</xdr:colOff>
      <xdr:row>9</xdr:row>
      <xdr:rowOff>0</xdr:rowOff>
    </xdr:to>
    <xdr:pic>
      <xdr:nvPicPr>
        <xdr:cNvPr id="2" name="Picture 266" descr=" ">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a:srcRect/>
        <a:stretch>
          <a:fillRect/>
        </a:stretch>
      </xdr:blipFill>
      <xdr:spPr>
        <a:xfrm>
          <a:off x="84455" y="631190"/>
          <a:ext cx="636905" cy="683260"/>
        </a:xfrm>
        <a:prstGeom prst="rect">
          <a:avLst/>
        </a:prstGeom>
        <a:noFill/>
        <a:ln w="9525" cap="flat" cmpd="sng">
          <a:noFill/>
          <a:prstDash val="solid"/>
          <a:miter/>
        </a:ln>
        <a:effec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0</xdr:col>
      <xdr:colOff>94414</xdr:colOff>
      <xdr:row>1</xdr:row>
      <xdr:rowOff>37132</xdr:rowOff>
    </xdr:from>
    <xdr:to>
      <xdr:col>1</xdr:col>
      <xdr:colOff>381000</xdr:colOff>
      <xdr:row>4</xdr:row>
      <xdr:rowOff>139600</xdr:rowOff>
    </xdr:to>
    <xdr:pic>
      <xdr:nvPicPr>
        <xdr:cNvPr id="2" name="Picture 1" descr=" ">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a:srcRect/>
        <a:stretch>
          <a:fillRect/>
        </a:stretch>
      </xdr:blipFill>
      <xdr:spPr>
        <a:xfrm>
          <a:off x="93980" y="198755"/>
          <a:ext cx="582295" cy="772160"/>
        </a:xfrm>
        <a:prstGeom prst="rect">
          <a:avLst/>
        </a:prstGeom>
        <a:noFill/>
        <a:ln w="9525" cap="flat" cmpd="sng">
          <a:noFill/>
          <a:prstDash val="solid"/>
          <a:miter/>
        </a:ln>
        <a:effec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1</xdr:col>
      <xdr:colOff>74999</xdr:colOff>
      <xdr:row>1</xdr:row>
      <xdr:rowOff>24407</xdr:rowOff>
    </xdr:from>
    <xdr:to>
      <xdr:col>1</xdr:col>
      <xdr:colOff>778934</xdr:colOff>
      <xdr:row>3</xdr:row>
      <xdr:rowOff>151566</xdr:rowOff>
    </xdr:to>
    <xdr:pic>
      <xdr:nvPicPr>
        <xdr:cNvPr id="2" name="Picture 1" descr=" ">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a:srcRect/>
        <a:stretch>
          <a:fillRect/>
        </a:stretch>
      </xdr:blipFill>
      <xdr:spPr>
        <a:xfrm>
          <a:off x="332105" y="186055"/>
          <a:ext cx="703580" cy="772795"/>
        </a:xfrm>
        <a:prstGeom prst="rect">
          <a:avLst/>
        </a:prstGeom>
        <a:noFill/>
        <a:ln w="9525" cap="flat" cmpd="sng">
          <a:noFill/>
          <a:prstDash val="solid"/>
          <a:miter/>
        </a:ln>
        <a:effec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141001</xdr:colOff>
      <xdr:row>1</xdr:row>
      <xdr:rowOff>328994</xdr:rowOff>
    </xdr:from>
    <xdr:to>
      <xdr:col>2</xdr:col>
      <xdr:colOff>114285</xdr:colOff>
      <xdr:row>3</xdr:row>
      <xdr:rowOff>202991</xdr:rowOff>
    </xdr:to>
    <xdr:pic>
      <xdr:nvPicPr>
        <xdr:cNvPr id="2" name="Picture 1" descr=" ">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a:srcRect/>
        <a:stretch>
          <a:fillRect/>
        </a:stretch>
      </xdr:blipFill>
      <xdr:spPr>
        <a:xfrm>
          <a:off x="140970" y="490855"/>
          <a:ext cx="553720" cy="702945"/>
        </a:xfrm>
        <a:prstGeom prst="rect">
          <a:avLst/>
        </a:prstGeom>
        <a:noFill/>
        <a:ln w="9525" cap="flat" cmpd="sng">
          <a:noFill/>
          <a:prstDash val="solid"/>
          <a:miter/>
        </a:ln>
        <a:effectLst/>
      </xdr:spPr>
    </xdr:pic>
    <xdr:clientData/>
  </xdr:twoCellAnchor>
  <xdr:twoCellAnchor>
    <xdr:from>
      <xdr:col>0</xdr:col>
      <xdr:colOff>0</xdr:colOff>
      <xdr:row>295</xdr:row>
      <xdr:rowOff>17162</xdr:rowOff>
    </xdr:from>
    <xdr:to>
      <xdr:col>2</xdr:col>
      <xdr:colOff>5488696</xdr:colOff>
      <xdr:row>315</xdr:row>
      <xdr:rowOff>337995</xdr:rowOff>
    </xdr:to>
    <xdr:pic>
      <xdr:nvPicPr>
        <xdr:cNvPr id="3" name="Picture 1" descr=" ">
          <a:extLst>
            <a:ext uri="{FF2B5EF4-FFF2-40B4-BE49-F238E27FC236}">
              <a16:creationId xmlns:a16="http://schemas.microsoft.com/office/drawing/2014/main" id="{00000000-0008-0000-0E00-000003000000}"/>
            </a:ext>
          </a:extLst>
        </xdr:cNvPr>
        <xdr:cNvPicPr/>
      </xdr:nvPicPr>
      <xdr:blipFill>
        <a:blip xmlns:r="http://schemas.openxmlformats.org/officeDocument/2006/relationships" r:embed="rId2"/>
        <a:srcRect t="39980" r="68628" b="12260"/>
        <a:stretch>
          <a:fillRect/>
        </a:stretch>
      </xdr:blipFill>
      <xdr:spPr>
        <a:xfrm>
          <a:off x="0" y="97114995"/>
          <a:ext cx="5895975" cy="4892675"/>
        </a:xfrm>
        <a:prstGeom prst="rect">
          <a:avLst/>
        </a:prstGeom>
        <a:noFill/>
        <a:ln w="9525" cap="flat" cmpd="sng">
          <a:noFill/>
          <a:prstDash val="solid"/>
          <a:miter/>
        </a:ln>
        <a:effec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0</xdr:col>
      <xdr:colOff>141001</xdr:colOff>
      <xdr:row>1</xdr:row>
      <xdr:rowOff>430071</xdr:rowOff>
    </xdr:from>
    <xdr:to>
      <xdr:col>2</xdr:col>
      <xdr:colOff>170138</xdr:colOff>
      <xdr:row>4</xdr:row>
      <xdr:rowOff>37132</xdr:rowOff>
    </xdr:to>
    <xdr:pic>
      <xdr:nvPicPr>
        <xdr:cNvPr id="2" name="Picture 1" descr=" ">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a:srcRect/>
        <a:stretch>
          <a:fillRect/>
        </a:stretch>
      </xdr:blipFill>
      <xdr:spPr>
        <a:xfrm>
          <a:off x="140970" y="858520"/>
          <a:ext cx="609600" cy="755650"/>
        </a:xfrm>
        <a:prstGeom prst="rect">
          <a:avLst/>
        </a:prstGeom>
        <a:noFill/>
        <a:ln w="9525" cap="flat" cmpd="sng">
          <a:noFill/>
          <a:prstDash val="solid"/>
          <a:miter/>
        </a:ln>
        <a:effectLst/>
      </xdr:spPr>
    </xdr:pic>
    <xdr:clientData/>
  </xdr:twoCellAnchor>
  <xdr:twoCellAnchor>
    <xdr:from>
      <xdr:col>0</xdr:col>
      <xdr:colOff>0</xdr:colOff>
      <xdr:row>265</xdr:row>
      <xdr:rowOff>17162</xdr:rowOff>
    </xdr:from>
    <xdr:to>
      <xdr:col>2</xdr:col>
      <xdr:colOff>5488696</xdr:colOff>
      <xdr:row>285</xdr:row>
      <xdr:rowOff>337995</xdr:rowOff>
    </xdr:to>
    <xdr:pic>
      <xdr:nvPicPr>
        <xdr:cNvPr id="4" name="Picture 1" descr=" ">
          <a:extLst>
            <a:ext uri="{FF2B5EF4-FFF2-40B4-BE49-F238E27FC236}">
              <a16:creationId xmlns:a16="http://schemas.microsoft.com/office/drawing/2014/main" id="{00000000-0008-0000-0F00-000004000000}"/>
            </a:ext>
          </a:extLst>
        </xdr:cNvPr>
        <xdr:cNvPicPr/>
      </xdr:nvPicPr>
      <xdr:blipFill>
        <a:blip xmlns:r="http://schemas.openxmlformats.org/officeDocument/2006/relationships" r:embed="rId2"/>
        <a:srcRect t="39980" r="68628" b="12260"/>
        <a:stretch>
          <a:fillRect/>
        </a:stretch>
      </xdr:blipFill>
      <xdr:spPr>
        <a:xfrm>
          <a:off x="0" y="86886415"/>
          <a:ext cx="6069330" cy="4892675"/>
        </a:xfrm>
        <a:prstGeom prst="rect">
          <a:avLst/>
        </a:prstGeom>
        <a:noFill/>
        <a:ln w="9525" cap="flat" cmpd="sng">
          <a:noFill/>
          <a:prstDash val="solid"/>
          <a:miter/>
        </a:ln>
        <a:effec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0</xdr:col>
      <xdr:colOff>112559</xdr:colOff>
      <xdr:row>1</xdr:row>
      <xdr:rowOff>303229</xdr:rowOff>
    </xdr:from>
    <xdr:to>
      <xdr:col>2</xdr:col>
      <xdr:colOff>77122</xdr:colOff>
      <xdr:row>3</xdr:row>
      <xdr:rowOff>227746</xdr:rowOff>
    </xdr:to>
    <xdr:pic>
      <xdr:nvPicPr>
        <xdr:cNvPr id="2" name="Picture 1" descr=" ">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a:srcRect/>
        <a:stretch>
          <a:fillRect/>
        </a:stretch>
      </xdr:blipFill>
      <xdr:spPr>
        <a:xfrm>
          <a:off x="112395" y="464820"/>
          <a:ext cx="545465" cy="753745"/>
        </a:xfrm>
        <a:prstGeom prst="rect">
          <a:avLst/>
        </a:prstGeom>
        <a:noFill/>
        <a:ln w="9525" cap="flat" cmpd="sng">
          <a:noFill/>
          <a:prstDash val="solid"/>
          <a:miter/>
        </a:ln>
        <a:effectLst/>
      </xdr:spPr>
    </xdr:pic>
    <xdr:clientData/>
  </xdr:twoCellAnchor>
  <xdr:twoCellAnchor>
    <xdr:from>
      <xdr:col>0</xdr:col>
      <xdr:colOff>0</xdr:colOff>
      <xdr:row>262</xdr:row>
      <xdr:rowOff>17162</xdr:rowOff>
    </xdr:from>
    <xdr:to>
      <xdr:col>2</xdr:col>
      <xdr:colOff>5488696</xdr:colOff>
      <xdr:row>282</xdr:row>
      <xdr:rowOff>337995</xdr:rowOff>
    </xdr:to>
    <xdr:pic>
      <xdr:nvPicPr>
        <xdr:cNvPr id="4" name="Picture 1" descr=" ">
          <a:extLst>
            <a:ext uri="{FF2B5EF4-FFF2-40B4-BE49-F238E27FC236}">
              <a16:creationId xmlns:a16="http://schemas.microsoft.com/office/drawing/2014/main" id="{00000000-0008-0000-1000-000004000000}"/>
            </a:ext>
          </a:extLst>
        </xdr:cNvPr>
        <xdr:cNvPicPr/>
      </xdr:nvPicPr>
      <xdr:blipFill>
        <a:blip xmlns:r="http://schemas.openxmlformats.org/officeDocument/2006/relationships" r:embed="rId2"/>
        <a:srcRect t="39980" r="68628" b="12260"/>
        <a:stretch>
          <a:fillRect/>
        </a:stretch>
      </xdr:blipFill>
      <xdr:spPr>
        <a:xfrm>
          <a:off x="0" y="85606890"/>
          <a:ext cx="5924550" cy="4892675"/>
        </a:xfrm>
        <a:prstGeom prst="rect">
          <a:avLst/>
        </a:prstGeom>
        <a:noFill/>
        <a:ln w="9525" cap="flat" cmpd="sng">
          <a:noFill/>
          <a:prstDash val="solid"/>
          <a:miter/>
        </a:ln>
        <a:effectLst/>
      </xdr:spPr>
    </xdr:pic>
    <xdr:clientData/>
  </xdr:twoCellAnchor>
</xdr:wsDr>
</file>

<file path=xl/drawings/drawing16.xml><?xml version="1.0" encoding="utf-8"?>
<xdr:wsDr xmlns:xdr="http://schemas.openxmlformats.org/drawingml/2006/spreadsheetDrawing" xmlns:a="http://schemas.openxmlformats.org/drawingml/2006/main">
  <xdr:twoCellAnchor>
    <xdr:from>
      <xdr:col>0</xdr:col>
      <xdr:colOff>112559</xdr:colOff>
      <xdr:row>1</xdr:row>
      <xdr:rowOff>303229</xdr:rowOff>
    </xdr:from>
    <xdr:to>
      <xdr:col>2</xdr:col>
      <xdr:colOff>73868</xdr:colOff>
      <xdr:row>3</xdr:row>
      <xdr:rowOff>227746</xdr:rowOff>
    </xdr:to>
    <xdr:pic>
      <xdr:nvPicPr>
        <xdr:cNvPr id="2" name="Picture 1" descr=" ">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a:srcRect/>
        <a:stretch>
          <a:fillRect/>
        </a:stretch>
      </xdr:blipFill>
      <xdr:spPr>
        <a:xfrm>
          <a:off x="112395" y="464820"/>
          <a:ext cx="542290" cy="753745"/>
        </a:xfrm>
        <a:prstGeom prst="rect">
          <a:avLst/>
        </a:prstGeom>
        <a:noFill/>
        <a:ln w="9525" cap="flat" cmpd="sng">
          <a:noFill/>
          <a:prstDash val="solid"/>
          <a:miter/>
        </a:ln>
        <a:effectLst/>
      </xdr:spPr>
    </xdr:pic>
    <xdr:clientData/>
  </xdr:twoCellAnchor>
  <xdr:twoCellAnchor>
    <xdr:from>
      <xdr:col>0</xdr:col>
      <xdr:colOff>0</xdr:colOff>
      <xdr:row>259</xdr:row>
      <xdr:rowOff>17162</xdr:rowOff>
    </xdr:from>
    <xdr:to>
      <xdr:col>2</xdr:col>
      <xdr:colOff>5488696</xdr:colOff>
      <xdr:row>279</xdr:row>
      <xdr:rowOff>337995</xdr:rowOff>
    </xdr:to>
    <xdr:pic>
      <xdr:nvPicPr>
        <xdr:cNvPr id="4" name="Picture 1" descr=" ">
          <a:extLst>
            <a:ext uri="{FF2B5EF4-FFF2-40B4-BE49-F238E27FC236}">
              <a16:creationId xmlns:a16="http://schemas.microsoft.com/office/drawing/2014/main" id="{00000000-0008-0000-1100-000004000000}"/>
            </a:ext>
          </a:extLst>
        </xdr:cNvPr>
        <xdr:cNvPicPr/>
      </xdr:nvPicPr>
      <xdr:blipFill>
        <a:blip xmlns:r="http://schemas.openxmlformats.org/officeDocument/2006/relationships" r:embed="rId2"/>
        <a:srcRect t="39980" r="68628" b="12260"/>
        <a:stretch>
          <a:fillRect/>
        </a:stretch>
      </xdr:blipFill>
      <xdr:spPr>
        <a:xfrm>
          <a:off x="0" y="84329270"/>
          <a:ext cx="5924550" cy="4892675"/>
        </a:xfrm>
        <a:prstGeom prst="rect">
          <a:avLst/>
        </a:prstGeom>
        <a:noFill/>
        <a:ln w="9525" cap="flat" cmpd="sng">
          <a:noFill/>
          <a:prstDash val="solid"/>
          <a:miter/>
        </a:ln>
        <a:effectLst/>
      </xdr:spPr>
    </xdr:pic>
    <xdr:clientData/>
  </xdr:twoCellAnchor>
</xdr:wsDr>
</file>

<file path=xl/drawings/drawing17.xml><?xml version="1.0" encoding="utf-8"?>
<xdr:wsDr xmlns:xdr="http://schemas.openxmlformats.org/drawingml/2006/spreadsheetDrawing" xmlns:a="http://schemas.openxmlformats.org/drawingml/2006/main">
  <xdr:twoCellAnchor>
    <xdr:from>
      <xdr:col>0</xdr:col>
      <xdr:colOff>141001</xdr:colOff>
      <xdr:row>1</xdr:row>
      <xdr:rowOff>328994</xdr:rowOff>
    </xdr:from>
    <xdr:to>
      <xdr:col>2</xdr:col>
      <xdr:colOff>114285</xdr:colOff>
      <xdr:row>3</xdr:row>
      <xdr:rowOff>202991</xdr:rowOff>
    </xdr:to>
    <xdr:pic>
      <xdr:nvPicPr>
        <xdr:cNvPr id="2" name="Picture 1" descr=" ">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a:srcRect/>
        <a:stretch>
          <a:fillRect/>
        </a:stretch>
      </xdr:blipFill>
      <xdr:spPr>
        <a:xfrm>
          <a:off x="140970" y="490855"/>
          <a:ext cx="553720" cy="702945"/>
        </a:xfrm>
        <a:prstGeom prst="rect">
          <a:avLst/>
        </a:prstGeom>
        <a:noFill/>
        <a:ln w="9525" cap="flat" cmpd="sng">
          <a:noFill/>
          <a:prstDash val="solid"/>
          <a:miter/>
        </a:ln>
        <a:effectLst/>
      </xdr:spPr>
    </xdr:pic>
    <xdr:clientData/>
  </xdr:twoCellAnchor>
  <xdr:twoCellAnchor>
    <xdr:from>
      <xdr:col>0</xdr:col>
      <xdr:colOff>0</xdr:colOff>
      <xdr:row>318</xdr:row>
      <xdr:rowOff>17162</xdr:rowOff>
    </xdr:from>
    <xdr:to>
      <xdr:col>2</xdr:col>
      <xdr:colOff>5488696</xdr:colOff>
      <xdr:row>338</xdr:row>
      <xdr:rowOff>337995</xdr:rowOff>
    </xdr:to>
    <xdr:pic>
      <xdr:nvPicPr>
        <xdr:cNvPr id="4" name="Picture 1" descr=" ">
          <a:extLst>
            <a:ext uri="{FF2B5EF4-FFF2-40B4-BE49-F238E27FC236}">
              <a16:creationId xmlns:a16="http://schemas.microsoft.com/office/drawing/2014/main" id="{00000000-0008-0000-1200-000004000000}"/>
            </a:ext>
          </a:extLst>
        </xdr:cNvPr>
        <xdr:cNvPicPr/>
      </xdr:nvPicPr>
      <xdr:blipFill>
        <a:blip xmlns:r="http://schemas.openxmlformats.org/officeDocument/2006/relationships" r:embed="rId2"/>
        <a:srcRect t="39980" r="68628" b="12260"/>
        <a:stretch>
          <a:fillRect/>
        </a:stretch>
      </xdr:blipFill>
      <xdr:spPr>
        <a:xfrm>
          <a:off x="0" y="63258065"/>
          <a:ext cx="5600700" cy="4892675"/>
        </a:xfrm>
        <a:prstGeom prst="rect">
          <a:avLst/>
        </a:prstGeom>
        <a:noFill/>
        <a:ln w="9525" cap="flat" cmpd="sng">
          <a:noFill/>
          <a:prstDash val="solid"/>
          <a:miter/>
        </a:ln>
        <a:effectLst/>
      </xdr:spPr>
    </xdr:pic>
    <xdr:clientData/>
  </xdr:twoCellAnchor>
</xdr:wsDr>
</file>

<file path=xl/drawings/drawing18.xml><?xml version="1.0" encoding="utf-8"?>
<xdr:wsDr xmlns:xdr="http://schemas.openxmlformats.org/drawingml/2006/spreadsheetDrawing" xmlns:a="http://schemas.openxmlformats.org/drawingml/2006/main">
  <xdr:twoCellAnchor>
    <xdr:from>
      <xdr:col>0</xdr:col>
      <xdr:colOff>141001</xdr:colOff>
      <xdr:row>1</xdr:row>
      <xdr:rowOff>328994</xdr:rowOff>
    </xdr:from>
    <xdr:to>
      <xdr:col>2</xdr:col>
      <xdr:colOff>114285</xdr:colOff>
      <xdr:row>3</xdr:row>
      <xdr:rowOff>202991</xdr:rowOff>
    </xdr:to>
    <xdr:pic>
      <xdr:nvPicPr>
        <xdr:cNvPr id="2" name="Picture 1" descr=" ">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a:srcRect/>
        <a:stretch>
          <a:fillRect/>
        </a:stretch>
      </xdr:blipFill>
      <xdr:spPr>
        <a:xfrm>
          <a:off x="140970" y="490855"/>
          <a:ext cx="553720" cy="702945"/>
        </a:xfrm>
        <a:prstGeom prst="rect">
          <a:avLst/>
        </a:prstGeom>
        <a:noFill/>
        <a:ln w="9525" cap="flat" cmpd="sng">
          <a:noFill/>
          <a:prstDash val="solid"/>
          <a:miter/>
        </a:ln>
        <a:effectLst/>
      </xdr:spPr>
    </xdr:pic>
    <xdr:clientData/>
  </xdr:twoCellAnchor>
  <xdr:twoCellAnchor>
    <xdr:from>
      <xdr:col>0</xdr:col>
      <xdr:colOff>0</xdr:colOff>
      <xdr:row>292</xdr:row>
      <xdr:rowOff>17162</xdr:rowOff>
    </xdr:from>
    <xdr:to>
      <xdr:col>2</xdr:col>
      <xdr:colOff>5488696</xdr:colOff>
      <xdr:row>312</xdr:row>
      <xdr:rowOff>337995</xdr:rowOff>
    </xdr:to>
    <xdr:pic>
      <xdr:nvPicPr>
        <xdr:cNvPr id="4" name="Picture 1" descr=" ">
          <a:extLst>
            <a:ext uri="{FF2B5EF4-FFF2-40B4-BE49-F238E27FC236}">
              <a16:creationId xmlns:a16="http://schemas.microsoft.com/office/drawing/2014/main" id="{00000000-0008-0000-1300-000004000000}"/>
            </a:ext>
          </a:extLst>
        </xdr:cNvPr>
        <xdr:cNvPicPr/>
      </xdr:nvPicPr>
      <xdr:blipFill>
        <a:blip xmlns:r="http://schemas.openxmlformats.org/officeDocument/2006/relationships" r:embed="rId2"/>
        <a:srcRect t="39980" r="68628" b="12260"/>
        <a:stretch>
          <a:fillRect/>
        </a:stretch>
      </xdr:blipFill>
      <xdr:spPr>
        <a:xfrm>
          <a:off x="0" y="96013905"/>
          <a:ext cx="5895975" cy="4892675"/>
        </a:xfrm>
        <a:prstGeom prst="rect">
          <a:avLst/>
        </a:prstGeom>
        <a:noFill/>
        <a:ln w="9525" cap="flat" cmpd="sng">
          <a:noFill/>
          <a:prstDash val="solid"/>
          <a:miter/>
        </a:ln>
        <a:effectLst/>
      </xdr:spPr>
    </xdr:pic>
    <xdr:clientData/>
  </xdr:twoCellAnchor>
</xdr:wsDr>
</file>

<file path=xl/drawings/drawing19.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578491</xdr:colOff>
      <xdr:row>3</xdr:row>
      <xdr:rowOff>24928</xdr:rowOff>
    </xdr:to>
    <xdr:pic>
      <xdr:nvPicPr>
        <xdr:cNvPr id="2" name="Picture 260" descr=" ">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a:srcRect/>
        <a:stretch>
          <a:fillRect/>
        </a:stretch>
      </xdr:blipFill>
      <xdr:spPr>
        <a:xfrm>
          <a:off x="0" y="0"/>
          <a:ext cx="578485" cy="697230"/>
        </a:xfrm>
        <a:prstGeom prst="rect">
          <a:avLst/>
        </a:prstGeom>
        <a:noFill/>
        <a:ln w="9525" cap="flat" cmpd="sng">
          <a:noFill/>
          <a:prstDash val="solid"/>
          <a:miter/>
        </a:ln>
        <a:effectLst/>
      </xdr:spPr>
    </xdr:pic>
    <xdr:clientData/>
  </xdr:twoCellAnchor>
</xdr:wsDr>
</file>

<file path=xl/drawings/drawing20.xml><?xml version="1.0" encoding="utf-8"?>
<xdr:wsDr xmlns:xdr="http://schemas.openxmlformats.org/drawingml/2006/spreadsheetDrawing" xmlns:a="http://schemas.openxmlformats.org/drawingml/2006/main">
  <xdr:twoCellAnchor>
    <xdr:from>
      <xdr:col>0</xdr:col>
      <xdr:colOff>93333</xdr:colOff>
      <xdr:row>2</xdr:row>
      <xdr:rowOff>76083</xdr:rowOff>
    </xdr:from>
    <xdr:to>
      <xdr:col>2</xdr:col>
      <xdr:colOff>23412</xdr:colOff>
      <xdr:row>4</xdr:row>
      <xdr:rowOff>75902</xdr:rowOff>
    </xdr:to>
    <xdr:pic>
      <xdr:nvPicPr>
        <xdr:cNvPr id="2" name="Picture 1" descr=" ">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a:srcRect/>
        <a:stretch>
          <a:fillRect/>
        </a:stretch>
      </xdr:blipFill>
      <xdr:spPr>
        <a:xfrm>
          <a:off x="92710" y="399415"/>
          <a:ext cx="549275" cy="690880"/>
        </a:xfrm>
        <a:prstGeom prst="rect">
          <a:avLst/>
        </a:prstGeom>
        <a:noFill/>
        <a:ln w="9525" cap="flat" cmpd="sng">
          <a:noFill/>
          <a:prstDash val="solid"/>
          <a:miter/>
        </a:ln>
        <a:effectLst/>
      </xdr:spPr>
    </xdr:pic>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36190</xdr:colOff>
      <xdr:row>1</xdr:row>
      <xdr:rowOff>0</xdr:rowOff>
    </xdr:from>
    <xdr:to>
      <xdr:col>0</xdr:col>
      <xdr:colOff>579047</xdr:colOff>
      <xdr:row>4</xdr:row>
      <xdr:rowOff>75902</xdr:rowOff>
    </xdr:to>
    <xdr:pic>
      <xdr:nvPicPr>
        <xdr:cNvPr id="2" name="Picture 1" descr=" ">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a:srcRect/>
        <a:stretch>
          <a:fillRect/>
        </a:stretch>
      </xdr:blipFill>
      <xdr:spPr>
        <a:xfrm>
          <a:off x="35560" y="161925"/>
          <a:ext cx="542925" cy="561340"/>
        </a:xfrm>
        <a:prstGeom prst="rect">
          <a:avLst/>
        </a:prstGeom>
        <a:noFill/>
        <a:ln w="9525" cap="flat" cmpd="sng">
          <a:noFill/>
          <a:prstDash val="solid"/>
          <a:miter/>
        </a:ln>
        <a:effectLst/>
      </xdr:spPr>
    </xdr:pic>
    <xdr:clientData/>
  </xdr:twoCellAnchor>
</xdr:wsDr>
</file>

<file path=xl/drawings/drawing22.xml><?xml version="1.0" encoding="utf-8"?>
<xdr:wsDr xmlns:xdr="http://schemas.openxmlformats.org/drawingml/2006/spreadsheetDrawing" xmlns:a="http://schemas.openxmlformats.org/drawingml/2006/main">
  <xdr:twoCellAnchor>
    <xdr:from>
      <xdr:col>0</xdr:col>
      <xdr:colOff>17142</xdr:colOff>
      <xdr:row>1</xdr:row>
      <xdr:rowOff>0</xdr:rowOff>
    </xdr:from>
    <xdr:to>
      <xdr:col>0</xdr:col>
      <xdr:colOff>559999</xdr:colOff>
      <xdr:row>4</xdr:row>
      <xdr:rowOff>88552</xdr:rowOff>
    </xdr:to>
    <xdr:pic>
      <xdr:nvPicPr>
        <xdr:cNvPr id="2" name="Picture 1" descr=" ">
          <a:extLst>
            <a:ext uri="{FF2B5EF4-FFF2-40B4-BE49-F238E27FC236}">
              <a16:creationId xmlns:a16="http://schemas.microsoft.com/office/drawing/2014/main" id="{00000000-0008-0000-1800-000002000000}"/>
            </a:ext>
          </a:extLst>
        </xdr:cNvPr>
        <xdr:cNvPicPr/>
      </xdr:nvPicPr>
      <xdr:blipFill>
        <a:blip xmlns:r="http://schemas.openxmlformats.org/officeDocument/2006/relationships" r:embed="rId1"/>
        <a:srcRect/>
        <a:stretch>
          <a:fillRect/>
        </a:stretch>
      </xdr:blipFill>
      <xdr:spPr>
        <a:xfrm>
          <a:off x="16510" y="161925"/>
          <a:ext cx="542925" cy="574040"/>
        </a:xfrm>
        <a:prstGeom prst="rect">
          <a:avLst/>
        </a:prstGeom>
        <a:noFill/>
        <a:ln w="9525" cap="flat" cmpd="sng">
          <a:noFill/>
          <a:prstDash val="solid"/>
          <a:miter/>
        </a:ln>
        <a:effectLst/>
      </xdr:spPr>
    </xdr:pic>
    <xdr:clientData/>
  </xdr:twoCellAnchor>
</xdr:wsDr>
</file>

<file path=xl/drawings/drawing23.xml><?xml version="1.0" encoding="utf-8"?>
<xdr:wsDr xmlns:xdr="http://schemas.openxmlformats.org/drawingml/2006/spreadsheetDrawing" xmlns:a="http://schemas.openxmlformats.org/drawingml/2006/main">
  <xdr:twoCellAnchor>
    <xdr:from>
      <xdr:col>0</xdr:col>
      <xdr:colOff>0</xdr:colOff>
      <xdr:row>0</xdr:row>
      <xdr:rowOff>25300</xdr:rowOff>
    </xdr:from>
    <xdr:to>
      <xdr:col>1</xdr:col>
      <xdr:colOff>41656</xdr:colOff>
      <xdr:row>4</xdr:row>
      <xdr:rowOff>75902</xdr:rowOff>
    </xdr:to>
    <xdr:pic>
      <xdr:nvPicPr>
        <xdr:cNvPr id="2" name="Picture 1" descr=" ">
          <a:extLst>
            <a:ext uri="{FF2B5EF4-FFF2-40B4-BE49-F238E27FC236}">
              <a16:creationId xmlns:a16="http://schemas.microsoft.com/office/drawing/2014/main" id="{00000000-0008-0000-1900-000002000000}"/>
            </a:ext>
          </a:extLst>
        </xdr:cNvPr>
        <xdr:cNvPicPr/>
      </xdr:nvPicPr>
      <xdr:blipFill>
        <a:blip xmlns:r="http://schemas.openxmlformats.org/officeDocument/2006/relationships" r:embed="rId1"/>
        <a:srcRect/>
        <a:stretch>
          <a:fillRect/>
        </a:stretch>
      </xdr:blipFill>
      <xdr:spPr>
        <a:xfrm>
          <a:off x="0" y="24765"/>
          <a:ext cx="619125" cy="698500"/>
        </a:xfrm>
        <a:prstGeom prst="rect">
          <a:avLst/>
        </a:prstGeom>
        <a:noFill/>
        <a:ln w="9525" cap="flat" cmpd="sng">
          <a:noFill/>
          <a:prstDash val="solid"/>
          <a:miter/>
        </a:ln>
        <a:effectLst/>
      </xdr:spPr>
    </xdr:pic>
    <xdr:clientData/>
  </xdr:twoCellAnchor>
</xdr:wsDr>
</file>

<file path=xl/drawings/drawing24.xml><?xml version="1.0" encoding="utf-8"?>
<xdr:wsDr xmlns:xdr="http://schemas.openxmlformats.org/drawingml/2006/spreadsheetDrawing" xmlns:a="http://schemas.openxmlformats.org/drawingml/2006/main">
  <xdr:twoCellAnchor>
    <xdr:from>
      <xdr:col>0</xdr:col>
      <xdr:colOff>65813</xdr:colOff>
      <xdr:row>1</xdr:row>
      <xdr:rowOff>101500</xdr:rowOff>
    </xdr:from>
    <xdr:to>
      <xdr:col>1</xdr:col>
      <xdr:colOff>323273</xdr:colOff>
      <xdr:row>4</xdr:row>
      <xdr:rowOff>138546</xdr:rowOff>
    </xdr:to>
    <xdr:pic>
      <xdr:nvPicPr>
        <xdr:cNvPr id="2" name="Picture 254" descr=" ">
          <a:extLst>
            <a:ext uri="{FF2B5EF4-FFF2-40B4-BE49-F238E27FC236}">
              <a16:creationId xmlns:a16="http://schemas.microsoft.com/office/drawing/2014/main" id="{00000000-0008-0000-1A00-000002000000}"/>
            </a:ext>
          </a:extLst>
        </xdr:cNvPr>
        <xdr:cNvPicPr/>
      </xdr:nvPicPr>
      <xdr:blipFill>
        <a:blip xmlns:r="http://schemas.openxmlformats.org/officeDocument/2006/relationships" r:embed="rId1"/>
        <a:srcRect/>
        <a:stretch>
          <a:fillRect/>
        </a:stretch>
      </xdr:blipFill>
      <xdr:spPr>
        <a:xfrm>
          <a:off x="65405" y="262890"/>
          <a:ext cx="553085" cy="656590"/>
        </a:xfrm>
        <a:prstGeom prst="rect">
          <a:avLst/>
        </a:prstGeom>
        <a:noFill/>
        <a:ln w="9525" cap="flat" cmpd="sng">
          <a:noFill/>
          <a:prstDash val="solid"/>
          <a:miter/>
        </a:ln>
        <a:effectLst/>
      </xdr:spPr>
    </xdr:pic>
    <xdr:clientData/>
  </xdr:twoCellAnchor>
</xdr:wsDr>
</file>

<file path=xl/drawings/drawing25.xml><?xml version="1.0" encoding="utf-8"?>
<xdr:wsDr xmlns:xdr="http://schemas.openxmlformats.org/drawingml/2006/spreadsheetDrawing" xmlns:a="http://schemas.openxmlformats.org/drawingml/2006/main">
  <xdr:twoCellAnchor>
    <xdr:from>
      <xdr:col>0</xdr:col>
      <xdr:colOff>41891</xdr:colOff>
      <xdr:row>2</xdr:row>
      <xdr:rowOff>15240</xdr:rowOff>
    </xdr:from>
    <xdr:to>
      <xdr:col>0</xdr:col>
      <xdr:colOff>525780</xdr:colOff>
      <xdr:row>5</xdr:row>
      <xdr:rowOff>90881</xdr:rowOff>
    </xdr:to>
    <xdr:pic>
      <xdr:nvPicPr>
        <xdr:cNvPr id="2" name="Picture 1" descr=" ">
          <a:extLst>
            <a:ext uri="{FF2B5EF4-FFF2-40B4-BE49-F238E27FC236}">
              <a16:creationId xmlns:a16="http://schemas.microsoft.com/office/drawing/2014/main" id="{00000000-0008-0000-1B00-000002000000}"/>
            </a:ext>
          </a:extLst>
        </xdr:cNvPr>
        <xdr:cNvPicPr/>
      </xdr:nvPicPr>
      <xdr:blipFill>
        <a:blip xmlns:r="http://schemas.openxmlformats.org/officeDocument/2006/relationships" r:embed="rId1"/>
        <a:srcRect/>
        <a:stretch>
          <a:fillRect/>
        </a:stretch>
      </xdr:blipFill>
      <xdr:spPr>
        <a:xfrm>
          <a:off x="41275" y="491490"/>
          <a:ext cx="484505" cy="618490"/>
        </a:xfrm>
        <a:prstGeom prst="rect">
          <a:avLst/>
        </a:prstGeom>
        <a:noFill/>
        <a:ln w="9525" cap="flat" cmpd="sng">
          <a:noFill/>
          <a:prstDash val="solid"/>
          <a:miter/>
        </a:ln>
        <a:effectLst/>
      </xdr:spPr>
    </xdr:pic>
    <xdr:clientData/>
  </xdr:twoCellAnchor>
</xdr:wsDr>
</file>

<file path=xl/drawings/drawing26.xml><?xml version="1.0" encoding="utf-8"?>
<xdr:wsDr xmlns:xdr="http://schemas.openxmlformats.org/drawingml/2006/spreadsheetDrawing" xmlns:a="http://schemas.openxmlformats.org/drawingml/2006/main">
  <xdr:twoCellAnchor>
    <xdr:from>
      <xdr:col>0</xdr:col>
      <xdr:colOff>43414</xdr:colOff>
      <xdr:row>0</xdr:row>
      <xdr:rowOff>126987</xdr:rowOff>
    </xdr:from>
    <xdr:to>
      <xdr:col>1</xdr:col>
      <xdr:colOff>114300</xdr:colOff>
      <xdr:row>3</xdr:row>
      <xdr:rowOff>114300</xdr:rowOff>
    </xdr:to>
    <xdr:pic>
      <xdr:nvPicPr>
        <xdr:cNvPr id="2" name="Picture 1" descr=" ">
          <a:extLst>
            <a:ext uri="{FF2B5EF4-FFF2-40B4-BE49-F238E27FC236}">
              <a16:creationId xmlns:a16="http://schemas.microsoft.com/office/drawing/2014/main" id="{00000000-0008-0000-1D00-000002000000}"/>
            </a:ext>
          </a:extLst>
        </xdr:cNvPr>
        <xdr:cNvPicPr/>
      </xdr:nvPicPr>
      <xdr:blipFill>
        <a:blip xmlns:r="http://schemas.openxmlformats.org/officeDocument/2006/relationships" r:embed="rId1"/>
        <a:srcRect/>
        <a:stretch>
          <a:fillRect/>
        </a:stretch>
      </xdr:blipFill>
      <xdr:spPr>
        <a:xfrm>
          <a:off x="43180" y="126365"/>
          <a:ext cx="509270" cy="635635"/>
        </a:xfrm>
        <a:prstGeom prst="rect">
          <a:avLst/>
        </a:prstGeom>
        <a:noFill/>
        <a:ln w="9525" cap="flat" cmpd="sng">
          <a:noFill/>
          <a:prstDash val="solid"/>
          <a:miter/>
        </a:ln>
        <a:effectLst/>
      </xdr:spPr>
    </xdr:pic>
    <xdr:clientData/>
  </xdr:twoCellAnchor>
</xdr:wsDr>
</file>

<file path=xl/drawings/drawing27.xml><?xml version="1.0" encoding="utf-8"?>
<xdr:wsDr xmlns:xdr="http://schemas.openxmlformats.org/drawingml/2006/spreadsheetDrawing" xmlns:a="http://schemas.openxmlformats.org/drawingml/2006/main">
  <xdr:twoCellAnchor>
    <xdr:from>
      <xdr:col>0</xdr:col>
      <xdr:colOff>63492</xdr:colOff>
      <xdr:row>2</xdr:row>
      <xdr:rowOff>0</xdr:rowOff>
    </xdr:from>
    <xdr:to>
      <xdr:col>0</xdr:col>
      <xdr:colOff>588818</xdr:colOff>
      <xdr:row>5</xdr:row>
      <xdr:rowOff>75902</xdr:rowOff>
    </xdr:to>
    <xdr:pic>
      <xdr:nvPicPr>
        <xdr:cNvPr id="2" name="Picture 1" descr=" ">
          <a:extLst>
            <a:ext uri="{FF2B5EF4-FFF2-40B4-BE49-F238E27FC236}">
              <a16:creationId xmlns:a16="http://schemas.microsoft.com/office/drawing/2014/main" id="{00000000-0008-0000-1E00-000002000000}"/>
            </a:ext>
          </a:extLst>
        </xdr:cNvPr>
        <xdr:cNvPicPr/>
      </xdr:nvPicPr>
      <xdr:blipFill>
        <a:blip xmlns:r="http://schemas.openxmlformats.org/officeDocument/2006/relationships" r:embed="rId1"/>
        <a:srcRect/>
        <a:stretch>
          <a:fillRect/>
        </a:stretch>
      </xdr:blipFill>
      <xdr:spPr>
        <a:xfrm>
          <a:off x="62865" y="457200"/>
          <a:ext cx="525780" cy="647065"/>
        </a:xfrm>
        <a:prstGeom prst="rect">
          <a:avLst/>
        </a:prstGeom>
        <a:noFill/>
        <a:ln w="9525" cap="flat" cmpd="sng">
          <a:noFill/>
          <a:prstDash val="solid"/>
          <a:miter/>
        </a:ln>
        <a:effectLst/>
      </xdr:spPr>
    </xdr:pic>
    <xdr:clientData/>
  </xdr:twoCellAnchor>
</xdr:wsDr>
</file>

<file path=xl/drawings/drawing28.xml><?xml version="1.0" encoding="utf-8"?>
<xdr:wsDr xmlns:xdr="http://schemas.openxmlformats.org/drawingml/2006/spreadsheetDrawing" xmlns:a="http://schemas.openxmlformats.org/drawingml/2006/main">
  <xdr:twoCellAnchor>
    <xdr:from>
      <xdr:col>0</xdr:col>
      <xdr:colOff>228600</xdr:colOff>
      <xdr:row>1</xdr:row>
      <xdr:rowOff>152400</xdr:rowOff>
    </xdr:from>
    <xdr:to>
      <xdr:col>0</xdr:col>
      <xdr:colOff>830580</xdr:colOff>
      <xdr:row>4</xdr:row>
      <xdr:rowOff>152400</xdr:rowOff>
    </xdr:to>
    <xdr:pic>
      <xdr:nvPicPr>
        <xdr:cNvPr id="3" name="Picture 2">
          <a:extLst>
            <a:ext uri="{FF2B5EF4-FFF2-40B4-BE49-F238E27FC236}">
              <a16:creationId xmlns:a16="http://schemas.microsoft.com/office/drawing/2014/main" id="{00000000-0008-0000-1F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28600" y="314325"/>
          <a:ext cx="601980"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541010</xdr:colOff>
      <xdr:row>3</xdr:row>
      <xdr:rowOff>0</xdr:rowOff>
    </xdr:to>
    <xdr:pic>
      <xdr:nvPicPr>
        <xdr:cNvPr id="2" name="Picture 268" descr=" ">
          <a:extLst>
            <a:ext uri="{FF2B5EF4-FFF2-40B4-BE49-F238E27FC236}">
              <a16:creationId xmlns:a16="http://schemas.microsoft.com/office/drawing/2014/main" id="{00000000-0008-0000-2000-000002000000}"/>
            </a:ext>
          </a:extLst>
        </xdr:cNvPr>
        <xdr:cNvPicPr/>
      </xdr:nvPicPr>
      <xdr:blipFill>
        <a:blip xmlns:r="http://schemas.openxmlformats.org/officeDocument/2006/relationships" r:embed="rId1"/>
        <a:srcRect/>
        <a:stretch>
          <a:fillRect/>
        </a:stretch>
      </xdr:blipFill>
      <xdr:spPr>
        <a:xfrm>
          <a:off x="0" y="0"/>
          <a:ext cx="540385" cy="619125"/>
        </a:xfrm>
        <a:prstGeom prst="rect">
          <a:avLst/>
        </a:prstGeom>
        <a:noFill/>
        <a:ln w="9525" cap="flat" cmpd="sng">
          <a:noFill/>
          <a:prstDash val="solid"/>
          <a:miter/>
        </a:ln>
        <a:effectLst/>
      </xdr:spPr>
    </xdr:pic>
    <xdr:clientData/>
  </xdr:twoCellAnchor>
  <xdr:twoCellAnchor>
    <xdr:from>
      <xdr:col>7</xdr:col>
      <xdr:colOff>0</xdr:colOff>
      <xdr:row>0</xdr:row>
      <xdr:rowOff>37951</xdr:rowOff>
    </xdr:from>
    <xdr:to>
      <xdr:col>7</xdr:col>
      <xdr:colOff>541010</xdr:colOff>
      <xdr:row>3</xdr:row>
      <xdr:rowOff>0</xdr:rowOff>
    </xdr:to>
    <xdr:pic>
      <xdr:nvPicPr>
        <xdr:cNvPr id="3" name="Picture 269" descr=" ">
          <a:extLst>
            <a:ext uri="{FF2B5EF4-FFF2-40B4-BE49-F238E27FC236}">
              <a16:creationId xmlns:a16="http://schemas.microsoft.com/office/drawing/2014/main" id="{00000000-0008-0000-2000-000003000000}"/>
            </a:ext>
          </a:extLst>
        </xdr:cNvPr>
        <xdr:cNvPicPr/>
      </xdr:nvPicPr>
      <xdr:blipFill>
        <a:blip xmlns:r="http://schemas.openxmlformats.org/officeDocument/2006/relationships" r:embed="rId1"/>
        <a:srcRect/>
        <a:stretch>
          <a:fillRect/>
        </a:stretch>
      </xdr:blipFill>
      <xdr:spPr>
        <a:xfrm>
          <a:off x="3895725" y="37465"/>
          <a:ext cx="540385" cy="581660"/>
        </a:xfrm>
        <a:prstGeom prst="rect">
          <a:avLst/>
        </a:prstGeom>
        <a:noFill/>
        <a:ln w="9525" cap="flat" cmpd="sng">
          <a:noFill/>
          <a:prstDash val="solid"/>
          <a:miter/>
        </a:ln>
        <a:effectLst/>
      </xdr:spPr>
    </xdr:pic>
    <xdr:clientData/>
  </xdr:twoCellAnchor>
  <xdr:twoCellAnchor>
    <xdr:from>
      <xdr:col>13</xdr:col>
      <xdr:colOff>56785</xdr:colOff>
      <xdr:row>0</xdr:row>
      <xdr:rowOff>37951</xdr:rowOff>
    </xdr:from>
    <xdr:to>
      <xdr:col>14</xdr:col>
      <xdr:colOff>484125</xdr:colOff>
      <xdr:row>3</xdr:row>
      <xdr:rowOff>0</xdr:rowOff>
    </xdr:to>
    <xdr:pic>
      <xdr:nvPicPr>
        <xdr:cNvPr id="4" name="Picture 270" descr=" ">
          <a:extLst>
            <a:ext uri="{FF2B5EF4-FFF2-40B4-BE49-F238E27FC236}">
              <a16:creationId xmlns:a16="http://schemas.microsoft.com/office/drawing/2014/main" id="{00000000-0008-0000-2000-000004000000}"/>
            </a:ext>
          </a:extLst>
        </xdr:cNvPr>
        <xdr:cNvPicPr/>
      </xdr:nvPicPr>
      <xdr:blipFill>
        <a:blip xmlns:r="http://schemas.openxmlformats.org/officeDocument/2006/relationships" r:embed="rId1"/>
        <a:srcRect/>
        <a:stretch>
          <a:fillRect/>
        </a:stretch>
      </xdr:blipFill>
      <xdr:spPr>
        <a:xfrm>
          <a:off x="7590790" y="37465"/>
          <a:ext cx="541655" cy="581660"/>
        </a:xfrm>
        <a:prstGeom prst="rect">
          <a:avLst/>
        </a:prstGeom>
        <a:noFill/>
        <a:ln w="9525" cap="flat" cmpd="sng">
          <a:noFill/>
          <a:prstDash val="solid"/>
          <a:miter/>
        </a:ln>
        <a:effectLst/>
      </xdr:spPr>
    </xdr:pic>
    <xdr:clientData/>
  </xdr:twoCellAnchor>
</xdr:wsDr>
</file>

<file path=xl/drawings/drawing30.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541010</xdr:colOff>
      <xdr:row>3</xdr:row>
      <xdr:rowOff>0</xdr:rowOff>
    </xdr:to>
    <xdr:pic>
      <xdr:nvPicPr>
        <xdr:cNvPr id="2" name="Picture 268" descr=" ">
          <a:extLst>
            <a:ext uri="{FF2B5EF4-FFF2-40B4-BE49-F238E27FC236}">
              <a16:creationId xmlns:a16="http://schemas.microsoft.com/office/drawing/2014/main" id="{00000000-0008-0000-2100-000002000000}"/>
            </a:ext>
          </a:extLst>
        </xdr:cNvPr>
        <xdr:cNvPicPr/>
      </xdr:nvPicPr>
      <xdr:blipFill>
        <a:blip xmlns:r="http://schemas.openxmlformats.org/officeDocument/2006/relationships" r:embed="rId1"/>
        <a:srcRect/>
        <a:stretch>
          <a:fillRect/>
        </a:stretch>
      </xdr:blipFill>
      <xdr:spPr>
        <a:xfrm>
          <a:off x="0" y="0"/>
          <a:ext cx="540385" cy="619125"/>
        </a:xfrm>
        <a:prstGeom prst="rect">
          <a:avLst/>
        </a:prstGeom>
        <a:noFill/>
        <a:ln w="9525" cap="flat" cmpd="sng">
          <a:noFill/>
          <a:prstDash val="solid"/>
          <a:miter/>
        </a:ln>
        <a:effectLst/>
      </xdr:spPr>
    </xdr:pic>
    <xdr:clientData/>
  </xdr:twoCellAnchor>
  <xdr:twoCellAnchor>
    <xdr:from>
      <xdr:col>7</xdr:col>
      <xdr:colOff>0</xdr:colOff>
      <xdr:row>0</xdr:row>
      <xdr:rowOff>37951</xdr:rowOff>
    </xdr:from>
    <xdr:to>
      <xdr:col>7</xdr:col>
      <xdr:colOff>541010</xdr:colOff>
      <xdr:row>3</xdr:row>
      <xdr:rowOff>0</xdr:rowOff>
    </xdr:to>
    <xdr:pic>
      <xdr:nvPicPr>
        <xdr:cNvPr id="3" name="Picture 269" descr=" ">
          <a:extLst>
            <a:ext uri="{FF2B5EF4-FFF2-40B4-BE49-F238E27FC236}">
              <a16:creationId xmlns:a16="http://schemas.microsoft.com/office/drawing/2014/main" id="{00000000-0008-0000-2100-000003000000}"/>
            </a:ext>
          </a:extLst>
        </xdr:cNvPr>
        <xdr:cNvPicPr/>
      </xdr:nvPicPr>
      <xdr:blipFill>
        <a:blip xmlns:r="http://schemas.openxmlformats.org/officeDocument/2006/relationships" r:embed="rId1"/>
        <a:srcRect/>
        <a:stretch>
          <a:fillRect/>
        </a:stretch>
      </xdr:blipFill>
      <xdr:spPr>
        <a:xfrm>
          <a:off x="3895725" y="37465"/>
          <a:ext cx="540385" cy="581660"/>
        </a:xfrm>
        <a:prstGeom prst="rect">
          <a:avLst/>
        </a:prstGeom>
        <a:noFill/>
        <a:ln w="9525" cap="flat" cmpd="sng">
          <a:noFill/>
          <a:prstDash val="solid"/>
          <a:miter/>
        </a:ln>
        <a:effectLst/>
      </xdr:spPr>
    </xdr:pic>
    <xdr:clientData/>
  </xdr:twoCellAnchor>
  <xdr:twoCellAnchor>
    <xdr:from>
      <xdr:col>13</xdr:col>
      <xdr:colOff>56785</xdr:colOff>
      <xdr:row>0</xdr:row>
      <xdr:rowOff>37951</xdr:rowOff>
    </xdr:from>
    <xdr:to>
      <xdr:col>14</xdr:col>
      <xdr:colOff>484125</xdr:colOff>
      <xdr:row>3</xdr:row>
      <xdr:rowOff>0</xdr:rowOff>
    </xdr:to>
    <xdr:pic>
      <xdr:nvPicPr>
        <xdr:cNvPr id="4" name="Picture 270" descr=" ">
          <a:extLst>
            <a:ext uri="{FF2B5EF4-FFF2-40B4-BE49-F238E27FC236}">
              <a16:creationId xmlns:a16="http://schemas.microsoft.com/office/drawing/2014/main" id="{00000000-0008-0000-2100-000004000000}"/>
            </a:ext>
          </a:extLst>
        </xdr:cNvPr>
        <xdr:cNvPicPr/>
      </xdr:nvPicPr>
      <xdr:blipFill>
        <a:blip xmlns:r="http://schemas.openxmlformats.org/officeDocument/2006/relationships" r:embed="rId1"/>
        <a:srcRect/>
        <a:stretch>
          <a:fillRect/>
        </a:stretch>
      </xdr:blipFill>
      <xdr:spPr>
        <a:xfrm>
          <a:off x="7590790" y="37465"/>
          <a:ext cx="541655" cy="581660"/>
        </a:xfrm>
        <a:prstGeom prst="rect">
          <a:avLst/>
        </a:prstGeom>
        <a:noFill/>
        <a:ln w="9525" cap="flat" cmpd="sng">
          <a:noFill/>
          <a:prstDash val="solid"/>
          <a:miter/>
        </a:ln>
        <a:effectLst/>
      </xdr:spPr>
    </xdr:pic>
    <xdr:clientData/>
  </xdr:twoCellAnchor>
</xdr:wsDr>
</file>

<file path=xl/drawings/drawing3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541010</xdr:colOff>
      <xdr:row>3</xdr:row>
      <xdr:rowOff>0</xdr:rowOff>
    </xdr:to>
    <xdr:pic>
      <xdr:nvPicPr>
        <xdr:cNvPr id="2" name="Picture 268" descr=" ">
          <a:extLst>
            <a:ext uri="{FF2B5EF4-FFF2-40B4-BE49-F238E27FC236}">
              <a16:creationId xmlns:a16="http://schemas.microsoft.com/office/drawing/2014/main" id="{00000000-0008-0000-2200-000002000000}"/>
            </a:ext>
          </a:extLst>
        </xdr:cNvPr>
        <xdr:cNvPicPr/>
      </xdr:nvPicPr>
      <xdr:blipFill>
        <a:blip xmlns:r="http://schemas.openxmlformats.org/officeDocument/2006/relationships" r:embed="rId1"/>
        <a:srcRect/>
        <a:stretch>
          <a:fillRect/>
        </a:stretch>
      </xdr:blipFill>
      <xdr:spPr>
        <a:xfrm>
          <a:off x="0" y="0"/>
          <a:ext cx="540385" cy="619125"/>
        </a:xfrm>
        <a:prstGeom prst="rect">
          <a:avLst/>
        </a:prstGeom>
        <a:noFill/>
        <a:ln w="9525" cap="flat" cmpd="sng">
          <a:noFill/>
          <a:prstDash val="solid"/>
          <a:miter/>
        </a:ln>
        <a:effectLst/>
      </xdr:spPr>
    </xdr:pic>
    <xdr:clientData/>
  </xdr:twoCellAnchor>
  <xdr:twoCellAnchor>
    <xdr:from>
      <xdr:col>7</xdr:col>
      <xdr:colOff>0</xdr:colOff>
      <xdr:row>0</xdr:row>
      <xdr:rowOff>37951</xdr:rowOff>
    </xdr:from>
    <xdr:to>
      <xdr:col>7</xdr:col>
      <xdr:colOff>541010</xdr:colOff>
      <xdr:row>3</xdr:row>
      <xdr:rowOff>0</xdr:rowOff>
    </xdr:to>
    <xdr:pic>
      <xdr:nvPicPr>
        <xdr:cNvPr id="3" name="Picture 269" descr=" ">
          <a:extLst>
            <a:ext uri="{FF2B5EF4-FFF2-40B4-BE49-F238E27FC236}">
              <a16:creationId xmlns:a16="http://schemas.microsoft.com/office/drawing/2014/main" id="{00000000-0008-0000-2200-000003000000}"/>
            </a:ext>
          </a:extLst>
        </xdr:cNvPr>
        <xdr:cNvPicPr/>
      </xdr:nvPicPr>
      <xdr:blipFill>
        <a:blip xmlns:r="http://schemas.openxmlformats.org/officeDocument/2006/relationships" r:embed="rId1"/>
        <a:srcRect/>
        <a:stretch>
          <a:fillRect/>
        </a:stretch>
      </xdr:blipFill>
      <xdr:spPr>
        <a:xfrm>
          <a:off x="3895725" y="37465"/>
          <a:ext cx="540385" cy="581660"/>
        </a:xfrm>
        <a:prstGeom prst="rect">
          <a:avLst/>
        </a:prstGeom>
        <a:noFill/>
        <a:ln w="9525" cap="flat" cmpd="sng">
          <a:noFill/>
          <a:prstDash val="solid"/>
          <a:miter/>
        </a:ln>
        <a:effectLst/>
      </xdr:spPr>
    </xdr:pic>
    <xdr:clientData/>
  </xdr:twoCellAnchor>
  <xdr:twoCellAnchor>
    <xdr:from>
      <xdr:col>13</xdr:col>
      <xdr:colOff>56785</xdr:colOff>
      <xdr:row>0</xdr:row>
      <xdr:rowOff>37951</xdr:rowOff>
    </xdr:from>
    <xdr:to>
      <xdr:col>14</xdr:col>
      <xdr:colOff>484125</xdr:colOff>
      <xdr:row>3</xdr:row>
      <xdr:rowOff>0</xdr:rowOff>
    </xdr:to>
    <xdr:pic>
      <xdr:nvPicPr>
        <xdr:cNvPr id="4" name="Picture 270" descr=" ">
          <a:extLst>
            <a:ext uri="{FF2B5EF4-FFF2-40B4-BE49-F238E27FC236}">
              <a16:creationId xmlns:a16="http://schemas.microsoft.com/office/drawing/2014/main" id="{00000000-0008-0000-2200-000004000000}"/>
            </a:ext>
          </a:extLst>
        </xdr:cNvPr>
        <xdr:cNvPicPr/>
      </xdr:nvPicPr>
      <xdr:blipFill>
        <a:blip xmlns:r="http://schemas.openxmlformats.org/officeDocument/2006/relationships" r:embed="rId1"/>
        <a:srcRect/>
        <a:stretch>
          <a:fillRect/>
        </a:stretch>
      </xdr:blipFill>
      <xdr:spPr>
        <a:xfrm>
          <a:off x="7590790" y="37465"/>
          <a:ext cx="541655" cy="581660"/>
        </a:xfrm>
        <a:prstGeom prst="rect">
          <a:avLst/>
        </a:prstGeom>
        <a:noFill/>
        <a:ln w="9525" cap="flat" cmpd="sng">
          <a:noFill/>
          <a:prstDash val="solid"/>
          <a:miter/>
        </a:ln>
        <a:effectLst/>
      </xdr:spPr>
    </xdr:pic>
    <xdr:clientData/>
  </xdr:twoCellAnchor>
</xdr:wsDr>
</file>

<file path=xl/drawings/drawing32.xml><?xml version="1.0" encoding="utf-8"?>
<xdr:wsDr xmlns:xdr="http://schemas.openxmlformats.org/drawingml/2006/spreadsheetDrawing" xmlns:a="http://schemas.openxmlformats.org/drawingml/2006/main">
  <xdr:twoCellAnchor>
    <xdr:from>
      <xdr:col>0</xdr:col>
      <xdr:colOff>43888</xdr:colOff>
      <xdr:row>2</xdr:row>
      <xdr:rowOff>0</xdr:rowOff>
    </xdr:from>
    <xdr:to>
      <xdr:col>0</xdr:col>
      <xdr:colOff>502920</xdr:colOff>
      <xdr:row>5</xdr:row>
      <xdr:rowOff>75902</xdr:rowOff>
    </xdr:to>
    <xdr:pic>
      <xdr:nvPicPr>
        <xdr:cNvPr id="2" name="Picture 1" descr=" ">
          <a:extLst>
            <a:ext uri="{FF2B5EF4-FFF2-40B4-BE49-F238E27FC236}">
              <a16:creationId xmlns:a16="http://schemas.microsoft.com/office/drawing/2014/main" id="{00000000-0008-0000-2300-000002000000}"/>
            </a:ext>
          </a:extLst>
        </xdr:cNvPr>
        <xdr:cNvPicPr/>
      </xdr:nvPicPr>
      <xdr:blipFill>
        <a:blip xmlns:r="http://schemas.openxmlformats.org/officeDocument/2006/relationships" r:embed="rId1"/>
        <a:srcRect/>
        <a:stretch>
          <a:fillRect/>
        </a:stretch>
      </xdr:blipFill>
      <xdr:spPr>
        <a:xfrm>
          <a:off x="43815" y="571500"/>
          <a:ext cx="459105" cy="551815"/>
        </a:xfrm>
        <a:prstGeom prst="rect">
          <a:avLst/>
        </a:prstGeom>
        <a:noFill/>
        <a:ln w="9525" cap="flat" cmpd="sng">
          <a:noFill/>
          <a:prstDash val="solid"/>
          <a:miter/>
        </a:ln>
        <a:effectLst/>
      </xdr:spPr>
    </xdr:pic>
    <xdr:clientData/>
  </xdr:twoCellAnchor>
  <xdr:twoCellAnchor>
    <xdr:from>
      <xdr:col>0</xdr:col>
      <xdr:colOff>43888</xdr:colOff>
      <xdr:row>41</xdr:row>
      <xdr:rowOff>0</xdr:rowOff>
    </xdr:from>
    <xdr:to>
      <xdr:col>0</xdr:col>
      <xdr:colOff>548640</xdr:colOff>
      <xdr:row>44</xdr:row>
      <xdr:rowOff>62954</xdr:rowOff>
    </xdr:to>
    <xdr:pic>
      <xdr:nvPicPr>
        <xdr:cNvPr id="3" name="Picture 2" descr=" ">
          <a:extLst>
            <a:ext uri="{FF2B5EF4-FFF2-40B4-BE49-F238E27FC236}">
              <a16:creationId xmlns:a16="http://schemas.microsoft.com/office/drawing/2014/main" id="{00000000-0008-0000-2300-000003000000}"/>
            </a:ext>
          </a:extLst>
        </xdr:cNvPr>
        <xdr:cNvPicPr/>
      </xdr:nvPicPr>
      <xdr:blipFill>
        <a:blip xmlns:r="http://schemas.openxmlformats.org/officeDocument/2006/relationships" r:embed="rId1"/>
        <a:srcRect/>
        <a:stretch>
          <a:fillRect/>
        </a:stretch>
      </xdr:blipFill>
      <xdr:spPr>
        <a:xfrm>
          <a:off x="43815" y="7308215"/>
          <a:ext cx="504825" cy="600075"/>
        </a:xfrm>
        <a:prstGeom prst="rect">
          <a:avLst/>
        </a:prstGeom>
        <a:noFill/>
        <a:ln w="9525" cap="flat" cmpd="sng">
          <a:noFill/>
          <a:prstDash val="solid"/>
          <a:miter/>
        </a:ln>
        <a:effectLst/>
      </xdr:spPr>
    </xdr:pic>
    <xdr:clientData/>
  </xdr:twoCellAnchor>
</xdr:wsDr>
</file>

<file path=xl/drawings/drawing33.xml><?xml version="1.0" encoding="utf-8"?>
<xdr:wsDr xmlns:xdr="http://schemas.openxmlformats.org/drawingml/2006/spreadsheetDrawing" xmlns:a="http://schemas.openxmlformats.org/drawingml/2006/main">
  <xdr:twoCellAnchor>
    <xdr:from>
      <xdr:col>0</xdr:col>
      <xdr:colOff>0</xdr:colOff>
      <xdr:row>0</xdr:row>
      <xdr:rowOff>25300</xdr:rowOff>
    </xdr:from>
    <xdr:to>
      <xdr:col>0</xdr:col>
      <xdr:colOff>452221</xdr:colOff>
      <xdr:row>2</xdr:row>
      <xdr:rowOff>151804</xdr:rowOff>
    </xdr:to>
    <xdr:pic>
      <xdr:nvPicPr>
        <xdr:cNvPr id="2" name="Picture 255" descr=" ">
          <a:extLst>
            <a:ext uri="{FF2B5EF4-FFF2-40B4-BE49-F238E27FC236}">
              <a16:creationId xmlns:a16="http://schemas.microsoft.com/office/drawing/2014/main" id="{00000000-0008-0000-2400-000002000000}"/>
            </a:ext>
          </a:extLst>
        </xdr:cNvPr>
        <xdr:cNvPicPr/>
      </xdr:nvPicPr>
      <xdr:blipFill>
        <a:blip xmlns:r="http://schemas.openxmlformats.org/officeDocument/2006/relationships" r:embed="rId1"/>
        <a:srcRect/>
        <a:stretch>
          <a:fillRect/>
        </a:stretch>
      </xdr:blipFill>
      <xdr:spPr>
        <a:xfrm>
          <a:off x="0" y="24765"/>
          <a:ext cx="452120" cy="450850"/>
        </a:xfrm>
        <a:prstGeom prst="rect">
          <a:avLst/>
        </a:prstGeom>
        <a:noFill/>
        <a:ln w="9525" cap="flat" cmpd="sng">
          <a:noFill/>
          <a:prstDash val="solid"/>
          <a:miter/>
        </a:ln>
        <a:effectLst/>
      </xdr:spPr>
    </xdr:pic>
    <xdr:clientData/>
  </xdr:twoCellAnchor>
  <xdr:twoCellAnchor>
    <xdr:from>
      <xdr:col>0</xdr:col>
      <xdr:colOff>0</xdr:colOff>
      <xdr:row>18</xdr:row>
      <xdr:rowOff>0</xdr:rowOff>
    </xdr:from>
    <xdr:to>
      <xdr:col>0</xdr:col>
      <xdr:colOff>452221</xdr:colOff>
      <xdr:row>20</xdr:row>
      <xdr:rowOff>151804</xdr:rowOff>
    </xdr:to>
    <xdr:pic>
      <xdr:nvPicPr>
        <xdr:cNvPr id="3" name="Picture 256" descr=" ">
          <a:extLst>
            <a:ext uri="{FF2B5EF4-FFF2-40B4-BE49-F238E27FC236}">
              <a16:creationId xmlns:a16="http://schemas.microsoft.com/office/drawing/2014/main" id="{00000000-0008-0000-2400-000003000000}"/>
            </a:ext>
          </a:extLst>
        </xdr:cNvPr>
        <xdr:cNvPicPr/>
      </xdr:nvPicPr>
      <xdr:blipFill>
        <a:blip xmlns:r="http://schemas.openxmlformats.org/officeDocument/2006/relationships" r:embed="rId1"/>
        <a:srcRect/>
        <a:stretch>
          <a:fillRect/>
        </a:stretch>
      </xdr:blipFill>
      <xdr:spPr>
        <a:xfrm>
          <a:off x="0" y="2781300"/>
          <a:ext cx="452120" cy="475615"/>
        </a:xfrm>
        <a:prstGeom prst="rect">
          <a:avLst/>
        </a:prstGeom>
        <a:noFill/>
        <a:ln w="9525" cap="flat" cmpd="sng">
          <a:noFill/>
          <a:prstDash val="solid"/>
          <a:miter/>
        </a:ln>
        <a:effectLst/>
      </xdr:spPr>
    </xdr:pic>
    <xdr:clientData/>
  </xdr:twoCellAnchor>
  <xdr:twoCellAnchor>
    <xdr:from>
      <xdr:col>0</xdr:col>
      <xdr:colOff>0</xdr:colOff>
      <xdr:row>36</xdr:row>
      <xdr:rowOff>37951</xdr:rowOff>
    </xdr:from>
    <xdr:to>
      <xdr:col>0</xdr:col>
      <xdr:colOff>452221</xdr:colOff>
      <xdr:row>39</xdr:row>
      <xdr:rowOff>0</xdr:rowOff>
    </xdr:to>
    <xdr:pic>
      <xdr:nvPicPr>
        <xdr:cNvPr id="4" name="Picture 257" descr=" ">
          <a:extLst>
            <a:ext uri="{FF2B5EF4-FFF2-40B4-BE49-F238E27FC236}">
              <a16:creationId xmlns:a16="http://schemas.microsoft.com/office/drawing/2014/main" id="{00000000-0008-0000-2400-000004000000}"/>
            </a:ext>
          </a:extLst>
        </xdr:cNvPr>
        <xdr:cNvPicPr/>
      </xdr:nvPicPr>
      <xdr:blipFill>
        <a:blip xmlns:r="http://schemas.openxmlformats.org/officeDocument/2006/relationships" r:embed="rId1"/>
        <a:srcRect/>
        <a:stretch>
          <a:fillRect/>
        </a:stretch>
      </xdr:blipFill>
      <xdr:spPr>
        <a:xfrm>
          <a:off x="0" y="5761990"/>
          <a:ext cx="452120" cy="476885"/>
        </a:xfrm>
        <a:prstGeom prst="rect">
          <a:avLst/>
        </a:prstGeom>
        <a:noFill/>
        <a:ln w="9525" cap="flat" cmpd="sng">
          <a:noFill/>
          <a:prstDash val="solid"/>
          <a:miter/>
        </a:ln>
        <a:effectLst/>
      </xdr:spPr>
    </xdr:pic>
    <xdr:clientData/>
  </xdr:twoCellAnchor>
  <xdr:twoCellAnchor>
    <xdr:from>
      <xdr:col>0</xdr:col>
      <xdr:colOff>0</xdr:colOff>
      <xdr:row>54</xdr:row>
      <xdr:rowOff>37951</xdr:rowOff>
    </xdr:from>
    <xdr:to>
      <xdr:col>0</xdr:col>
      <xdr:colOff>452221</xdr:colOff>
      <xdr:row>57</xdr:row>
      <xdr:rowOff>0</xdr:rowOff>
    </xdr:to>
    <xdr:pic>
      <xdr:nvPicPr>
        <xdr:cNvPr id="5" name="Picture 258" descr=" ">
          <a:extLst>
            <a:ext uri="{FF2B5EF4-FFF2-40B4-BE49-F238E27FC236}">
              <a16:creationId xmlns:a16="http://schemas.microsoft.com/office/drawing/2014/main" id="{00000000-0008-0000-2400-000005000000}"/>
            </a:ext>
          </a:extLst>
        </xdr:cNvPr>
        <xdr:cNvPicPr/>
      </xdr:nvPicPr>
      <xdr:blipFill>
        <a:blip xmlns:r="http://schemas.openxmlformats.org/officeDocument/2006/relationships" r:embed="rId1"/>
        <a:srcRect/>
        <a:stretch>
          <a:fillRect/>
        </a:stretch>
      </xdr:blipFill>
      <xdr:spPr>
        <a:xfrm>
          <a:off x="0" y="8705215"/>
          <a:ext cx="452120" cy="476885"/>
        </a:xfrm>
        <a:prstGeom prst="rect">
          <a:avLst/>
        </a:prstGeom>
        <a:noFill/>
        <a:ln w="9525" cap="flat" cmpd="sng">
          <a:noFill/>
          <a:prstDash val="solid"/>
          <a:miter/>
        </a:ln>
        <a:effectLst/>
      </xdr:spPr>
    </xdr:pic>
    <xdr:clientData/>
  </xdr:twoCellAnchor>
</xdr:wsDr>
</file>

<file path=xl/drawings/drawing34.xml><?xml version="1.0" encoding="utf-8"?>
<xdr:wsDr xmlns:xdr="http://schemas.openxmlformats.org/drawingml/2006/spreadsheetDrawing" xmlns:a="http://schemas.openxmlformats.org/drawingml/2006/main">
  <xdr:twoCellAnchor>
    <xdr:from>
      <xdr:col>0</xdr:col>
      <xdr:colOff>44285</xdr:colOff>
      <xdr:row>2</xdr:row>
      <xdr:rowOff>0</xdr:rowOff>
    </xdr:from>
    <xdr:to>
      <xdr:col>0</xdr:col>
      <xdr:colOff>652856</xdr:colOff>
      <xdr:row>4</xdr:row>
      <xdr:rowOff>151804</xdr:rowOff>
    </xdr:to>
    <xdr:pic>
      <xdr:nvPicPr>
        <xdr:cNvPr id="2" name="Picture 256" descr=" ">
          <a:extLst>
            <a:ext uri="{FF2B5EF4-FFF2-40B4-BE49-F238E27FC236}">
              <a16:creationId xmlns:a16="http://schemas.microsoft.com/office/drawing/2014/main" id="{00000000-0008-0000-2A00-000002000000}"/>
            </a:ext>
          </a:extLst>
        </xdr:cNvPr>
        <xdr:cNvPicPr/>
      </xdr:nvPicPr>
      <xdr:blipFill>
        <a:blip xmlns:r="http://schemas.openxmlformats.org/officeDocument/2006/relationships" r:embed="rId1"/>
        <a:srcRect/>
        <a:stretch>
          <a:fillRect/>
        </a:stretch>
      </xdr:blipFill>
      <xdr:spPr>
        <a:xfrm>
          <a:off x="43815" y="323850"/>
          <a:ext cx="608965" cy="628015"/>
        </a:xfrm>
        <a:prstGeom prst="rect">
          <a:avLst/>
        </a:prstGeom>
        <a:noFill/>
        <a:ln w="9525" cap="flat" cmpd="sng">
          <a:noFill/>
          <a:prstDash val="solid"/>
          <a:miter/>
        </a:ln>
        <a:effectLst/>
      </xdr:spPr>
    </xdr:pic>
    <xdr:clientData/>
  </xdr:twoCellAnchor>
</xdr:wsDr>
</file>

<file path=xl/drawings/drawing35.xml><?xml version="1.0" encoding="utf-8"?>
<xdr:wsDr xmlns:xdr="http://schemas.openxmlformats.org/drawingml/2006/spreadsheetDrawing" xmlns:a="http://schemas.openxmlformats.org/drawingml/2006/main">
  <xdr:twoCellAnchor>
    <xdr:from>
      <xdr:col>0</xdr:col>
      <xdr:colOff>95251</xdr:colOff>
      <xdr:row>1</xdr:row>
      <xdr:rowOff>31750</xdr:rowOff>
    </xdr:from>
    <xdr:to>
      <xdr:col>0</xdr:col>
      <xdr:colOff>603251</xdr:colOff>
      <xdr:row>4</xdr:row>
      <xdr:rowOff>75803</xdr:rowOff>
    </xdr:to>
    <xdr:pic>
      <xdr:nvPicPr>
        <xdr:cNvPr id="2" name="Picture 276" descr=" ">
          <a:extLst>
            <a:ext uri="{FF2B5EF4-FFF2-40B4-BE49-F238E27FC236}">
              <a16:creationId xmlns:a16="http://schemas.microsoft.com/office/drawing/2014/main" id="{00000000-0008-0000-2B00-000002000000}"/>
            </a:ext>
          </a:extLst>
        </xdr:cNvPr>
        <xdr:cNvPicPr/>
      </xdr:nvPicPr>
      <xdr:blipFill>
        <a:blip xmlns:r="http://schemas.openxmlformats.org/officeDocument/2006/relationships" r:embed="rId1"/>
        <a:srcRect/>
        <a:stretch>
          <a:fillRect/>
        </a:stretch>
      </xdr:blipFill>
      <xdr:spPr>
        <a:xfrm>
          <a:off x="95250" y="269875"/>
          <a:ext cx="508000" cy="529590"/>
        </a:xfrm>
        <a:prstGeom prst="rect">
          <a:avLst/>
        </a:prstGeom>
        <a:noFill/>
        <a:ln w="9525" cap="flat" cmpd="sng">
          <a:noFill/>
          <a:prstDash val="solid"/>
          <a:miter/>
        </a:ln>
        <a:effectLst/>
      </xdr:spPr>
    </xdr:pic>
    <xdr:clientData/>
  </xdr:twoCellAnchor>
</xdr:wsDr>
</file>

<file path=xl/drawings/drawing36.xml><?xml version="1.0" encoding="utf-8"?>
<xdr:wsDr xmlns:xdr="http://schemas.openxmlformats.org/drawingml/2006/spreadsheetDrawing" xmlns:a="http://schemas.openxmlformats.org/drawingml/2006/main">
  <xdr:twoCellAnchor>
    <xdr:from>
      <xdr:col>0</xdr:col>
      <xdr:colOff>175260</xdr:colOff>
      <xdr:row>2</xdr:row>
      <xdr:rowOff>350520</xdr:rowOff>
    </xdr:from>
    <xdr:to>
      <xdr:col>1</xdr:col>
      <xdr:colOff>297180</xdr:colOff>
      <xdr:row>4</xdr:row>
      <xdr:rowOff>281940</xdr:rowOff>
    </xdr:to>
    <xdr:pic>
      <xdr:nvPicPr>
        <xdr:cNvPr id="2" name="Picture 1" descr=" ">
          <a:extLst>
            <a:ext uri="{FF2B5EF4-FFF2-40B4-BE49-F238E27FC236}">
              <a16:creationId xmlns:a16="http://schemas.microsoft.com/office/drawing/2014/main" id="{00000000-0008-0000-2C00-000002000000}"/>
            </a:ext>
          </a:extLst>
        </xdr:cNvPr>
        <xdr:cNvPicPr/>
      </xdr:nvPicPr>
      <xdr:blipFill>
        <a:blip xmlns:r="http://schemas.openxmlformats.org/officeDocument/2006/relationships" r:embed="rId1"/>
        <a:srcRect/>
        <a:stretch>
          <a:fillRect/>
        </a:stretch>
      </xdr:blipFill>
      <xdr:spPr>
        <a:xfrm>
          <a:off x="175260" y="731520"/>
          <a:ext cx="502920" cy="636270"/>
        </a:xfrm>
        <a:prstGeom prst="rect">
          <a:avLst/>
        </a:prstGeom>
        <a:noFill/>
        <a:ln w="9525" cap="flat" cmpd="sng">
          <a:noFill/>
          <a:prstDash val="solid"/>
          <a:miter/>
        </a:ln>
        <a:effectLst/>
      </xdr:spPr>
    </xdr:pic>
    <xdr:clientData/>
  </xdr:twoCellAnchor>
</xdr:wsDr>
</file>

<file path=xl/drawings/drawing37.xml><?xml version="1.0" encoding="utf-8"?>
<xdr:wsDr xmlns:xdr="http://schemas.openxmlformats.org/drawingml/2006/spreadsheetDrawing" xmlns:a="http://schemas.openxmlformats.org/drawingml/2006/main">
  <xdr:twoCellAnchor>
    <xdr:from>
      <xdr:col>0</xdr:col>
      <xdr:colOff>65624</xdr:colOff>
      <xdr:row>0</xdr:row>
      <xdr:rowOff>50800</xdr:rowOff>
    </xdr:from>
    <xdr:to>
      <xdr:col>1</xdr:col>
      <xdr:colOff>438150</xdr:colOff>
      <xdr:row>3</xdr:row>
      <xdr:rowOff>151804</xdr:rowOff>
    </xdr:to>
    <xdr:pic>
      <xdr:nvPicPr>
        <xdr:cNvPr id="2" name="Picture 1" descr=" ">
          <a:extLst>
            <a:ext uri="{FF2B5EF4-FFF2-40B4-BE49-F238E27FC236}">
              <a16:creationId xmlns:a16="http://schemas.microsoft.com/office/drawing/2014/main" id="{00000000-0008-0000-2D00-000002000000}"/>
            </a:ext>
          </a:extLst>
        </xdr:cNvPr>
        <xdr:cNvPicPr/>
      </xdr:nvPicPr>
      <xdr:blipFill>
        <a:blip xmlns:r="http://schemas.openxmlformats.org/officeDocument/2006/relationships" r:embed="rId1"/>
        <a:srcRect/>
        <a:stretch>
          <a:fillRect/>
        </a:stretch>
      </xdr:blipFill>
      <xdr:spPr>
        <a:xfrm>
          <a:off x="65405" y="50800"/>
          <a:ext cx="706120" cy="815340"/>
        </a:xfrm>
        <a:prstGeom prst="rect">
          <a:avLst/>
        </a:prstGeom>
        <a:noFill/>
        <a:ln w="9525" cap="flat" cmpd="sng">
          <a:noFill/>
          <a:prstDash val="solid"/>
          <a:miter/>
        </a:ln>
        <a:effectLst/>
      </xdr:spPr>
    </xdr:pic>
    <xdr:clientData/>
  </xdr:twoCellAnchor>
</xdr:wsDr>
</file>

<file path=xl/drawings/drawing38.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256071</xdr:colOff>
      <xdr:row>2</xdr:row>
      <xdr:rowOff>0</xdr:rowOff>
    </xdr:to>
    <xdr:pic>
      <xdr:nvPicPr>
        <xdr:cNvPr id="2" name="Picture 275" descr=" ">
          <a:extLst>
            <a:ext uri="{FF2B5EF4-FFF2-40B4-BE49-F238E27FC236}">
              <a16:creationId xmlns:a16="http://schemas.microsoft.com/office/drawing/2014/main" id="{00000000-0008-0000-2E00-000002000000}"/>
            </a:ext>
          </a:extLst>
        </xdr:cNvPr>
        <xdr:cNvPicPr/>
      </xdr:nvPicPr>
      <xdr:blipFill>
        <a:blip xmlns:r="http://schemas.openxmlformats.org/officeDocument/2006/relationships" r:embed="rId1"/>
        <a:srcRect/>
        <a:stretch>
          <a:fillRect/>
        </a:stretch>
      </xdr:blipFill>
      <xdr:spPr>
        <a:xfrm>
          <a:off x="0" y="0"/>
          <a:ext cx="541655" cy="619125"/>
        </a:xfrm>
        <a:prstGeom prst="rect">
          <a:avLst/>
        </a:prstGeom>
        <a:noFill/>
        <a:ln w="9525" cap="flat" cmpd="sng">
          <a:noFill/>
          <a:prstDash val="solid"/>
          <a:miter/>
        </a:ln>
        <a:effectLst/>
      </xdr:spPr>
    </xdr:pic>
    <xdr:clientData/>
  </xdr:twoCellAnchor>
</xdr:wsDr>
</file>

<file path=xl/drawings/drawing39.xml><?xml version="1.0" encoding="utf-8"?>
<xdr:wsDr xmlns:xdr="http://schemas.openxmlformats.org/drawingml/2006/spreadsheetDrawing" xmlns:a="http://schemas.openxmlformats.org/drawingml/2006/main">
  <xdr:twoCellAnchor>
    <xdr:from>
      <xdr:col>0</xdr:col>
      <xdr:colOff>62579</xdr:colOff>
      <xdr:row>0</xdr:row>
      <xdr:rowOff>37951</xdr:rowOff>
    </xdr:from>
    <xdr:to>
      <xdr:col>0</xdr:col>
      <xdr:colOff>576388</xdr:colOff>
      <xdr:row>3</xdr:row>
      <xdr:rowOff>50601</xdr:rowOff>
    </xdr:to>
    <xdr:pic>
      <xdr:nvPicPr>
        <xdr:cNvPr id="2" name="Picture 277" descr=" ">
          <a:extLst>
            <a:ext uri="{FF2B5EF4-FFF2-40B4-BE49-F238E27FC236}">
              <a16:creationId xmlns:a16="http://schemas.microsoft.com/office/drawing/2014/main" id="{00000000-0008-0000-3100-000002000000}"/>
            </a:ext>
          </a:extLst>
        </xdr:cNvPr>
        <xdr:cNvPicPr/>
      </xdr:nvPicPr>
      <xdr:blipFill>
        <a:blip xmlns:r="http://schemas.openxmlformats.org/officeDocument/2006/relationships" r:embed="rId1"/>
        <a:srcRect/>
        <a:stretch>
          <a:fillRect/>
        </a:stretch>
      </xdr:blipFill>
      <xdr:spPr>
        <a:xfrm>
          <a:off x="62230" y="37465"/>
          <a:ext cx="513715" cy="584200"/>
        </a:xfrm>
        <a:prstGeom prst="rect">
          <a:avLst/>
        </a:prstGeom>
        <a:noFill/>
        <a:ln w="9525" cap="flat" cmpd="sng">
          <a:noFill/>
          <a:prstDash val="solid"/>
          <a:miter/>
        </a:ln>
        <a:effectLst/>
      </xdr:spPr>
    </xdr:pic>
    <xdr:clientData/>
  </xdr:twoCellAnchor>
</xdr:wsDr>
</file>

<file path=xl/drawings/drawing40.xml><?xml version="1.0" encoding="utf-8"?>
<xdr:wsDr xmlns:xdr="http://schemas.openxmlformats.org/drawingml/2006/spreadsheetDrawing" xmlns:a="http://schemas.openxmlformats.org/drawingml/2006/main">
  <xdr:twoCellAnchor>
    <xdr:from>
      <xdr:col>0</xdr:col>
      <xdr:colOff>62579</xdr:colOff>
      <xdr:row>0</xdr:row>
      <xdr:rowOff>37951</xdr:rowOff>
    </xdr:from>
    <xdr:to>
      <xdr:col>0</xdr:col>
      <xdr:colOff>576388</xdr:colOff>
      <xdr:row>3</xdr:row>
      <xdr:rowOff>50601</xdr:rowOff>
    </xdr:to>
    <xdr:pic>
      <xdr:nvPicPr>
        <xdr:cNvPr id="2" name="Picture 277" descr=" ">
          <a:extLst>
            <a:ext uri="{FF2B5EF4-FFF2-40B4-BE49-F238E27FC236}">
              <a16:creationId xmlns:a16="http://schemas.microsoft.com/office/drawing/2014/main" id="{00000000-0008-0000-3200-000002000000}"/>
            </a:ext>
          </a:extLst>
        </xdr:cNvPr>
        <xdr:cNvPicPr/>
      </xdr:nvPicPr>
      <xdr:blipFill>
        <a:blip xmlns:r="http://schemas.openxmlformats.org/officeDocument/2006/relationships" r:embed="rId1"/>
        <a:srcRect/>
        <a:stretch>
          <a:fillRect/>
        </a:stretch>
      </xdr:blipFill>
      <xdr:spPr>
        <a:xfrm>
          <a:off x="62230" y="37465"/>
          <a:ext cx="513715" cy="584200"/>
        </a:xfrm>
        <a:prstGeom prst="rect">
          <a:avLst/>
        </a:prstGeom>
        <a:noFill/>
        <a:ln w="9525" cap="flat" cmpd="sng">
          <a:noFill/>
          <a:prstDash val="solid"/>
          <a:miter/>
        </a:ln>
        <a:effec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LAPORAN/LAPORAN%20RC%20SAMATA%202025/AGUSTUS/PERIODE%2022-31%20AGUSTUS%20%202025%20NEW%20FIX.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Lenovo/AppData/Local/Microsoft/Windows/INetCache/IE/XXSZP8UU/LAPORAN%20ADMINT/FILE%20PANEL/HITUNGAN%20HARGA%20REGION%207%20202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Lenovo/AppData/Local/Microsoft/Windows/INetCache/IE/PH8UAUOU/ADMINISTRASI%20LAPORAN/LAPORAN%20ADMINT/FILE%20PANEL/MASTER%20FORM%20TERBARU%202022%20FIX.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TUNJUK PENGERJAAN"/>
      <sheetName val="SOP ADMINISTRASI"/>
      <sheetName val="LPKK"/>
      <sheetName val="WEEKLY MONTHLY"/>
      <sheetName val="VENDOR"/>
      <sheetName val="PEMBELIAN KREDIT"/>
      <sheetName val="IKHTISAR FOOD COST"/>
      <sheetName val="LEFT OVER"/>
      <sheetName val="TO - TI"/>
      <sheetName val="LAP. CF"/>
      <sheetName val="COST ANALYSIS"/>
      <sheetName val="SALES CONTROL"/>
      <sheetName val="LAPORAN KAS PERIODE"/>
      <sheetName val="LAP. PENJUALAN PPN 10 %"/>
      <sheetName val="HITUNGAN FC ITEM"/>
      <sheetName val="FC ITEM KELAS 3A"/>
      <sheetName val="LAP. PENJUALAN"/>
      <sheetName val="LAP. PENJUALAN GRAB FOOD"/>
      <sheetName val="LAP. PENJUALAN GOJEK"/>
      <sheetName val="LAP. PENJUALAN SHOPEE FOOD"/>
      <sheetName val="kas periode"/>
      <sheetName val="FOOD COST ITEM KELAS 2,3A,3B,4"/>
      <sheetName val="FC ITEM KELAS 2 "/>
      <sheetName val="FC ITEM KELAS 3B"/>
      <sheetName val="FC ITEM KELAS 4"/>
      <sheetName val="RANDOM COOK"/>
      <sheetName val="MCC"/>
      <sheetName val="PENANGGALAN "/>
      <sheetName val="PHT"/>
      <sheetName val="MO"/>
      <sheetName val="LKK"/>
      <sheetName val="LKK FULL PAJAK"/>
      <sheetName val="STOCK CONTROL CASHIER"/>
      <sheetName val="KOREKSI KASIR"/>
      <sheetName val="PLU NEW"/>
      <sheetName val="PLU GOJEK"/>
      <sheetName val="PLU GRABB "/>
      <sheetName val="PLU SHOPEE"/>
      <sheetName val="Sheet1"/>
      <sheetName val="LOG BOOK"/>
      <sheetName val="MANAGER CEK LIST"/>
      <sheetName val="INSENTIF"/>
      <sheetName val="MANAGEMENT BOOK"/>
      <sheetName val="JADWAL"/>
      <sheetName val="TO-TI PERKEDEL"/>
      <sheetName val="TO CATTERING STAFF"/>
      <sheetName val="Sheet2"/>
      <sheetName val="Sheet3"/>
      <sheetName val="Sheet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7">
          <cell r="B17">
            <v>17463.1578947368</v>
          </cell>
        </row>
        <row r="50">
          <cell r="H50">
            <v>51485.75</v>
          </cell>
        </row>
        <row r="109">
          <cell r="H109">
            <v>52887.4688888889</v>
          </cell>
        </row>
        <row r="132">
          <cell r="E132">
            <v>23388.75</v>
          </cell>
        </row>
        <row r="147">
          <cell r="E147">
            <v>36655.800000000003</v>
          </cell>
        </row>
      </sheetData>
      <sheetData sheetId="15">
        <row r="7">
          <cell r="G7">
            <v>0.62127468470339697</v>
          </cell>
        </row>
        <row r="8">
          <cell r="G8">
            <v>0.52742678893974104</v>
          </cell>
        </row>
        <row r="9">
          <cell r="G9">
            <v>0.46487806940572801</v>
          </cell>
        </row>
        <row r="10">
          <cell r="G10">
            <v>0.54622366620137297</v>
          </cell>
        </row>
        <row r="11">
          <cell r="G11">
            <v>0.39301911872298501</v>
          </cell>
        </row>
        <row r="12">
          <cell r="G12">
            <v>0.57043025459719499</v>
          </cell>
        </row>
        <row r="14">
          <cell r="G14">
            <v>0.46658333333333302</v>
          </cell>
        </row>
        <row r="15">
          <cell r="G15">
            <v>0.40704066985645898</v>
          </cell>
        </row>
        <row r="16">
          <cell r="G16">
            <v>0.55056765752424497</v>
          </cell>
        </row>
        <row r="17">
          <cell r="G17">
            <v>0.58816453145236203</v>
          </cell>
        </row>
        <row r="18">
          <cell r="G18">
            <v>0.56308146502081702</v>
          </cell>
        </row>
        <row r="21">
          <cell r="G21">
            <v>0.67452333333333303</v>
          </cell>
        </row>
        <row r="23">
          <cell r="G23">
            <v>0.41838999999999998</v>
          </cell>
        </row>
        <row r="74">
          <cell r="G74">
            <v>0.59839403474305697</v>
          </cell>
        </row>
      </sheetData>
      <sheetData sheetId="16">
        <row r="43">
          <cell r="M43">
            <v>4</v>
          </cell>
        </row>
        <row r="44">
          <cell r="M44">
            <v>1</v>
          </cell>
        </row>
        <row r="46">
          <cell r="M46">
            <v>1</v>
          </cell>
        </row>
        <row r="47">
          <cell r="M47">
            <v>1</v>
          </cell>
        </row>
        <row r="51">
          <cell r="M51">
            <v>2</v>
          </cell>
        </row>
        <row r="59">
          <cell r="M59">
            <v>4</v>
          </cell>
        </row>
        <row r="61">
          <cell r="M61">
            <v>1</v>
          </cell>
        </row>
        <row r="63">
          <cell r="M63">
            <v>1</v>
          </cell>
        </row>
        <row r="64">
          <cell r="M64">
            <v>8</v>
          </cell>
        </row>
        <row r="78">
          <cell r="M78">
            <v>1</v>
          </cell>
        </row>
        <row r="79">
          <cell r="M79">
            <v>1</v>
          </cell>
        </row>
        <row r="81">
          <cell r="M81">
            <v>4</v>
          </cell>
        </row>
        <row r="82">
          <cell r="M82">
            <v>1</v>
          </cell>
        </row>
        <row r="121">
          <cell r="M121">
            <v>4</v>
          </cell>
        </row>
        <row r="123">
          <cell r="M123">
            <v>1</v>
          </cell>
        </row>
        <row r="127">
          <cell r="M127">
            <v>1</v>
          </cell>
        </row>
        <row r="128">
          <cell r="M128">
            <v>1</v>
          </cell>
        </row>
        <row r="129">
          <cell r="M129">
            <v>6</v>
          </cell>
        </row>
        <row r="136">
          <cell r="M136">
            <v>1</v>
          </cell>
        </row>
      </sheetData>
      <sheetData sheetId="17">
        <row r="46">
          <cell r="M46">
            <v>1</v>
          </cell>
        </row>
        <row r="62">
          <cell r="M62">
            <v>1</v>
          </cell>
        </row>
        <row r="107">
          <cell r="M107">
            <v>1</v>
          </cell>
        </row>
        <row r="108">
          <cell r="M108">
            <v>1</v>
          </cell>
        </row>
      </sheetData>
      <sheetData sheetId="18">
        <row r="43">
          <cell r="M43">
            <v>1</v>
          </cell>
        </row>
        <row r="108">
          <cell r="M108">
            <v>1</v>
          </cell>
        </row>
      </sheetData>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ARGA "/>
      <sheetName val="HITUNGAN "/>
      <sheetName val="KELAS 1 DAN 2 "/>
      <sheetName val="KELAS 3"/>
      <sheetName val="KELAS 4"/>
      <sheetName val="NTB KELAS 1"/>
      <sheetName val="NTB KELAS 2"/>
    </sheetNames>
    <sheetDataSet>
      <sheetData sheetId="0"/>
      <sheetData sheetId="1"/>
      <sheetData sheetId="2"/>
      <sheetData sheetId="3"/>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P"/>
      <sheetName val="LAP. CF"/>
      <sheetName val="LAP. KAS "/>
      <sheetName val="TO TI"/>
      <sheetName val="WEEKLY FC"/>
      <sheetName val="LPKK"/>
      <sheetName val="LO"/>
      <sheetName val="Vendor"/>
      <sheetName val="P Kredit"/>
      <sheetName val="RANDOM"/>
      <sheetName val="IHTISAR FC"/>
      <sheetName val="MTD RC1"/>
      <sheetName val="PLU"/>
      <sheetName val="FORM ORDER BARANG"/>
      <sheetName val="Sheet1"/>
      <sheetName val="FC PER ITEM"/>
      <sheetName val="Sheet2"/>
      <sheetName val="Sheet3"/>
    </sheetNames>
    <sheetDataSet>
      <sheetData sheetId="0" refreshError="1">
        <row r="3">
          <cell r="K3" t="str">
            <v>PERIODE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4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3:D61"/>
  <sheetViews>
    <sheetView workbookViewId="0">
      <selection activeCell="G72" sqref="A1:K115"/>
    </sheetView>
  </sheetViews>
  <sheetFormatPr defaultColWidth="10" defaultRowHeight="12.5"/>
  <cols>
    <col min="1" max="1" width="6.7265625" customWidth="1"/>
    <col min="2" max="2" width="96.7265625" customWidth="1"/>
    <col min="3" max="3" width="24.7265625" customWidth="1"/>
    <col min="4" max="4" width="27.26953125" customWidth="1"/>
  </cols>
  <sheetData>
    <row r="3" spans="1:2" ht="32.25" customHeight="1"/>
    <row r="6" spans="1:2" ht="42.75" customHeight="1">
      <c r="A6" s="2167"/>
      <c r="B6" s="2168" t="s">
        <v>0</v>
      </c>
    </row>
    <row r="7" spans="1:2" ht="20.149999999999999" customHeight="1">
      <c r="A7" s="2169" t="s">
        <v>1</v>
      </c>
      <c r="B7" s="2170" t="s">
        <v>2</v>
      </c>
    </row>
    <row r="8" spans="1:2">
      <c r="A8" s="2171"/>
      <c r="B8" s="2172"/>
    </row>
    <row r="9" spans="1:2" ht="25">
      <c r="A9" s="146"/>
      <c r="B9" s="2173" t="s">
        <v>3</v>
      </c>
    </row>
    <row r="10" spans="1:2">
      <c r="A10" s="146"/>
      <c r="B10" s="2173" t="s">
        <v>4</v>
      </c>
    </row>
    <row r="11" spans="1:2" ht="26">
      <c r="A11" s="146"/>
      <c r="B11" s="2173" t="s">
        <v>5</v>
      </c>
    </row>
    <row r="12" spans="1:2">
      <c r="A12" s="146"/>
      <c r="B12" s="2173"/>
    </row>
    <row r="13" spans="1:2" ht="20.149999999999999" customHeight="1">
      <c r="A13" s="2174" t="s">
        <v>6</v>
      </c>
      <c r="B13" s="2175" t="s">
        <v>7</v>
      </c>
    </row>
    <row r="14" spans="1:2" ht="25">
      <c r="A14" s="146"/>
      <c r="B14" s="2173" t="s">
        <v>8</v>
      </c>
    </row>
    <row r="15" spans="1:2" ht="25">
      <c r="A15" s="146"/>
      <c r="B15" s="2173" t="s">
        <v>9</v>
      </c>
    </row>
    <row r="16" spans="1:2" ht="25">
      <c r="A16" s="146"/>
      <c r="B16" s="2173" t="s">
        <v>10</v>
      </c>
    </row>
    <row r="17" spans="1:2" ht="37.5">
      <c r="A17" s="146"/>
      <c r="B17" s="2173" t="s">
        <v>11</v>
      </c>
    </row>
    <row r="18" spans="1:2" ht="25">
      <c r="A18" s="146"/>
      <c r="B18" s="2173" t="s">
        <v>12</v>
      </c>
    </row>
    <row r="19" spans="1:2">
      <c r="A19" s="146"/>
      <c r="B19" s="2176"/>
    </row>
    <row r="20" spans="1:2" ht="20.149999999999999" customHeight="1">
      <c r="A20" s="2174" t="s">
        <v>13</v>
      </c>
      <c r="B20" s="2175" t="s">
        <v>14</v>
      </c>
    </row>
    <row r="21" spans="1:2" ht="75">
      <c r="A21" s="146"/>
      <c r="B21" s="2173" t="s">
        <v>15</v>
      </c>
    </row>
    <row r="22" spans="1:2">
      <c r="A22" s="146"/>
      <c r="B22" s="2176"/>
    </row>
    <row r="23" spans="1:2" ht="20.149999999999999" customHeight="1">
      <c r="A23" s="2174" t="s">
        <v>16</v>
      </c>
      <c r="B23" s="2175" t="s">
        <v>17</v>
      </c>
    </row>
    <row r="24" spans="1:2" ht="25">
      <c r="A24" s="146"/>
      <c r="B24" s="2173" t="s">
        <v>18</v>
      </c>
    </row>
    <row r="25" spans="1:2" ht="37.5">
      <c r="A25" s="146"/>
      <c r="B25" s="2173" t="s">
        <v>19</v>
      </c>
    </row>
    <row r="26" spans="1:2">
      <c r="A26" s="146"/>
      <c r="B26" s="2176" t="s">
        <v>20</v>
      </c>
    </row>
    <row r="27" spans="1:2">
      <c r="A27" s="146"/>
      <c r="B27" s="2176"/>
    </row>
    <row r="28" spans="1:2" ht="20.149999999999999" customHeight="1">
      <c r="A28" s="2174" t="s">
        <v>21</v>
      </c>
      <c r="B28" s="2175" t="s">
        <v>22</v>
      </c>
    </row>
    <row r="29" spans="1:2">
      <c r="A29" s="146"/>
      <c r="B29" s="2176" t="s">
        <v>23</v>
      </c>
    </row>
    <row r="30" spans="1:2">
      <c r="A30" s="146"/>
      <c r="B30" s="2176" t="s">
        <v>24</v>
      </c>
    </row>
    <row r="31" spans="1:2">
      <c r="A31" s="146"/>
      <c r="B31" s="2176"/>
    </row>
    <row r="32" spans="1:2">
      <c r="A32" s="146"/>
      <c r="B32" s="2176"/>
    </row>
    <row r="33" spans="1:4" ht="20.149999999999999" customHeight="1">
      <c r="A33" s="2174" t="s">
        <v>25</v>
      </c>
      <c r="B33" s="2175" t="s">
        <v>26</v>
      </c>
    </row>
    <row r="34" spans="1:4" ht="26">
      <c r="A34" s="146"/>
      <c r="B34" s="2173" t="s">
        <v>27</v>
      </c>
    </row>
    <row r="35" spans="1:4" ht="26">
      <c r="A35" s="146"/>
      <c r="B35" s="2173" t="s">
        <v>28</v>
      </c>
    </row>
    <row r="36" spans="1:4" ht="26">
      <c r="A36" s="146"/>
      <c r="B36" s="2173" t="s">
        <v>29</v>
      </c>
      <c r="D36" s="2177"/>
    </row>
    <row r="37" spans="1:4">
      <c r="A37" s="146"/>
      <c r="B37" s="2173"/>
      <c r="D37" s="2177"/>
    </row>
    <row r="38" spans="1:4" s="48" customFormat="1" ht="20.149999999999999" customHeight="1">
      <c r="A38" s="2174" t="s">
        <v>30</v>
      </c>
      <c r="B38" s="2175" t="s">
        <v>31</v>
      </c>
      <c r="D38" s="2177"/>
    </row>
    <row r="39" spans="1:4" ht="25">
      <c r="A39" s="2178"/>
      <c r="B39" s="2173" t="s">
        <v>32</v>
      </c>
      <c r="D39" s="2177"/>
    </row>
    <row r="40" spans="1:4" ht="13">
      <c r="A40" s="2178"/>
      <c r="B40" s="2176" t="s">
        <v>33</v>
      </c>
      <c r="D40" s="2177"/>
    </row>
    <row r="41" spans="1:4" ht="13">
      <c r="A41" s="2178"/>
      <c r="B41" s="2176" t="s">
        <v>34</v>
      </c>
      <c r="D41" s="2177"/>
    </row>
    <row r="42" spans="1:4" ht="39">
      <c r="A42" s="2178"/>
      <c r="B42" s="2179" t="s">
        <v>35</v>
      </c>
      <c r="D42" s="2177"/>
    </row>
    <row r="43" spans="1:4" ht="25">
      <c r="A43" s="2178"/>
      <c r="B43" s="2173" t="s">
        <v>36</v>
      </c>
    </row>
    <row r="44" spans="1:4" ht="25">
      <c r="A44" s="2178"/>
      <c r="B44" s="2173" t="s">
        <v>37</v>
      </c>
    </row>
    <row r="45" spans="1:4" ht="13">
      <c r="A45" s="2178"/>
      <c r="B45" s="2180"/>
    </row>
    <row r="46" spans="1:4" ht="52">
      <c r="A46" s="2178" t="s">
        <v>38</v>
      </c>
      <c r="B46" s="2173" t="s">
        <v>39</v>
      </c>
    </row>
    <row r="47" spans="1:4" ht="13">
      <c r="A47" s="2178"/>
      <c r="B47" s="2180"/>
    </row>
    <row r="48" spans="1:4" ht="37.5">
      <c r="A48" s="2178" t="s">
        <v>40</v>
      </c>
      <c r="B48" s="2173" t="s">
        <v>41</v>
      </c>
    </row>
    <row r="49" spans="1:2">
      <c r="A49" s="2181"/>
      <c r="B49" s="2176"/>
    </row>
    <row r="50" spans="1:2" ht="25">
      <c r="A50" s="2178" t="s">
        <v>42</v>
      </c>
      <c r="B50" s="2173" t="s">
        <v>43</v>
      </c>
    </row>
    <row r="51" spans="1:2">
      <c r="A51" s="2181"/>
      <c r="B51" s="2176"/>
    </row>
    <row r="52" spans="1:2" ht="25">
      <c r="A52" s="2178" t="s">
        <v>44</v>
      </c>
      <c r="B52" s="2173" t="s">
        <v>45</v>
      </c>
    </row>
    <row r="53" spans="1:2">
      <c r="A53" s="2181"/>
      <c r="B53" s="2176"/>
    </row>
    <row r="54" spans="1:2" ht="37.5">
      <c r="A54" s="2178" t="s">
        <v>46</v>
      </c>
      <c r="B54" s="2173" t="s">
        <v>47</v>
      </c>
    </row>
    <row r="55" spans="1:2" ht="13">
      <c r="A55" s="2182"/>
      <c r="B55" s="2183"/>
    </row>
    <row r="56" spans="1:2" ht="13">
      <c r="A56" s="2182">
        <v>13</v>
      </c>
      <c r="B56" s="2184" t="s">
        <v>48</v>
      </c>
    </row>
    <row r="57" spans="1:2" ht="13">
      <c r="A57" s="2182"/>
      <c r="B57" s="2183"/>
    </row>
    <row r="58" spans="1:2" ht="26">
      <c r="A58" s="2182">
        <v>14</v>
      </c>
      <c r="B58" s="2184" t="s">
        <v>49</v>
      </c>
    </row>
    <row r="59" spans="1:2" ht="13">
      <c r="A59" s="2182"/>
      <c r="B59" s="2183"/>
    </row>
    <row r="60" spans="1:2" ht="13">
      <c r="A60" s="2182"/>
      <c r="B60" s="2183"/>
    </row>
    <row r="61" spans="1:2">
      <c r="A61" s="46"/>
      <c r="B61" s="2185"/>
    </row>
  </sheetData>
  <pageMargins left="0.7" right="0.7" top="0.75" bottom="0.75" header="0.3" footer="0.3"/>
  <pageSetup paperSize="10001" fitToWidth="0" fitToHeight="0"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6:B37"/>
  <sheetViews>
    <sheetView topLeftCell="A2" workbookViewId="0">
      <selection activeCell="G72" sqref="A1:K115"/>
    </sheetView>
  </sheetViews>
  <sheetFormatPr defaultColWidth="10" defaultRowHeight="12.5"/>
  <cols>
    <col min="1" max="1" width="8.1796875" customWidth="1"/>
    <col min="2" max="2" width="147.7265625" customWidth="1"/>
  </cols>
  <sheetData>
    <row r="6" spans="1:2" ht="25.9" customHeight="1">
      <c r="A6" s="2146"/>
      <c r="B6" s="2147" t="s">
        <v>50</v>
      </c>
    </row>
    <row r="7" spans="1:2" ht="13">
      <c r="A7" s="2148"/>
      <c r="B7" s="2149"/>
    </row>
    <row r="8" spans="1:2" ht="46.5">
      <c r="A8" s="2150">
        <v>1</v>
      </c>
      <c r="B8" s="2151" t="s">
        <v>51</v>
      </c>
    </row>
    <row r="9" spans="1:2" ht="13">
      <c r="A9" s="2150"/>
      <c r="B9" s="2152"/>
    </row>
    <row r="10" spans="1:2" ht="31">
      <c r="A10" s="2150">
        <v>2</v>
      </c>
      <c r="B10" s="2153" t="s">
        <v>52</v>
      </c>
    </row>
    <row r="11" spans="1:2" ht="13">
      <c r="A11" s="2150"/>
      <c r="B11" s="2152"/>
    </row>
    <row r="12" spans="1:2" ht="31">
      <c r="A12" s="2150">
        <v>3</v>
      </c>
      <c r="B12" s="2153" t="s">
        <v>53</v>
      </c>
    </row>
    <row r="13" spans="1:2" ht="13">
      <c r="A13" s="2150"/>
      <c r="B13" s="2154"/>
    </row>
    <row r="14" spans="1:2" ht="15.5">
      <c r="A14" s="2150">
        <v>4</v>
      </c>
      <c r="B14" s="2155" t="s">
        <v>54</v>
      </c>
    </row>
    <row r="15" spans="1:2" ht="13">
      <c r="A15" s="2150"/>
      <c r="B15" s="2152"/>
    </row>
    <row r="16" spans="1:2" ht="31">
      <c r="A16" s="2150">
        <v>5</v>
      </c>
      <c r="B16" s="2156" t="s">
        <v>55</v>
      </c>
    </row>
    <row r="17" spans="1:2">
      <c r="A17" s="2157"/>
      <c r="B17" s="2152"/>
    </row>
    <row r="18" spans="1:2" ht="31">
      <c r="A18" s="2158">
        <v>6</v>
      </c>
      <c r="B18" s="2159" t="s">
        <v>56</v>
      </c>
    </row>
    <row r="19" spans="1:2">
      <c r="A19" s="2157"/>
      <c r="B19" s="2160"/>
    </row>
    <row r="20" spans="1:2" ht="15.5">
      <c r="A20" s="2158">
        <v>7</v>
      </c>
      <c r="B20" s="2161" t="s">
        <v>57</v>
      </c>
    </row>
    <row r="21" spans="1:2" ht="15.5">
      <c r="A21" s="2157"/>
      <c r="B21" s="2159"/>
    </row>
    <row r="22" spans="1:2" ht="31">
      <c r="A22" s="2158">
        <v>8</v>
      </c>
      <c r="B22" s="2159" t="s">
        <v>58</v>
      </c>
    </row>
    <row r="23" spans="1:2" ht="13">
      <c r="A23" s="2158"/>
      <c r="B23" s="2154"/>
    </row>
    <row r="24" spans="1:2" ht="15">
      <c r="A24" s="2158">
        <v>9</v>
      </c>
      <c r="B24" s="2162" t="s">
        <v>59</v>
      </c>
    </row>
    <row r="25" spans="1:2" ht="13">
      <c r="A25" s="2158"/>
      <c r="B25" s="2152"/>
    </row>
    <row r="26" spans="1:2" ht="15">
      <c r="A26" s="2158">
        <v>10</v>
      </c>
      <c r="B26" s="2163" t="s">
        <v>49</v>
      </c>
    </row>
    <row r="27" spans="1:2" ht="13">
      <c r="A27" s="2158"/>
      <c r="B27" s="2160"/>
    </row>
    <row r="28" spans="1:2" ht="13">
      <c r="A28" s="2158"/>
      <c r="B28" s="2152"/>
    </row>
    <row r="29" spans="1:2" ht="13">
      <c r="A29" s="2158"/>
      <c r="B29" s="2152"/>
    </row>
    <row r="30" spans="1:2" ht="13">
      <c r="A30" s="2158"/>
      <c r="B30" s="2152"/>
    </row>
    <row r="31" spans="1:2">
      <c r="A31" s="2157"/>
      <c r="B31" s="2152"/>
    </row>
    <row r="32" spans="1:2" ht="13">
      <c r="A32" s="2158"/>
      <c r="B32" s="2154"/>
    </row>
    <row r="33" spans="1:2" ht="13">
      <c r="A33" s="2158"/>
      <c r="B33" s="2152"/>
    </row>
    <row r="34" spans="1:2" ht="13">
      <c r="A34" s="2158"/>
      <c r="B34" s="2160"/>
    </row>
    <row r="35" spans="1:2" ht="13">
      <c r="A35" s="2158"/>
      <c r="B35" s="2164"/>
    </row>
    <row r="36" spans="1:2" ht="13">
      <c r="A36" s="2158"/>
      <c r="B36" s="2152"/>
    </row>
    <row r="37" spans="1:2">
      <c r="A37" s="2165"/>
      <c r="B37" s="2166"/>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pageSetUpPr fitToPage="1"/>
  </sheetPr>
  <dimension ref="A1:T599"/>
  <sheetViews>
    <sheetView topLeftCell="A328" workbookViewId="0">
      <selection activeCell="G72" sqref="A1:K124"/>
    </sheetView>
  </sheetViews>
  <sheetFormatPr defaultColWidth="9.26953125" defaultRowHeight="13"/>
  <cols>
    <col min="1" max="1" width="5.54296875" style="532" customWidth="1"/>
    <col min="2" max="2" width="34.26953125" style="532" customWidth="1"/>
    <col min="3" max="3" width="8.1796875" style="532" customWidth="1"/>
    <col min="4" max="5" width="17.54296875" style="532" customWidth="1"/>
    <col min="6" max="6" width="23.7265625" style="532" customWidth="1"/>
    <col min="7" max="7" width="6.26953125" style="532" hidden="1" customWidth="1"/>
    <col min="8" max="8" width="6.7265625" style="532" hidden="1" customWidth="1"/>
    <col min="9" max="9" width="12.26953125" style="532" hidden="1" customWidth="1"/>
    <col min="10" max="10" width="3.26953125" style="532" customWidth="1"/>
    <col min="11" max="13" width="9.26953125" style="532"/>
    <col min="14" max="15" width="10" style="532" customWidth="1"/>
    <col min="16" max="16384" width="9.26953125" style="532"/>
  </cols>
  <sheetData>
    <row r="1" spans="1:15">
      <c r="B1" s="532" t="s">
        <v>60</v>
      </c>
    </row>
    <row r="2" spans="1:15">
      <c r="E2" s="532" t="s">
        <v>61</v>
      </c>
    </row>
    <row r="3" spans="1:15" ht="23.5">
      <c r="A3" s="2188" t="s">
        <v>62</v>
      </c>
      <c r="B3" s="2188"/>
      <c r="C3" s="2188"/>
      <c r="D3" s="2188"/>
      <c r="E3" s="2188"/>
      <c r="F3" s="2188"/>
      <c r="J3" s="1997"/>
      <c r="K3" s="2196"/>
    </row>
    <row r="4" spans="1:15">
      <c r="A4" s="1069"/>
      <c r="B4" s="1069"/>
      <c r="J4" s="1997"/>
      <c r="K4" s="2196"/>
    </row>
    <row r="5" spans="1:15" ht="18.5">
      <c r="A5" s="1951" t="s">
        <v>60</v>
      </c>
      <c r="B5" s="1069"/>
      <c r="E5" s="110" t="s">
        <v>63</v>
      </c>
      <c r="F5" s="547" t="str">
        <f>LPKK!O4</f>
        <v>RC SAMATA GOWA</v>
      </c>
      <c r="J5" s="1997"/>
      <c r="K5" s="2196"/>
    </row>
    <row r="6" spans="1:15" ht="18.5">
      <c r="A6" s="1951"/>
      <c r="B6" s="1069"/>
      <c r="E6" s="110" t="s">
        <v>64</v>
      </c>
      <c r="F6" s="1952" t="str">
        <f>LPKK!O5</f>
        <v>8-14 JANUARI 2025</v>
      </c>
      <c r="J6" s="1997"/>
      <c r="K6" s="2196"/>
    </row>
    <row r="7" spans="1:15">
      <c r="A7" s="1069"/>
      <c r="J7" s="1997"/>
      <c r="K7" s="2196"/>
    </row>
    <row r="8" spans="1:15" ht="4.1500000000000004" customHeight="1">
      <c r="A8" s="919"/>
      <c r="B8" s="920"/>
      <c r="C8" s="920"/>
      <c r="D8" s="920"/>
      <c r="E8" s="920"/>
      <c r="F8" s="1953"/>
      <c r="J8" s="1997"/>
      <c r="K8" s="2196"/>
    </row>
    <row r="9" spans="1:15" s="561" customFormat="1" ht="18" customHeight="1">
      <c r="A9" s="1954" t="s">
        <v>65</v>
      </c>
      <c r="B9" s="1955" t="s">
        <v>66</v>
      </c>
      <c r="C9" s="1956" t="s">
        <v>67</v>
      </c>
      <c r="D9" s="1956" t="s">
        <v>68</v>
      </c>
      <c r="E9" s="1956" t="s">
        <v>69</v>
      </c>
      <c r="F9" s="1957" t="s">
        <v>70</v>
      </c>
      <c r="J9" s="1998"/>
      <c r="K9" s="2196"/>
    </row>
    <row r="10" spans="1:15" ht="21">
      <c r="A10" s="1958" t="s">
        <v>71</v>
      </c>
      <c r="B10" s="2189" t="s">
        <v>72</v>
      </c>
      <c r="C10" s="2190"/>
      <c r="D10" s="2190"/>
      <c r="E10" s="2190"/>
      <c r="F10" s="2191"/>
      <c r="H10" s="1960"/>
      <c r="J10" s="1997"/>
      <c r="K10" s="2196"/>
    </row>
    <row r="11" spans="1:15" ht="14.5">
      <c r="A11" s="1961">
        <v>1</v>
      </c>
      <c r="B11" s="1962" t="s">
        <v>73</v>
      </c>
      <c r="C11" s="1963" t="s">
        <v>74</v>
      </c>
      <c r="D11" s="1964">
        <v>112.3</v>
      </c>
      <c r="E11" s="1965">
        <v>6154.7692307692296</v>
      </c>
      <c r="F11" s="1966">
        <f>D11*E11</f>
        <v>691180.584615384</v>
      </c>
      <c r="H11" s="573"/>
      <c r="I11" s="1999"/>
      <c r="J11" s="2000"/>
      <c r="K11" s="2196"/>
      <c r="L11" s="2001"/>
    </row>
    <row r="12" spans="1:15" ht="14.5">
      <c r="A12" s="1967">
        <v>2</v>
      </c>
      <c r="B12" s="1968" t="s">
        <v>75</v>
      </c>
      <c r="C12" s="1969" t="s">
        <v>74</v>
      </c>
      <c r="D12" s="1964">
        <v>208</v>
      </c>
      <c r="E12" s="1965">
        <v>7385.72307692308</v>
      </c>
      <c r="F12" s="1966">
        <f t="shared" ref="F12:F30" si="0">D12*E12</f>
        <v>1536230.3999999999</v>
      </c>
      <c r="H12" s="573"/>
      <c r="J12" s="1997"/>
      <c r="K12" s="2196"/>
      <c r="L12" s="2001"/>
      <c r="M12" s="2001"/>
      <c r="N12" s="1999"/>
      <c r="O12" s="1999"/>
    </row>
    <row r="13" spans="1:15" ht="14.5">
      <c r="A13" s="1967">
        <v>3</v>
      </c>
      <c r="B13" s="1968" t="s">
        <v>76</v>
      </c>
      <c r="C13" s="1969" t="s">
        <v>74</v>
      </c>
      <c r="D13" s="1964">
        <v>208</v>
      </c>
      <c r="E13" s="1965">
        <v>5949.6102692307704</v>
      </c>
      <c r="F13" s="1966">
        <f t="shared" si="0"/>
        <v>1237518.936</v>
      </c>
      <c r="H13" s="573"/>
      <c r="J13" s="1997"/>
      <c r="K13" s="2196"/>
      <c r="L13" s="2001"/>
      <c r="M13" s="2001"/>
    </row>
    <row r="14" spans="1:15" ht="14.5">
      <c r="A14" s="1967">
        <v>4</v>
      </c>
      <c r="B14" s="1968" t="s">
        <v>77</v>
      </c>
      <c r="C14" s="1969" t="s">
        <v>74</v>
      </c>
      <c r="D14" s="1964">
        <v>240</v>
      </c>
      <c r="E14" s="1965">
        <v>3898.01923076923</v>
      </c>
      <c r="F14" s="1966">
        <f t="shared" si="0"/>
        <v>935524.61538461503</v>
      </c>
      <c r="H14" s="573"/>
      <c r="J14" s="1997"/>
      <c r="K14" s="2196"/>
      <c r="L14" s="2001"/>
    </row>
    <row r="15" spans="1:15" ht="14.65" customHeight="1">
      <c r="A15" s="1967">
        <v>5</v>
      </c>
      <c r="B15" s="1968" t="s">
        <v>78</v>
      </c>
      <c r="C15" s="1969" t="s">
        <v>74</v>
      </c>
      <c r="D15" s="1964">
        <v>210</v>
      </c>
      <c r="E15" s="1965">
        <v>4308.3384615384603</v>
      </c>
      <c r="F15" s="1966">
        <f t="shared" si="0"/>
        <v>904751.07692307699</v>
      </c>
      <c r="H15" s="573"/>
      <c r="J15" s="1997"/>
      <c r="K15" s="2197" t="s">
        <v>79</v>
      </c>
      <c r="L15" s="2001">
        <f>SUM(D11:D15)</f>
        <v>978.3</v>
      </c>
    </row>
    <row r="16" spans="1:15" ht="14.5">
      <c r="A16" s="1967">
        <v>6</v>
      </c>
      <c r="B16" s="1968" t="s">
        <v>80</v>
      </c>
      <c r="C16" s="1969" t="s">
        <v>74</v>
      </c>
      <c r="D16" s="1964">
        <v>11</v>
      </c>
      <c r="E16" s="1965">
        <v>3729.36029411765</v>
      </c>
      <c r="F16" s="1966">
        <f t="shared" si="0"/>
        <v>41022.963235294097</v>
      </c>
      <c r="J16" s="1997"/>
      <c r="K16" s="2197"/>
      <c r="L16" s="2001">
        <f>L15/414</f>
        <v>2.3630434782608698</v>
      </c>
      <c r="M16" s="2001"/>
    </row>
    <row r="17" spans="1:14" ht="14.5">
      <c r="A17" s="1967">
        <v>7</v>
      </c>
      <c r="B17" s="1968" t="s">
        <v>81</v>
      </c>
      <c r="C17" s="1969" t="s">
        <v>74</v>
      </c>
      <c r="D17" s="1964"/>
      <c r="E17" s="1965"/>
      <c r="F17" s="1966">
        <f t="shared" si="0"/>
        <v>0</v>
      </c>
      <c r="J17" s="1997"/>
      <c r="K17" s="2197"/>
      <c r="L17" s="2001"/>
    </row>
    <row r="18" spans="1:14" ht="14.5">
      <c r="A18" s="1967">
        <v>8</v>
      </c>
      <c r="B18" s="1968" t="s">
        <v>82</v>
      </c>
      <c r="C18" s="1969" t="s">
        <v>74</v>
      </c>
      <c r="D18" s="1964"/>
      <c r="E18" s="1965"/>
      <c r="F18" s="1966">
        <f t="shared" si="0"/>
        <v>0</v>
      </c>
      <c r="J18" s="1997"/>
      <c r="K18" s="2197"/>
      <c r="L18" s="2001"/>
      <c r="M18" s="2001"/>
    </row>
    <row r="19" spans="1:14" ht="14.5">
      <c r="A19" s="1967">
        <v>9</v>
      </c>
      <c r="B19" s="1968" t="s">
        <v>83</v>
      </c>
      <c r="C19" s="1969" t="s">
        <v>74</v>
      </c>
      <c r="D19" s="1964"/>
      <c r="E19" s="1965"/>
      <c r="F19" s="1966">
        <f t="shared" si="0"/>
        <v>0</v>
      </c>
      <c r="J19" s="1997"/>
      <c r="K19" s="2197"/>
      <c r="N19" s="2002"/>
    </row>
    <row r="20" spans="1:14" ht="14.5">
      <c r="A20" s="1967">
        <v>10</v>
      </c>
      <c r="B20" s="1968" t="s">
        <v>84</v>
      </c>
      <c r="C20" s="1969" t="s">
        <v>74</v>
      </c>
      <c r="D20" s="1964"/>
      <c r="E20" s="1965">
        <v>4904.8888888888896</v>
      </c>
      <c r="F20" s="1966">
        <f t="shared" si="0"/>
        <v>0</v>
      </c>
      <c r="J20" s="1997"/>
      <c r="K20" s="2197"/>
    </row>
    <row r="21" spans="1:14" ht="14.5">
      <c r="A21" s="1967">
        <v>11</v>
      </c>
      <c r="B21" s="1968" t="s">
        <v>85</v>
      </c>
      <c r="C21" s="1969" t="s">
        <v>74</v>
      </c>
      <c r="D21" s="1964"/>
      <c r="E21" s="1965">
        <v>5722.3703703703704</v>
      </c>
      <c r="F21" s="1966">
        <f t="shared" si="0"/>
        <v>0</v>
      </c>
      <c r="J21" s="1997"/>
      <c r="K21" s="2197"/>
    </row>
    <row r="22" spans="1:14" ht="14.5">
      <c r="A22" s="1967">
        <v>12</v>
      </c>
      <c r="B22" s="1968" t="s">
        <v>86</v>
      </c>
      <c r="C22" s="1969" t="s">
        <v>74</v>
      </c>
      <c r="D22" s="1964"/>
      <c r="E22" s="1965">
        <v>5313.6296296296296</v>
      </c>
      <c r="F22" s="1966">
        <f t="shared" si="0"/>
        <v>0</v>
      </c>
      <c r="J22" s="1997"/>
      <c r="K22" s="2197"/>
      <c r="L22" s="2001"/>
    </row>
    <row r="23" spans="1:14" ht="14.5">
      <c r="A23" s="1967">
        <v>13</v>
      </c>
      <c r="B23" s="1968" t="s">
        <v>87</v>
      </c>
      <c r="C23" s="1969" t="s">
        <v>74</v>
      </c>
      <c r="D23" s="1964"/>
      <c r="E23" s="1965">
        <v>3269.9259259259302</v>
      </c>
      <c r="F23" s="1966">
        <f t="shared" si="0"/>
        <v>0</v>
      </c>
      <c r="J23" s="1997"/>
      <c r="K23" s="2197"/>
      <c r="L23" s="2001"/>
    </row>
    <row r="24" spans="1:14" ht="14.5">
      <c r="A24" s="1967">
        <v>14</v>
      </c>
      <c r="B24" s="1968" t="s">
        <v>88</v>
      </c>
      <c r="C24" s="1969" t="s">
        <v>74</v>
      </c>
      <c r="D24" s="1964"/>
      <c r="E24" s="1965">
        <v>3678.6666666666702</v>
      </c>
      <c r="F24" s="1966">
        <f t="shared" si="0"/>
        <v>0</v>
      </c>
      <c r="J24" s="1997"/>
      <c r="K24" s="2197"/>
    </row>
    <row r="25" spans="1:14" ht="14.5">
      <c r="A25" s="1967">
        <v>15</v>
      </c>
      <c r="B25" s="1968" t="s">
        <v>89</v>
      </c>
      <c r="C25" s="1969" t="s">
        <v>90</v>
      </c>
      <c r="D25" s="1964">
        <v>30</v>
      </c>
      <c r="E25" s="1965">
        <v>35000</v>
      </c>
      <c r="F25" s="1966">
        <f t="shared" si="0"/>
        <v>1050000</v>
      </c>
      <c r="J25" s="1997"/>
      <c r="K25" s="2197"/>
    </row>
    <row r="26" spans="1:14" ht="14.5">
      <c r="A26" s="1967">
        <v>16</v>
      </c>
      <c r="B26" s="1331"/>
      <c r="C26" s="1969"/>
      <c r="D26" s="1964"/>
      <c r="E26" s="1965"/>
      <c r="F26" s="1966">
        <f t="shared" si="0"/>
        <v>0</v>
      </c>
      <c r="J26" s="1997"/>
      <c r="K26" s="2197"/>
    </row>
    <row r="27" spans="1:14" ht="14.5">
      <c r="A27" s="1967">
        <v>17</v>
      </c>
      <c r="B27" s="1331"/>
      <c r="C27" s="1969"/>
      <c r="D27" s="1964"/>
      <c r="E27" s="1965"/>
      <c r="F27" s="1966">
        <f t="shared" si="0"/>
        <v>0</v>
      </c>
      <c r="J27" s="1997"/>
      <c r="K27" s="2197"/>
    </row>
    <row r="28" spans="1:14" ht="14.5">
      <c r="A28" s="1967">
        <v>18</v>
      </c>
      <c r="B28" s="1331"/>
      <c r="C28" s="1969"/>
      <c r="D28" s="1964"/>
      <c r="E28" s="1965"/>
      <c r="F28" s="1966">
        <f t="shared" si="0"/>
        <v>0</v>
      </c>
      <c r="J28" s="1997"/>
      <c r="K28" s="2197"/>
    </row>
    <row r="29" spans="1:14" ht="14.5">
      <c r="A29" s="1967">
        <v>19</v>
      </c>
      <c r="B29" s="1331"/>
      <c r="C29" s="1969"/>
      <c r="D29" s="1964"/>
      <c r="E29" s="1965"/>
      <c r="F29" s="1966">
        <f t="shared" si="0"/>
        <v>0</v>
      </c>
      <c r="J29" s="1997"/>
      <c r="K29" s="2197"/>
    </row>
    <row r="30" spans="1:14" ht="14.5">
      <c r="A30" s="1967">
        <v>20</v>
      </c>
      <c r="B30" s="1970"/>
      <c r="C30" s="1969"/>
      <c r="D30" s="1964"/>
      <c r="E30" s="1965"/>
      <c r="F30" s="1966">
        <f t="shared" si="0"/>
        <v>0</v>
      </c>
      <c r="J30" s="1997"/>
      <c r="K30" s="2197"/>
    </row>
    <row r="31" spans="1:14" ht="25.15" customHeight="1">
      <c r="A31" s="1971"/>
      <c r="B31" s="1972"/>
      <c r="C31" s="1973"/>
      <c r="D31" s="1974"/>
      <c r="E31" s="715" t="s">
        <v>91</v>
      </c>
      <c r="F31" s="1975">
        <f>SUM(F11:F30)</f>
        <v>6396228.5761583699</v>
      </c>
      <c r="J31" s="1997"/>
      <c r="K31" s="2197"/>
    </row>
    <row r="32" spans="1:14" ht="21">
      <c r="A32" s="1976" t="s">
        <v>92</v>
      </c>
      <c r="B32" s="2189" t="s">
        <v>93</v>
      </c>
      <c r="C32" s="2190"/>
      <c r="D32" s="2190"/>
      <c r="E32" s="2190"/>
      <c r="F32" s="2191"/>
      <c r="J32" s="1997"/>
      <c r="K32" s="2197"/>
    </row>
    <row r="33" spans="1:11" ht="14.5">
      <c r="A33" s="1961">
        <v>1</v>
      </c>
      <c r="B33" s="1962" t="s">
        <v>94</v>
      </c>
      <c r="C33" s="1963" t="s">
        <v>95</v>
      </c>
      <c r="D33" s="1977">
        <v>2.5</v>
      </c>
      <c r="E33" s="1978">
        <v>30000</v>
      </c>
      <c r="F33" s="1966">
        <f>D33*E33</f>
        <v>75000</v>
      </c>
      <c r="G33" s="1141"/>
      <c r="H33" s="1141"/>
      <c r="I33" s="1141"/>
      <c r="J33" s="1997"/>
      <c r="K33" s="2197"/>
    </row>
    <row r="34" spans="1:11" ht="14.25" customHeight="1">
      <c r="A34" s="1967">
        <v>2</v>
      </c>
      <c r="B34" s="1968" t="s">
        <v>96</v>
      </c>
      <c r="C34" s="1969" t="s">
        <v>95</v>
      </c>
      <c r="D34" s="1977">
        <v>78</v>
      </c>
      <c r="E34" s="1978">
        <v>14000</v>
      </c>
      <c r="F34" s="1966">
        <f>D34*E34</f>
        <v>1092000</v>
      </c>
      <c r="G34" s="1141"/>
      <c r="H34" s="1141"/>
      <c r="I34" s="1141"/>
      <c r="J34" s="1997"/>
      <c r="K34" s="2197"/>
    </row>
    <row r="35" spans="1:11" ht="14.5">
      <c r="A35" s="1967">
        <v>3</v>
      </c>
      <c r="B35" s="1968" t="s">
        <v>97</v>
      </c>
      <c r="C35" s="1969" t="s">
        <v>95</v>
      </c>
      <c r="D35" s="1979">
        <v>2.2999999999999998</v>
      </c>
      <c r="E35" s="1978">
        <v>26000</v>
      </c>
      <c r="F35" s="1980">
        <f t="shared" ref="F35:F68" si="1">D35*E35</f>
        <v>59800</v>
      </c>
      <c r="G35" s="1141"/>
      <c r="H35" s="1141"/>
      <c r="I35" s="1141"/>
      <c r="J35" s="1997"/>
      <c r="K35" s="2197"/>
    </row>
    <row r="36" spans="1:11" ht="14.5">
      <c r="A36" s="1967">
        <v>4</v>
      </c>
      <c r="B36" s="1968" t="s">
        <v>98</v>
      </c>
      <c r="C36" s="1969" t="s">
        <v>74</v>
      </c>
      <c r="D36" s="1979">
        <v>69</v>
      </c>
      <c r="E36" s="1978">
        <v>2907.0833333333298</v>
      </c>
      <c r="F36" s="1980">
        <f t="shared" si="1"/>
        <v>200588.75</v>
      </c>
      <c r="G36" s="1141"/>
      <c r="H36" s="1141"/>
      <c r="I36" s="1141"/>
      <c r="J36" s="1997"/>
      <c r="K36" s="2197"/>
    </row>
    <row r="37" spans="1:11" ht="14.5">
      <c r="A37" s="1967">
        <v>5</v>
      </c>
      <c r="B37" s="1968" t="s">
        <v>99</v>
      </c>
      <c r="C37" s="1969" t="s">
        <v>74</v>
      </c>
      <c r="D37" s="1979"/>
      <c r="E37" s="1978"/>
      <c r="F37" s="1980">
        <f t="shared" si="1"/>
        <v>0</v>
      </c>
      <c r="G37" s="1141"/>
      <c r="H37" s="1141"/>
      <c r="I37" s="1141"/>
      <c r="J37" s="1997"/>
      <c r="K37" s="2197"/>
    </row>
    <row r="38" spans="1:11" ht="14.5">
      <c r="A38" s="1967">
        <v>6</v>
      </c>
      <c r="B38" s="1968" t="s">
        <v>100</v>
      </c>
      <c r="C38" s="1969" t="s">
        <v>74</v>
      </c>
      <c r="D38" s="1979">
        <v>72</v>
      </c>
      <c r="E38" s="1978">
        <f>'TO - TI'!D22</f>
        <v>1649.8049122806999</v>
      </c>
      <c r="F38" s="1980">
        <f t="shared" si="1"/>
        <v>118785.953684211</v>
      </c>
      <c r="G38" s="1141"/>
      <c r="H38" s="1141"/>
      <c r="I38" s="1141"/>
      <c r="J38" s="1997"/>
      <c r="K38" s="2197"/>
    </row>
    <row r="39" spans="1:11" ht="14.5">
      <c r="A39" s="1967">
        <v>7</v>
      </c>
      <c r="B39" s="1968" t="s">
        <v>101</v>
      </c>
      <c r="C39" s="1969" t="s">
        <v>95</v>
      </c>
      <c r="D39" s="1979">
        <v>0.7</v>
      </c>
      <c r="E39" s="1978">
        <v>32000</v>
      </c>
      <c r="F39" s="1980">
        <f t="shared" si="1"/>
        <v>22400</v>
      </c>
      <c r="G39" s="1141"/>
      <c r="H39" s="1141"/>
      <c r="I39" s="1141"/>
      <c r="J39" s="1997"/>
    </row>
    <row r="40" spans="1:11" ht="14.5">
      <c r="A40" s="1967">
        <v>8</v>
      </c>
      <c r="B40" s="1968" t="s">
        <v>102</v>
      </c>
      <c r="C40" s="1969" t="s">
        <v>74</v>
      </c>
      <c r="D40" s="1979"/>
      <c r="E40" s="1978"/>
      <c r="F40" s="1980">
        <f t="shared" si="1"/>
        <v>0</v>
      </c>
      <c r="G40" s="1141"/>
      <c r="H40" s="1141"/>
      <c r="I40" s="1141"/>
      <c r="J40" s="1997"/>
    </row>
    <row r="41" spans="1:11" ht="14.5">
      <c r="A41" s="1967">
        <v>9</v>
      </c>
      <c r="B41" s="1968" t="s">
        <v>103</v>
      </c>
      <c r="C41" s="1969" t="s">
        <v>74</v>
      </c>
      <c r="D41" s="1979"/>
      <c r="E41" s="1978"/>
      <c r="F41" s="1980">
        <f t="shared" si="1"/>
        <v>0</v>
      </c>
      <c r="G41" s="1141"/>
      <c r="H41" s="1141"/>
      <c r="I41" s="1141"/>
      <c r="J41" s="1997"/>
    </row>
    <row r="42" spans="1:11" ht="14.5">
      <c r="A42" s="1967">
        <v>10</v>
      </c>
      <c r="B42" s="1968" t="s">
        <v>104</v>
      </c>
      <c r="C42" s="1969" t="s">
        <v>74</v>
      </c>
      <c r="D42" s="1979"/>
      <c r="E42" s="1978"/>
      <c r="F42" s="1980">
        <f t="shared" si="1"/>
        <v>0</v>
      </c>
      <c r="G42" s="1141"/>
      <c r="H42" s="1141"/>
      <c r="I42" s="1141"/>
      <c r="J42" s="1997"/>
    </row>
    <row r="43" spans="1:11" ht="14.5">
      <c r="A43" s="1967">
        <v>11</v>
      </c>
      <c r="B43" s="1968" t="s">
        <v>105</v>
      </c>
      <c r="C43" s="1969" t="s">
        <v>106</v>
      </c>
      <c r="D43" s="1979"/>
      <c r="E43" s="1981"/>
      <c r="F43" s="1980">
        <f t="shared" si="1"/>
        <v>0</v>
      </c>
      <c r="G43" s="1141"/>
      <c r="H43" s="1141"/>
      <c r="I43" s="1141"/>
      <c r="J43" s="1997"/>
    </row>
    <row r="44" spans="1:11" ht="14.5">
      <c r="A44" s="1967">
        <v>12</v>
      </c>
      <c r="B44" s="1968" t="s">
        <v>107</v>
      </c>
      <c r="C44" s="1969" t="s">
        <v>106</v>
      </c>
      <c r="D44" s="1979"/>
      <c r="E44" s="1981"/>
      <c r="F44" s="1980">
        <f t="shared" si="1"/>
        <v>0</v>
      </c>
      <c r="G44" s="1141"/>
      <c r="H44" s="1141"/>
      <c r="I44" s="1141"/>
      <c r="J44" s="1997"/>
    </row>
    <row r="45" spans="1:11" ht="14.5">
      <c r="A45" s="1967">
        <v>13</v>
      </c>
      <c r="B45" s="1968" t="s">
        <v>108</v>
      </c>
      <c r="C45" s="1969" t="s">
        <v>74</v>
      </c>
      <c r="D45" s="1979"/>
      <c r="E45" s="1981"/>
      <c r="F45" s="1980">
        <f t="shared" si="1"/>
        <v>0</v>
      </c>
      <c r="G45" s="1141"/>
      <c r="H45" s="1141"/>
      <c r="I45" s="1141"/>
      <c r="J45" s="1997"/>
    </row>
    <row r="46" spans="1:11" ht="14.5">
      <c r="A46" s="1967">
        <v>14</v>
      </c>
      <c r="B46" s="1968" t="s">
        <v>109</v>
      </c>
      <c r="C46" s="1969" t="s">
        <v>74</v>
      </c>
      <c r="D46" s="1979"/>
      <c r="E46" s="1981"/>
      <c r="F46" s="1980">
        <f t="shared" si="1"/>
        <v>0</v>
      </c>
      <c r="G46" s="1141"/>
      <c r="H46" s="1141"/>
      <c r="I46" s="1141"/>
      <c r="J46" s="1997"/>
    </row>
    <row r="47" spans="1:11" ht="14.5">
      <c r="A47" s="1967">
        <v>15</v>
      </c>
      <c r="B47" s="1331"/>
      <c r="C47" s="1969"/>
      <c r="D47" s="1979"/>
      <c r="E47" s="1981"/>
      <c r="F47" s="1980">
        <f t="shared" si="1"/>
        <v>0</v>
      </c>
      <c r="G47" s="1141"/>
      <c r="H47" s="1141"/>
      <c r="I47" s="1141"/>
      <c r="J47" s="1997"/>
    </row>
    <row r="48" spans="1:11" ht="14.5">
      <c r="A48" s="1967">
        <v>16</v>
      </c>
      <c r="B48" s="1331"/>
      <c r="C48" s="1969"/>
      <c r="D48" s="1979"/>
      <c r="E48" s="1982"/>
      <c r="F48" s="1980">
        <f t="shared" si="1"/>
        <v>0</v>
      </c>
      <c r="G48" s="1141"/>
      <c r="H48" s="1141"/>
      <c r="I48" s="1141"/>
      <c r="J48" s="1997"/>
    </row>
    <row r="49" spans="1:10" ht="14.5">
      <c r="A49" s="1967">
        <v>17</v>
      </c>
      <c r="B49" s="1331"/>
      <c r="C49" s="1969"/>
      <c r="D49" s="1979"/>
      <c r="E49" s="1982"/>
      <c r="F49" s="1980">
        <f t="shared" si="1"/>
        <v>0</v>
      </c>
      <c r="G49" s="1141"/>
      <c r="H49" s="1141"/>
      <c r="I49" s="1141"/>
      <c r="J49" s="1997"/>
    </row>
    <row r="50" spans="1:10" ht="14.5">
      <c r="A50" s="1967">
        <v>18</v>
      </c>
      <c r="B50" s="1331"/>
      <c r="C50" s="1983"/>
      <c r="D50" s="1984"/>
      <c r="E50" s="1985"/>
      <c r="F50" s="1980">
        <f t="shared" si="1"/>
        <v>0</v>
      </c>
      <c r="G50" s="1141"/>
      <c r="H50" s="1141"/>
      <c r="I50" s="1141"/>
      <c r="J50" s="1997"/>
    </row>
    <row r="51" spans="1:10" ht="14.5">
      <c r="A51" s="1967">
        <v>19</v>
      </c>
      <c r="B51" s="1331"/>
      <c r="C51" s="1983"/>
      <c r="D51" s="1984"/>
      <c r="E51" s="1985"/>
      <c r="F51" s="1980">
        <f t="shared" si="1"/>
        <v>0</v>
      </c>
      <c r="G51" s="1141"/>
      <c r="H51" s="1141"/>
      <c r="I51" s="1141"/>
      <c r="J51" s="1997"/>
    </row>
    <row r="52" spans="1:10" ht="14.5">
      <c r="A52" s="1967">
        <v>20</v>
      </c>
      <c r="B52" s="1986"/>
      <c r="C52" s="1987"/>
      <c r="D52" s="1988"/>
      <c r="E52" s="1989"/>
      <c r="F52" s="1990">
        <f t="shared" si="1"/>
        <v>0</v>
      </c>
      <c r="G52" s="1141"/>
      <c r="H52" s="1141"/>
      <c r="I52" s="1141"/>
      <c r="J52" s="1997"/>
    </row>
    <row r="53" spans="1:10" ht="14.5">
      <c r="A53" s="1961"/>
      <c r="B53" s="1991" t="s">
        <v>110</v>
      </c>
      <c r="C53" s="1992"/>
      <c r="D53" s="1977"/>
      <c r="E53" s="1993"/>
      <c r="F53" s="1994"/>
      <c r="G53" s="1141"/>
      <c r="H53" s="1141"/>
      <c r="I53" s="1141"/>
      <c r="J53" s="1997"/>
    </row>
    <row r="54" spans="1:10" ht="14.5">
      <c r="A54" s="1967">
        <v>1</v>
      </c>
      <c r="B54" s="1968" t="s">
        <v>111</v>
      </c>
      <c r="C54" s="1969" t="s">
        <v>95</v>
      </c>
      <c r="D54" s="1977">
        <v>17</v>
      </c>
      <c r="E54" s="1978">
        <v>858</v>
      </c>
      <c r="F54" s="1966">
        <f t="shared" si="1"/>
        <v>14586</v>
      </c>
      <c r="G54" s="1141"/>
      <c r="H54" s="1141"/>
      <c r="I54" s="1141"/>
      <c r="J54" s="1997"/>
    </row>
    <row r="55" spans="1:10" ht="14.5">
      <c r="A55" s="1967">
        <v>2</v>
      </c>
      <c r="B55" s="1968" t="s">
        <v>112</v>
      </c>
      <c r="C55" s="1969" t="s">
        <v>106</v>
      </c>
      <c r="D55" s="1979">
        <v>0.5</v>
      </c>
      <c r="E55" s="1995">
        <v>15900</v>
      </c>
      <c r="F55" s="1980">
        <f t="shared" si="1"/>
        <v>7950</v>
      </c>
      <c r="G55" s="1141"/>
      <c r="H55" s="1141"/>
      <c r="I55" s="1141"/>
      <c r="J55" s="1997"/>
    </row>
    <row r="56" spans="1:10" ht="14.5">
      <c r="A56" s="1967">
        <v>3</v>
      </c>
      <c r="B56" s="1968" t="s">
        <v>113</v>
      </c>
      <c r="C56" s="1969" t="s">
        <v>106</v>
      </c>
      <c r="D56" s="1979">
        <v>2</v>
      </c>
      <c r="E56" s="1995">
        <v>10000</v>
      </c>
      <c r="F56" s="1980">
        <f t="shared" si="1"/>
        <v>20000</v>
      </c>
      <c r="G56" s="1141"/>
      <c r="H56" s="1141"/>
      <c r="I56" s="1141"/>
      <c r="J56" s="1997"/>
    </row>
    <row r="57" spans="1:10" ht="14.5">
      <c r="A57" s="1967">
        <v>4</v>
      </c>
      <c r="B57" s="1968" t="s">
        <v>114</v>
      </c>
      <c r="C57" s="1969" t="s">
        <v>115</v>
      </c>
      <c r="D57" s="1979"/>
      <c r="E57" s="1995">
        <v>6600</v>
      </c>
      <c r="F57" s="1980">
        <f t="shared" si="1"/>
        <v>0</v>
      </c>
      <c r="G57" s="1141"/>
      <c r="H57" s="1141"/>
      <c r="I57" s="1141"/>
      <c r="J57" s="1997"/>
    </row>
    <row r="58" spans="1:10" ht="14.5">
      <c r="A58" s="1967">
        <v>5</v>
      </c>
      <c r="B58" s="1968" t="s">
        <v>116</v>
      </c>
      <c r="C58" s="1969" t="s">
        <v>95</v>
      </c>
      <c r="D58" s="1979"/>
      <c r="E58" s="1995">
        <v>5000</v>
      </c>
      <c r="F58" s="1980">
        <f t="shared" si="1"/>
        <v>0</v>
      </c>
      <c r="G58" s="1141"/>
      <c r="H58" s="1141"/>
      <c r="I58" s="1141"/>
      <c r="J58" s="1997"/>
    </row>
    <row r="59" spans="1:10" ht="14.5">
      <c r="A59" s="1967">
        <v>6</v>
      </c>
      <c r="B59" s="1968" t="s">
        <v>117</v>
      </c>
      <c r="C59" s="1969" t="s">
        <v>118</v>
      </c>
      <c r="D59" s="1979">
        <v>1</v>
      </c>
      <c r="E59" s="1995">
        <f>'[1]HITUNGAN FC ITEM'!H109</f>
        <v>52887.4688888889</v>
      </c>
      <c r="F59" s="1980">
        <f t="shared" si="1"/>
        <v>52887.4688888889</v>
      </c>
      <c r="G59" s="1141"/>
      <c r="H59" s="1141" t="s">
        <v>119</v>
      </c>
      <c r="I59" s="1141"/>
      <c r="J59" s="1997"/>
    </row>
    <row r="60" spans="1:10" ht="14.5">
      <c r="A60" s="1967">
        <v>7</v>
      </c>
      <c r="B60" s="1968" t="s">
        <v>120</v>
      </c>
      <c r="C60" s="1969" t="s">
        <v>106</v>
      </c>
      <c r="D60" s="1979">
        <v>2</v>
      </c>
      <c r="E60" s="1995">
        <v>6100</v>
      </c>
      <c r="F60" s="1980">
        <f t="shared" si="1"/>
        <v>12200</v>
      </c>
      <c r="G60" s="1141"/>
      <c r="H60" s="1141"/>
      <c r="I60" s="1141"/>
      <c r="J60" s="1997"/>
    </row>
    <row r="61" spans="1:10" ht="14.5">
      <c r="A61" s="1967">
        <v>8</v>
      </c>
      <c r="B61" s="1968" t="s">
        <v>121</v>
      </c>
      <c r="C61" s="1969" t="s">
        <v>95</v>
      </c>
      <c r="D61" s="1984">
        <v>0.6</v>
      </c>
      <c r="E61" s="1996">
        <v>10000</v>
      </c>
      <c r="F61" s="1980">
        <f t="shared" si="1"/>
        <v>6000</v>
      </c>
      <c r="G61" s="1141"/>
      <c r="H61" s="1141"/>
      <c r="I61" s="1141"/>
      <c r="J61" s="1997"/>
    </row>
    <row r="62" spans="1:10" ht="14.5">
      <c r="A62" s="1967">
        <v>9</v>
      </c>
      <c r="B62" s="1968" t="s">
        <v>122</v>
      </c>
      <c r="C62" s="1969" t="s">
        <v>74</v>
      </c>
      <c r="D62" s="1979"/>
      <c r="E62" s="1995">
        <v>933</v>
      </c>
      <c r="F62" s="1980">
        <f t="shared" si="1"/>
        <v>0</v>
      </c>
      <c r="G62" s="1141"/>
      <c r="H62" s="1141"/>
      <c r="I62" s="1141"/>
      <c r="J62" s="1997"/>
    </row>
    <row r="63" spans="1:10" ht="14.5">
      <c r="A63" s="1967">
        <v>10</v>
      </c>
      <c r="B63" s="1968" t="s">
        <v>123</v>
      </c>
      <c r="C63" s="1969" t="s">
        <v>106</v>
      </c>
      <c r="D63" s="1979">
        <v>0.45</v>
      </c>
      <c r="E63" s="1995">
        <v>15000</v>
      </c>
      <c r="F63" s="1980">
        <f t="shared" si="1"/>
        <v>6750</v>
      </c>
      <c r="G63" s="1141"/>
      <c r="H63" s="1141"/>
      <c r="I63" s="1141"/>
      <c r="J63" s="1997"/>
    </row>
    <row r="64" spans="1:10" ht="14.5">
      <c r="A64" s="1967">
        <v>11</v>
      </c>
      <c r="B64" s="1968" t="s">
        <v>124</v>
      </c>
      <c r="C64" s="1969" t="s">
        <v>95</v>
      </c>
      <c r="D64" s="1979">
        <v>0.25</v>
      </c>
      <c r="E64" s="1995">
        <v>10200</v>
      </c>
      <c r="F64" s="1980">
        <f t="shared" si="1"/>
        <v>2550</v>
      </c>
      <c r="G64" s="1141"/>
      <c r="H64" s="1141"/>
      <c r="I64" s="1141"/>
      <c r="J64" s="1997"/>
    </row>
    <row r="65" spans="1:12" ht="14.5">
      <c r="A65" s="1967">
        <v>12</v>
      </c>
      <c r="B65" s="1968" t="s">
        <v>125</v>
      </c>
      <c r="C65" s="1969" t="s">
        <v>106</v>
      </c>
      <c r="D65" s="1984"/>
      <c r="E65" s="1996">
        <v>4700</v>
      </c>
      <c r="F65" s="1980">
        <f t="shared" si="1"/>
        <v>0</v>
      </c>
      <c r="G65" s="1141"/>
      <c r="H65" s="1141"/>
      <c r="I65" s="1141"/>
      <c r="J65" s="1997"/>
    </row>
    <row r="66" spans="1:12" ht="14.5">
      <c r="A66" s="1967">
        <v>13</v>
      </c>
      <c r="B66" s="1331"/>
      <c r="C66" s="1969"/>
      <c r="D66" s="1979"/>
      <c r="E66" s="1995"/>
      <c r="F66" s="2003">
        <f t="shared" si="1"/>
        <v>0</v>
      </c>
      <c r="G66" s="1141"/>
      <c r="H66" s="1141"/>
      <c r="I66" s="1141"/>
      <c r="J66" s="1997"/>
    </row>
    <row r="67" spans="1:12" ht="14.5">
      <c r="A67" s="1967">
        <v>14</v>
      </c>
      <c r="B67" s="1331"/>
      <c r="C67" s="1969"/>
      <c r="D67" s="1979"/>
      <c r="E67" s="1341"/>
      <c r="F67" s="1980">
        <f t="shared" si="1"/>
        <v>0</v>
      </c>
      <c r="G67" s="1141"/>
      <c r="H67" s="1141"/>
      <c r="I67" s="1141"/>
      <c r="J67" s="1997"/>
    </row>
    <row r="68" spans="1:12" ht="14.5">
      <c r="A68" s="2004">
        <v>15</v>
      </c>
      <c r="B68" s="1986"/>
      <c r="C68" s="2005"/>
      <c r="D68" s="1984"/>
      <c r="E68" s="1970"/>
      <c r="F68" s="2006">
        <f t="shared" si="1"/>
        <v>0</v>
      </c>
      <c r="G68" s="1141"/>
      <c r="H68" s="1141"/>
      <c r="I68" s="1141"/>
      <c r="J68" s="1997"/>
    </row>
    <row r="69" spans="1:12" ht="27.65" customHeight="1">
      <c r="A69" s="2007"/>
      <c r="B69" s="2008"/>
      <c r="C69" s="1974"/>
      <c r="D69" s="2009"/>
      <c r="E69" s="715" t="s">
        <v>91</v>
      </c>
      <c r="F69" s="2010">
        <f>SUM(F33:F68)</f>
        <v>1691498.1725731001</v>
      </c>
      <c r="G69" s="2192" t="s">
        <v>126</v>
      </c>
      <c r="H69" s="2193"/>
      <c r="I69" s="2037">
        <f>SUM(F54:F68)</f>
        <v>122923.46888888899</v>
      </c>
      <c r="J69" s="2194"/>
      <c r="K69" s="2195"/>
      <c r="L69" s="2038"/>
    </row>
    <row r="70" spans="1:12" ht="21">
      <c r="A70" s="1959" t="s">
        <v>127</v>
      </c>
      <c r="B70" s="2189" t="s">
        <v>128</v>
      </c>
      <c r="C70" s="2190"/>
      <c r="D70" s="2190"/>
      <c r="E70" s="2190"/>
      <c r="F70" s="2191"/>
      <c r="J70" s="1997"/>
      <c r="K70" s="2197" t="s">
        <v>129</v>
      </c>
    </row>
    <row r="71" spans="1:12" ht="15.5">
      <c r="A71" s="2011"/>
      <c r="B71" s="2012"/>
      <c r="C71" s="1992"/>
      <c r="D71" s="2013"/>
      <c r="E71" s="2012"/>
      <c r="F71" s="1994"/>
      <c r="J71" s="1997"/>
      <c r="K71" s="2197"/>
    </row>
    <row r="72" spans="1:12" ht="15.5">
      <c r="A72" s="2014">
        <v>1</v>
      </c>
      <c r="B72" s="1968" t="s">
        <v>130</v>
      </c>
      <c r="C72" s="1260" t="s">
        <v>95</v>
      </c>
      <c r="D72" s="2013">
        <v>3</v>
      </c>
      <c r="E72" s="1981">
        <v>17600</v>
      </c>
      <c r="F72" s="2015">
        <f>D72*E72</f>
        <v>52800</v>
      </c>
      <c r="J72" s="1997"/>
      <c r="K72" s="2197"/>
    </row>
    <row r="73" spans="1:12" ht="15.5">
      <c r="A73" s="2014">
        <v>2</v>
      </c>
      <c r="B73" s="1968" t="s">
        <v>131</v>
      </c>
      <c r="C73" s="909" t="s">
        <v>132</v>
      </c>
      <c r="D73" s="2016"/>
      <c r="E73" s="1981"/>
      <c r="F73" s="2015">
        <f>D73*E73</f>
        <v>0</v>
      </c>
      <c r="J73" s="1997"/>
      <c r="K73" s="2197"/>
    </row>
    <row r="74" spans="1:12" ht="15.5">
      <c r="A74" s="2014">
        <v>3</v>
      </c>
      <c r="B74" s="1968" t="s">
        <v>133</v>
      </c>
      <c r="C74" s="909" t="s">
        <v>134</v>
      </c>
      <c r="D74" s="2017"/>
      <c r="E74" s="1978">
        <v>160000</v>
      </c>
      <c r="F74" s="2015">
        <f t="shared" ref="F74:F86" si="2">D74*E74</f>
        <v>0</v>
      </c>
      <c r="J74" s="1997"/>
      <c r="K74" s="2197"/>
    </row>
    <row r="75" spans="1:12" ht="15.5">
      <c r="A75" s="2018"/>
      <c r="B75" s="1383" t="s">
        <v>135</v>
      </c>
      <c r="C75" s="2019"/>
      <c r="D75" s="1977"/>
      <c r="E75" s="2020"/>
      <c r="F75" s="1994"/>
      <c r="J75" s="1997"/>
      <c r="K75" s="2197"/>
    </row>
    <row r="76" spans="1:12" ht="15.5">
      <c r="A76" s="2014">
        <v>4</v>
      </c>
      <c r="B76" s="1968" t="s">
        <v>136</v>
      </c>
      <c r="C76" s="1969" t="s">
        <v>137</v>
      </c>
      <c r="D76" s="1979"/>
      <c r="E76" s="1995"/>
      <c r="F76" s="1966">
        <f t="shared" si="2"/>
        <v>0</v>
      </c>
      <c r="J76" s="1997"/>
      <c r="K76" s="2197"/>
    </row>
    <row r="77" spans="1:12" ht="15.5">
      <c r="A77" s="2014">
        <v>5</v>
      </c>
      <c r="B77" s="1968" t="s">
        <v>138</v>
      </c>
      <c r="C77" s="1969" t="s">
        <v>139</v>
      </c>
      <c r="D77" s="1979">
        <v>6</v>
      </c>
      <c r="E77" s="1995">
        <v>5000</v>
      </c>
      <c r="F77" s="1966">
        <f t="shared" si="2"/>
        <v>30000</v>
      </c>
      <c r="J77" s="1997"/>
      <c r="K77" s="2197"/>
    </row>
    <row r="78" spans="1:12" ht="15.5">
      <c r="A78" s="2014">
        <v>6</v>
      </c>
      <c r="B78" s="1968" t="s">
        <v>140</v>
      </c>
      <c r="C78" s="1983" t="s">
        <v>106</v>
      </c>
      <c r="D78" s="1984"/>
      <c r="E78" s="1996">
        <v>16000</v>
      </c>
      <c r="F78" s="1966">
        <f t="shared" si="2"/>
        <v>0</v>
      </c>
      <c r="J78" s="1997"/>
      <c r="K78" s="2197"/>
    </row>
    <row r="79" spans="1:12" ht="15.5">
      <c r="A79" s="2014">
        <v>7</v>
      </c>
      <c r="B79" s="1968" t="s">
        <v>141</v>
      </c>
      <c r="C79" s="1969" t="s">
        <v>142</v>
      </c>
      <c r="D79" s="1979"/>
      <c r="E79" s="1995">
        <f>'[1]HITUNGAN FC ITEM'!B17</f>
        <v>17463.1578947368</v>
      </c>
      <c r="F79" s="1966">
        <f t="shared" si="2"/>
        <v>0</v>
      </c>
      <c r="J79" s="1997"/>
      <c r="K79" s="2197"/>
    </row>
    <row r="80" spans="1:12" ht="15.5">
      <c r="A80" s="2014">
        <v>8</v>
      </c>
      <c r="B80" s="1968" t="s">
        <v>143</v>
      </c>
      <c r="C80" s="1969" t="s">
        <v>95</v>
      </c>
      <c r="D80" s="1979"/>
      <c r="E80" s="1331"/>
      <c r="F80" s="1966">
        <f t="shared" si="2"/>
        <v>0</v>
      </c>
      <c r="J80" s="1997"/>
      <c r="K80" s="2197"/>
    </row>
    <row r="81" spans="1:11" ht="15.5">
      <c r="A81" s="2014">
        <v>9</v>
      </c>
      <c r="B81" s="1968" t="s">
        <v>144</v>
      </c>
      <c r="C81" s="1969" t="s">
        <v>95</v>
      </c>
      <c r="D81" s="1979">
        <v>1.5</v>
      </c>
      <c r="E81" s="1331">
        <v>14100</v>
      </c>
      <c r="F81" s="1966">
        <f t="shared" si="2"/>
        <v>21150</v>
      </c>
      <c r="J81" s="1997"/>
      <c r="K81" s="2197"/>
    </row>
    <row r="82" spans="1:11" ht="15.5">
      <c r="A82" s="2014">
        <v>10</v>
      </c>
      <c r="B82" s="1331"/>
      <c r="C82" s="1969"/>
      <c r="D82" s="1979"/>
      <c r="E82" s="1331"/>
      <c r="F82" s="1966">
        <f t="shared" si="2"/>
        <v>0</v>
      </c>
      <c r="H82" s="532" t="s">
        <v>61</v>
      </c>
      <c r="J82" s="1997"/>
      <c r="K82" s="2197"/>
    </row>
    <row r="83" spans="1:11" ht="15.5">
      <c r="A83" s="2014">
        <v>11</v>
      </c>
      <c r="B83" s="1331"/>
      <c r="C83" s="1969"/>
      <c r="D83" s="1979"/>
      <c r="E83" s="1331"/>
      <c r="F83" s="2021">
        <f t="shared" si="2"/>
        <v>0</v>
      </c>
      <c r="J83" s="1997"/>
      <c r="K83" s="2197"/>
    </row>
    <row r="84" spans="1:11" ht="15.5">
      <c r="A84" s="2014">
        <v>12</v>
      </c>
      <c r="B84" s="1331"/>
      <c r="C84" s="1983"/>
      <c r="D84" s="1984"/>
      <c r="E84" s="1970"/>
      <c r="F84" s="1966">
        <f t="shared" si="2"/>
        <v>0</v>
      </c>
      <c r="J84" s="1997"/>
      <c r="K84" s="2197"/>
    </row>
    <row r="85" spans="1:11" ht="15.5">
      <c r="A85" s="2014">
        <v>13</v>
      </c>
      <c r="B85" s="1331"/>
      <c r="C85" s="1983"/>
      <c r="D85" s="1984"/>
      <c r="E85" s="1970"/>
      <c r="F85" s="2021">
        <f t="shared" si="2"/>
        <v>0</v>
      </c>
      <c r="J85" s="1997"/>
      <c r="K85" s="2197"/>
    </row>
    <row r="86" spans="1:11" ht="15.5">
      <c r="A86" s="2014">
        <v>14</v>
      </c>
      <c r="B86" s="1986"/>
      <c r="C86" s="1987"/>
      <c r="D86" s="1988"/>
      <c r="E86" s="1986"/>
      <c r="F86" s="2022">
        <f t="shared" si="2"/>
        <v>0</v>
      </c>
      <c r="J86" s="1997"/>
      <c r="K86" s="2197"/>
    </row>
    <row r="87" spans="1:11" ht="25.15" customHeight="1">
      <c r="A87" s="2023"/>
      <c r="B87" s="2024"/>
      <c r="C87" s="2025"/>
      <c r="D87" s="2026"/>
      <c r="E87" s="2027" t="s">
        <v>91</v>
      </c>
      <c r="F87" s="2028">
        <f>SUM(F72:F86)</f>
        <v>103950</v>
      </c>
      <c r="G87" s="2192" t="s">
        <v>145</v>
      </c>
      <c r="H87" s="2193"/>
      <c r="I87" s="2037">
        <f>SUM(F76:F86)</f>
        <v>51150</v>
      </c>
      <c r="J87" s="1997"/>
      <c r="K87" s="2197"/>
    </row>
    <row r="88" spans="1:11" ht="25.15" customHeight="1">
      <c r="A88" s="2007"/>
      <c r="B88" s="2007"/>
      <c r="C88" s="2009"/>
      <c r="D88" s="1974"/>
      <c r="E88" s="715" t="s">
        <v>146</v>
      </c>
      <c r="F88" s="2029">
        <f>F31+F69+F87</f>
        <v>8191676.7487314697</v>
      </c>
      <c r="G88" s="571"/>
      <c r="H88" s="571"/>
      <c r="I88" s="571" t="s">
        <v>61</v>
      </c>
      <c r="J88" s="1997"/>
      <c r="K88" s="2197"/>
    </row>
    <row r="89" spans="1:11" ht="14.5">
      <c r="B89" s="921"/>
      <c r="E89" s="651"/>
      <c r="F89" s="1402"/>
      <c r="G89" s="571"/>
      <c r="H89" s="571"/>
      <c r="I89" s="571"/>
      <c r="J89" s="1997"/>
      <c r="K89" s="2197"/>
    </row>
    <row r="90" spans="1:11" ht="14.5">
      <c r="B90" s="921"/>
      <c r="E90" s="651"/>
      <c r="F90" s="1402"/>
      <c r="J90" s="1997"/>
      <c r="K90" s="2197"/>
    </row>
    <row r="91" spans="1:11">
      <c r="A91" s="919"/>
      <c r="B91" s="919"/>
      <c r="C91" s="920"/>
      <c r="D91" s="920"/>
      <c r="E91" s="920"/>
      <c r="F91" s="939"/>
      <c r="J91" s="1997"/>
      <c r="K91" s="2197"/>
    </row>
    <row r="92" spans="1:11" ht="18.5">
      <c r="A92" s="2030" t="s">
        <v>65</v>
      </c>
      <c r="B92" s="1954" t="s">
        <v>66</v>
      </c>
      <c r="C92" s="1956" t="s">
        <v>67</v>
      </c>
      <c r="D92" s="1956" t="s">
        <v>68</v>
      </c>
      <c r="E92" s="1956" t="s">
        <v>69</v>
      </c>
      <c r="F92" s="2031" t="s">
        <v>70</v>
      </c>
      <c r="J92" s="1997"/>
      <c r="K92" s="2197"/>
    </row>
    <row r="93" spans="1:11" ht="21">
      <c r="A93" s="1958" t="s">
        <v>147</v>
      </c>
      <c r="B93" s="2189" t="s">
        <v>148</v>
      </c>
      <c r="C93" s="2190"/>
      <c r="D93" s="2190"/>
      <c r="E93" s="2190"/>
      <c r="F93" s="2191"/>
      <c r="J93" s="1997"/>
      <c r="K93" s="2197"/>
    </row>
    <row r="94" spans="1:11" ht="14.5">
      <c r="A94" s="1961">
        <v>1</v>
      </c>
      <c r="B94" s="1962" t="s">
        <v>149</v>
      </c>
      <c r="C94" s="1963" t="s">
        <v>74</v>
      </c>
      <c r="D94" s="1977">
        <v>56</v>
      </c>
      <c r="E94" s="1978">
        <v>2167</v>
      </c>
      <c r="F94" s="1966">
        <f>D94*E94</f>
        <v>121352</v>
      </c>
      <c r="J94" s="1997"/>
      <c r="K94" s="2197"/>
    </row>
    <row r="95" spans="1:11" ht="14.5">
      <c r="A95" s="1967">
        <v>2</v>
      </c>
      <c r="B95" s="1968" t="s">
        <v>150</v>
      </c>
      <c r="C95" s="1969" t="s">
        <v>74</v>
      </c>
      <c r="D95" s="1977">
        <v>48</v>
      </c>
      <c r="E95" s="1978">
        <v>2271</v>
      </c>
      <c r="F95" s="1966">
        <f t="shared" ref="F95:F124" si="3">D95*E95</f>
        <v>109008</v>
      </c>
      <c r="J95" s="1997"/>
      <c r="K95" s="2197"/>
    </row>
    <row r="96" spans="1:11" ht="14.5">
      <c r="A96" s="2032">
        <v>3</v>
      </c>
      <c r="B96" s="1968" t="s">
        <v>151</v>
      </c>
      <c r="C96" s="1969" t="s">
        <v>74</v>
      </c>
      <c r="D96" s="1977">
        <v>13</v>
      </c>
      <c r="E96" s="1978">
        <v>3500</v>
      </c>
      <c r="F96" s="1966">
        <f t="shared" si="3"/>
        <v>45500</v>
      </c>
      <c r="J96" s="1997"/>
      <c r="K96" s="2197"/>
    </row>
    <row r="97" spans="1:14" ht="14.5">
      <c r="A97" s="1967">
        <v>4</v>
      </c>
      <c r="B97" s="1968" t="s">
        <v>152</v>
      </c>
      <c r="C97" s="1969" t="s">
        <v>74</v>
      </c>
      <c r="D97" s="1977"/>
      <c r="E97" s="1978"/>
      <c r="F97" s="1966">
        <f t="shared" si="3"/>
        <v>0</v>
      </c>
      <c r="J97" s="1997"/>
      <c r="K97" s="2197"/>
    </row>
    <row r="98" spans="1:14" ht="14.5">
      <c r="A98" s="2032">
        <v>5</v>
      </c>
      <c r="B98" s="1968" t="s">
        <v>153</v>
      </c>
      <c r="C98" s="1969" t="s">
        <v>74</v>
      </c>
      <c r="D98" s="1977">
        <v>14</v>
      </c>
      <c r="E98" s="1978">
        <v>3500</v>
      </c>
      <c r="F98" s="1966">
        <f t="shared" si="3"/>
        <v>49000</v>
      </c>
      <c r="J98" s="1997"/>
      <c r="K98" s="2197"/>
    </row>
    <row r="99" spans="1:14" ht="14.5">
      <c r="A99" s="1967">
        <v>6</v>
      </c>
      <c r="B99" s="1968" t="s">
        <v>154</v>
      </c>
      <c r="C99" s="1969" t="s">
        <v>74</v>
      </c>
      <c r="D99" s="1977">
        <v>275</v>
      </c>
      <c r="E99" s="1978">
        <v>1667</v>
      </c>
      <c r="F99" s="1966">
        <f t="shared" si="3"/>
        <v>458425</v>
      </c>
      <c r="J99" s="1997"/>
      <c r="K99" s="2197"/>
    </row>
    <row r="100" spans="1:14" ht="14.5">
      <c r="A100" s="2032">
        <v>7</v>
      </c>
      <c r="B100" s="1968" t="s">
        <v>155</v>
      </c>
      <c r="C100" s="1969" t="s">
        <v>74</v>
      </c>
      <c r="D100" s="1977">
        <v>46</v>
      </c>
      <c r="E100" s="1978">
        <v>458</v>
      </c>
      <c r="F100" s="1966">
        <f t="shared" si="3"/>
        <v>21068</v>
      </c>
      <c r="J100" s="1997"/>
      <c r="K100" s="2197"/>
    </row>
    <row r="101" spans="1:14" ht="14.5">
      <c r="A101" s="1967">
        <v>8</v>
      </c>
      <c r="B101" s="1968" t="s">
        <v>156</v>
      </c>
      <c r="C101" s="1969" t="s">
        <v>106</v>
      </c>
      <c r="D101" s="1977">
        <v>3.69</v>
      </c>
      <c r="E101" s="1978">
        <v>97450</v>
      </c>
      <c r="F101" s="1966">
        <f t="shared" si="3"/>
        <v>359590.5</v>
      </c>
      <c r="J101" s="1997"/>
      <c r="K101" s="2197"/>
    </row>
    <row r="102" spans="1:14" ht="14.5">
      <c r="A102" s="2032">
        <v>9</v>
      </c>
      <c r="B102" s="1968" t="s">
        <v>157</v>
      </c>
      <c r="C102" s="1969" t="s">
        <v>106</v>
      </c>
      <c r="D102" s="1977">
        <v>3.2</v>
      </c>
      <c r="E102" s="1978">
        <v>54570</v>
      </c>
      <c r="F102" s="1966">
        <f t="shared" si="3"/>
        <v>174624</v>
      </c>
      <c r="J102" s="1997"/>
      <c r="K102" s="2197"/>
    </row>
    <row r="103" spans="1:14" ht="14.5">
      <c r="A103" s="1967">
        <v>10</v>
      </c>
      <c r="B103" s="1968" t="s">
        <v>158</v>
      </c>
      <c r="C103" s="1969" t="s">
        <v>106</v>
      </c>
      <c r="D103" s="1977"/>
      <c r="E103" s="1978">
        <v>54100</v>
      </c>
      <c r="F103" s="1966">
        <f t="shared" si="3"/>
        <v>0</v>
      </c>
      <c r="J103" s="1997"/>
      <c r="K103" s="2197"/>
    </row>
    <row r="104" spans="1:14" ht="14.5">
      <c r="A104" s="2032">
        <v>11</v>
      </c>
      <c r="B104" s="1968" t="s">
        <v>159</v>
      </c>
      <c r="C104" s="1969" t="s">
        <v>74</v>
      </c>
      <c r="D104" s="1977"/>
      <c r="E104" s="1978"/>
      <c r="F104" s="1966">
        <f t="shared" si="3"/>
        <v>0</v>
      </c>
      <c r="J104" s="1997"/>
      <c r="K104" s="2197"/>
      <c r="N104" s="532" t="s">
        <v>61</v>
      </c>
    </row>
    <row r="105" spans="1:14" ht="14.5">
      <c r="A105" s="1967">
        <v>12</v>
      </c>
      <c r="B105" s="1968" t="s">
        <v>160</v>
      </c>
      <c r="C105" s="1969" t="s">
        <v>74</v>
      </c>
      <c r="D105" s="1977"/>
      <c r="E105" s="1978"/>
      <c r="F105" s="1966">
        <f t="shared" si="3"/>
        <v>0</v>
      </c>
      <c r="J105" s="1997"/>
      <c r="K105" s="2197"/>
    </row>
    <row r="106" spans="1:14" ht="15.75" customHeight="1">
      <c r="A106" s="2032">
        <v>13</v>
      </c>
      <c r="B106" s="1968" t="s">
        <v>161</v>
      </c>
      <c r="C106" s="1969" t="s">
        <v>74</v>
      </c>
      <c r="D106" s="1977"/>
      <c r="E106" s="1978"/>
      <c r="F106" s="1966">
        <f t="shared" si="3"/>
        <v>0</v>
      </c>
      <c r="J106" s="1997"/>
      <c r="K106" s="2197"/>
    </row>
    <row r="107" spans="1:14" ht="14.5">
      <c r="A107" s="1967">
        <v>14</v>
      </c>
      <c r="B107" s="1968" t="s">
        <v>162</v>
      </c>
      <c r="C107" s="1969" t="s">
        <v>74</v>
      </c>
      <c r="D107" s="1977"/>
      <c r="E107" s="1978"/>
      <c r="F107" s="1966">
        <f t="shared" si="3"/>
        <v>0</v>
      </c>
      <c r="J107" s="1997"/>
      <c r="K107" s="2197"/>
    </row>
    <row r="108" spans="1:14" ht="14.5">
      <c r="A108" s="2032">
        <v>15</v>
      </c>
      <c r="B108" s="1968" t="s">
        <v>163</v>
      </c>
      <c r="C108" s="1969" t="s">
        <v>74</v>
      </c>
      <c r="D108" s="1977"/>
      <c r="E108" s="1978"/>
      <c r="F108" s="1966">
        <f t="shared" si="3"/>
        <v>0</v>
      </c>
      <c r="J108" s="1997"/>
      <c r="K108" s="2197"/>
    </row>
    <row r="109" spans="1:14" ht="14.25" customHeight="1">
      <c r="A109" s="1967">
        <v>16</v>
      </c>
      <c r="B109" s="1968" t="s">
        <v>164</v>
      </c>
      <c r="C109" s="1969" t="s">
        <v>74</v>
      </c>
      <c r="D109" s="1977"/>
      <c r="E109" s="1978"/>
      <c r="F109" s="1966">
        <f t="shared" si="3"/>
        <v>0</v>
      </c>
      <c r="J109" s="1997"/>
      <c r="K109" s="2197"/>
    </row>
    <row r="110" spans="1:14" ht="14.5">
      <c r="A110" s="2032">
        <v>17</v>
      </c>
      <c r="B110" s="1968" t="s">
        <v>165</v>
      </c>
      <c r="C110" s="1969" t="s">
        <v>74</v>
      </c>
      <c r="D110" s="1977">
        <v>64</v>
      </c>
      <c r="E110" s="1978">
        <v>2814</v>
      </c>
      <c r="F110" s="1966">
        <f t="shared" si="3"/>
        <v>180096</v>
      </c>
      <c r="J110" s="1997"/>
      <c r="K110" s="2197"/>
    </row>
    <row r="111" spans="1:14" ht="14.5">
      <c r="A111" s="1967">
        <v>18</v>
      </c>
      <c r="B111" s="1968" t="s">
        <v>166</v>
      </c>
      <c r="C111" s="1969" t="s">
        <v>74</v>
      </c>
      <c r="D111" s="1977">
        <v>14</v>
      </c>
      <c r="E111" s="1978">
        <v>4274</v>
      </c>
      <c r="F111" s="1966">
        <f t="shared" si="3"/>
        <v>59836</v>
      </c>
      <c r="J111" s="1997"/>
      <c r="K111" s="2197"/>
    </row>
    <row r="112" spans="1:14" ht="14.5">
      <c r="A112" s="2032">
        <v>19</v>
      </c>
      <c r="B112" s="1968" t="s">
        <v>167</v>
      </c>
      <c r="C112" s="1969" t="s">
        <v>74</v>
      </c>
      <c r="D112" s="1977"/>
      <c r="E112" s="1978"/>
      <c r="F112" s="1966">
        <f t="shared" si="3"/>
        <v>0</v>
      </c>
      <c r="J112" s="1997"/>
      <c r="K112" s="2197"/>
    </row>
    <row r="113" spans="1:20" ht="15.75" customHeight="1">
      <c r="A113" s="1967">
        <v>20</v>
      </c>
      <c r="B113" s="1968" t="s">
        <v>168</v>
      </c>
      <c r="C113" s="1969" t="s">
        <v>74</v>
      </c>
      <c r="D113" s="1977"/>
      <c r="E113" s="1978"/>
      <c r="F113" s="1966">
        <f t="shared" si="3"/>
        <v>0</v>
      </c>
      <c r="J113" s="1997"/>
      <c r="K113" s="2197"/>
    </row>
    <row r="114" spans="1:20" ht="15.75" customHeight="1">
      <c r="A114" s="2032">
        <v>21</v>
      </c>
      <c r="B114" s="1968" t="s">
        <v>169</v>
      </c>
      <c r="C114" s="1969" t="s">
        <v>74</v>
      </c>
      <c r="D114" s="1977"/>
      <c r="E114" s="1978">
        <v>2808</v>
      </c>
      <c r="F114" s="1966">
        <f t="shared" si="3"/>
        <v>0</v>
      </c>
      <c r="J114" s="1997"/>
      <c r="K114" s="2197"/>
    </row>
    <row r="115" spans="1:20" ht="15.75" customHeight="1">
      <c r="A115" s="1967">
        <v>22</v>
      </c>
      <c r="B115" s="1968" t="s">
        <v>170</v>
      </c>
      <c r="C115" s="1969" t="s">
        <v>74</v>
      </c>
      <c r="D115" s="1977">
        <v>159</v>
      </c>
      <c r="E115" s="1978">
        <v>1583.97</v>
      </c>
      <c r="F115" s="1966">
        <f t="shared" si="3"/>
        <v>251851.23</v>
      </c>
      <c r="J115" s="1997"/>
      <c r="K115" s="2197"/>
    </row>
    <row r="116" spans="1:20" ht="14.5">
      <c r="A116" s="2032">
        <v>23</v>
      </c>
      <c r="B116" s="1968" t="s">
        <v>171</v>
      </c>
      <c r="C116" s="1969" t="s">
        <v>74</v>
      </c>
      <c r="D116" s="1977"/>
      <c r="E116" s="1978">
        <v>3235.65</v>
      </c>
      <c r="F116" s="1966">
        <f t="shared" si="3"/>
        <v>0</v>
      </c>
      <c r="J116" s="1997"/>
      <c r="K116" s="2197"/>
    </row>
    <row r="117" spans="1:20" ht="14.5">
      <c r="A117" s="1967">
        <v>24</v>
      </c>
      <c r="B117" s="1968" t="s">
        <v>172</v>
      </c>
      <c r="C117" s="1969" t="s">
        <v>74</v>
      </c>
      <c r="D117" s="1977">
        <v>9</v>
      </c>
      <c r="E117" s="1978">
        <v>3663</v>
      </c>
      <c r="F117" s="1966">
        <f t="shared" si="3"/>
        <v>32967</v>
      </c>
      <c r="J117" s="1997"/>
      <c r="K117" s="2197"/>
    </row>
    <row r="118" spans="1:20" ht="14.5">
      <c r="A118" s="2032">
        <v>25</v>
      </c>
      <c r="B118" s="1968" t="s">
        <v>173</v>
      </c>
      <c r="C118" s="1969" t="s">
        <v>74</v>
      </c>
      <c r="D118" s="1977">
        <v>10</v>
      </c>
      <c r="E118" s="1978">
        <v>2808.3</v>
      </c>
      <c r="F118" s="1966">
        <f t="shared" si="3"/>
        <v>28083</v>
      </c>
      <c r="J118" s="1997"/>
      <c r="K118" s="2197"/>
    </row>
    <row r="119" spans="1:20" ht="14.5">
      <c r="A119" s="1967">
        <v>26</v>
      </c>
      <c r="B119" s="1968" t="s">
        <v>174</v>
      </c>
      <c r="C119" s="1983" t="s">
        <v>74</v>
      </c>
      <c r="D119" s="1977"/>
      <c r="E119" s="1978">
        <v>3500</v>
      </c>
      <c r="F119" s="1966">
        <f t="shared" si="3"/>
        <v>0</v>
      </c>
      <c r="J119" s="1997"/>
      <c r="K119" s="2197"/>
      <c r="R119" s="571"/>
    </row>
    <row r="120" spans="1:20" ht="14.5">
      <c r="A120" s="2032">
        <v>27</v>
      </c>
      <c r="B120" s="1968" t="s">
        <v>175</v>
      </c>
      <c r="C120" s="1969" t="s">
        <v>106</v>
      </c>
      <c r="D120" s="1977"/>
      <c r="E120" s="1982"/>
      <c r="F120" s="1966">
        <f t="shared" si="3"/>
        <v>0</v>
      </c>
      <c r="J120" s="1997"/>
      <c r="K120" s="2197"/>
    </row>
    <row r="121" spans="1:20" ht="14.5">
      <c r="A121" s="1967">
        <v>28</v>
      </c>
      <c r="B121" s="1331" t="s">
        <v>176</v>
      </c>
      <c r="C121" s="1969"/>
      <c r="D121" s="1977">
        <v>36</v>
      </c>
      <c r="E121" s="1982">
        <v>7875</v>
      </c>
      <c r="F121" s="1966">
        <f t="shared" si="3"/>
        <v>283500</v>
      </c>
      <c r="J121" s="1997"/>
      <c r="K121" s="2197"/>
      <c r="N121" s="571"/>
    </row>
    <row r="122" spans="1:20" ht="14.5">
      <c r="A122" s="2032">
        <v>29</v>
      </c>
      <c r="B122" s="1331"/>
      <c r="C122" s="1969"/>
      <c r="D122" s="1977"/>
      <c r="E122" s="1982"/>
      <c r="F122" s="1966">
        <f t="shared" si="3"/>
        <v>0</v>
      </c>
      <c r="J122" s="1997"/>
      <c r="K122" s="2197"/>
    </row>
    <row r="123" spans="1:20" ht="14.5">
      <c r="A123" s="1967">
        <v>30</v>
      </c>
      <c r="B123" s="1331"/>
      <c r="C123" s="1969"/>
      <c r="D123" s="1977"/>
      <c r="E123" s="1982"/>
      <c r="F123" s="1966">
        <f t="shared" si="3"/>
        <v>0</v>
      </c>
      <c r="J123" s="1997"/>
      <c r="K123" s="2197"/>
    </row>
    <row r="124" spans="1:20" ht="14.5">
      <c r="A124" s="2032">
        <v>31</v>
      </c>
      <c r="B124" s="1986"/>
      <c r="C124" s="2033"/>
      <c r="D124" s="2034"/>
      <c r="E124" s="1982"/>
      <c r="F124" s="1966">
        <f t="shared" si="3"/>
        <v>0</v>
      </c>
      <c r="J124" s="1997"/>
      <c r="K124" s="2197"/>
    </row>
    <row r="125" spans="1:20" ht="25.15" customHeight="1">
      <c r="A125" s="1332"/>
      <c r="B125" s="2024"/>
      <c r="C125" s="1974"/>
      <c r="D125" s="1974"/>
      <c r="E125" s="715" t="s">
        <v>91</v>
      </c>
      <c r="F125" s="2029">
        <f>SUM(F94:F124)</f>
        <v>2174900.73</v>
      </c>
      <c r="J125" s="2039"/>
      <c r="K125" s="2040"/>
    </row>
    <row r="126" spans="1:20" ht="21">
      <c r="A126" s="2035" t="s">
        <v>177</v>
      </c>
      <c r="B126" s="2189" t="s">
        <v>178</v>
      </c>
      <c r="C126" s="2190"/>
      <c r="D126" s="2190"/>
      <c r="E126" s="2190"/>
      <c r="F126" s="2191"/>
      <c r="J126" s="2198"/>
      <c r="K126" s="2198"/>
    </row>
    <row r="127" spans="1:20" ht="14.5">
      <c r="A127" s="1961">
        <v>1</v>
      </c>
      <c r="B127" s="1962" t="s">
        <v>179</v>
      </c>
      <c r="C127" s="1963" t="s">
        <v>106</v>
      </c>
      <c r="D127" s="2036"/>
      <c r="E127" s="1978">
        <v>7000</v>
      </c>
      <c r="F127" s="1966">
        <f>D127*E127</f>
        <v>0</v>
      </c>
      <c r="J127" s="1997"/>
      <c r="K127" s="2197" t="s">
        <v>180</v>
      </c>
      <c r="T127" s="561"/>
    </row>
    <row r="128" spans="1:20" ht="14.5">
      <c r="A128" s="1967">
        <v>2</v>
      </c>
      <c r="B128" s="1968" t="s">
        <v>181</v>
      </c>
      <c r="C128" s="1963" t="s">
        <v>74</v>
      </c>
      <c r="D128" s="2036">
        <v>3193</v>
      </c>
      <c r="E128" s="1978">
        <v>192</v>
      </c>
      <c r="F128" s="1966">
        <f t="shared" ref="F128:F164" si="4">D128*E128</f>
        <v>613056</v>
      </c>
      <c r="J128" s="1997"/>
      <c r="K128" s="2197"/>
    </row>
    <row r="129" spans="1:11" ht="14.5">
      <c r="A129" s="1967">
        <v>3</v>
      </c>
      <c r="B129" s="1968" t="s">
        <v>182</v>
      </c>
      <c r="C129" s="1963" t="s">
        <v>74</v>
      </c>
      <c r="D129" s="2036">
        <v>2612</v>
      </c>
      <c r="E129" s="1978">
        <v>156.5</v>
      </c>
      <c r="F129" s="1966">
        <f t="shared" si="4"/>
        <v>408778</v>
      </c>
      <c r="J129" s="1997"/>
      <c r="K129" s="2197"/>
    </row>
    <row r="130" spans="1:11" ht="14.5">
      <c r="A130" s="1967">
        <v>4</v>
      </c>
      <c r="B130" s="1968" t="s">
        <v>183</v>
      </c>
      <c r="C130" s="1963" t="s">
        <v>74</v>
      </c>
      <c r="D130" s="2036">
        <v>362</v>
      </c>
      <c r="E130" s="1978">
        <v>666</v>
      </c>
      <c r="F130" s="1966">
        <f t="shared" si="4"/>
        <v>241092</v>
      </c>
      <c r="J130" s="1997"/>
      <c r="K130" s="2197"/>
    </row>
    <row r="131" spans="1:11" ht="14.5">
      <c r="A131" s="1967">
        <v>5</v>
      </c>
      <c r="B131" s="1968" t="s">
        <v>184</v>
      </c>
      <c r="C131" s="1969" t="s">
        <v>106</v>
      </c>
      <c r="D131" s="2041">
        <v>10</v>
      </c>
      <c r="E131" s="1978">
        <v>23500</v>
      </c>
      <c r="F131" s="1966">
        <f t="shared" si="4"/>
        <v>235000</v>
      </c>
      <c r="J131" s="1997"/>
      <c r="K131" s="2197"/>
    </row>
    <row r="132" spans="1:11" ht="14.5">
      <c r="A132" s="1967">
        <v>6</v>
      </c>
      <c r="B132" s="1968" t="s">
        <v>185</v>
      </c>
      <c r="C132" s="1969" t="s">
        <v>186</v>
      </c>
      <c r="D132" s="2041">
        <v>3570</v>
      </c>
      <c r="E132" s="1978">
        <v>39</v>
      </c>
      <c r="F132" s="1966">
        <f t="shared" si="4"/>
        <v>139230</v>
      </c>
      <c r="J132" s="1997"/>
      <c r="K132" s="2197"/>
    </row>
    <row r="133" spans="1:11" ht="14.5">
      <c r="A133" s="1967">
        <v>7</v>
      </c>
      <c r="B133" s="1968" t="s">
        <v>187</v>
      </c>
      <c r="C133" s="1983" t="s">
        <v>186</v>
      </c>
      <c r="D133" s="2041">
        <v>5070</v>
      </c>
      <c r="E133" s="1978">
        <v>750.36</v>
      </c>
      <c r="F133" s="1966">
        <f t="shared" si="4"/>
        <v>3804325.2</v>
      </c>
      <c r="J133" s="1997"/>
      <c r="K133" s="2197"/>
    </row>
    <row r="134" spans="1:11" ht="14.5">
      <c r="A134" s="1967">
        <v>8</v>
      </c>
      <c r="B134" s="1968" t="s">
        <v>188</v>
      </c>
      <c r="C134" s="1983" t="s">
        <v>186</v>
      </c>
      <c r="D134" s="2041">
        <v>14</v>
      </c>
      <c r="E134" s="1978">
        <v>7104</v>
      </c>
      <c r="F134" s="1966">
        <f t="shared" si="4"/>
        <v>99456</v>
      </c>
      <c r="J134" s="1997"/>
      <c r="K134" s="2197"/>
    </row>
    <row r="135" spans="1:11" ht="14.5">
      <c r="A135" s="1967">
        <v>9</v>
      </c>
      <c r="B135" s="1968" t="s">
        <v>189</v>
      </c>
      <c r="C135" s="1983" t="s">
        <v>186</v>
      </c>
      <c r="D135" s="2041"/>
      <c r="E135" s="1978"/>
      <c r="F135" s="1966">
        <f t="shared" si="4"/>
        <v>0</v>
      </c>
      <c r="J135" s="1997"/>
      <c r="K135" s="2197"/>
    </row>
    <row r="136" spans="1:11" ht="14.5">
      <c r="A136" s="1967">
        <v>10</v>
      </c>
      <c r="B136" s="1968" t="s">
        <v>190</v>
      </c>
      <c r="C136" s="1983" t="s">
        <v>186</v>
      </c>
      <c r="D136" s="2041">
        <v>375</v>
      </c>
      <c r="E136" s="1978">
        <v>610.5</v>
      </c>
      <c r="F136" s="1966">
        <f t="shared" si="4"/>
        <v>228937.5</v>
      </c>
      <c r="J136" s="1997"/>
      <c r="K136" s="2197"/>
    </row>
    <row r="137" spans="1:11" ht="14.5">
      <c r="A137" s="1967">
        <v>11</v>
      </c>
      <c r="B137" s="1968" t="s">
        <v>191</v>
      </c>
      <c r="C137" s="1969" t="s">
        <v>186</v>
      </c>
      <c r="D137" s="2041">
        <v>6486</v>
      </c>
      <c r="E137" s="1978">
        <v>154</v>
      </c>
      <c r="F137" s="1966">
        <f t="shared" si="4"/>
        <v>998844</v>
      </c>
      <c r="J137" s="1997"/>
      <c r="K137" s="2197"/>
    </row>
    <row r="138" spans="1:11" ht="14.5">
      <c r="A138" s="1967">
        <v>12</v>
      </c>
      <c r="B138" s="1968" t="s">
        <v>192</v>
      </c>
      <c r="C138" s="1969" t="s">
        <v>186</v>
      </c>
      <c r="D138" s="2041">
        <v>139</v>
      </c>
      <c r="E138" s="1978">
        <v>259</v>
      </c>
      <c r="F138" s="1966">
        <f t="shared" si="4"/>
        <v>36001</v>
      </c>
      <c r="J138" s="1997"/>
      <c r="K138" s="2197"/>
    </row>
    <row r="139" spans="1:11" ht="14.5">
      <c r="A139" s="1967">
        <v>13</v>
      </c>
      <c r="B139" s="1968" t="s">
        <v>193</v>
      </c>
      <c r="C139" s="1969" t="s">
        <v>186</v>
      </c>
      <c r="D139" s="2041">
        <v>732</v>
      </c>
      <c r="E139" s="1978">
        <v>189</v>
      </c>
      <c r="F139" s="1966">
        <f t="shared" si="4"/>
        <v>138348</v>
      </c>
      <c r="J139" s="1997"/>
      <c r="K139" s="2197"/>
    </row>
    <row r="140" spans="1:11" ht="14.5">
      <c r="A140" s="1967">
        <v>14</v>
      </c>
      <c r="B140" s="1968" t="s">
        <v>194</v>
      </c>
      <c r="C140" s="1969" t="s">
        <v>195</v>
      </c>
      <c r="D140" s="2041">
        <v>7</v>
      </c>
      <c r="E140" s="1978">
        <v>72150</v>
      </c>
      <c r="F140" s="1966">
        <f t="shared" si="4"/>
        <v>505050</v>
      </c>
      <c r="J140" s="1997"/>
      <c r="K140" s="2197"/>
    </row>
    <row r="141" spans="1:11" ht="14.5">
      <c r="A141" s="1967">
        <v>15</v>
      </c>
      <c r="B141" s="1968" t="s">
        <v>196</v>
      </c>
      <c r="C141" s="1969" t="s">
        <v>74</v>
      </c>
      <c r="D141" s="2041">
        <v>102</v>
      </c>
      <c r="E141" s="1978">
        <v>177</v>
      </c>
      <c r="F141" s="1966">
        <f t="shared" si="4"/>
        <v>18054</v>
      </c>
      <c r="J141" s="1997"/>
      <c r="K141" s="2197"/>
    </row>
    <row r="142" spans="1:11" ht="14.5">
      <c r="A142" s="1967">
        <v>16</v>
      </c>
      <c r="B142" s="1968" t="s">
        <v>197</v>
      </c>
      <c r="C142" s="1969" t="s">
        <v>106</v>
      </c>
      <c r="D142" s="2041">
        <v>2</v>
      </c>
      <c r="E142" s="1978">
        <v>3435.9</v>
      </c>
      <c r="F142" s="1966">
        <f t="shared" si="4"/>
        <v>6871.8</v>
      </c>
      <c r="J142" s="1997"/>
      <c r="K142" s="2197"/>
    </row>
    <row r="143" spans="1:11" ht="14.5">
      <c r="A143" s="1967">
        <v>17</v>
      </c>
      <c r="B143" s="1968" t="s">
        <v>198</v>
      </c>
      <c r="C143" s="1969" t="s">
        <v>186</v>
      </c>
      <c r="D143" s="2041">
        <v>1230</v>
      </c>
      <c r="E143" s="1978">
        <v>259</v>
      </c>
      <c r="F143" s="1966">
        <f t="shared" si="4"/>
        <v>318570</v>
      </c>
      <c r="J143" s="1997"/>
      <c r="K143" s="2197"/>
    </row>
    <row r="144" spans="1:11" ht="14.5">
      <c r="A144" s="1967">
        <v>18</v>
      </c>
      <c r="B144" s="1968" t="s">
        <v>199</v>
      </c>
      <c r="C144" s="1969" t="s">
        <v>74</v>
      </c>
      <c r="D144" s="2041">
        <v>2851</v>
      </c>
      <c r="E144" s="1978">
        <v>373</v>
      </c>
      <c r="F144" s="1966">
        <f t="shared" si="4"/>
        <v>1063423</v>
      </c>
      <c r="J144" s="1997"/>
      <c r="K144" s="2197"/>
    </row>
    <row r="145" spans="1:11" ht="14.5">
      <c r="A145" s="1967">
        <v>19</v>
      </c>
      <c r="B145" s="1968" t="s">
        <v>200</v>
      </c>
      <c r="C145" s="1969" t="s">
        <v>186</v>
      </c>
      <c r="D145" s="2042">
        <v>521</v>
      </c>
      <c r="E145" s="1978">
        <v>471.75</v>
      </c>
      <c r="F145" s="1966">
        <f t="shared" si="4"/>
        <v>245781.75</v>
      </c>
      <c r="J145" s="1997"/>
      <c r="K145" s="2197"/>
    </row>
    <row r="146" spans="1:11" ht="14.25" customHeight="1">
      <c r="A146" s="1967">
        <v>20</v>
      </c>
      <c r="B146" s="1968" t="s">
        <v>201</v>
      </c>
      <c r="C146" s="1969" t="s">
        <v>186</v>
      </c>
      <c r="D146" s="2042">
        <v>405</v>
      </c>
      <c r="E146" s="1978">
        <v>144</v>
      </c>
      <c r="F146" s="1966">
        <f t="shared" si="4"/>
        <v>58320</v>
      </c>
      <c r="J146" s="1997"/>
      <c r="K146" s="2197"/>
    </row>
    <row r="147" spans="1:11" ht="14.25" customHeight="1">
      <c r="A147" s="1967">
        <v>21</v>
      </c>
      <c r="B147" s="1968" t="s">
        <v>202</v>
      </c>
      <c r="C147" s="1983" t="s">
        <v>106</v>
      </c>
      <c r="D147" s="2043"/>
      <c r="E147" s="1978">
        <f>35000/250</f>
        <v>140</v>
      </c>
      <c r="F147" s="1966">
        <f t="shared" si="4"/>
        <v>0</v>
      </c>
      <c r="J147" s="1997"/>
      <c r="K147" s="2197"/>
    </row>
    <row r="148" spans="1:11" ht="14.25" customHeight="1">
      <c r="A148" s="1967">
        <v>22</v>
      </c>
      <c r="B148" s="1968" t="s">
        <v>203</v>
      </c>
      <c r="C148" s="1983" t="s">
        <v>106</v>
      </c>
      <c r="D148" s="2043"/>
      <c r="E148" s="1981"/>
      <c r="F148" s="1966">
        <f t="shared" si="4"/>
        <v>0</v>
      </c>
      <c r="J148" s="1997"/>
      <c r="K148" s="2197"/>
    </row>
    <row r="149" spans="1:11" ht="14.25" customHeight="1">
      <c r="A149" s="1967">
        <v>23</v>
      </c>
      <c r="B149" s="1968" t="s">
        <v>204</v>
      </c>
      <c r="C149" s="1983" t="s">
        <v>106</v>
      </c>
      <c r="D149" s="2043"/>
      <c r="E149" s="1978">
        <v>7000</v>
      </c>
      <c r="F149" s="1966">
        <f t="shared" si="4"/>
        <v>0</v>
      </c>
      <c r="J149" s="1997"/>
      <c r="K149" s="2197"/>
    </row>
    <row r="150" spans="1:11" ht="14.25" customHeight="1">
      <c r="A150" s="1967">
        <v>24</v>
      </c>
      <c r="B150" s="1968" t="s">
        <v>205</v>
      </c>
      <c r="C150" s="1983" t="s">
        <v>74</v>
      </c>
      <c r="D150" s="2043"/>
      <c r="E150" s="1978">
        <v>710</v>
      </c>
      <c r="F150" s="1966">
        <f t="shared" si="4"/>
        <v>0</v>
      </c>
      <c r="J150" s="1997"/>
      <c r="K150" s="2197"/>
    </row>
    <row r="151" spans="1:11" ht="14.25" customHeight="1">
      <c r="A151" s="1967">
        <v>25</v>
      </c>
      <c r="B151" s="1968" t="s">
        <v>206</v>
      </c>
      <c r="C151" s="1983" t="s">
        <v>74</v>
      </c>
      <c r="D151" s="2043">
        <v>150</v>
      </c>
      <c r="E151" s="1978">
        <v>224</v>
      </c>
      <c r="F151" s="1966">
        <f t="shared" si="4"/>
        <v>33600</v>
      </c>
      <c r="J151" s="1997"/>
      <c r="K151" s="2197"/>
    </row>
    <row r="152" spans="1:11" ht="14.25" customHeight="1">
      <c r="A152" s="1967">
        <v>26</v>
      </c>
      <c r="B152" s="1968" t="s">
        <v>207</v>
      </c>
      <c r="C152" s="1983" t="s">
        <v>74</v>
      </c>
      <c r="D152" s="2043">
        <v>350</v>
      </c>
      <c r="E152" s="1981">
        <v>290</v>
      </c>
      <c r="F152" s="1966">
        <f t="shared" si="4"/>
        <v>101500</v>
      </c>
      <c r="J152" s="1997"/>
      <c r="K152" s="2197"/>
    </row>
    <row r="153" spans="1:11" ht="14.25" customHeight="1">
      <c r="A153" s="1967">
        <v>27</v>
      </c>
      <c r="B153" s="1968" t="s">
        <v>208</v>
      </c>
      <c r="C153" s="1983" t="s">
        <v>74</v>
      </c>
      <c r="D153" s="2043"/>
      <c r="E153" s="1981">
        <v>266</v>
      </c>
      <c r="F153" s="1966">
        <f t="shared" si="4"/>
        <v>0</v>
      </c>
      <c r="J153" s="1997"/>
      <c r="K153" s="2197"/>
    </row>
    <row r="154" spans="1:11" ht="14.25" customHeight="1">
      <c r="A154" s="1967">
        <v>28</v>
      </c>
      <c r="B154" s="1968" t="s">
        <v>209</v>
      </c>
      <c r="C154" s="1983" t="s">
        <v>186</v>
      </c>
      <c r="D154" s="2043">
        <v>291</v>
      </c>
      <c r="E154" s="1981">
        <v>3480</v>
      </c>
      <c r="F154" s="1966">
        <f t="shared" si="4"/>
        <v>1012680</v>
      </c>
      <c r="J154" s="1997"/>
      <c r="K154" s="2197"/>
    </row>
    <row r="155" spans="1:11" ht="14.25" customHeight="1">
      <c r="A155" s="1967">
        <v>29</v>
      </c>
      <c r="B155" s="1968" t="s">
        <v>210</v>
      </c>
      <c r="C155" s="1983" t="s">
        <v>186</v>
      </c>
      <c r="D155" s="2043"/>
      <c r="E155" s="1981">
        <v>540</v>
      </c>
      <c r="F155" s="1966">
        <f t="shared" si="4"/>
        <v>0</v>
      </c>
      <c r="J155" s="1997"/>
      <c r="K155" s="2197"/>
    </row>
    <row r="156" spans="1:11" ht="14.25" customHeight="1">
      <c r="A156" s="1967">
        <v>30</v>
      </c>
      <c r="B156" s="1968" t="s">
        <v>211</v>
      </c>
      <c r="C156" s="1983" t="s">
        <v>74</v>
      </c>
      <c r="D156" s="2043">
        <v>24</v>
      </c>
      <c r="E156" s="1981">
        <v>8000</v>
      </c>
      <c r="F156" s="1966">
        <f t="shared" si="4"/>
        <v>192000</v>
      </c>
      <c r="J156" s="1997"/>
      <c r="K156" s="2197"/>
    </row>
    <row r="157" spans="1:11" ht="14.25" customHeight="1">
      <c r="A157" s="1967">
        <v>31</v>
      </c>
      <c r="B157" s="1968" t="s">
        <v>212</v>
      </c>
      <c r="C157" s="1983" t="s">
        <v>106</v>
      </c>
      <c r="D157" s="2043">
        <v>0.5</v>
      </c>
      <c r="E157" s="1981">
        <v>15000</v>
      </c>
      <c r="F157" s="1966">
        <f t="shared" si="4"/>
        <v>7500</v>
      </c>
      <c r="J157" s="1997"/>
      <c r="K157" s="2197"/>
    </row>
    <row r="158" spans="1:11" ht="14.25" customHeight="1">
      <c r="A158" s="1967">
        <v>32</v>
      </c>
      <c r="B158" s="1968" t="s">
        <v>213</v>
      </c>
      <c r="C158" s="1983" t="s">
        <v>195</v>
      </c>
      <c r="D158" s="2043"/>
      <c r="E158" s="1981"/>
      <c r="F158" s="1966">
        <f t="shared" si="4"/>
        <v>0</v>
      </c>
      <c r="J158" s="1997"/>
      <c r="K158" s="2197"/>
    </row>
    <row r="159" spans="1:11" ht="14.25" customHeight="1">
      <c r="A159" s="1967">
        <v>33</v>
      </c>
      <c r="B159" s="1331" t="s">
        <v>214</v>
      </c>
      <c r="C159" s="1983"/>
      <c r="D159" s="2043"/>
      <c r="E159" s="1981">
        <f>10000/100</f>
        <v>100</v>
      </c>
      <c r="F159" s="1966">
        <f t="shared" si="4"/>
        <v>0</v>
      </c>
      <c r="J159" s="1997"/>
      <c r="K159" s="2197"/>
    </row>
    <row r="160" spans="1:11" ht="14.25" customHeight="1">
      <c r="A160" s="1967">
        <v>34</v>
      </c>
      <c r="B160" s="1331" t="s">
        <v>215</v>
      </c>
      <c r="C160" s="1983"/>
      <c r="D160" s="2043"/>
      <c r="E160" s="1981">
        <v>6500</v>
      </c>
      <c r="F160" s="1966">
        <f t="shared" si="4"/>
        <v>0</v>
      </c>
      <c r="J160" s="1997"/>
      <c r="K160" s="2197"/>
    </row>
    <row r="161" spans="1:12" ht="14.25" customHeight="1">
      <c r="A161" s="1967">
        <v>35</v>
      </c>
      <c r="B161" s="1331" t="s">
        <v>216</v>
      </c>
      <c r="C161" s="1983"/>
      <c r="D161" s="2043">
        <v>3</v>
      </c>
      <c r="E161" s="1981">
        <v>7000</v>
      </c>
      <c r="F161" s="1966">
        <f t="shared" si="4"/>
        <v>21000</v>
      </c>
      <c r="J161" s="1997"/>
      <c r="K161" s="2197"/>
    </row>
    <row r="162" spans="1:12" ht="14.25" customHeight="1">
      <c r="A162" s="1967">
        <v>36</v>
      </c>
      <c r="B162" s="1331" t="s">
        <v>217</v>
      </c>
      <c r="C162" s="1983"/>
      <c r="D162" s="2043"/>
      <c r="E162" s="1981">
        <v>144</v>
      </c>
      <c r="F162" s="1966">
        <f t="shared" si="4"/>
        <v>0</v>
      </c>
      <c r="J162" s="1997"/>
      <c r="K162" s="2197"/>
    </row>
    <row r="163" spans="1:12" ht="14.25" customHeight="1">
      <c r="A163" s="1967">
        <v>37</v>
      </c>
      <c r="B163" s="1331" t="s">
        <v>218</v>
      </c>
      <c r="C163" s="1983"/>
      <c r="D163" s="2043"/>
      <c r="E163" s="1981">
        <f>59900/20</f>
        <v>2995</v>
      </c>
      <c r="F163" s="1966">
        <f t="shared" si="4"/>
        <v>0</v>
      </c>
      <c r="J163" s="1997"/>
      <c r="K163" s="2197"/>
    </row>
    <row r="164" spans="1:12" ht="14.5">
      <c r="A164" s="1967">
        <v>38</v>
      </c>
      <c r="B164" s="1986" t="s">
        <v>219</v>
      </c>
      <c r="C164" s="2005"/>
      <c r="D164" s="2043">
        <v>203</v>
      </c>
      <c r="E164" s="1981">
        <v>390</v>
      </c>
      <c r="F164" s="1966">
        <f t="shared" si="4"/>
        <v>79170</v>
      </c>
      <c r="J164" s="1997"/>
      <c r="K164" s="2197"/>
    </row>
    <row r="165" spans="1:12" ht="25.15" customHeight="1">
      <c r="A165" s="2044"/>
      <c r="B165" s="2045"/>
      <c r="C165" s="2046"/>
      <c r="D165" s="2046"/>
      <c r="E165" s="715" t="s">
        <v>91</v>
      </c>
      <c r="F165" s="1975">
        <f>SUM(F127:F164)</f>
        <v>10606588.25</v>
      </c>
      <c r="J165" s="1997"/>
      <c r="K165" s="2197"/>
    </row>
    <row r="166" spans="1:12" ht="21">
      <c r="A166" s="1958" t="s">
        <v>220</v>
      </c>
      <c r="B166" s="2189" t="s">
        <v>221</v>
      </c>
      <c r="C166" s="2190"/>
      <c r="D166" s="2190"/>
      <c r="E166" s="2190"/>
      <c r="F166" s="2191"/>
      <c r="J166" s="1997"/>
      <c r="K166" s="2197"/>
    </row>
    <row r="167" spans="1:12" ht="14.65" customHeight="1">
      <c r="A167" s="2047"/>
      <c r="B167" s="2048"/>
      <c r="C167" s="2049"/>
      <c r="D167" s="2049"/>
      <c r="E167" s="2049"/>
      <c r="F167" s="2050"/>
      <c r="G167" s="921"/>
      <c r="J167" s="1997"/>
      <c r="K167" s="2197"/>
    </row>
    <row r="168" spans="1:12" ht="14.5">
      <c r="A168" s="2051">
        <v>1</v>
      </c>
      <c r="B168" s="2052" t="s">
        <v>222</v>
      </c>
      <c r="C168" s="1963" t="s">
        <v>142</v>
      </c>
      <c r="D168" s="2012">
        <v>46.1</v>
      </c>
      <c r="E168" s="1978">
        <v>20001.375</v>
      </c>
      <c r="F168" s="1966">
        <f>D168*E168</f>
        <v>922063.38749999995</v>
      </c>
      <c r="H168" s="573"/>
      <c r="J168" s="1997"/>
      <c r="K168" s="2197"/>
    </row>
    <row r="169" spans="1:12" ht="14.5">
      <c r="A169" s="2053">
        <v>2</v>
      </c>
      <c r="B169" s="2054" t="s">
        <v>223</v>
      </c>
      <c r="C169" s="1987" t="s">
        <v>95</v>
      </c>
      <c r="D169" s="1986"/>
      <c r="E169" s="1981">
        <f>122100/6</f>
        <v>20350</v>
      </c>
      <c r="F169" s="2055">
        <f>D169*E169</f>
        <v>0</v>
      </c>
      <c r="J169" s="1997"/>
      <c r="K169" s="2197"/>
    </row>
    <row r="170" spans="1:12" ht="25.15" customHeight="1">
      <c r="A170" s="2023"/>
      <c r="B170" s="2056"/>
      <c r="C170" s="1974"/>
      <c r="D170" s="1974"/>
      <c r="E170" s="715" t="s">
        <v>91</v>
      </c>
      <c r="F170" s="1975">
        <f>SUM(F168:F169)</f>
        <v>922063.38749999995</v>
      </c>
      <c r="J170" s="1997"/>
      <c r="K170" s="2197"/>
      <c r="L170" s="532" t="s">
        <v>61</v>
      </c>
    </row>
    <row r="171" spans="1:12" ht="21">
      <c r="A171" s="1958" t="s">
        <v>224</v>
      </c>
      <c r="B171" s="2190" t="s">
        <v>225</v>
      </c>
      <c r="C171" s="2190"/>
      <c r="D171" s="2190"/>
      <c r="E171" s="2190"/>
      <c r="F171" s="2191"/>
      <c r="J171" s="1997"/>
      <c r="K171" s="2197"/>
    </row>
    <row r="172" spans="1:12" ht="15" hidden="1" customHeight="1">
      <c r="A172" s="2051"/>
      <c r="B172" s="2057" t="e">
        <f>UPPER(#REF!)</f>
        <v>#REF!</v>
      </c>
      <c r="C172" s="1992" t="s">
        <v>226</v>
      </c>
      <c r="D172" s="2058"/>
      <c r="E172" s="2058"/>
      <c r="F172" s="2059">
        <f>D172*E172</f>
        <v>0</v>
      </c>
      <c r="J172" s="1997"/>
      <c r="K172" s="2197"/>
    </row>
    <row r="173" spans="1:12" ht="15" hidden="1" customHeight="1">
      <c r="A173" s="2060">
        <v>1</v>
      </c>
      <c r="B173" s="2061" t="e">
        <f>UPPER(#REF!)</f>
        <v>#REF!</v>
      </c>
      <c r="C173" s="1260" t="s">
        <v>227</v>
      </c>
      <c r="D173" s="1331"/>
      <c r="E173" s="1331"/>
      <c r="F173" s="2059">
        <f t="shared" ref="F173:F236" si="5">D173*E173</f>
        <v>0</v>
      </c>
      <c r="J173" s="1997"/>
      <c r="K173" s="2197"/>
    </row>
    <row r="174" spans="1:12" ht="15" hidden="1" customHeight="1">
      <c r="A174" s="2060">
        <v>2</v>
      </c>
      <c r="B174" s="2061" t="e">
        <f>UPPER(#REF!)</f>
        <v>#REF!</v>
      </c>
      <c r="C174" s="1260" t="s">
        <v>226</v>
      </c>
      <c r="D174" s="1331"/>
      <c r="E174" s="1331"/>
      <c r="F174" s="2059">
        <f t="shared" si="5"/>
        <v>0</v>
      </c>
      <c r="J174" s="1997"/>
      <c r="K174" s="2197"/>
    </row>
    <row r="175" spans="1:12" ht="15" hidden="1" customHeight="1">
      <c r="A175" s="2060">
        <v>3</v>
      </c>
      <c r="B175" s="2061" t="e">
        <f>UPPER(#REF!)</f>
        <v>#REF!</v>
      </c>
      <c r="C175" s="1260" t="s">
        <v>226</v>
      </c>
      <c r="D175" s="1331"/>
      <c r="E175" s="1331"/>
      <c r="F175" s="2059">
        <f t="shared" si="5"/>
        <v>0</v>
      </c>
      <c r="J175" s="1997"/>
      <c r="K175" s="2197"/>
    </row>
    <row r="176" spans="1:12" ht="15" hidden="1" customHeight="1">
      <c r="A176" s="2060">
        <v>4</v>
      </c>
      <c r="B176" s="2061" t="e">
        <f>UPPER(#REF!)</f>
        <v>#REF!</v>
      </c>
      <c r="C176" s="1260" t="s">
        <v>226</v>
      </c>
      <c r="D176" s="1331"/>
      <c r="E176" s="1331"/>
      <c r="F176" s="2059">
        <f t="shared" si="5"/>
        <v>0</v>
      </c>
      <c r="J176" s="1997"/>
      <c r="K176" s="2197"/>
    </row>
    <row r="177" spans="1:11" ht="15" hidden="1" customHeight="1">
      <c r="A177" s="2060">
        <v>5</v>
      </c>
      <c r="B177" s="2061" t="e">
        <f>UPPER(#REF!)</f>
        <v>#REF!</v>
      </c>
      <c r="C177" s="1260" t="s">
        <v>227</v>
      </c>
      <c r="D177" s="1331"/>
      <c r="E177" s="1331"/>
      <c r="F177" s="2059">
        <f t="shared" si="5"/>
        <v>0</v>
      </c>
      <c r="J177" s="1997"/>
      <c r="K177" s="2197"/>
    </row>
    <row r="178" spans="1:11" ht="15" hidden="1" customHeight="1">
      <c r="A178" s="2060">
        <v>6</v>
      </c>
      <c r="B178" s="2061" t="e">
        <f>UPPER(#REF!)</f>
        <v>#REF!</v>
      </c>
      <c r="C178" s="1260" t="s">
        <v>227</v>
      </c>
      <c r="D178" s="1331"/>
      <c r="E178" s="1331"/>
      <c r="F178" s="2059">
        <f t="shared" si="5"/>
        <v>0</v>
      </c>
      <c r="J178" s="1997"/>
      <c r="K178" s="2197"/>
    </row>
    <row r="179" spans="1:11" ht="15" hidden="1" customHeight="1">
      <c r="A179" s="2062">
        <v>7</v>
      </c>
      <c r="B179" s="2063" t="e">
        <f>UPPER(#REF!)</f>
        <v>#REF!</v>
      </c>
      <c r="C179" s="2064" t="s">
        <v>227</v>
      </c>
      <c r="D179" s="2065"/>
      <c r="E179" s="2065"/>
      <c r="F179" s="2059">
        <f t="shared" si="5"/>
        <v>0</v>
      </c>
      <c r="J179" s="1997"/>
      <c r="K179" s="2197"/>
    </row>
    <row r="180" spans="1:11" ht="15" hidden="1" customHeight="1">
      <c r="A180" s="2060"/>
      <c r="B180" s="2066" t="e">
        <f>UPPER(#REF!)</f>
        <v>#REF!</v>
      </c>
      <c r="C180" s="1260" t="s">
        <v>227</v>
      </c>
      <c r="D180" s="1331"/>
      <c r="E180" s="1377"/>
      <c r="F180" s="2059">
        <f t="shared" si="5"/>
        <v>0</v>
      </c>
      <c r="J180" s="1997"/>
      <c r="K180" s="2197"/>
    </row>
    <row r="181" spans="1:11" ht="15" hidden="1" customHeight="1">
      <c r="A181" s="2060"/>
      <c r="B181" s="2066" t="e">
        <f>UPPER(#REF!)</f>
        <v>#REF!</v>
      </c>
      <c r="C181" s="1260" t="s">
        <v>228</v>
      </c>
      <c r="D181" s="1331"/>
      <c r="E181" s="1377"/>
      <c r="F181" s="2059">
        <f t="shared" si="5"/>
        <v>0</v>
      </c>
      <c r="J181" s="1997"/>
      <c r="K181" s="2197"/>
    </row>
    <row r="182" spans="1:11" ht="15" hidden="1" customHeight="1">
      <c r="A182" s="2060"/>
      <c r="B182" s="2066" t="e">
        <f>UPPER(#REF!)</f>
        <v>#REF!</v>
      </c>
      <c r="C182" s="1260" t="s">
        <v>227</v>
      </c>
      <c r="D182" s="1331"/>
      <c r="E182" s="1377"/>
      <c r="F182" s="2059">
        <f t="shared" si="5"/>
        <v>0</v>
      </c>
      <c r="J182" s="1997"/>
      <c r="K182" s="2197"/>
    </row>
    <row r="183" spans="1:11" ht="15" hidden="1" customHeight="1">
      <c r="A183" s="2060"/>
      <c r="B183" s="2066" t="e">
        <f>UPPER(#REF!)</f>
        <v>#REF!</v>
      </c>
      <c r="C183" s="1260" t="s">
        <v>228</v>
      </c>
      <c r="D183" s="1331"/>
      <c r="E183" s="1377"/>
      <c r="F183" s="2059">
        <f t="shared" si="5"/>
        <v>0</v>
      </c>
      <c r="J183" s="1997"/>
      <c r="K183" s="2197"/>
    </row>
    <row r="184" spans="1:11" ht="15" hidden="1" customHeight="1">
      <c r="A184" s="2060"/>
      <c r="B184" s="2066" t="e">
        <f>UPPER(#REF!)</f>
        <v>#REF!</v>
      </c>
      <c r="C184" s="1260" t="s">
        <v>228</v>
      </c>
      <c r="D184" s="1331"/>
      <c r="E184" s="1377"/>
      <c r="F184" s="2059">
        <f t="shared" si="5"/>
        <v>0</v>
      </c>
      <c r="J184" s="1997"/>
      <c r="K184" s="2197"/>
    </row>
    <row r="185" spans="1:11" ht="15" hidden="1" customHeight="1">
      <c r="A185" s="2060"/>
      <c r="B185" s="2066" t="e">
        <f>UPPER(#REF!)</f>
        <v>#REF!</v>
      </c>
      <c r="C185" s="1260" t="s">
        <v>227</v>
      </c>
      <c r="D185" s="1331"/>
      <c r="E185" s="1377"/>
      <c r="F185" s="2059">
        <f t="shared" si="5"/>
        <v>0</v>
      </c>
      <c r="J185" s="1997"/>
      <c r="K185" s="2197"/>
    </row>
    <row r="186" spans="1:11" ht="15" hidden="1" customHeight="1">
      <c r="A186" s="2060"/>
      <c r="B186" s="2066" t="e">
        <f>UPPER(#REF!)</f>
        <v>#REF!</v>
      </c>
      <c r="C186" s="1260" t="s">
        <v>227</v>
      </c>
      <c r="D186" s="1331"/>
      <c r="E186" s="1377"/>
      <c r="F186" s="2059">
        <f t="shared" si="5"/>
        <v>0</v>
      </c>
      <c r="J186" s="1997"/>
      <c r="K186" s="2197"/>
    </row>
    <row r="187" spans="1:11" ht="15" hidden="1" customHeight="1">
      <c r="A187" s="2060"/>
      <c r="B187" s="2066" t="e">
        <f>UPPER(#REF!)</f>
        <v>#REF!</v>
      </c>
      <c r="C187" s="2067" t="s">
        <v>227</v>
      </c>
      <c r="D187" s="1970"/>
      <c r="E187" s="2068"/>
      <c r="F187" s="2059">
        <f t="shared" si="5"/>
        <v>0</v>
      </c>
      <c r="J187" s="1997"/>
      <c r="K187" s="2197"/>
    </row>
    <row r="188" spans="1:11" ht="15" hidden="1" customHeight="1">
      <c r="A188" s="2060"/>
      <c r="B188" s="2066" t="e">
        <f>UPPER(#REF!)</f>
        <v>#REF!</v>
      </c>
      <c r="C188" s="1970"/>
      <c r="D188" s="1970"/>
      <c r="E188" s="2068"/>
      <c r="F188" s="2059">
        <f t="shared" si="5"/>
        <v>0</v>
      </c>
      <c r="J188" s="1997"/>
      <c r="K188" s="2197"/>
    </row>
    <row r="189" spans="1:11" ht="15" hidden="1" customHeight="1">
      <c r="A189" s="2060"/>
      <c r="B189" s="2066" t="e">
        <f>UPPER(#REF!)</f>
        <v>#REF!</v>
      </c>
      <c r="C189" s="1970"/>
      <c r="D189" s="1970"/>
      <c r="E189" s="2068"/>
      <c r="F189" s="2069">
        <f t="shared" si="5"/>
        <v>0</v>
      </c>
      <c r="J189" s="1997"/>
      <c r="K189" s="2197"/>
    </row>
    <row r="190" spans="1:11" ht="15" hidden="1" customHeight="1">
      <c r="A190" s="2060"/>
      <c r="B190" s="2066" t="e">
        <f>UPPER(#REF!)</f>
        <v>#REF!</v>
      </c>
      <c r="C190" s="1974"/>
      <c r="D190" s="1974"/>
      <c r="E190" s="715" t="s">
        <v>91</v>
      </c>
      <c r="F190" s="2070">
        <f>SUM(F172:F189)</f>
        <v>0</v>
      </c>
      <c r="J190" s="1997"/>
      <c r="K190" s="2197"/>
    </row>
    <row r="191" spans="1:11" ht="15" hidden="1" customHeight="1">
      <c r="A191" s="2060"/>
      <c r="B191" s="2066" t="e">
        <f>UPPER(#REF!)</f>
        <v>#REF!</v>
      </c>
      <c r="C191" s="2012"/>
      <c r="D191" s="2012"/>
      <c r="E191" s="2071"/>
      <c r="F191" s="2059">
        <f t="shared" si="5"/>
        <v>0</v>
      </c>
      <c r="J191" s="1997"/>
      <c r="K191" s="2197"/>
    </row>
    <row r="192" spans="1:11" ht="15" hidden="1" customHeight="1">
      <c r="A192" s="2060"/>
      <c r="B192" s="2066" t="e">
        <f>UPPER(#REF!)</f>
        <v>#REF!</v>
      </c>
      <c r="C192" s="2012"/>
      <c r="D192" s="2012"/>
      <c r="E192" s="2071"/>
      <c r="F192" s="2059">
        <f t="shared" si="5"/>
        <v>0</v>
      </c>
      <c r="J192" s="1997"/>
      <c r="K192" s="2197"/>
    </row>
    <row r="193" spans="1:11" ht="15" hidden="1" customHeight="1">
      <c r="A193" s="2060"/>
      <c r="B193" s="2066" t="e">
        <f>UPPER(#REF!)</f>
        <v>#REF!</v>
      </c>
      <c r="C193" s="1260" t="s">
        <v>226</v>
      </c>
      <c r="D193" s="1331"/>
      <c r="E193" s="1377"/>
      <c r="F193" s="2059">
        <f t="shared" si="5"/>
        <v>0</v>
      </c>
      <c r="J193" s="1997"/>
      <c r="K193" s="2197"/>
    </row>
    <row r="194" spans="1:11" ht="15" hidden="1" customHeight="1">
      <c r="A194" s="2060"/>
      <c r="B194" s="2066" t="e">
        <f>UPPER(#REF!)</f>
        <v>#REF!</v>
      </c>
      <c r="C194" s="1260" t="s">
        <v>227</v>
      </c>
      <c r="D194" s="1331"/>
      <c r="E194" s="1377"/>
      <c r="F194" s="2059">
        <f t="shared" si="5"/>
        <v>0</v>
      </c>
      <c r="J194" s="1997"/>
      <c r="K194" s="2197"/>
    </row>
    <row r="195" spans="1:11" ht="15" hidden="1" customHeight="1">
      <c r="A195" s="2060"/>
      <c r="B195" s="2066" t="e">
        <f>UPPER(#REF!)</f>
        <v>#REF!</v>
      </c>
      <c r="C195" s="1260" t="s">
        <v>229</v>
      </c>
      <c r="D195" s="1331"/>
      <c r="E195" s="1377"/>
      <c r="F195" s="2059">
        <f t="shared" si="5"/>
        <v>0</v>
      </c>
      <c r="J195" s="1997"/>
      <c r="K195" s="2197"/>
    </row>
    <row r="196" spans="1:11" ht="15" hidden="1" customHeight="1">
      <c r="A196" s="2060"/>
      <c r="B196" s="2066" t="e">
        <f>UPPER(#REF!)</f>
        <v>#REF!</v>
      </c>
      <c r="C196" s="1260" t="s">
        <v>226</v>
      </c>
      <c r="D196" s="1331"/>
      <c r="E196" s="1377"/>
      <c r="F196" s="2059">
        <f t="shared" si="5"/>
        <v>0</v>
      </c>
      <c r="J196" s="1997"/>
      <c r="K196" s="2197"/>
    </row>
    <row r="197" spans="1:11" ht="15" hidden="1" customHeight="1">
      <c r="A197" s="2060"/>
      <c r="B197" s="2066" t="e">
        <f>UPPER(#REF!)</f>
        <v>#REF!</v>
      </c>
      <c r="C197" s="1260" t="s">
        <v>227</v>
      </c>
      <c r="D197" s="1331"/>
      <c r="E197" s="1377"/>
      <c r="F197" s="2059">
        <f t="shared" si="5"/>
        <v>0</v>
      </c>
      <c r="J197" s="1997"/>
      <c r="K197" s="2197"/>
    </row>
    <row r="198" spans="1:11" ht="15" hidden="1" customHeight="1">
      <c r="A198" s="2060"/>
      <c r="B198" s="2066" t="e">
        <f>UPPER(#REF!)</f>
        <v>#REF!</v>
      </c>
      <c r="C198" s="1260" t="s">
        <v>227</v>
      </c>
      <c r="D198" s="1331"/>
      <c r="E198" s="1377"/>
      <c r="F198" s="2059">
        <f t="shared" si="5"/>
        <v>0</v>
      </c>
      <c r="J198" s="1997"/>
      <c r="K198" s="2197"/>
    </row>
    <row r="199" spans="1:11" ht="15" hidden="1" customHeight="1">
      <c r="A199" s="2060"/>
      <c r="B199" s="2066" t="e">
        <f>UPPER(#REF!)</f>
        <v>#REF!</v>
      </c>
      <c r="C199" s="1260" t="s">
        <v>227</v>
      </c>
      <c r="D199" s="1331"/>
      <c r="E199" s="1377"/>
      <c r="F199" s="2059">
        <f t="shared" si="5"/>
        <v>0</v>
      </c>
      <c r="J199" s="1997"/>
      <c r="K199" s="2197"/>
    </row>
    <row r="200" spans="1:11" ht="15" hidden="1" customHeight="1">
      <c r="A200" s="2060"/>
      <c r="B200" s="2066" t="e">
        <f>UPPER(#REF!)</f>
        <v>#REF!</v>
      </c>
      <c r="C200" s="2067" t="s">
        <v>227</v>
      </c>
      <c r="D200" s="1970"/>
      <c r="E200" s="2068"/>
      <c r="F200" s="2059">
        <f t="shared" si="5"/>
        <v>0</v>
      </c>
      <c r="J200" s="1997"/>
      <c r="K200" s="2197"/>
    </row>
    <row r="201" spans="1:11" ht="15" hidden="1" customHeight="1">
      <c r="A201" s="2060"/>
      <c r="B201" s="2066" t="e">
        <f>UPPER(#REF!)</f>
        <v>#REF!</v>
      </c>
      <c r="C201" s="1331"/>
      <c r="D201" s="1331"/>
      <c r="E201" s="1377"/>
      <c r="F201" s="2059">
        <f t="shared" si="5"/>
        <v>0</v>
      </c>
      <c r="J201" s="1997"/>
      <c r="K201" s="2197"/>
    </row>
    <row r="202" spans="1:11" ht="15" hidden="1" customHeight="1">
      <c r="A202" s="2060"/>
      <c r="B202" s="2066" t="e">
        <f>UPPER(#REF!)</f>
        <v>#REF!</v>
      </c>
      <c r="C202" s="2065"/>
      <c r="D202" s="2065"/>
      <c r="E202" s="2072"/>
      <c r="F202" s="2059">
        <f t="shared" si="5"/>
        <v>0</v>
      </c>
      <c r="J202" s="1997"/>
      <c r="K202" s="2197"/>
    </row>
    <row r="203" spans="1:11" ht="15" hidden="1" customHeight="1">
      <c r="A203" s="2060"/>
      <c r="B203" s="2066" t="e">
        <f>UPPER(#REF!)</f>
        <v>#REF!</v>
      </c>
      <c r="C203" s="1974"/>
      <c r="D203" s="1974"/>
      <c r="E203" s="715" t="s">
        <v>91</v>
      </c>
      <c r="F203" s="2073">
        <f>SUM(F191:F202)</f>
        <v>0</v>
      </c>
      <c r="J203" s="1997"/>
      <c r="K203" s="2197"/>
    </row>
    <row r="204" spans="1:11" ht="15" hidden="1" customHeight="1">
      <c r="A204" s="2060"/>
      <c r="B204" s="2066" t="e">
        <f>UPPER(#REF!)</f>
        <v>#REF!</v>
      </c>
      <c r="C204" s="2074"/>
      <c r="D204" s="2074"/>
      <c r="E204" s="2075"/>
      <c r="F204" s="2059">
        <f t="shared" si="5"/>
        <v>0</v>
      </c>
      <c r="J204" s="1997"/>
      <c r="K204" s="2197"/>
    </row>
    <row r="205" spans="1:11" ht="15" hidden="1" customHeight="1">
      <c r="A205" s="2060"/>
      <c r="B205" s="2066" t="e">
        <f>UPPER(#REF!)</f>
        <v>#REF!</v>
      </c>
      <c r="C205" s="1260" t="s">
        <v>226</v>
      </c>
      <c r="D205" s="1331"/>
      <c r="E205" s="1377"/>
      <c r="F205" s="2059">
        <f t="shared" si="5"/>
        <v>0</v>
      </c>
      <c r="J205" s="1997"/>
      <c r="K205" s="2197"/>
    </row>
    <row r="206" spans="1:11" ht="15" hidden="1" customHeight="1">
      <c r="A206" s="2060"/>
      <c r="B206" s="2066" t="e">
        <f>UPPER(#REF!)</f>
        <v>#REF!</v>
      </c>
      <c r="C206" s="1260" t="s">
        <v>226</v>
      </c>
      <c r="D206" s="1331"/>
      <c r="E206" s="1377"/>
      <c r="F206" s="2059">
        <f t="shared" si="5"/>
        <v>0</v>
      </c>
      <c r="J206" s="1997"/>
      <c r="K206" s="2197"/>
    </row>
    <row r="207" spans="1:11" ht="15" hidden="1" customHeight="1">
      <c r="A207" s="2060"/>
      <c r="B207" s="2066" t="e">
        <f>UPPER(#REF!)</f>
        <v>#REF!</v>
      </c>
      <c r="C207" s="1260" t="s">
        <v>226</v>
      </c>
      <c r="D207" s="1331"/>
      <c r="E207" s="1377"/>
      <c r="F207" s="2059">
        <f t="shared" si="5"/>
        <v>0</v>
      </c>
      <c r="J207" s="1997"/>
      <c r="K207" s="2197"/>
    </row>
    <row r="208" spans="1:11" ht="15" hidden="1" customHeight="1">
      <c r="A208" s="2060"/>
      <c r="B208" s="2066" t="e">
        <f>UPPER(#REF!)</f>
        <v>#REF!</v>
      </c>
      <c r="C208" s="1260" t="s">
        <v>226</v>
      </c>
      <c r="D208" s="1331"/>
      <c r="E208" s="1377"/>
      <c r="F208" s="2059">
        <f t="shared" si="5"/>
        <v>0</v>
      </c>
      <c r="J208" s="1997"/>
      <c r="K208" s="2197"/>
    </row>
    <row r="209" spans="1:11" ht="15" hidden="1" customHeight="1">
      <c r="A209" s="2060"/>
      <c r="B209" s="2066" t="e">
        <f>UPPER(#REF!)</f>
        <v>#REF!</v>
      </c>
      <c r="C209" s="1260" t="s">
        <v>227</v>
      </c>
      <c r="D209" s="1331"/>
      <c r="E209" s="1377"/>
      <c r="F209" s="2059">
        <f t="shared" si="5"/>
        <v>0</v>
      </c>
      <c r="J209" s="1997"/>
      <c r="K209" s="2197"/>
    </row>
    <row r="210" spans="1:11" ht="15" hidden="1" customHeight="1">
      <c r="A210" s="2060"/>
      <c r="B210" s="2066" t="e">
        <f>UPPER(#REF!)</f>
        <v>#REF!</v>
      </c>
      <c r="C210" s="2067" t="s">
        <v>230</v>
      </c>
      <c r="D210" s="1970"/>
      <c r="E210" s="2068"/>
      <c r="F210" s="2059">
        <f t="shared" si="5"/>
        <v>0</v>
      </c>
      <c r="J210" s="1997"/>
      <c r="K210" s="2197"/>
    </row>
    <row r="211" spans="1:11" ht="15" hidden="1" customHeight="1">
      <c r="A211" s="2060"/>
      <c r="B211" s="2066" t="e">
        <f>UPPER(#REF!)</f>
        <v>#REF!</v>
      </c>
      <c r="C211" s="2067" t="s">
        <v>230</v>
      </c>
      <c r="D211" s="1970"/>
      <c r="E211" s="2068"/>
      <c r="F211" s="2059">
        <f t="shared" si="5"/>
        <v>0</v>
      </c>
      <c r="J211" s="1997"/>
      <c r="K211" s="2197"/>
    </row>
    <row r="212" spans="1:11" ht="15" hidden="1" customHeight="1">
      <c r="A212" s="2060"/>
      <c r="B212" s="2066" t="e">
        <f>UPPER(#REF!)</f>
        <v>#REF!</v>
      </c>
      <c r="C212" s="2067" t="s">
        <v>231</v>
      </c>
      <c r="D212" s="1970"/>
      <c r="E212" s="2068"/>
      <c r="F212" s="2059">
        <f t="shared" si="5"/>
        <v>0</v>
      </c>
      <c r="J212" s="1997"/>
      <c r="K212" s="2197"/>
    </row>
    <row r="213" spans="1:11" ht="15" hidden="1" customHeight="1">
      <c r="A213" s="2060"/>
      <c r="B213" s="2066" t="e">
        <f>UPPER(#REF!)</f>
        <v>#REF!</v>
      </c>
      <c r="C213" s="2067" t="s">
        <v>231</v>
      </c>
      <c r="D213" s="1970"/>
      <c r="E213" s="2068"/>
      <c r="F213" s="2059">
        <f t="shared" si="5"/>
        <v>0</v>
      </c>
      <c r="J213" s="1997"/>
      <c r="K213" s="2197"/>
    </row>
    <row r="214" spans="1:11" ht="15" hidden="1" customHeight="1">
      <c r="A214" s="2060"/>
      <c r="B214" s="2066" t="e">
        <f>UPPER(#REF!)</f>
        <v>#REF!</v>
      </c>
      <c r="C214" s="1970"/>
      <c r="D214" s="1970"/>
      <c r="E214" s="2068"/>
      <c r="F214" s="2059">
        <f t="shared" si="5"/>
        <v>0</v>
      </c>
      <c r="J214" s="1997"/>
      <c r="K214" s="2197"/>
    </row>
    <row r="215" spans="1:11" ht="15" hidden="1" customHeight="1">
      <c r="A215" s="2060"/>
      <c r="B215" s="2066" t="e">
        <f>UPPER(#REF!)</f>
        <v>#REF!</v>
      </c>
      <c r="C215" s="1974"/>
      <c r="D215" s="1974"/>
      <c r="E215" s="715" t="s">
        <v>91</v>
      </c>
      <c r="F215" s="2073">
        <f>SUM(F204:F214)</f>
        <v>0</v>
      </c>
      <c r="J215" s="1997"/>
      <c r="K215" s="2197"/>
    </row>
    <row r="216" spans="1:11" ht="15" hidden="1" customHeight="1">
      <c r="A216" s="2060"/>
      <c r="B216" s="2066" t="e">
        <f>UPPER(#REF!)</f>
        <v>#REF!</v>
      </c>
      <c r="C216" s="2012"/>
      <c r="D216" s="2012"/>
      <c r="E216" s="2012"/>
      <c r="F216" s="2059">
        <f t="shared" si="5"/>
        <v>0</v>
      </c>
      <c r="J216" s="1997"/>
      <c r="K216" s="2197"/>
    </row>
    <row r="217" spans="1:11" ht="15" hidden="1" customHeight="1">
      <c r="A217" s="2060"/>
      <c r="B217" s="2066" t="e">
        <f>UPPER(#REF!)</f>
        <v>#REF!</v>
      </c>
      <c r="C217" s="1260" t="s">
        <v>232</v>
      </c>
      <c r="D217" s="1331"/>
      <c r="E217" s="1331"/>
      <c r="F217" s="2059">
        <f t="shared" si="5"/>
        <v>0</v>
      </c>
      <c r="J217" s="1997"/>
      <c r="K217" s="2197"/>
    </row>
    <row r="218" spans="1:11" ht="15" hidden="1" customHeight="1">
      <c r="A218" s="2060"/>
      <c r="B218" s="2066" t="e">
        <f>UPPER(#REF!)</f>
        <v>#REF!</v>
      </c>
      <c r="C218" s="1260" t="s">
        <v>228</v>
      </c>
      <c r="D218" s="1331"/>
      <c r="E218" s="1331"/>
      <c r="F218" s="2059">
        <f t="shared" si="5"/>
        <v>0</v>
      </c>
      <c r="J218" s="1997"/>
      <c r="K218" s="2197"/>
    </row>
    <row r="219" spans="1:11" ht="15" hidden="1" customHeight="1">
      <c r="A219" s="2060"/>
      <c r="B219" s="2066" t="e">
        <f>UPPER(#REF!)</f>
        <v>#REF!</v>
      </c>
      <c r="C219" s="1260" t="s">
        <v>227</v>
      </c>
      <c r="D219" s="1331"/>
      <c r="E219" s="1331"/>
      <c r="F219" s="2059">
        <f t="shared" si="5"/>
        <v>0</v>
      </c>
      <c r="J219" s="1997"/>
      <c r="K219" s="2197"/>
    </row>
    <row r="220" spans="1:11" ht="15" hidden="1" customHeight="1">
      <c r="A220" s="2060"/>
      <c r="B220" s="2066" t="e">
        <f>UPPER(#REF!)</f>
        <v>#REF!</v>
      </c>
      <c r="C220" s="2064" t="s">
        <v>228</v>
      </c>
      <c r="D220" s="2065"/>
      <c r="E220" s="2065"/>
      <c r="F220" s="2059">
        <f t="shared" si="5"/>
        <v>0</v>
      </c>
      <c r="J220" s="1997"/>
      <c r="K220" s="2197"/>
    </row>
    <row r="221" spans="1:11" ht="15" hidden="1" customHeight="1">
      <c r="A221" s="2060"/>
      <c r="B221" s="2066" t="e">
        <f>UPPER(#REF!)</f>
        <v>#REF!</v>
      </c>
      <c r="C221" s="1260" t="s">
        <v>228</v>
      </c>
      <c r="D221" s="1331"/>
      <c r="E221" s="1331"/>
      <c r="F221" s="2059">
        <f t="shared" si="5"/>
        <v>0</v>
      </c>
      <c r="J221" s="1997"/>
      <c r="K221" s="2197"/>
    </row>
    <row r="222" spans="1:11" ht="15" hidden="1" customHeight="1">
      <c r="A222" s="2060"/>
      <c r="B222" s="2066" t="e">
        <f>UPPER(#REF!)</f>
        <v>#REF!</v>
      </c>
      <c r="C222" s="1260" t="s">
        <v>228</v>
      </c>
      <c r="D222" s="1331"/>
      <c r="E222" s="1331"/>
      <c r="F222" s="2059">
        <f t="shared" si="5"/>
        <v>0</v>
      </c>
      <c r="J222" s="1997"/>
      <c r="K222" s="2197"/>
    </row>
    <row r="223" spans="1:11" ht="15" hidden="1" customHeight="1">
      <c r="A223" s="2060"/>
      <c r="B223" s="2066" t="e">
        <f>UPPER(#REF!)</f>
        <v>#REF!</v>
      </c>
      <c r="C223" s="2064" t="s">
        <v>228</v>
      </c>
      <c r="D223" s="2065"/>
      <c r="E223" s="2065"/>
      <c r="F223" s="2059">
        <f t="shared" si="5"/>
        <v>0</v>
      </c>
      <c r="J223" s="1997"/>
      <c r="K223" s="2197"/>
    </row>
    <row r="224" spans="1:11" ht="15" hidden="1" customHeight="1">
      <c r="A224" s="2060"/>
      <c r="B224" s="2066" t="e">
        <f>UPPER(#REF!)</f>
        <v>#REF!</v>
      </c>
      <c r="C224" s="1260" t="s">
        <v>228</v>
      </c>
      <c r="D224" s="1331"/>
      <c r="E224" s="1331"/>
      <c r="F224" s="2059">
        <f t="shared" si="5"/>
        <v>0</v>
      </c>
      <c r="J224" s="1997"/>
      <c r="K224" s="2197"/>
    </row>
    <row r="225" spans="1:11" ht="15" hidden="1" customHeight="1">
      <c r="A225" s="2060"/>
      <c r="B225" s="2066" t="e">
        <f>UPPER(#REF!)</f>
        <v>#REF!</v>
      </c>
      <c r="C225" s="2064" t="s">
        <v>228</v>
      </c>
      <c r="D225" s="2065"/>
      <c r="E225" s="2065"/>
      <c r="F225" s="2059">
        <f t="shared" si="5"/>
        <v>0</v>
      </c>
      <c r="J225" s="1997"/>
      <c r="K225" s="2197"/>
    </row>
    <row r="226" spans="1:11" ht="15" hidden="1" customHeight="1">
      <c r="A226" s="2060"/>
      <c r="B226" s="2066" t="e">
        <f>UPPER(#REF!)</f>
        <v>#REF!</v>
      </c>
      <c r="C226" s="2067" t="s">
        <v>228</v>
      </c>
      <c r="D226" s="1970"/>
      <c r="E226" s="1970"/>
      <c r="F226" s="2059">
        <f t="shared" si="5"/>
        <v>0</v>
      </c>
      <c r="J226" s="1997"/>
      <c r="K226" s="2197"/>
    </row>
    <row r="227" spans="1:11" ht="15" hidden="1" customHeight="1">
      <c r="A227" s="2060"/>
      <c r="B227" s="2066" t="e">
        <f>UPPER(#REF!)</f>
        <v>#REF!</v>
      </c>
      <c r="C227" s="1974"/>
      <c r="D227" s="1974"/>
      <c r="E227" s="715" t="s">
        <v>91</v>
      </c>
      <c r="F227" s="2073">
        <f>SUM(F216:F226)</f>
        <v>0</v>
      </c>
      <c r="J227" s="1997"/>
      <c r="K227" s="2197"/>
    </row>
    <row r="228" spans="1:11" ht="15" hidden="1" customHeight="1">
      <c r="A228" s="2060"/>
      <c r="B228" s="2066" t="e">
        <f>UPPER(#REF!)</f>
        <v>#REF!</v>
      </c>
      <c r="C228" s="2074"/>
      <c r="D228" s="2074"/>
      <c r="E228" s="2074"/>
      <c r="F228" s="2059">
        <f t="shared" si="5"/>
        <v>0</v>
      </c>
      <c r="J228" s="1997"/>
      <c r="K228" s="2197"/>
    </row>
    <row r="229" spans="1:11" ht="15" hidden="1" customHeight="1">
      <c r="A229" s="2060"/>
      <c r="B229" s="2066" t="e">
        <f>UPPER(#REF!)</f>
        <v>#REF!</v>
      </c>
      <c r="C229" s="1331" t="s">
        <v>233</v>
      </c>
      <c r="D229" s="1331"/>
      <c r="E229" s="1331"/>
      <c r="F229" s="2059">
        <f t="shared" si="5"/>
        <v>0</v>
      </c>
      <c r="J229" s="1997"/>
      <c r="K229" s="2197"/>
    </row>
    <row r="230" spans="1:11" ht="15" hidden="1" customHeight="1">
      <c r="A230" s="2060"/>
      <c r="B230" s="2066" t="e">
        <f>UPPER(#REF!)</f>
        <v>#REF!</v>
      </c>
      <c r="C230" s="1331" t="s">
        <v>233</v>
      </c>
      <c r="D230" s="1331"/>
      <c r="E230" s="1331"/>
      <c r="F230" s="2059">
        <f t="shared" si="5"/>
        <v>0</v>
      </c>
      <c r="J230" s="1997"/>
      <c r="K230" s="2197"/>
    </row>
    <row r="231" spans="1:11" ht="15" hidden="1" customHeight="1">
      <c r="A231" s="2060"/>
      <c r="B231" s="2066" t="e">
        <f>UPPER(#REF!)</f>
        <v>#REF!</v>
      </c>
      <c r="C231" s="1331" t="s">
        <v>233</v>
      </c>
      <c r="D231" s="1331"/>
      <c r="E231" s="1331"/>
      <c r="F231" s="2059">
        <f t="shared" si="5"/>
        <v>0</v>
      </c>
      <c r="J231" s="1997"/>
      <c r="K231" s="2197"/>
    </row>
    <row r="232" spans="1:11" ht="15" hidden="1" customHeight="1">
      <c r="A232" s="2060"/>
      <c r="B232" s="2066" t="e">
        <f>UPPER(#REF!)</f>
        <v>#REF!</v>
      </c>
      <c r="C232" s="1331" t="s">
        <v>233</v>
      </c>
      <c r="D232" s="1331"/>
      <c r="E232" s="1331"/>
      <c r="F232" s="2059">
        <f t="shared" si="5"/>
        <v>0</v>
      </c>
      <c r="J232" s="1997"/>
      <c r="K232" s="2197"/>
    </row>
    <row r="233" spans="1:11" ht="15" hidden="1" customHeight="1">
      <c r="A233" s="2060"/>
      <c r="B233" s="2066" t="e">
        <f>UPPER(#REF!)</f>
        <v>#REF!</v>
      </c>
      <c r="C233" s="1331" t="s">
        <v>233</v>
      </c>
      <c r="D233" s="1331"/>
      <c r="E233" s="1331"/>
      <c r="F233" s="2059">
        <f t="shared" si="5"/>
        <v>0</v>
      </c>
      <c r="J233" s="1997"/>
      <c r="K233" s="2197"/>
    </row>
    <row r="234" spans="1:11" ht="15" hidden="1" customHeight="1">
      <c r="A234" s="2060"/>
      <c r="B234" s="2066" t="e">
        <f>UPPER(#REF!)</f>
        <v>#REF!</v>
      </c>
      <c r="C234" s="1331" t="s">
        <v>233</v>
      </c>
      <c r="D234" s="1331"/>
      <c r="E234" s="1331"/>
      <c r="F234" s="2059">
        <f t="shared" si="5"/>
        <v>0</v>
      </c>
      <c r="J234" s="1997"/>
      <c r="K234" s="2197"/>
    </row>
    <row r="235" spans="1:11" ht="15" hidden="1" customHeight="1">
      <c r="A235" s="2060"/>
      <c r="B235" s="2066" t="e">
        <f>UPPER(#REF!)</f>
        <v>#REF!</v>
      </c>
      <c r="C235" s="1331" t="s">
        <v>233</v>
      </c>
      <c r="D235" s="1331"/>
      <c r="E235" s="1331"/>
      <c r="F235" s="2059">
        <f t="shared" si="5"/>
        <v>0</v>
      </c>
      <c r="J235" s="1997"/>
      <c r="K235" s="2197"/>
    </row>
    <row r="236" spans="1:11" ht="15" hidden="1" customHeight="1">
      <c r="A236" s="2060"/>
      <c r="B236" s="2066" t="e">
        <f>UPPER(#REF!)</f>
        <v>#REF!</v>
      </c>
      <c r="C236" s="1331" t="s">
        <v>233</v>
      </c>
      <c r="D236" s="1331"/>
      <c r="E236" s="1331"/>
      <c r="F236" s="2059">
        <f t="shared" si="5"/>
        <v>0</v>
      </c>
      <c r="J236" s="1997"/>
      <c r="K236" s="2197"/>
    </row>
    <row r="237" spans="1:11" ht="15" hidden="1" customHeight="1">
      <c r="A237" s="2060"/>
      <c r="B237" s="2066" t="e">
        <f>UPPER(#REF!)</f>
        <v>#REF!</v>
      </c>
      <c r="C237" s="2026" t="s">
        <v>233</v>
      </c>
      <c r="D237" s="2026"/>
      <c r="E237" s="2026"/>
      <c r="F237" s="2059">
        <f t="shared" ref="F237:F301" si="6">D237*E237</f>
        <v>0</v>
      </c>
      <c r="J237" s="1997"/>
      <c r="K237" s="2197"/>
    </row>
    <row r="238" spans="1:11" ht="15" hidden="1" customHeight="1">
      <c r="A238" s="2060"/>
      <c r="B238" s="2066" t="e">
        <f>UPPER(#REF!)</f>
        <v>#REF!</v>
      </c>
      <c r="C238" s="1974"/>
      <c r="D238" s="1974"/>
      <c r="E238" s="715" t="s">
        <v>91</v>
      </c>
      <c r="F238" s="2073">
        <f>SUM(F228:F237)</f>
        <v>0</v>
      </c>
      <c r="J238" s="1997"/>
      <c r="K238" s="2197"/>
    </row>
    <row r="239" spans="1:11" ht="15" hidden="1" customHeight="1">
      <c r="A239" s="2060"/>
      <c r="B239" s="2066" t="e">
        <f>UPPER(#REF!)</f>
        <v>#REF!</v>
      </c>
      <c r="C239" s="2074"/>
      <c r="D239" s="2074"/>
      <c r="E239" s="2074"/>
      <c r="F239" s="2059">
        <f t="shared" si="6"/>
        <v>0</v>
      </c>
      <c r="J239" s="1997"/>
      <c r="K239" s="2197"/>
    </row>
    <row r="240" spans="1:11" ht="15" hidden="1" customHeight="1">
      <c r="A240" s="2060"/>
      <c r="B240" s="2066" t="e">
        <f>UPPER(#REF!)</f>
        <v>#REF!</v>
      </c>
      <c r="C240" s="1331" t="s">
        <v>226</v>
      </c>
      <c r="D240" s="1331"/>
      <c r="E240" s="1331"/>
      <c r="F240" s="2059">
        <f t="shared" si="6"/>
        <v>0</v>
      </c>
      <c r="J240" s="1997"/>
      <c r="K240" s="2197"/>
    </row>
    <row r="241" spans="1:11" ht="15" hidden="1" customHeight="1">
      <c r="A241" s="2060"/>
      <c r="B241" s="2066" t="e">
        <f>UPPER(#REF!)</f>
        <v>#REF!</v>
      </c>
      <c r="C241" s="1331" t="s">
        <v>226</v>
      </c>
      <c r="D241" s="1331"/>
      <c r="E241" s="1331"/>
      <c r="F241" s="2059">
        <f t="shared" si="6"/>
        <v>0</v>
      </c>
      <c r="J241" s="1997"/>
      <c r="K241" s="2197"/>
    </row>
    <row r="242" spans="1:11" ht="15" hidden="1" customHeight="1">
      <c r="A242" s="2060"/>
      <c r="B242" s="2066" t="e">
        <f>UPPER(#REF!)</f>
        <v>#REF!</v>
      </c>
      <c r="C242" s="1331" t="s">
        <v>226</v>
      </c>
      <c r="D242" s="1331"/>
      <c r="E242" s="1331"/>
      <c r="F242" s="2059">
        <f t="shared" si="6"/>
        <v>0</v>
      </c>
      <c r="J242" s="1997"/>
      <c r="K242" s="2197"/>
    </row>
    <row r="243" spans="1:11" ht="15" hidden="1" customHeight="1">
      <c r="A243" s="2060"/>
      <c r="B243" s="2066" t="e">
        <f>UPPER(#REF!)</f>
        <v>#REF!</v>
      </c>
      <c r="C243" s="1331" t="s">
        <v>226</v>
      </c>
      <c r="D243" s="1331"/>
      <c r="E243" s="1331"/>
      <c r="F243" s="2059">
        <f t="shared" si="6"/>
        <v>0</v>
      </c>
      <c r="J243" s="1997"/>
      <c r="K243" s="2197"/>
    </row>
    <row r="244" spans="1:11" ht="15" hidden="1" customHeight="1">
      <c r="A244" s="2060"/>
      <c r="B244" s="2066" t="e">
        <f>UPPER(#REF!)</f>
        <v>#REF!</v>
      </c>
      <c r="C244" s="1331" t="s">
        <v>227</v>
      </c>
      <c r="D244" s="1331"/>
      <c r="E244" s="1331"/>
      <c r="F244" s="2059">
        <f t="shared" si="6"/>
        <v>0</v>
      </c>
      <c r="J244" s="1997"/>
      <c r="K244" s="2197"/>
    </row>
    <row r="245" spans="1:11" ht="15" hidden="1" customHeight="1">
      <c r="A245" s="2060"/>
      <c r="B245" s="2066" t="e">
        <f>UPPER(#REF!)</f>
        <v>#REF!</v>
      </c>
      <c r="C245" s="1331" t="s">
        <v>230</v>
      </c>
      <c r="D245" s="1331"/>
      <c r="E245" s="1331"/>
      <c r="F245" s="2059">
        <f t="shared" si="6"/>
        <v>0</v>
      </c>
      <c r="J245" s="1997"/>
      <c r="K245" s="2197"/>
    </row>
    <row r="246" spans="1:11" ht="15" hidden="1" customHeight="1">
      <c r="A246" s="2060"/>
      <c r="B246" s="2066" t="e">
        <f>UPPER(#REF!)</f>
        <v>#REF!</v>
      </c>
      <c r="C246" s="1970" t="s">
        <v>230</v>
      </c>
      <c r="D246" s="1970"/>
      <c r="E246" s="1970"/>
      <c r="F246" s="2059">
        <f t="shared" si="6"/>
        <v>0</v>
      </c>
      <c r="J246" s="1997"/>
      <c r="K246" s="2197"/>
    </row>
    <row r="247" spans="1:11" ht="15" hidden="1" customHeight="1">
      <c r="A247" s="2060"/>
      <c r="B247" s="2066" t="e">
        <f>UPPER(#REF!)</f>
        <v>#REF!</v>
      </c>
      <c r="C247" s="1331" t="s">
        <v>231</v>
      </c>
      <c r="D247" s="1331"/>
      <c r="E247" s="1331"/>
      <c r="F247" s="2059">
        <f t="shared" si="6"/>
        <v>0</v>
      </c>
      <c r="J247" s="1997"/>
      <c r="K247" s="2197"/>
    </row>
    <row r="248" spans="1:11" ht="15" hidden="1" customHeight="1">
      <c r="A248" s="2060"/>
      <c r="B248" s="2066" t="e">
        <f>UPPER(#REF!)</f>
        <v>#REF!</v>
      </c>
      <c r="C248" s="2065" t="s">
        <v>231</v>
      </c>
      <c r="D248" s="2065"/>
      <c r="E248" s="2065"/>
      <c r="F248" s="2059">
        <f t="shared" si="6"/>
        <v>0</v>
      </c>
      <c r="J248" s="1997"/>
      <c r="K248" s="2197"/>
    </row>
    <row r="249" spans="1:11" ht="15" hidden="1" customHeight="1">
      <c r="A249" s="2060"/>
      <c r="B249" s="2066" t="e">
        <f>UPPER(#REF!)</f>
        <v>#REF!</v>
      </c>
      <c r="C249" s="1970"/>
      <c r="D249" s="1970"/>
      <c r="E249" s="1970"/>
      <c r="F249" s="2059">
        <f t="shared" si="6"/>
        <v>0</v>
      </c>
      <c r="J249" s="1997"/>
      <c r="K249" s="2197"/>
    </row>
    <row r="250" spans="1:11" ht="15" hidden="1" customHeight="1">
      <c r="A250" s="2060"/>
      <c r="B250" s="2066" t="e">
        <f>UPPER(#REF!)</f>
        <v>#REF!</v>
      </c>
      <c r="C250" s="1974"/>
      <c r="D250" s="1974"/>
      <c r="E250" s="715" t="s">
        <v>91</v>
      </c>
      <c r="F250" s="2059">
        <f>SUM(F239:F249)</f>
        <v>0</v>
      </c>
      <c r="J250" s="1997"/>
      <c r="K250" s="2197"/>
    </row>
    <row r="251" spans="1:11" ht="15" hidden="1" customHeight="1">
      <c r="A251" s="2060"/>
      <c r="B251" s="2066" t="e">
        <f>UPPER(#REF!)</f>
        <v>#REF!</v>
      </c>
      <c r="C251" s="1974"/>
      <c r="D251" s="715"/>
      <c r="E251" s="715" t="s">
        <v>234</v>
      </c>
      <c r="F251" s="2076"/>
      <c r="J251" s="1997"/>
      <c r="K251" s="2197"/>
    </row>
    <row r="252" spans="1:11" ht="15" hidden="1" customHeight="1">
      <c r="A252" s="2060"/>
      <c r="B252" s="2066" t="e">
        <f>UPPER(#REF!)</f>
        <v>#REF!</v>
      </c>
      <c r="C252" s="2065"/>
      <c r="D252" s="2065"/>
      <c r="E252" s="2065"/>
      <c r="F252" s="2076"/>
      <c r="J252" s="1997"/>
      <c r="K252" s="2197"/>
    </row>
    <row r="253" spans="1:11" ht="15" hidden="1" customHeight="1">
      <c r="A253" s="2060"/>
      <c r="B253" s="2066" t="e">
        <f>UPPER(#REF!)</f>
        <v>#REF!</v>
      </c>
      <c r="C253" s="1974"/>
      <c r="D253" s="1974"/>
      <c r="E253" s="715" t="s">
        <v>235</v>
      </c>
      <c r="F253" s="2076"/>
      <c r="J253" s="1997"/>
      <c r="K253" s="2197"/>
    </row>
    <row r="254" spans="1:11" ht="15" hidden="1" customHeight="1">
      <c r="A254" s="2060"/>
      <c r="B254" s="2066" t="e">
        <f>UPPER(#REF!)</f>
        <v>#REF!</v>
      </c>
      <c r="C254" s="2012"/>
      <c r="D254" s="2012"/>
      <c r="E254" s="2012"/>
      <c r="F254" s="2059">
        <f t="shared" si="6"/>
        <v>0</v>
      </c>
      <c r="J254" s="1997"/>
      <c r="K254" s="2197"/>
    </row>
    <row r="255" spans="1:11" ht="15" hidden="1" customHeight="1">
      <c r="A255" s="2060"/>
      <c r="B255" s="2066" t="e">
        <f>UPPER(#REF!)</f>
        <v>#REF!</v>
      </c>
      <c r="C255" s="1331" t="s">
        <v>236</v>
      </c>
      <c r="D255" s="1331"/>
      <c r="E255" s="1331"/>
      <c r="F255" s="2059">
        <f t="shared" si="6"/>
        <v>0</v>
      </c>
      <c r="J255" s="1997"/>
      <c r="K255" s="2197"/>
    </row>
    <row r="256" spans="1:11" ht="15" hidden="1" customHeight="1">
      <c r="A256" s="2060"/>
      <c r="B256" s="2066" t="e">
        <f>UPPER(#REF!)</f>
        <v>#REF!</v>
      </c>
      <c r="C256" s="1970" t="s">
        <v>237</v>
      </c>
      <c r="D256" s="1970"/>
      <c r="E256" s="1970"/>
      <c r="F256" s="2059">
        <f t="shared" si="6"/>
        <v>0</v>
      </c>
      <c r="J256" s="1997"/>
      <c r="K256" s="2197"/>
    </row>
    <row r="257" spans="1:11" ht="15" hidden="1" customHeight="1">
      <c r="A257" s="2060"/>
      <c r="B257" s="2066" t="e">
        <f>UPPER(#REF!)</f>
        <v>#REF!</v>
      </c>
      <c r="C257" s="1970" t="s">
        <v>238</v>
      </c>
      <c r="D257" s="1970"/>
      <c r="E257" s="1970"/>
      <c r="F257" s="2059">
        <f t="shared" si="6"/>
        <v>0</v>
      </c>
      <c r="J257" s="1997"/>
      <c r="K257" s="2197"/>
    </row>
    <row r="258" spans="1:11" ht="15" hidden="1" customHeight="1">
      <c r="A258" s="2060"/>
      <c r="B258" s="2066" t="e">
        <f>UPPER(#REF!)</f>
        <v>#REF!</v>
      </c>
      <c r="C258" s="1970"/>
      <c r="D258" s="1970"/>
      <c r="E258" s="1970"/>
      <c r="F258" s="2059">
        <f t="shared" si="6"/>
        <v>0</v>
      </c>
      <c r="J258" s="1997"/>
      <c r="K258" s="2197"/>
    </row>
    <row r="259" spans="1:11" ht="15" hidden="1" customHeight="1">
      <c r="A259" s="2060"/>
      <c r="B259" s="2066" t="e">
        <f>UPPER(#REF!)</f>
        <v>#REF!</v>
      </c>
      <c r="C259" s="1974"/>
      <c r="D259" s="1974"/>
      <c r="E259" s="715" t="s">
        <v>91</v>
      </c>
      <c r="F259" s="2076"/>
      <c r="J259" s="1997"/>
      <c r="K259" s="2197"/>
    </row>
    <row r="260" spans="1:11" ht="15" hidden="1" customHeight="1">
      <c r="A260" s="2060"/>
      <c r="B260" s="2066" t="e">
        <f>UPPER(#REF!)</f>
        <v>#REF!</v>
      </c>
      <c r="C260" s="1331"/>
      <c r="D260" s="1331"/>
      <c r="E260" s="1331"/>
      <c r="F260" s="2059">
        <f t="shared" si="6"/>
        <v>0</v>
      </c>
      <c r="J260" s="1997"/>
      <c r="K260" s="2197"/>
    </row>
    <row r="261" spans="1:11" ht="15" hidden="1" customHeight="1">
      <c r="A261" s="2060"/>
      <c r="B261" s="2066" t="e">
        <f>UPPER(#REF!)</f>
        <v>#REF!</v>
      </c>
      <c r="C261" s="1331" t="s">
        <v>236</v>
      </c>
      <c r="D261" s="1331"/>
      <c r="E261" s="1331"/>
      <c r="F261" s="2059">
        <f t="shared" si="6"/>
        <v>0</v>
      </c>
      <c r="J261" s="1997"/>
      <c r="K261" s="2197"/>
    </row>
    <row r="262" spans="1:11" ht="15" hidden="1" customHeight="1">
      <c r="A262" s="2060"/>
      <c r="B262" s="2066" t="e">
        <f>UPPER(#REF!)</f>
        <v>#REF!</v>
      </c>
      <c r="C262" s="1331" t="s">
        <v>227</v>
      </c>
      <c r="D262" s="1331"/>
      <c r="E262" s="1331"/>
      <c r="F262" s="2059">
        <f t="shared" si="6"/>
        <v>0</v>
      </c>
      <c r="J262" s="1997"/>
      <c r="K262" s="2197"/>
    </row>
    <row r="263" spans="1:11" ht="15" hidden="1" customHeight="1">
      <c r="A263" s="2060"/>
      <c r="B263" s="2066" t="e">
        <f>UPPER(#REF!)</f>
        <v>#REF!</v>
      </c>
      <c r="C263" s="1331" t="s">
        <v>231</v>
      </c>
      <c r="D263" s="1331"/>
      <c r="E263" s="1331"/>
      <c r="F263" s="2059">
        <f t="shared" si="6"/>
        <v>0</v>
      </c>
      <c r="J263" s="1997"/>
      <c r="K263" s="2197"/>
    </row>
    <row r="264" spans="1:11" ht="15" hidden="1" customHeight="1">
      <c r="A264" s="2060"/>
      <c r="B264" s="2066" t="e">
        <f>UPPER(#REF!)</f>
        <v>#REF!</v>
      </c>
      <c r="C264" s="1331" t="s">
        <v>230</v>
      </c>
      <c r="D264" s="1331"/>
      <c r="E264" s="1331"/>
      <c r="F264" s="2059">
        <f t="shared" si="6"/>
        <v>0</v>
      </c>
      <c r="J264" s="1997"/>
      <c r="K264" s="2197"/>
    </row>
    <row r="265" spans="1:11" ht="15" hidden="1" customHeight="1">
      <c r="A265" s="2060"/>
      <c r="B265" s="2066" t="e">
        <f>UPPER(#REF!)</f>
        <v>#REF!</v>
      </c>
      <c r="C265" s="1331" t="s">
        <v>230</v>
      </c>
      <c r="D265" s="1331"/>
      <c r="E265" s="1331"/>
      <c r="F265" s="2059">
        <f t="shared" si="6"/>
        <v>0</v>
      </c>
      <c r="J265" s="1997"/>
      <c r="K265" s="2197"/>
    </row>
    <row r="266" spans="1:11" ht="15" hidden="1" customHeight="1">
      <c r="A266" s="2060"/>
      <c r="B266" s="2066" t="e">
        <f>UPPER(#REF!)</f>
        <v>#REF!</v>
      </c>
      <c r="C266" s="1331" t="s">
        <v>239</v>
      </c>
      <c r="D266" s="1331"/>
      <c r="E266" s="1331"/>
      <c r="F266" s="2059">
        <f t="shared" si="6"/>
        <v>0</v>
      </c>
      <c r="J266" s="1997"/>
      <c r="K266" s="2197"/>
    </row>
    <row r="267" spans="1:11" ht="15" hidden="1" customHeight="1">
      <c r="A267" s="2060"/>
      <c r="B267" s="2066" t="e">
        <f>UPPER(#REF!)</f>
        <v>#REF!</v>
      </c>
      <c r="C267" s="1974"/>
      <c r="D267" s="1974"/>
      <c r="E267" s="715" t="s">
        <v>91</v>
      </c>
      <c r="F267" s="2076"/>
      <c r="J267" s="1997"/>
      <c r="K267" s="2197"/>
    </row>
    <row r="268" spans="1:11" ht="15" hidden="1" customHeight="1">
      <c r="A268" s="2060"/>
      <c r="B268" s="2066" t="e">
        <f>UPPER(#REF!)</f>
        <v>#REF!</v>
      </c>
      <c r="C268" s="1974"/>
      <c r="D268" s="2077"/>
      <c r="E268" s="715" t="s">
        <v>240</v>
      </c>
      <c r="F268" s="2076"/>
      <c r="J268" s="1997"/>
      <c r="K268" s="2197"/>
    </row>
    <row r="269" spans="1:11" ht="15" hidden="1" customHeight="1">
      <c r="A269" s="2060"/>
      <c r="B269" s="2066" t="e">
        <f>UPPER(#REF!)</f>
        <v>#REF!</v>
      </c>
      <c r="C269" s="1141"/>
      <c r="D269" s="1141"/>
      <c r="E269" s="1141"/>
      <c r="F269" s="2059">
        <f t="shared" si="6"/>
        <v>0</v>
      </c>
      <c r="J269" s="1997"/>
      <c r="K269" s="2197"/>
    </row>
    <row r="270" spans="1:11" ht="15" hidden="1" customHeight="1">
      <c r="A270" s="2060"/>
      <c r="B270" s="2066" t="e">
        <f>UPPER(#REF!)</f>
        <v>#REF!</v>
      </c>
      <c r="C270" s="2067" t="s">
        <v>236</v>
      </c>
      <c r="D270" s="1331"/>
      <c r="E270" s="1331"/>
      <c r="F270" s="2059">
        <f t="shared" si="6"/>
        <v>0</v>
      </c>
      <c r="J270" s="1997"/>
      <c r="K270" s="2197"/>
    </row>
    <row r="271" spans="1:11" ht="15" hidden="1" customHeight="1">
      <c r="A271" s="2060"/>
      <c r="B271" s="2066" t="e">
        <f>UPPER(#REF!)</f>
        <v>#REF!</v>
      </c>
      <c r="C271" s="1260" t="s">
        <v>236</v>
      </c>
      <c r="D271" s="1331"/>
      <c r="E271" s="1331"/>
      <c r="F271" s="2059">
        <f t="shared" si="6"/>
        <v>0</v>
      </c>
      <c r="J271" s="1997"/>
      <c r="K271" s="2197"/>
    </row>
    <row r="272" spans="1:11" ht="15" hidden="1" customHeight="1">
      <c r="A272" s="2060"/>
      <c r="B272" s="2066" t="e">
        <f>UPPER(#REF!)</f>
        <v>#REF!</v>
      </c>
      <c r="C272" s="1260" t="s">
        <v>231</v>
      </c>
      <c r="D272" s="1331"/>
      <c r="E272" s="1331"/>
      <c r="F272" s="2059">
        <f t="shared" si="6"/>
        <v>0</v>
      </c>
      <c r="J272" s="1997"/>
      <c r="K272" s="2197"/>
    </row>
    <row r="273" spans="1:11" ht="15" hidden="1" customHeight="1">
      <c r="A273" s="2060"/>
      <c r="B273" s="2066" t="e">
        <f>UPPER(#REF!)</f>
        <v>#REF!</v>
      </c>
      <c r="C273" s="1260" t="s">
        <v>231</v>
      </c>
      <c r="D273" s="1331"/>
      <c r="E273" s="1331"/>
      <c r="F273" s="2059">
        <f t="shared" si="6"/>
        <v>0</v>
      </c>
      <c r="J273" s="1997"/>
      <c r="K273" s="2197"/>
    </row>
    <row r="274" spans="1:11" ht="15" hidden="1" customHeight="1">
      <c r="A274" s="2060"/>
      <c r="B274" s="2066" t="e">
        <f>UPPER(#REF!)</f>
        <v>#REF!</v>
      </c>
      <c r="C274" s="1260" t="s">
        <v>231</v>
      </c>
      <c r="D274" s="1331"/>
      <c r="E274" s="1331"/>
      <c r="F274" s="2059">
        <f t="shared" si="6"/>
        <v>0</v>
      </c>
      <c r="J274" s="1997"/>
      <c r="K274" s="2197"/>
    </row>
    <row r="275" spans="1:11" ht="15" hidden="1" customHeight="1">
      <c r="A275" s="2060"/>
      <c r="B275" s="2066" t="e">
        <f>UPPER(#REF!)</f>
        <v>#REF!</v>
      </c>
      <c r="C275" s="1260" t="s">
        <v>231</v>
      </c>
      <c r="D275" s="1331"/>
      <c r="E275" s="1331"/>
      <c r="F275" s="2059">
        <f t="shared" si="6"/>
        <v>0</v>
      </c>
      <c r="J275" s="1997"/>
      <c r="K275" s="2197"/>
    </row>
    <row r="276" spans="1:11" ht="15" hidden="1" customHeight="1">
      <c r="A276" s="2060"/>
      <c r="B276" s="2066" t="e">
        <f>UPPER(#REF!)</f>
        <v>#REF!</v>
      </c>
      <c r="C276" s="2067" t="s">
        <v>236</v>
      </c>
      <c r="D276" s="1970"/>
      <c r="E276" s="1970"/>
      <c r="F276" s="2059">
        <f t="shared" si="6"/>
        <v>0</v>
      </c>
      <c r="J276" s="1997"/>
      <c r="K276" s="2197"/>
    </row>
    <row r="277" spans="1:11" ht="15" hidden="1" customHeight="1">
      <c r="A277" s="2060"/>
      <c r="B277" s="2066" t="e">
        <f>UPPER(#REF!)</f>
        <v>#REF!</v>
      </c>
      <c r="C277" s="2067" t="s">
        <v>231</v>
      </c>
      <c r="D277" s="1970"/>
      <c r="E277" s="1970"/>
      <c r="F277" s="2059">
        <f t="shared" si="6"/>
        <v>0</v>
      </c>
      <c r="J277" s="1997"/>
      <c r="K277" s="2197"/>
    </row>
    <row r="278" spans="1:11" ht="15" hidden="1" customHeight="1">
      <c r="A278" s="2060"/>
      <c r="B278" s="2066" t="e">
        <f>UPPER(#REF!)</f>
        <v>#REF!</v>
      </c>
      <c r="C278" s="2067" t="s">
        <v>231</v>
      </c>
      <c r="D278" s="1970"/>
      <c r="E278" s="1970"/>
      <c r="F278" s="2059">
        <f t="shared" si="6"/>
        <v>0</v>
      </c>
      <c r="J278" s="1997"/>
      <c r="K278" s="2197"/>
    </row>
    <row r="279" spans="1:11" ht="18.75" hidden="1" customHeight="1">
      <c r="A279" s="2060"/>
      <c r="B279" s="2066" t="e">
        <f>UPPER(#REF!)</f>
        <v>#REF!</v>
      </c>
      <c r="C279" s="2067" t="s">
        <v>231</v>
      </c>
      <c r="D279" s="1970"/>
      <c r="E279" s="1970"/>
      <c r="F279" s="2059">
        <f t="shared" si="6"/>
        <v>0</v>
      </c>
      <c r="J279" s="1997"/>
      <c r="K279" s="2197"/>
    </row>
    <row r="280" spans="1:11" ht="15" hidden="1" customHeight="1">
      <c r="A280" s="2060"/>
      <c r="B280" s="2066" t="e">
        <f>UPPER(#REF!)</f>
        <v>#REF!</v>
      </c>
      <c r="C280" s="2067" t="s">
        <v>231</v>
      </c>
      <c r="D280" s="1970"/>
      <c r="E280" s="1970"/>
      <c r="F280" s="2059">
        <f t="shared" si="6"/>
        <v>0</v>
      </c>
      <c r="J280" s="1997"/>
      <c r="K280" s="2197"/>
    </row>
    <row r="281" spans="1:11" ht="21" hidden="1" customHeight="1">
      <c r="A281" s="2060"/>
      <c r="B281" s="2066" t="e">
        <f>UPPER(#REF!)</f>
        <v>#REF!</v>
      </c>
      <c r="C281" s="2067" t="s">
        <v>236</v>
      </c>
      <c r="D281" s="1970"/>
      <c r="E281" s="1970"/>
      <c r="F281" s="2059">
        <f t="shared" si="6"/>
        <v>0</v>
      </c>
      <c r="J281" s="1997"/>
      <c r="K281" s="2197"/>
    </row>
    <row r="282" spans="1:11" ht="15" hidden="1" customHeight="1">
      <c r="A282" s="2060"/>
      <c r="B282" s="2066" t="e">
        <f>UPPER(#REF!)</f>
        <v>#REF!</v>
      </c>
      <c r="C282" s="2067" t="s">
        <v>231</v>
      </c>
      <c r="D282" s="1970"/>
      <c r="E282" s="1970"/>
      <c r="F282" s="2059">
        <f t="shared" si="6"/>
        <v>0</v>
      </c>
      <c r="J282" s="1997"/>
      <c r="K282" s="2197"/>
    </row>
    <row r="283" spans="1:11" ht="15" hidden="1" customHeight="1">
      <c r="A283" s="2060"/>
      <c r="B283" s="2066" t="e">
        <f>UPPER(#REF!)</f>
        <v>#REF!</v>
      </c>
      <c r="C283" s="2067" t="s">
        <v>231</v>
      </c>
      <c r="D283" s="1970"/>
      <c r="E283" s="1970"/>
      <c r="F283" s="2059">
        <f t="shared" si="6"/>
        <v>0</v>
      </c>
      <c r="J283" s="1997"/>
      <c r="K283" s="2197"/>
    </row>
    <row r="284" spans="1:11" ht="15" hidden="1" customHeight="1">
      <c r="A284" s="2060"/>
      <c r="B284" s="2066" t="e">
        <f>UPPER(#REF!)</f>
        <v>#REF!</v>
      </c>
      <c r="C284" s="2067" t="s">
        <v>231</v>
      </c>
      <c r="D284" s="1970"/>
      <c r="E284" s="1970"/>
      <c r="F284" s="2059">
        <f t="shared" si="6"/>
        <v>0</v>
      </c>
      <c r="J284" s="1997"/>
      <c r="K284" s="2197"/>
    </row>
    <row r="285" spans="1:11" ht="15" hidden="1" customHeight="1">
      <c r="A285" s="2060"/>
      <c r="B285" s="2066" t="e">
        <f>UPPER(#REF!)</f>
        <v>#REF!</v>
      </c>
      <c r="C285" s="2067" t="s">
        <v>236</v>
      </c>
      <c r="D285" s="1970"/>
      <c r="E285" s="1970"/>
      <c r="F285" s="2059">
        <f t="shared" si="6"/>
        <v>0</v>
      </c>
      <c r="J285" s="1997"/>
      <c r="K285" s="2197"/>
    </row>
    <row r="286" spans="1:11" ht="15" hidden="1" customHeight="1">
      <c r="A286" s="2060"/>
      <c r="B286" s="2066" t="e">
        <f>UPPER(#REF!)</f>
        <v>#REF!</v>
      </c>
      <c r="C286" s="2067" t="s">
        <v>236</v>
      </c>
      <c r="D286" s="1970"/>
      <c r="E286" s="1970"/>
      <c r="F286" s="2059">
        <f t="shared" si="6"/>
        <v>0</v>
      </c>
      <c r="J286" s="1997"/>
      <c r="K286" s="2197"/>
    </row>
    <row r="287" spans="1:11" ht="14.25" hidden="1" customHeight="1">
      <c r="A287" s="2060"/>
      <c r="B287" s="2078"/>
      <c r="C287" s="2079"/>
      <c r="D287" s="1986"/>
      <c r="E287" s="1986"/>
      <c r="F287" s="2059">
        <f t="shared" si="6"/>
        <v>0</v>
      </c>
      <c r="J287" s="1997"/>
      <c r="K287" s="2197"/>
    </row>
    <row r="288" spans="1:11" ht="15" hidden="1" customHeight="1">
      <c r="A288" s="2060"/>
      <c r="B288" s="2013"/>
      <c r="C288" s="2012"/>
      <c r="D288" s="2012"/>
      <c r="E288" s="2012"/>
      <c r="F288" s="2059">
        <f t="shared" si="6"/>
        <v>0</v>
      </c>
      <c r="J288" s="1997"/>
      <c r="K288" s="2197"/>
    </row>
    <row r="289" spans="1:11" ht="15" hidden="1" customHeight="1">
      <c r="A289" s="2060"/>
      <c r="B289" s="2056"/>
      <c r="C289" s="2026"/>
      <c r="D289" s="2026"/>
      <c r="E289" s="2026"/>
      <c r="F289" s="2059">
        <f t="shared" si="6"/>
        <v>0</v>
      </c>
      <c r="J289" s="1997"/>
      <c r="K289" s="2197"/>
    </row>
    <row r="290" spans="1:11" ht="15" hidden="1" customHeight="1">
      <c r="A290" s="2060"/>
      <c r="B290" s="2080"/>
      <c r="C290" s="1974"/>
      <c r="D290" s="1974"/>
      <c r="E290" s="715" t="s">
        <v>91</v>
      </c>
      <c r="F290" s="2076"/>
      <c r="J290" s="1997"/>
      <c r="K290" s="2197"/>
    </row>
    <row r="291" spans="1:11" ht="15" hidden="1" customHeight="1">
      <c r="A291" s="2060"/>
      <c r="B291" s="2081" t="e">
        <f>UPPER(#REF!)</f>
        <v>#REF!</v>
      </c>
      <c r="C291" s="2074"/>
      <c r="D291" s="2074"/>
      <c r="E291" s="2074"/>
      <c r="F291" s="2059">
        <f t="shared" si="6"/>
        <v>0</v>
      </c>
      <c r="J291" s="1997"/>
      <c r="K291" s="2197"/>
    </row>
    <row r="292" spans="1:11" ht="15" hidden="1" customHeight="1">
      <c r="A292" s="2060"/>
      <c r="B292" s="2061" t="e">
        <f>UPPER(#REF!)</f>
        <v>#REF!</v>
      </c>
      <c r="C292" s="1260" t="s">
        <v>232</v>
      </c>
      <c r="D292" s="1331"/>
      <c r="E292" s="1331"/>
      <c r="F292" s="2059">
        <f t="shared" si="6"/>
        <v>0</v>
      </c>
      <c r="J292" s="1997"/>
      <c r="K292" s="2197"/>
    </row>
    <row r="293" spans="1:11" ht="15" hidden="1" customHeight="1">
      <c r="A293" s="2060"/>
      <c r="B293" s="2082" t="e">
        <f>UPPER(#REF!)</f>
        <v>#REF!</v>
      </c>
      <c r="C293" s="2079" t="s">
        <v>239</v>
      </c>
      <c r="D293" s="1986"/>
      <c r="E293" s="1986"/>
      <c r="F293" s="2059">
        <f t="shared" si="6"/>
        <v>0</v>
      </c>
      <c r="J293" s="1997"/>
      <c r="K293" s="2197"/>
    </row>
    <row r="294" spans="1:11" ht="15" hidden="1" customHeight="1">
      <c r="A294" s="1332"/>
      <c r="B294" s="2083"/>
      <c r="C294" s="1974"/>
      <c r="D294" s="1974"/>
      <c r="E294" s="715" t="s">
        <v>91</v>
      </c>
      <c r="F294" s="2076"/>
      <c r="J294" s="1997"/>
      <c r="K294" s="2197"/>
    </row>
    <row r="295" spans="1:11" ht="15" customHeight="1">
      <c r="A295" s="2084"/>
      <c r="B295" s="1363" t="s">
        <v>241</v>
      </c>
      <c r="C295" s="2085"/>
      <c r="D295" s="2074"/>
      <c r="E295" s="2074"/>
      <c r="F295" s="1966">
        <f t="shared" si="6"/>
        <v>0</v>
      </c>
      <c r="J295" s="1997"/>
      <c r="K295" s="2197"/>
    </row>
    <row r="296" spans="1:11" ht="14.5">
      <c r="A296" s="2086"/>
      <c r="B296" s="1363" t="s">
        <v>242</v>
      </c>
      <c r="C296" s="2087"/>
      <c r="D296" s="1331"/>
      <c r="E296" s="1331"/>
      <c r="F296" s="1966">
        <f t="shared" si="6"/>
        <v>0</v>
      </c>
      <c r="J296" s="1997"/>
      <c r="K296" s="2197"/>
    </row>
    <row r="297" spans="1:11" ht="14.5">
      <c r="A297" s="1967">
        <v>1</v>
      </c>
      <c r="B297" s="1968" t="s">
        <v>243</v>
      </c>
      <c r="C297" s="1969" t="s">
        <v>95</v>
      </c>
      <c r="D297" s="1331"/>
      <c r="E297" s="2088"/>
      <c r="F297" s="1966">
        <f t="shared" si="6"/>
        <v>0</v>
      </c>
      <c r="J297" s="1997"/>
      <c r="K297" s="2197"/>
    </row>
    <row r="298" spans="1:11" ht="14.5">
      <c r="A298" s="1967">
        <v>2</v>
      </c>
      <c r="B298" s="1968" t="s">
        <v>244</v>
      </c>
      <c r="C298" s="1969" t="s">
        <v>106</v>
      </c>
      <c r="D298" s="1331"/>
      <c r="E298" s="2088"/>
      <c r="F298" s="1966">
        <f t="shared" si="6"/>
        <v>0</v>
      </c>
      <c r="J298" s="1997"/>
      <c r="K298" s="2197"/>
    </row>
    <row r="299" spans="1:11" ht="14.5">
      <c r="A299" s="1967">
        <v>3</v>
      </c>
      <c r="B299" s="1968" t="s">
        <v>245</v>
      </c>
      <c r="C299" s="1969" t="s">
        <v>106</v>
      </c>
      <c r="D299" s="1331">
        <v>0.5</v>
      </c>
      <c r="E299" s="2089">
        <v>35000</v>
      </c>
      <c r="F299" s="1966">
        <f t="shared" si="6"/>
        <v>17500</v>
      </c>
      <c r="J299" s="1997"/>
      <c r="K299" s="2197"/>
    </row>
    <row r="300" spans="1:11" ht="14.5">
      <c r="A300" s="1967">
        <v>4</v>
      </c>
      <c r="B300" s="1968" t="s">
        <v>246</v>
      </c>
      <c r="C300" s="1969" t="s">
        <v>95</v>
      </c>
      <c r="D300" s="1331">
        <v>0.25</v>
      </c>
      <c r="E300" s="2089">
        <v>28100</v>
      </c>
      <c r="F300" s="1966">
        <f t="shared" si="6"/>
        <v>7025</v>
      </c>
      <c r="J300" s="1997"/>
      <c r="K300" s="2197"/>
    </row>
    <row r="301" spans="1:11" ht="14.5">
      <c r="A301" s="1967">
        <v>5</v>
      </c>
      <c r="B301" s="1968" t="s">
        <v>247</v>
      </c>
      <c r="C301" s="1969" t="s">
        <v>106</v>
      </c>
      <c r="D301" s="1331"/>
      <c r="E301" s="2089">
        <v>42000</v>
      </c>
      <c r="F301" s="1966">
        <f t="shared" si="6"/>
        <v>0</v>
      </c>
      <c r="J301" s="1997"/>
      <c r="K301" s="2197"/>
    </row>
    <row r="302" spans="1:11" ht="14.5">
      <c r="A302" s="1967">
        <v>6</v>
      </c>
      <c r="B302" s="1968" t="s">
        <v>248</v>
      </c>
      <c r="C302" s="1969" t="s">
        <v>95</v>
      </c>
      <c r="D302" s="1331">
        <v>0.5</v>
      </c>
      <c r="E302" s="1995">
        <v>52000</v>
      </c>
      <c r="F302" s="1966">
        <f t="shared" ref="F302:F358" si="7">D302*E302</f>
        <v>26000</v>
      </c>
      <c r="J302" s="1997"/>
      <c r="K302" s="2197"/>
    </row>
    <row r="303" spans="1:11" ht="14.5">
      <c r="A303" s="1967">
        <v>7</v>
      </c>
      <c r="B303" s="1968" t="s">
        <v>249</v>
      </c>
      <c r="C303" s="1969" t="s">
        <v>95</v>
      </c>
      <c r="D303" s="1331">
        <v>0.3</v>
      </c>
      <c r="E303" s="1995">
        <v>52000</v>
      </c>
      <c r="F303" s="1966">
        <f t="shared" si="7"/>
        <v>15600</v>
      </c>
      <c r="G303" s="2090"/>
      <c r="H303" s="655"/>
      <c r="I303" s="2102"/>
      <c r="J303" s="1997"/>
      <c r="K303" s="2197"/>
    </row>
    <row r="304" spans="1:11" ht="14.5">
      <c r="A304" s="2091"/>
      <c r="B304" s="2092"/>
      <c r="C304" s="1987"/>
      <c r="D304" s="1986"/>
      <c r="E304" s="2093"/>
      <c r="F304" s="2094"/>
      <c r="G304" s="2209" t="s">
        <v>250</v>
      </c>
      <c r="H304" s="2210"/>
      <c r="I304" s="2201">
        <f>SUM(F296:F303)</f>
        <v>66125</v>
      </c>
    </row>
    <row r="305" spans="1:11" ht="14.5">
      <c r="A305" s="2095"/>
      <c r="B305" s="1356" t="s">
        <v>251</v>
      </c>
      <c r="C305" s="2096"/>
      <c r="D305" s="2074"/>
      <c r="E305" s="2097"/>
      <c r="F305" s="2098"/>
      <c r="G305" s="2211"/>
      <c r="H305" s="2212"/>
      <c r="I305" s="2202"/>
      <c r="J305" s="1997"/>
      <c r="K305" s="2207" t="s">
        <v>252</v>
      </c>
    </row>
    <row r="306" spans="1:11" ht="14.5">
      <c r="A306" s="1967">
        <v>8</v>
      </c>
      <c r="B306" s="1968" t="s">
        <v>253</v>
      </c>
      <c r="C306" s="1969" t="s">
        <v>95</v>
      </c>
      <c r="D306" s="1331">
        <v>0.25</v>
      </c>
      <c r="E306" s="2099">
        <v>15000</v>
      </c>
      <c r="F306" s="1966">
        <f t="shared" si="7"/>
        <v>3750</v>
      </c>
      <c r="J306" s="1997"/>
      <c r="K306" s="2207"/>
    </row>
    <row r="307" spans="1:11" ht="14.5">
      <c r="A307" s="1967">
        <v>9</v>
      </c>
      <c r="B307" s="1968" t="s">
        <v>254</v>
      </c>
      <c r="C307" s="1969" t="s">
        <v>95</v>
      </c>
      <c r="D307" s="2012">
        <v>0.25</v>
      </c>
      <c r="E307" s="2020">
        <v>10000</v>
      </c>
      <c r="F307" s="1966">
        <f t="shared" si="7"/>
        <v>2500</v>
      </c>
      <c r="J307" s="1997"/>
      <c r="K307" s="2207"/>
    </row>
    <row r="308" spans="1:11" ht="14.5">
      <c r="A308" s="1967">
        <v>10</v>
      </c>
      <c r="B308" s="1968" t="s">
        <v>255</v>
      </c>
      <c r="C308" s="1969" t="s">
        <v>95</v>
      </c>
      <c r="D308" s="1331">
        <v>4</v>
      </c>
      <c r="E308" s="1995">
        <v>2000</v>
      </c>
      <c r="F308" s="1966">
        <f t="shared" si="7"/>
        <v>8000</v>
      </c>
      <c r="J308" s="1997"/>
      <c r="K308" s="2207"/>
    </row>
    <row r="309" spans="1:11" ht="14.5">
      <c r="A309" s="1967">
        <v>11</v>
      </c>
      <c r="B309" s="1968" t="s">
        <v>256</v>
      </c>
      <c r="C309" s="1969" t="s">
        <v>106</v>
      </c>
      <c r="D309" s="1331">
        <v>0.25</v>
      </c>
      <c r="E309" s="1995">
        <v>34600</v>
      </c>
      <c r="F309" s="1966">
        <f t="shared" si="7"/>
        <v>8650</v>
      </c>
      <c r="J309" s="1997"/>
      <c r="K309" s="2207"/>
    </row>
    <row r="310" spans="1:11" ht="14.5">
      <c r="A310" s="1967">
        <v>12</v>
      </c>
      <c r="B310" s="1968" t="s">
        <v>257</v>
      </c>
      <c r="C310" s="1969" t="s">
        <v>95</v>
      </c>
      <c r="D310" s="2087">
        <v>0.5</v>
      </c>
      <c r="E310" s="1995">
        <v>20000</v>
      </c>
      <c r="F310" s="1966">
        <f t="shared" si="7"/>
        <v>10000</v>
      </c>
      <c r="G310" s="2090"/>
      <c r="I310" s="840"/>
      <c r="J310" s="1997"/>
      <c r="K310" s="2207"/>
    </row>
    <row r="311" spans="1:11" ht="14.5">
      <c r="A311" s="1967">
        <v>13</v>
      </c>
      <c r="B311" s="1968" t="s">
        <v>258</v>
      </c>
      <c r="C311" s="1969" t="s">
        <v>95</v>
      </c>
      <c r="D311" s="2087">
        <v>0.25</v>
      </c>
      <c r="E311" s="1995">
        <v>20000</v>
      </c>
      <c r="F311" s="1966">
        <f t="shared" si="7"/>
        <v>5000</v>
      </c>
      <c r="G311" s="2090"/>
      <c r="I311" s="840"/>
      <c r="J311" s="1997"/>
      <c r="K311" s="2207"/>
    </row>
    <row r="312" spans="1:11" ht="14.5">
      <c r="A312" s="1967">
        <v>14</v>
      </c>
      <c r="B312" s="1968" t="s">
        <v>259</v>
      </c>
      <c r="C312" s="1969"/>
      <c r="D312" s="2087">
        <v>0.25</v>
      </c>
      <c r="E312" s="1995">
        <v>20000</v>
      </c>
      <c r="F312" s="1966">
        <f t="shared" si="7"/>
        <v>5000</v>
      </c>
      <c r="G312" s="2090"/>
      <c r="I312" s="840"/>
      <c r="J312" s="1997"/>
      <c r="K312" s="2207"/>
    </row>
    <row r="313" spans="1:11" ht="14.5">
      <c r="A313" s="1967">
        <v>15</v>
      </c>
      <c r="B313" s="1968" t="s">
        <v>260</v>
      </c>
      <c r="C313" s="1983" t="s">
        <v>118</v>
      </c>
      <c r="D313" s="2087"/>
      <c r="E313" s="1995">
        <f>'[1]HITUNGAN FC ITEM'!H50</f>
        <v>51485.75</v>
      </c>
      <c r="F313" s="1966">
        <f t="shared" si="7"/>
        <v>0</v>
      </c>
      <c r="G313" s="2090"/>
      <c r="I313" s="840"/>
      <c r="J313" s="1997"/>
      <c r="K313" s="2207"/>
    </row>
    <row r="314" spans="1:11" ht="14.5">
      <c r="A314" s="1967">
        <v>16</v>
      </c>
      <c r="B314" s="1968" t="s">
        <v>261</v>
      </c>
      <c r="C314" s="1983" t="s">
        <v>118</v>
      </c>
      <c r="D314" s="2087"/>
      <c r="E314" s="1995">
        <f>'[1]HITUNGAN FC ITEM'!E132</f>
        <v>23388.75</v>
      </c>
      <c r="F314" s="1966">
        <f t="shared" si="7"/>
        <v>0</v>
      </c>
      <c r="G314" s="2090"/>
      <c r="I314" s="840"/>
      <c r="J314" s="1997"/>
      <c r="K314" s="2207"/>
    </row>
    <row r="315" spans="1:11" ht="14.5">
      <c r="A315" s="1967">
        <v>17</v>
      </c>
      <c r="B315" s="1968" t="s">
        <v>262</v>
      </c>
      <c r="C315" s="1983" t="s">
        <v>118</v>
      </c>
      <c r="D315" s="2087"/>
      <c r="E315" s="1995">
        <f>'[1]HITUNGAN FC ITEM'!E147</f>
        <v>36655.800000000003</v>
      </c>
      <c r="F315" s="1966">
        <f t="shared" si="7"/>
        <v>0</v>
      </c>
      <c r="G315" s="2090"/>
      <c r="I315" s="840"/>
      <c r="J315" s="1997"/>
      <c r="K315" s="2207"/>
    </row>
    <row r="316" spans="1:11" ht="14.5">
      <c r="A316" s="1967">
        <v>18</v>
      </c>
      <c r="B316" s="1968" t="s">
        <v>263</v>
      </c>
      <c r="C316" s="1983" t="s">
        <v>95</v>
      </c>
      <c r="D316" s="2087">
        <v>0.25</v>
      </c>
      <c r="E316" s="1995">
        <v>30000</v>
      </c>
      <c r="F316" s="1966">
        <f t="shared" si="7"/>
        <v>7500</v>
      </c>
      <c r="G316" s="2090"/>
      <c r="I316" s="840"/>
      <c r="J316" s="1997"/>
      <c r="K316" s="2207"/>
    </row>
    <row r="317" spans="1:11" ht="14.5">
      <c r="A317" s="1967">
        <v>19</v>
      </c>
      <c r="B317" s="1331"/>
      <c r="C317" s="1983"/>
      <c r="D317" s="2087"/>
      <c r="E317" s="1341"/>
      <c r="F317" s="1966">
        <f t="shared" si="7"/>
        <v>0</v>
      </c>
      <c r="G317" s="2090"/>
      <c r="I317" s="840"/>
      <c r="J317" s="1997"/>
      <c r="K317" s="2207"/>
    </row>
    <row r="318" spans="1:11" ht="14.5">
      <c r="A318" s="1967">
        <v>20</v>
      </c>
      <c r="B318" s="1331"/>
      <c r="C318" s="1983"/>
      <c r="D318" s="2087"/>
      <c r="E318" s="1341"/>
      <c r="F318" s="1966">
        <f t="shared" si="7"/>
        <v>0</v>
      </c>
      <c r="G318" s="2209" t="s">
        <v>264</v>
      </c>
      <c r="H318" s="2210"/>
      <c r="I318" s="2203">
        <f>SUM(F306:F318)</f>
        <v>50400</v>
      </c>
      <c r="J318" s="1997"/>
      <c r="K318" s="2207"/>
    </row>
    <row r="319" spans="1:11" ht="14.5">
      <c r="A319" s="2091">
        <v>21</v>
      </c>
      <c r="B319" s="1986"/>
      <c r="C319" s="1987"/>
      <c r="D319" s="2078"/>
      <c r="E319" s="2100"/>
      <c r="F319" s="1990">
        <f t="shared" si="7"/>
        <v>0</v>
      </c>
      <c r="G319" s="2211"/>
      <c r="H319" s="2212"/>
      <c r="I319" s="2204"/>
      <c r="J319" s="1997"/>
      <c r="K319" s="2207"/>
    </row>
    <row r="320" spans="1:11" ht="14.5">
      <c r="A320" s="2032">
        <v>22</v>
      </c>
      <c r="B320" s="1356" t="s">
        <v>265</v>
      </c>
      <c r="C320" s="2101" t="s">
        <v>266</v>
      </c>
      <c r="D320" s="2013">
        <v>35</v>
      </c>
      <c r="E320" s="1981">
        <v>1867</v>
      </c>
      <c r="F320" s="2015">
        <f t="shared" si="7"/>
        <v>65345</v>
      </c>
      <c r="G320" s="571"/>
      <c r="H320" s="571"/>
      <c r="I320" s="571"/>
      <c r="J320" s="1997"/>
      <c r="K320" s="2207"/>
    </row>
    <row r="321" spans="1:13" ht="14.5">
      <c r="A321" s="1967">
        <v>23</v>
      </c>
      <c r="B321" s="1363" t="s">
        <v>267</v>
      </c>
      <c r="C321" s="1391" t="s">
        <v>95</v>
      </c>
      <c r="D321" s="2087">
        <v>0.25</v>
      </c>
      <c r="E321" s="1981">
        <v>60000</v>
      </c>
      <c r="F321" s="2015">
        <f t="shared" si="7"/>
        <v>15000</v>
      </c>
      <c r="G321" s="571"/>
      <c r="H321" s="571"/>
      <c r="I321" s="571"/>
      <c r="J321" s="1997"/>
      <c r="K321" s="2207"/>
    </row>
    <row r="322" spans="1:13" ht="14.5">
      <c r="A322" s="1967">
        <v>24</v>
      </c>
      <c r="B322" s="1363" t="s">
        <v>268</v>
      </c>
      <c r="C322" s="1391" t="s">
        <v>95</v>
      </c>
      <c r="D322" s="2087"/>
      <c r="E322" s="1982"/>
      <c r="F322" s="2015">
        <f t="shared" si="7"/>
        <v>0</v>
      </c>
      <c r="G322" s="571"/>
      <c r="H322" s="571"/>
      <c r="I322" s="571"/>
      <c r="J322" s="1997"/>
      <c r="K322" s="2207"/>
    </row>
    <row r="323" spans="1:13" ht="14.5">
      <c r="A323" s="2004">
        <v>25</v>
      </c>
      <c r="B323" s="1986"/>
      <c r="C323" s="1987"/>
      <c r="D323" s="1986"/>
      <c r="E323" s="2100"/>
      <c r="F323" s="2094"/>
      <c r="G323" s="571"/>
      <c r="H323" s="571"/>
      <c r="I323" s="571"/>
      <c r="J323" s="1997"/>
      <c r="K323" s="2207"/>
    </row>
    <row r="324" spans="1:13" ht="14.5">
      <c r="A324" s="1961">
        <v>26</v>
      </c>
      <c r="B324" s="1962" t="s">
        <v>269</v>
      </c>
      <c r="C324" s="1963" t="s">
        <v>95</v>
      </c>
      <c r="D324" s="2103">
        <v>2.86</v>
      </c>
      <c r="E324" s="1978">
        <v>82362</v>
      </c>
      <c r="F324" s="2104">
        <f t="shared" si="7"/>
        <v>235555.32</v>
      </c>
      <c r="G324" s="571"/>
      <c r="H324" s="571"/>
      <c r="I324" s="571"/>
      <c r="J324" s="1997"/>
      <c r="K324" s="2207"/>
      <c r="L324" s="2001">
        <f>SUM(D11:D15)</f>
        <v>978.3</v>
      </c>
      <c r="M324" s="2001">
        <f>L324/414</f>
        <v>2.3630434782608698</v>
      </c>
    </row>
    <row r="325" spans="1:13" ht="14.5">
      <c r="A325" s="1967">
        <v>27</v>
      </c>
      <c r="B325" s="1968" t="s">
        <v>270</v>
      </c>
      <c r="C325" s="1969" t="s">
        <v>74</v>
      </c>
      <c r="D325" s="2087">
        <v>46</v>
      </c>
      <c r="E325" s="1978">
        <v>23410</v>
      </c>
      <c r="F325" s="1966">
        <f t="shared" si="7"/>
        <v>1076860</v>
      </c>
      <c r="J325" s="1997"/>
      <c r="K325" s="2207"/>
      <c r="L325" s="2001">
        <f>SUM(D20:D24)</f>
        <v>0</v>
      </c>
      <c r="M325" s="2001">
        <f>L325/486</f>
        <v>0</v>
      </c>
    </row>
    <row r="326" spans="1:13" ht="14.5">
      <c r="A326" s="1967">
        <v>28</v>
      </c>
      <c r="B326" s="1968" t="s">
        <v>271</v>
      </c>
      <c r="C326" s="1969" t="s">
        <v>74</v>
      </c>
      <c r="D326" s="2087">
        <v>3</v>
      </c>
      <c r="E326" s="1978">
        <v>8547</v>
      </c>
      <c r="F326" s="1966">
        <f t="shared" si="7"/>
        <v>25641</v>
      </c>
      <c r="J326" s="1997"/>
      <c r="K326" s="2207"/>
      <c r="L326" s="2001">
        <f>D25</f>
        <v>30</v>
      </c>
      <c r="M326" s="2001">
        <f>L326/60</f>
        <v>0.5</v>
      </c>
    </row>
    <row r="327" spans="1:13" ht="14.5">
      <c r="A327" s="1967">
        <v>29</v>
      </c>
      <c r="B327" s="1968" t="s">
        <v>272</v>
      </c>
      <c r="C327" s="1969" t="s">
        <v>74</v>
      </c>
      <c r="D327" s="2087">
        <v>34.700000000000003</v>
      </c>
      <c r="E327" s="1978">
        <v>17094</v>
      </c>
      <c r="F327" s="1966">
        <f t="shared" si="7"/>
        <v>593161.80000000005</v>
      </c>
      <c r="J327" s="1997"/>
      <c r="K327" s="2207"/>
      <c r="L327" s="840">
        <f>E327*5</f>
        <v>85470</v>
      </c>
    </row>
    <row r="328" spans="1:13" ht="14.5">
      <c r="A328" s="1967">
        <v>30</v>
      </c>
      <c r="B328" s="1968" t="s">
        <v>273</v>
      </c>
      <c r="C328" s="1969" t="s">
        <v>74</v>
      </c>
      <c r="D328" s="2087">
        <v>9</v>
      </c>
      <c r="E328" s="1978">
        <v>1832</v>
      </c>
      <c r="F328" s="1966">
        <f t="shared" si="7"/>
        <v>16488</v>
      </c>
      <c r="J328" s="1997"/>
      <c r="K328" s="2207"/>
    </row>
    <row r="329" spans="1:13" ht="14.5">
      <c r="A329" s="1967">
        <v>31</v>
      </c>
      <c r="B329" s="1968" t="s">
        <v>274</v>
      </c>
      <c r="C329" s="1969" t="s">
        <v>74</v>
      </c>
      <c r="D329" s="2087">
        <v>1</v>
      </c>
      <c r="E329" s="1978">
        <v>31280</v>
      </c>
      <c r="F329" s="1966">
        <f t="shared" si="7"/>
        <v>31280</v>
      </c>
      <c r="J329" s="1997"/>
      <c r="K329" s="2207"/>
    </row>
    <row r="330" spans="1:13" ht="14.5">
      <c r="A330" s="1967">
        <v>32</v>
      </c>
      <c r="B330" s="1968" t="s">
        <v>275</v>
      </c>
      <c r="C330" s="1969" t="s">
        <v>74</v>
      </c>
      <c r="D330" s="1331">
        <v>1</v>
      </c>
      <c r="E330" s="1978">
        <v>38055.24</v>
      </c>
      <c r="F330" s="1966">
        <f t="shared" si="7"/>
        <v>38055.24</v>
      </c>
      <c r="J330" s="1997"/>
      <c r="K330" s="2207"/>
    </row>
    <row r="331" spans="1:13" ht="14.5">
      <c r="A331" s="1967">
        <v>33</v>
      </c>
      <c r="B331" s="1968" t="s">
        <v>276</v>
      </c>
      <c r="C331" s="1969" t="s">
        <v>95</v>
      </c>
      <c r="D331" s="2087">
        <v>52</v>
      </c>
      <c r="E331" s="1978">
        <v>9363</v>
      </c>
      <c r="F331" s="1966">
        <f t="shared" si="7"/>
        <v>486876</v>
      </c>
      <c r="H331" s="573"/>
      <c r="J331" s="1997"/>
      <c r="K331" s="2207"/>
    </row>
    <row r="332" spans="1:13" ht="14.5">
      <c r="A332" s="1967">
        <v>34</v>
      </c>
      <c r="B332" s="1968" t="s">
        <v>277</v>
      </c>
      <c r="C332" s="1969" t="s">
        <v>278</v>
      </c>
      <c r="D332" s="2105">
        <v>4</v>
      </c>
      <c r="E332" s="1978">
        <v>64854</v>
      </c>
      <c r="F332" s="1966">
        <f t="shared" si="7"/>
        <v>259416</v>
      </c>
      <c r="J332" s="1997"/>
      <c r="K332" s="2207"/>
    </row>
    <row r="333" spans="1:13" ht="14.5">
      <c r="A333" s="1967">
        <v>35</v>
      </c>
      <c r="B333" s="1968" t="s">
        <v>279</v>
      </c>
      <c r="C333" s="1969" t="s">
        <v>278</v>
      </c>
      <c r="D333" s="2087"/>
      <c r="E333" s="1978">
        <v>65968</v>
      </c>
      <c r="F333" s="1966">
        <f t="shared" si="7"/>
        <v>0</v>
      </c>
      <c r="J333" s="1997"/>
      <c r="K333" s="2207"/>
    </row>
    <row r="334" spans="1:13" ht="14.5">
      <c r="A334" s="1967">
        <v>36</v>
      </c>
      <c r="B334" s="1968" t="s">
        <v>280</v>
      </c>
      <c r="C334" s="1969" t="s">
        <v>74</v>
      </c>
      <c r="D334" s="2106">
        <v>3481</v>
      </c>
      <c r="E334" s="1978">
        <v>201</v>
      </c>
      <c r="F334" s="1966">
        <f t="shared" si="7"/>
        <v>699681</v>
      </c>
      <c r="J334" s="1997"/>
      <c r="K334" s="2207"/>
    </row>
    <row r="335" spans="1:13" ht="14.5">
      <c r="A335" s="1967">
        <v>37</v>
      </c>
      <c r="B335" s="1968" t="s">
        <v>281</v>
      </c>
      <c r="C335" s="1969" t="s">
        <v>74</v>
      </c>
      <c r="D335" s="2106">
        <v>3717</v>
      </c>
      <c r="E335" s="1978">
        <v>206</v>
      </c>
      <c r="F335" s="1966">
        <f t="shared" si="7"/>
        <v>765702</v>
      </c>
      <c r="J335" s="1997"/>
      <c r="K335" s="2207"/>
    </row>
    <row r="336" spans="1:13" ht="14.5">
      <c r="A336" s="1967">
        <v>38</v>
      </c>
      <c r="B336" s="1968" t="s">
        <v>282</v>
      </c>
      <c r="C336" s="1969" t="s">
        <v>106</v>
      </c>
      <c r="D336" s="2087"/>
      <c r="E336" s="1978">
        <v>37296</v>
      </c>
      <c r="F336" s="1966">
        <f t="shared" si="7"/>
        <v>0</v>
      </c>
      <c r="J336" s="1997"/>
      <c r="K336" s="2207"/>
    </row>
    <row r="337" spans="1:11" ht="14.5">
      <c r="A337" s="1967">
        <v>39</v>
      </c>
      <c r="B337" s="1968" t="s">
        <v>283</v>
      </c>
      <c r="C337" s="1969" t="s">
        <v>106</v>
      </c>
      <c r="D337" s="2087">
        <v>11.5</v>
      </c>
      <c r="E337" s="1978">
        <v>37296</v>
      </c>
      <c r="F337" s="1966">
        <f t="shared" si="7"/>
        <v>428904</v>
      </c>
      <c r="J337" s="1997"/>
      <c r="K337" s="2207"/>
    </row>
    <row r="338" spans="1:11" ht="14.5">
      <c r="A338" s="1967">
        <v>40</v>
      </c>
      <c r="B338" s="1968" t="s">
        <v>284</v>
      </c>
      <c r="C338" s="1969" t="s">
        <v>106</v>
      </c>
      <c r="D338" s="2087">
        <v>28.7</v>
      </c>
      <c r="E338" s="1978">
        <v>12937</v>
      </c>
      <c r="F338" s="1966">
        <f t="shared" si="7"/>
        <v>371291.9</v>
      </c>
      <c r="J338" s="1997"/>
      <c r="K338" s="2207"/>
    </row>
    <row r="339" spans="1:11" ht="14.5">
      <c r="A339" s="1967">
        <v>41</v>
      </c>
      <c r="B339" s="1968" t="s">
        <v>285</v>
      </c>
      <c r="C339" s="1969" t="s">
        <v>106</v>
      </c>
      <c r="D339" s="2087">
        <v>9</v>
      </c>
      <c r="E339" s="1978">
        <v>26488</v>
      </c>
      <c r="F339" s="1966">
        <f t="shared" si="7"/>
        <v>238392</v>
      </c>
      <c r="J339" s="1997"/>
      <c r="K339" s="2207"/>
    </row>
    <row r="340" spans="1:11" ht="14.5">
      <c r="A340" s="1967">
        <v>42</v>
      </c>
      <c r="B340" s="1968" t="s">
        <v>286</v>
      </c>
      <c r="C340" s="1969" t="s">
        <v>74</v>
      </c>
      <c r="D340" s="1331">
        <v>38</v>
      </c>
      <c r="E340" s="1978">
        <v>1887</v>
      </c>
      <c r="F340" s="1966">
        <f t="shared" si="7"/>
        <v>71706</v>
      </c>
      <c r="J340" s="1997"/>
      <c r="K340" s="2207"/>
    </row>
    <row r="341" spans="1:11" ht="14.5">
      <c r="A341" s="1967">
        <v>43</v>
      </c>
      <c r="B341" s="1968" t="s">
        <v>287</v>
      </c>
      <c r="C341" s="1969" t="s">
        <v>74</v>
      </c>
      <c r="D341" s="1331">
        <v>44.5</v>
      </c>
      <c r="E341" s="1978">
        <v>1609.5</v>
      </c>
      <c r="F341" s="1966">
        <f t="shared" si="7"/>
        <v>71622.75</v>
      </c>
      <c r="J341" s="1997"/>
      <c r="K341" s="2207"/>
    </row>
    <row r="342" spans="1:11" ht="14.5">
      <c r="A342" s="1967">
        <v>44</v>
      </c>
      <c r="B342" s="1968" t="s">
        <v>288</v>
      </c>
      <c r="C342" s="1969" t="s">
        <v>74</v>
      </c>
      <c r="D342" s="1331">
        <v>4</v>
      </c>
      <c r="E342" s="1978">
        <v>3108</v>
      </c>
      <c r="F342" s="1966">
        <f t="shared" si="7"/>
        <v>12432</v>
      </c>
      <c r="J342" s="1997"/>
      <c r="K342" s="2207"/>
    </row>
    <row r="343" spans="1:11" ht="14.5">
      <c r="A343" s="1967">
        <v>47</v>
      </c>
      <c r="B343" s="1968" t="s">
        <v>289</v>
      </c>
      <c r="C343" s="1969" t="s">
        <v>74</v>
      </c>
      <c r="D343" s="1331">
        <v>6</v>
      </c>
      <c r="E343" s="1978">
        <v>6660</v>
      </c>
      <c r="F343" s="1966">
        <f t="shared" si="7"/>
        <v>39960</v>
      </c>
      <c r="J343" s="1997"/>
      <c r="K343" s="2207"/>
    </row>
    <row r="344" spans="1:11" ht="14.5">
      <c r="A344" s="1967">
        <v>48</v>
      </c>
      <c r="B344" s="1968" t="s">
        <v>290</v>
      </c>
      <c r="C344" s="1969" t="s">
        <v>106</v>
      </c>
      <c r="D344" s="1331">
        <v>6</v>
      </c>
      <c r="E344" s="1978">
        <v>4189</v>
      </c>
      <c r="F344" s="1966">
        <f t="shared" si="7"/>
        <v>25134</v>
      </c>
      <c r="J344" s="1997"/>
      <c r="K344" s="2207"/>
    </row>
    <row r="345" spans="1:11" ht="14.5">
      <c r="A345" s="1967">
        <v>49</v>
      </c>
      <c r="B345" s="1968" t="s">
        <v>291</v>
      </c>
      <c r="C345" s="1969" t="s">
        <v>106</v>
      </c>
      <c r="D345" s="1331">
        <v>3</v>
      </c>
      <c r="E345" s="1978">
        <v>12190</v>
      </c>
      <c r="F345" s="1966">
        <f t="shared" si="7"/>
        <v>36570</v>
      </c>
      <c r="J345" s="1997"/>
      <c r="K345" s="2207"/>
    </row>
    <row r="346" spans="1:11" ht="14.5">
      <c r="A346" s="1967">
        <v>50</v>
      </c>
      <c r="B346" s="1968" t="s">
        <v>292</v>
      </c>
      <c r="C346" s="1969" t="s">
        <v>106</v>
      </c>
      <c r="D346" s="1331"/>
      <c r="E346" s="1978">
        <v>31100</v>
      </c>
      <c r="F346" s="1980">
        <f t="shared" si="7"/>
        <v>0</v>
      </c>
      <c r="J346" s="1997"/>
      <c r="K346" s="2207"/>
    </row>
    <row r="347" spans="1:11" ht="14.5">
      <c r="A347" s="1967">
        <v>51</v>
      </c>
      <c r="B347" s="1968" t="s">
        <v>293</v>
      </c>
      <c r="C347" s="1983" t="s">
        <v>95</v>
      </c>
      <c r="D347" s="1970"/>
      <c r="E347" s="1978"/>
      <c r="F347" s="1980">
        <f t="shared" si="7"/>
        <v>0</v>
      </c>
      <c r="J347" s="1997"/>
      <c r="K347" s="2207"/>
    </row>
    <row r="348" spans="1:11" ht="14.5">
      <c r="A348" s="1967">
        <v>52</v>
      </c>
      <c r="B348" s="1968" t="s">
        <v>294</v>
      </c>
      <c r="C348" s="1983" t="s">
        <v>106</v>
      </c>
      <c r="D348" s="1970">
        <v>1.2</v>
      </c>
      <c r="E348" s="1978">
        <v>53724</v>
      </c>
      <c r="F348" s="1980">
        <f t="shared" si="7"/>
        <v>64468.800000000003</v>
      </c>
      <c r="J348" s="1997"/>
      <c r="K348" s="2207"/>
    </row>
    <row r="349" spans="1:11" ht="14.5">
      <c r="A349" s="1967">
        <v>53</v>
      </c>
      <c r="B349" s="1968" t="s">
        <v>295</v>
      </c>
      <c r="C349" s="1983" t="s">
        <v>95</v>
      </c>
      <c r="D349" s="1970"/>
      <c r="E349" s="1978"/>
      <c r="F349" s="1980">
        <f t="shared" si="7"/>
        <v>0</v>
      </c>
      <c r="J349" s="1997"/>
      <c r="K349" s="2207"/>
    </row>
    <row r="350" spans="1:11" ht="14.5">
      <c r="A350" s="1967">
        <v>54</v>
      </c>
      <c r="B350" s="1968" t="s">
        <v>296</v>
      </c>
      <c r="C350" s="1983" t="s">
        <v>106</v>
      </c>
      <c r="D350" s="1970"/>
      <c r="E350" s="1981"/>
      <c r="F350" s="1980">
        <f t="shared" si="7"/>
        <v>0</v>
      </c>
      <c r="J350" s="1997"/>
      <c r="K350" s="2207"/>
    </row>
    <row r="351" spans="1:11" ht="14.5">
      <c r="A351" s="1967">
        <v>55</v>
      </c>
      <c r="B351" s="1968" t="s">
        <v>297</v>
      </c>
      <c r="C351" s="1983" t="s">
        <v>106</v>
      </c>
      <c r="D351" s="1970"/>
      <c r="E351" s="1982">
        <v>150183</v>
      </c>
      <c r="F351" s="1980">
        <f t="shared" si="7"/>
        <v>0</v>
      </c>
      <c r="J351" s="1997"/>
      <c r="K351" s="2207"/>
    </row>
    <row r="352" spans="1:11" ht="14.5">
      <c r="A352" s="1967">
        <v>56</v>
      </c>
      <c r="B352" s="1331"/>
      <c r="C352" s="1983"/>
      <c r="D352" s="1970"/>
      <c r="E352" s="1982"/>
      <c r="F352" s="1980">
        <f t="shared" si="7"/>
        <v>0</v>
      </c>
      <c r="J352" s="1997"/>
      <c r="K352" s="2207"/>
    </row>
    <row r="353" spans="1:11" ht="14.5">
      <c r="A353" s="1967">
        <v>57</v>
      </c>
      <c r="B353" s="1331"/>
      <c r="C353" s="1983"/>
      <c r="D353" s="1970"/>
      <c r="E353" s="1982"/>
      <c r="F353" s="1980">
        <f t="shared" si="7"/>
        <v>0</v>
      </c>
      <c r="J353" s="1997"/>
      <c r="K353" s="2207"/>
    </row>
    <row r="354" spans="1:11" ht="14.5">
      <c r="A354" s="1967">
        <v>58</v>
      </c>
      <c r="B354" s="1331"/>
      <c r="C354" s="1983"/>
      <c r="D354" s="1970"/>
      <c r="E354" s="1982"/>
      <c r="F354" s="1980">
        <f t="shared" si="7"/>
        <v>0</v>
      </c>
      <c r="J354" s="1997"/>
      <c r="K354" s="2207"/>
    </row>
    <row r="355" spans="1:11" ht="14.5">
      <c r="A355" s="1967">
        <v>59</v>
      </c>
      <c r="B355" s="1331"/>
      <c r="C355" s="1983"/>
      <c r="D355" s="1970"/>
      <c r="E355" s="1982"/>
      <c r="F355" s="1980">
        <f t="shared" si="7"/>
        <v>0</v>
      </c>
      <c r="J355" s="1997"/>
      <c r="K355" s="2207"/>
    </row>
    <row r="356" spans="1:11" ht="14.5">
      <c r="A356" s="1967">
        <v>60</v>
      </c>
      <c r="B356" s="1331"/>
      <c r="C356" s="1983"/>
      <c r="D356" s="1970"/>
      <c r="E356" s="1982"/>
      <c r="F356" s="1980">
        <f t="shared" si="7"/>
        <v>0</v>
      </c>
      <c r="J356" s="1997"/>
      <c r="K356" s="2207"/>
    </row>
    <row r="357" spans="1:11" ht="14.5">
      <c r="A357" s="1967">
        <v>61</v>
      </c>
      <c r="B357" s="1331"/>
      <c r="C357" s="1983"/>
      <c r="D357" s="1970"/>
      <c r="E357" s="1982"/>
      <c r="F357" s="1980">
        <f t="shared" si="7"/>
        <v>0</v>
      </c>
      <c r="J357" s="1997"/>
      <c r="K357" s="2207"/>
    </row>
    <row r="358" spans="1:11" ht="14.5">
      <c r="A358" s="1967">
        <v>62</v>
      </c>
      <c r="B358" s="1986"/>
      <c r="C358" s="1987"/>
      <c r="D358" s="1986"/>
      <c r="E358" s="2107"/>
      <c r="F358" s="2022">
        <f t="shared" si="7"/>
        <v>0</v>
      </c>
      <c r="H358" s="840"/>
      <c r="J358" s="1997"/>
      <c r="K358" s="2207"/>
    </row>
    <row r="359" spans="1:11" ht="19.899999999999999" customHeight="1">
      <c r="A359" s="2023"/>
      <c r="B359" s="2108"/>
      <c r="C359" s="2109"/>
      <c r="D359" s="2110"/>
      <c r="E359" s="2044" t="s">
        <v>91</v>
      </c>
      <c r="F359" s="2111">
        <f>SUM(F295:F358)</f>
        <v>5786067.8099999996</v>
      </c>
      <c r="J359" s="1997"/>
      <c r="K359" s="2207"/>
    </row>
    <row r="360" spans="1:11" ht="19.899999999999999" customHeight="1">
      <c r="A360" s="2023"/>
      <c r="B360" s="2112"/>
      <c r="C360" s="2023"/>
      <c r="D360" s="1972"/>
      <c r="E360" s="2044" t="s">
        <v>298</v>
      </c>
      <c r="F360" s="2111">
        <f>F125+F165+F170+F359</f>
        <v>19489620.177499998</v>
      </c>
      <c r="J360" s="1997"/>
      <c r="K360" s="2207"/>
    </row>
    <row r="361" spans="1:11" ht="19.899999999999999" customHeight="1">
      <c r="A361" s="2023"/>
      <c r="B361" s="2113" t="s">
        <v>299</v>
      </c>
      <c r="C361" s="2023"/>
      <c r="D361" s="1972"/>
      <c r="E361" s="2044"/>
      <c r="F361" s="2111">
        <f>F31+F69+F87+F125+F165+F170+F359</f>
        <v>27681296.9262315</v>
      </c>
      <c r="J361" s="1997"/>
      <c r="K361" s="2207"/>
    </row>
    <row r="362" spans="1:11" ht="19.899999999999999" customHeight="1">
      <c r="A362" s="2023"/>
      <c r="B362" s="2113" t="s">
        <v>300</v>
      </c>
      <c r="C362" s="2023"/>
      <c r="D362" s="1972"/>
      <c r="E362" s="2044"/>
      <c r="F362" s="2111">
        <f>F361-F165</f>
        <v>17074708.6762315</v>
      </c>
      <c r="J362" s="1997"/>
      <c r="K362" s="2207"/>
    </row>
    <row r="363" spans="1:11" ht="19.899999999999999" customHeight="1">
      <c r="A363" s="2023"/>
      <c r="B363" s="2113" t="s">
        <v>301</v>
      </c>
      <c r="C363" s="2023"/>
      <c r="D363" s="1972"/>
      <c r="E363" s="2044"/>
      <c r="F363" s="2111">
        <f>F165</f>
        <v>10606588.25</v>
      </c>
      <c r="J363" s="1997"/>
      <c r="K363" s="2207"/>
    </row>
    <row r="364" spans="1:11">
      <c r="A364" s="1402"/>
      <c r="E364" s="532" t="s">
        <v>61</v>
      </c>
      <c r="F364" s="532" t="s">
        <v>61</v>
      </c>
      <c r="K364" s="2207"/>
    </row>
    <row r="365" spans="1:11" ht="18.5">
      <c r="A365" s="2030" t="s">
        <v>65</v>
      </c>
      <c r="B365" s="2114" t="s">
        <v>302</v>
      </c>
      <c r="C365" s="1956" t="s">
        <v>67</v>
      </c>
      <c r="D365" s="1956" t="s">
        <v>68</v>
      </c>
      <c r="E365" s="1956" t="s">
        <v>69</v>
      </c>
      <c r="F365" s="2031" t="s">
        <v>70</v>
      </c>
      <c r="J365" s="1997"/>
    </row>
    <row r="366" spans="1:11" ht="21">
      <c r="A366" s="1958" t="s">
        <v>303</v>
      </c>
      <c r="B366" s="2189" t="s">
        <v>304</v>
      </c>
      <c r="C366" s="2190"/>
      <c r="D366" s="2190"/>
      <c r="E366" s="2190"/>
      <c r="F366" s="2191"/>
      <c r="J366" s="1997"/>
      <c r="K366" s="2197" t="s">
        <v>252</v>
      </c>
    </row>
    <row r="367" spans="1:11" ht="14.5">
      <c r="A367" s="2032">
        <v>1</v>
      </c>
      <c r="B367" s="1962" t="s">
        <v>305</v>
      </c>
      <c r="C367" s="1963" t="s">
        <v>74</v>
      </c>
      <c r="D367" s="2115">
        <v>100</v>
      </c>
      <c r="E367" s="1978">
        <v>1415.25</v>
      </c>
      <c r="F367" s="2022">
        <f t="shared" ref="F367:F372" si="8">D367*E367</f>
        <v>141525</v>
      </c>
      <c r="J367" s="1997"/>
      <c r="K367" s="2197"/>
    </row>
    <row r="368" spans="1:11" ht="14.5">
      <c r="A368" s="2004">
        <v>2</v>
      </c>
      <c r="B368" s="1968" t="s">
        <v>306</v>
      </c>
      <c r="C368" s="1983" t="s">
        <v>106</v>
      </c>
      <c r="D368" s="2116">
        <v>100</v>
      </c>
      <c r="E368" s="1978">
        <v>397.38</v>
      </c>
      <c r="F368" s="1980">
        <f t="shared" si="8"/>
        <v>39738</v>
      </c>
      <c r="J368" s="1997"/>
      <c r="K368" s="2197"/>
    </row>
    <row r="369" spans="1:11" ht="14.5">
      <c r="A369" s="2004">
        <v>3</v>
      </c>
      <c r="B369" s="1968" t="s">
        <v>307</v>
      </c>
      <c r="C369" s="1969" t="s">
        <v>74</v>
      </c>
      <c r="D369" s="2116"/>
      <c r="E369" s="1978"/>
      <c r="F369" s="1966">
        <f t="shared" si="8"/>
        <v>0</v>
      </c>
      <c r="J369" s="1997"/>
      <c r="K369" s="2197"/>
    </row>
    <row r="370" spans="1:11" ht="14.5">
      <c r="A370" s="2004">
        <v>4</v>
      </c>
      <c r="B370" s="1968" t="s">
        <v>308</v>
      </c>
      <c r="C370" s="1969" t="s">
        <v>74</v>
      </c>
      <c r="D370" s="2116">
        <v>100</v>
      </c>
      <c r="E370" s="1978">
        <v>397.38</v>
      </c>
      <c r="F370" s="1966">
        <f t="shared" si="8"/>
        <v>39738</v>
      </c>
      <c r="J370" s="1997"/>
      <c r="K370" s="2197"/>
    </row>
    <row r="371" spans="1:11" ht="14.5">
      <c r="A371" s="2004">
        <v>5</v>
      </c>
      <c r="B371" s="1968" t="s">
        <v>309</v>
      </c>
      <c r="C371" s="1969" t="s">
        <v>74</v>
      </c>
      <c r="D371" s="2117"/>
      <c r="E371" s="2118">
        <v>2000</v>
      </c>
      <c r="F371" s="1980">
        <f t="shared" si="8"/>
        <v>0</v>
      </c>
      <c r="J371" s="1997"/>
      <c r="K371" s="2197"/>
    </row>
    <row r="372" spans="1:11" ht="14.5">
      <c r="A372" s="2091"/>
      <c r="B372" s="1986"/>
      <c r="C372" s="2056"/>
      <c r="D372" s="2119"/>
      <c r="E372" s="2120"/>
      <c r="F372" s="2055">
        <f t="shared" si="8"/>
        <v>0</v>
      </c>
      <c r="J372" s="1997"/>
      <c r="K372" s="2197"/>
    </row>
    <row r="373" spans="1:11" ht="25.15" customHeight="1">
      <c r="A373" s="1971"/>
      <c r="B373" s="2121"/>
      <c r="C373" s="2122"/>
      <c r="D373" s="2122"/>
      <c r="E373" s="2123" t="s">
        <v>310</v>
      </c>
      <c r="F373" s="1975">
        <f>SUM(F367:F372)</f>
        <v>221001</v>
      </c>
      <c r="J373" s="1997"/>
      <c r="K373" s="2197"/>
    </row>
    <row r="374" spans="1:11" ht="21">
      <c r="A374" s="1958" t="s">
        <v>311</v>
      </c>
      <c r="B374" s="2213" t="s">
        <v>312</v>
      </c>
      <c r="C374" s="2214"/>
      <c r="D374" s="2214"/>
      <c r="E374" s="2214"/>
      <c r="F374" s="2215"/>
      <c r="J374" s="1997"/>
      <c r="K374" s="2197"/>
    </row>
    <row r="375" spans="1:11" ht="14.5">
      <c r="A375" s="2032">
        <v>1</v>
      </c>
      <c r="B375" s="1962" t="s">
        <v>313</v>
      </c>
      <c r="C375" s="2124" t="s">
        <v>314</v>
      </c>
      <c r="D375" s="2125">
        <v>4</v>
      </c>
      <c r="E375" s="1982">
        <v>205000</v>
      </c>
      <c r="F375" s="2021">
        <f>D375*E375</f>
        <v>820000</v>
      </c>
      <c r="J375" s="1997"/>
      <c r="K375" s="2197"/>
    </row>
    <row r="376" spans="1:11" ht="14.5">
      <c r="A376" s="2004">
        <v>2</v>
      </c>
      <c r="B376" s="1968" t="s">
        <v>315</v>
      </c>
      <c r="C376" s="2126" t="s">
        <v>314</v>
      </c>
      <c r="D376" s="2127"/>
      <c r="E376" s="1982"/>
      <c r="F376" s="2021">
        <f>D376*E376</f>
        <v>0</v>
      </c>
      <c r="J376" s="1997"/>
      <c r="K376" s="2197"/>
    </row>
    <row r="377" spans="1:11" ht="14.5">
      <c r="A377" s="2004">
        <v>3</v>
      </c>
      <c r="B377" s="2128"/>
      <c r="C377" s="2129"/>
      <c r="D377" s="2127"/>
      <c r="E377" s="2130"/>
      <c r="F377" s="2021">
        <f>D377*E377</f>
        <v>0</v>
      </c>
      <c r="J377" s="1997"/>
      <c r="K377" s="2197"/>
    </row>
    <row r="378" spans="1:11" ht="14.5">
      <c r="A378" s="2004">
        <v>4</v>
      </c>
      <c r="B378" s="2128"/>
      <c r="C378" s="2128"/>
      <c r="D378" s="2127"/>
      <c r="E378" s="2131"/>
      <c r="F378" s="2021">
        <f>D378*E378</f>
        <v>0</v>
      </c>
      <c r="J378" s="1997"/>
      <c r="K378" s="2197"/>
    </row>
    <row r="379" spans="1:11" ht="14.5">
      <c r="A379" s="2091"/>
      <c r="B379" s="2132"/>
      <c r="C379" s="2133"/>
      <c r="D379" s="2134"/>
      <c r="E379" s="2133"/>
      <c r="F379" s="2135">
        <f>D379*E379</f>
        <v>0</v>
      </c>
      <c r="J379" s="1997"/>
      <c r="K379" s="2197"/>
    </row>
    <row r="380" spans="1:11" ht="25.15" customHeight="1">
      <c r="A380" s="1971"/>
      <c r="B380" s="2121"/>
      <c r="C380" s="2122"/>
      <c r="D380" s="2122"/>
      <c r="E380" s="2123" t="s">
        <v>310</v>
      </c>
      <c r="F380" s="1975">
        <f>SUM(F375:F379)</f>
        <v>820000</v>
      </c>
      <c r="J380" s="1997"/>
      <c r="K380" s="2197"/>
    </row>
    <row r="381" spans="1:11" ht="21">
      <c r="A381" s="1958" t="s">
        <v>316</v>
      </c>
      <c r="B381" s="2213" t="s">
        <v>317</v>
      </c>
      <c r="C381" s="2214"/>
      <c r="D381" s="2214"/>
      <c r="E381" s="2214"/>
      <c r="F381" s="2215"/>
      <c r="J381" s="1997"/>
      <c r="K381" s="2197"/>
    </row>
    <row r="382" spans="1:11" ht="14.5">
      <c r="A382" s="1967">
        <v>1</v>
      </c>
      <c r="B382" s="1962" t="s">
        <v>318</v>
      </c>
      <c r="C382" s="2136" t="s">
        <v>278</v>
      </c>
      <c r="D382" s="2137">
        <v>1</v>
      </c>
      <c r="E382" s="2138">
        <v>8800</v>
      </c>
      <c r="F382" s="2021">
        <f>D382*E382</f>
        <v>8800</v>
      </c>
      <c r="J382" s="1997"/>
      <c r="K382" s="2197"/>
    </row>
    <row r="383" spans="1:11" ht="14.5">
      <c r="A383" s="1967">
        <v>2</v>
      </c>
      <c r="B383" s="1968" t="s">
        <v>319</v>
      </c>
      <c r="C383" s="2126" t="s">
        <v>278</v>
      </c>
      <c r="D383" s="2127">
        <v>2</v>
      </c>
      <c r="E383" s="2138">
        <v>6600</v>
      </c>
      <c r="F383" s="2139">
        <f t="shared" ref="F383:F397" si="9">D383*E383</f>
        <v>13200</v>
      </c>
      <c r="J383" s="1997"/>
      <c r="K383" s="2197"/>
    </row>
    <row r="384" spans="1:11" ht="14.5">
      <c r="A384" s="1967">
        <v>3</v>
      </c>
      <c r="B384" s="1968" t="s">
        <v>320</v>
      </c>
      <c r="C384" s="2126" t="s">
        <v>278</v>
      </c>
      <c r="D384" s="2127">
        <v>3</v>
      </c>
      <c r="E384" s="2138">
        <v>14000</v>
      </c>
      <c r="F384" s="2139">
        <f t="shared" si="9"/>
        <v>42000</v>
      </c>
      <c r="J384" s="1997"/>
      <c r="K384" s="2197"/>
    </row>
    <row r="385" spans="1:11" ht="14.5">
      <c r="A385" s="1967">
        <v>4</v>
      </c>
      <c r="B385" s="1968" t="s">
        <v>321</v>
      </c>
      <c r="C385" s="2126" t="s">
        <v>278</v>
      </c>
      <c r="D385" s="2127">
        <v>2</v>
      </c>
      <c r="E385" s="2138">
        <v>8200</v>
      </c>
      <c r="F385" s="2139">
        <f t="shared" si="9"/>
        <v>16400</v>
      </c>
      <c r="J385" s="1997"/>
      <c r="K385" s="2197"/>
    </row>
    <row r="386" spans="1:11" ht="14.5">
      <c r="A386" s="1967">
        <v>5</v>
      </c>
      <c r="B386" s="1968" t="s">
        <v>322</v>
      </c>
      <c r="C386" s="2126" t="s">
        <v>278</v>
      </c>
      <c r="D386" s="2127"/>
      <c r="E386" s="2138">
        <v>15500</v>
      </c>
      <c r="F386" s="2139">
        <f t="shared" si="9"/>
        <v>0</v>
      </c>
      <c r="J386" s="1997"/>
      <c r="K386" s="2197"/>
    </row>
    <row r="387" spans="1:11" ht="14.5">
      <c r="A387" s="1967">
        <v>6</v>
      </c>
      <c r="B387" s="1968" t="s">
        <v>323</v>
      </c>
      <c r="C387" s="2126" t="s">
        <v>137</v>
      </c>
      <c r="D387" s="2127"/>
      <c r="E387" s="2138"/>
      <c r="F387" s="2139">
        <f t="shared" si="9"/>
        <v>0</v>
      </c>
      <c r="J387" s="1997"/>
      <c r="K387" s="2197"/>
    </row>
    <row r="388" spans="1:11" ht="14.5">
      <c r="A388" s="1967">
        <v>7</v>
      </c>
      <c r="B388" s="1968" t="s">
        <v>324</v>
      </c>
      <c r="C388" s="2126" t="s">
        <v>278</v>
      </c>
      <c r="D388" s="2127">
        <v>103</v>
      </c>
      <c r="E388" s="2138">
        <v>1277</v>
      </c>
      <c r="F388" s="2139">
        <f t="shared" si="9"/>
        <v>131531</v>
      </c>
      <c r="J388" s="1997"/>
      <c r="K388" s="2197"/>
    </row>
    <row r="389" spans="1:11" ht="14.5">
      <c r="A389" s="1967">
        <v>8</v>
      </c>
      <c r="B389" s="1968" t="s">
        <v>325</v>
      </c>
      <c r="C389" s="2126" t="s">
        <v>95</v>
      </c>
      <c r="D389" s="2127">
        <v>1</v>
      </c>
      <c r="E389" s="2138">
        <v>8900</v>
      </c>
      <c r="F389" s="2139">
        <f t="shared" si="9"/>
        <v>8900</v>
      </c>
      <c r="J389" s="1997"/>
      <c r="K389" s="2197"/>
    </row>
    <row r="390" spans="1:11" ht="14.5">
      <c r="A390" s="1967"/>
      <c r="B390" s="1968" t="s">
        <v>326</v>
      </c>
      <c r="C390" s="2126" t="s">
        <v>278</v>
      </c>
      <c r="D390" s="2127"/>
      <c r="E390" s="2138">
        <v>14000</v>
      </c>
      <c r="F390" s="2139">
        <f t="shared" si="9"/>
        <v>0</v>
      </c>
      <c r="J390" s="1997"/>
      <c r="K390" s="2197"/>
    </row>
    <row r="391" spans="1:11" ht="14.5">
      <c r="A391" s="1967">
        <v>10</v>
      </c>
      <c r="B391" s="2140" t="s">
        <v>327</v>
      </c>
      <c r="C391" s="2126"/>
      <c r="D391" s="2127"/>
      <c r="E391" s="2138">
        <v>11400</v>
      </c>
      <c r="F391" s="2139">
        <f t="shared" si="9"/>
        <v>0</v>
      </c>
      <c r="J391" s="1997"/>
      <c r="K391" s="2197"/>
    </row>
    <row r="392" spans="1:11" ht="14.5">
      <c r="A392" s="1967">
        <v>11</v>
      </c>
      <c r="B392" s="2087" t="s">
        <v>328</v>
      </c>
      <c r="C392" s="1969"/>
      <c r="D392" s="2117"/>
      <c r="E392" s="1995">
        <v>11900</v>
      </c>
      <c r="F392" s="1980">
        <f t="shared" si="9"/>
        <v>0</v>
      </c>
      <c r="J392" s="1997"/>
      <c r="K392" s="2197"/>
    </row>
    <row r="393" spans="1:11" ht="14.5">
      <c r="A393" s="1967">
        <v>12</v>
      </c>
      <c r="B393" s="2087" t="s">
        <v>329</v>
      </c>
      <c r="C393" s="1969"/>
      <c r="D393" s="2117"/>
      <c r="E393" s="1995">
        <v>34100</v>
      </c>
      <c r="F393" s="1980">
        <f t="shared" si="9"/>
        <v>0</v>
      </c>
      <c r="J393" s="1997"/>
      <c r="K393" s="2197"/>
    </row>
    <row r="394" spans="1:11" ht="14.5">
      <c r="A394" s="1967">
        <v>13</v>
      </c>
      <c r="B394" s="2087" t="s">
        <v>330</v>
      </c>
      <c r="C394" s="1969"/>
      <c r="D394" s="2117"/>
      <c r="E394" s="1995">
        <v>32200</v>
      </c>
      <c r="F394" s="1980">
        <f t="shared" si="9"/>
        <v>0</v>
      </c>
      <c r="J394" s="1997"/>
      <c r="K394" s="2197"/>
    </row>
    <row r="395" spans="1:11" ht="14.5">
      <c r="A395" s="1967">
        <v>14</v>
      </c>
      <c r="B395" s="2087" t="s">
        <v>331</v>
      </c>
      <c r="C395" s="1969"/>
      <c r="D395" s="2117"/>
      <c r="E395" s="1995">
        <v>1000</v>
      </c>
      <c r="F395" s="1980">
        <f t="shared" si="9"/>
        <v>0</v>
      </c>
      <c r="J395" s="1997"/>
      <c r="K395" s="2197"/>
    </row>
    <row r="396" spans="1:11" ht="14.5">
      <c r="A396" s="1967">
        <v>15</v>
      </c>
      <c r="B396" s="2087" t="s">
        <v>332</v>
      </c>
      <c r="C396" s="1969"/>
      <c r="D396" s="2117"/>
      <c r="E396" s="1995">
        <v>5200</v>
      </c>
      <c r="F396" s="1980">
        <f t="shared" si="9"/>
        <v>0</v>
      </c>
      <c r="J396" s="1997"/>
      <c r="K396" s="2197"/>
    </row>
    <row r="397" spans="1:11" ht="14.5">
      <c r="A397" s="2091"/>
      <c r="B397" s="2078" t="s">
        <v>333</v>
      </c>
      <c r="C397" s="1987"/>
      <c r="D397" s="2141"/>
      <c r="E397" s="2142">
        <v>4500</v>
      </c>
      <c r="F397" s="1980">
        <f t="shared" si="9"/>
        <v>0</v>
      </c>
      <c r="J397" s="1997"/>
      <c r="K397" s="2197"/>
    </row>
    <row r="398" spans="1:11" ht="25.15" customHeight="1">
      <c r="A398" s="1332"/>
      <c r="B398" s="2056"/>
      <c r="C398" s="1974"/>
      <c r="D398" s="1974"/>
      <c r="E398" s="715" t="s">
        <v>310</v>
      </c>
      <c r="F398" s="1975">
        <f>SUM(F382:F397)</f>
        <v>220831</v>
      </c>
      <c r="J398" s="1997"/>
      <c r="K398" s="2197"/>
    </row>
    <row r="399" spans="1:11" ht="21">
      <c r="A399" s="1958" t="s">
        <v>334</v>
      </c>
      <c r="B399" s="2189" t="s">
        <v>335</v>
      </c>
      <c r="C399" s="2190"/>
      <c r="D399" s="2190"/>
      <c r="E399" s="2190"/>
      <c r="F399" s="2191"/>
      <c r="J399" s="1997"/>
      <c r="K399" s="2197"/>
    </row>
    <row r="400" spans="1:11" ht="14.5">
      <c r="A400" s="1967">
        <v>1</v>
      </c>
      <c r="B400" s="1962" t="s">
        <v>336</v>
      </c>
      <c r="C400" s="1963" t="s">
        <v>74</v>
      </c>
      <c r="D400" s="2115">
        <v>4</v>
      </c>
      <c r="E400" s="1978">
        <v>12210</v>
      </c>
      <c r="F400" s="1966">
        <f>D400*E400</f>
        <v>48840</v>
      </c>
      <c r="J400" s="1997"/>
      <c r="K400" s="2197"/>
    </row>
    <row r="401" spans="1:11" ht="14.5">
      <c r="A401" s="1967">
        <v>2</v>
      </c>
      <c r="B401" s="1968" t="s">
        <v>337</v>
      </c>
      <c r="C401" s="1969" t="s">
        <v>74</v>
      </c>
      <c r="D401" s="2117">
        <v>10</v>
      </c>
      <c r="E401" s="1978">
        <v>3000</v>
      </c>
      <c r="F401" s="1980">
        <f>D401*E401</f>
        <v>30000</v>
      </c>
      <c r="J401" s="1997"/>
      <c r="K401" s="2197"/>
    </row>
    <row r="402" spans="1:11" ht="14.5">
      <c r="A402" s="1967">
        <v>3</v>
      </c>
      <c r="B402" s="1968" t="s">
        <v>338</v>
      </c>
      <c r="C402" s="1969" t="s">
        <v>74</v>
      </c>
      <c r="D402" s="2117">
        <v>4</v>
      </c>
      <c r="E402" s="1978">
        <v>4440</v>
      </c>
      <c r="F402" s="1980">
        <f>D402*E402</f>
        <v>17760</v>
      </c>
      <c r="J402" s="1997"/>
      <c r="K402" s="2197"/>
    </row>
    <row r="403" spans="1:11" ht="14.5">
      <c r="A403" s="1967">
        <v>4</v>
      </c>
      <c r="B403" s="1968" t="s">
        <v>339</v>
      </c>
      <c r="C403" s="1969" t="s">
        <v>74</v>
      </c>
      <c r="D403" s="2117">
        <v>1</v>
      </c>
      <c r="E403" s="1978">
        <v>4000</v>
      </c>
      <c r="F403" s="1980">
        <f>D403*E403</f>
        <v>4000</v>
      </c>
      <c r="J403" s="1997"/>
      <c r="K403" s="2197"/>
    </row>
    <row r="404" spans="1:11" ht="14.5">
      <c r="A404" s="1967"/>
      <c r="B404" s="1986"/>
      <c r="C404" s="2079" t="s">
        <v>74</v>
      </c>
      <c r="D404" s="2141"/>
      <c r="E404" s="2142">
        <v>1600</v>
      </c>
      <c r="F404" s="1980">
        <f>D404*E404</f>
        <v>0</v>
      </c>
      <c r="J404" s="1997"/>
      <c r="K404" s="2197"/>
    </row>
    <row r="405" spans="1:11" ht="25.15" customHeight="1">
      <c r="A405" s="1332"/>
      <c r="B405" s="2056"/>
      <c r="C405" s="1974"/>
      <c r="D405" s="1974"/>
      <c r="E405" s="715" t="s">
        <v>310</v>
      </c>
      <c r="F405" s="1975">
        <f>SUM(F400:F404)</f>
        <v>100600</v>
      </c>
      <c r="J405" s="1997"/>
      <c r="K405" s="2197"/>
    </row>
    <row r="406" spans="1:11">
      <c r="J406" s="1997"/>
      <c r="K406" s="2197"/>
    </row>
    <row r="407" spans="1:11" ht="12.75" customHeight="1">
      <c r="B407" s="2208" t="s">
        <v>340</v>
      </c>
      <c r="C407" s="2208"/>
      <c r="D407" s="2208"/>
      <c r="E407" s="636"/>
      <c r="F407" s="2143" t="s">
        <v>341</v>
      </c>
      <c r="G407" s="636"/>
      <c r="H407" s="636"/>
      <c r="I407" s="636"/>
      <c r="J407" s="2144"/>
      <c r="K407" s="2197"/>
    </row>
    <row r="408" spans="1:11">
      <c r="B408" s="2208"/>
      <c r="C408" s="2208"/>
      <c r="D408" s="2208"/>
      <c r="E408" s="636"/>
      <c r="F408" s="636"/>
      <c r="G408" s="636"/>
      <c r="H408" s="636"/>
      <c r="I408" s="636"/>
      <c r="J408" s="2144"/>
      <c r="K408" s="2197"/>
    </row>
    <row r="409" spans="1:11">
      <c r="B409" s="2208"/>
      <c r="C409" s="2208"/>
      <c r="D409" s="2208"/>
      <c r="E409" s="636"/>
      <c r="F409" s="636"/>
      <c r="G409" s="636"/>
      <c r="H409" s="636"/>
      <c r="I409" s="636"/>
      <c r="J409" s="2144"/>
      <c r="K409" s="2197"/>
    </row>
    <row r="410" spans="1:11">
      <c r="F410" s="655"/>
      <c r="J410" s="1997"/>
      <c r="K410" s="2197"/>
    </row>
    <row r="411" spans="1:11">
      <c r="F411" s="655" t="s">
        <v>342</v>
      </c>
      <c r="J411" s="1997"/>
      <c r="K411" s="2145"/>
    </row>
    <row r="412" spans="1:11">
      <c r="B412" s="2205" t="s">
        <v>343</v>
      </c>
      <c r="C412" s="2205"/>
      <c r="D412" s="2205"/>
    </row>
    <row r="413" spans="1:11">
      <c r="B413" s="2206" t="s">
        <v>344</v>
      </c>
      <c r="C413" s="2206"/>
      <c r="D413" s="2206"/>
    </row>
    <row r="414" spans="1:11">
      <c r="B414" s="2206" t="s">
        <v>345</v>
      </c>
      <c r="C414" s="2206"/>
      <c r="D414" s="2206"/>
    </row>
    <row r="415" spans="1:11">
      <c r="B415" s="2206" t="s">
        <v>346</v>
      </c>
      <c r="C415" s="2206"/>
      <c r="D415" s="2206"/>
    </row>
    <row r="416" spans="1:11">
      <c r="B416" s="2200" t="s">
        <v>347</v>
      </c>
      <c r="C416" s="2200"/>
      <c r="D416" s="2200"/>
    </row>
    <row r="417" spans="2:4">
      <c r="B417" s="2200" t="s">
        <v>348</v>
      </c>
      <c r="C417" s="2200"/>
      <c r="D417" s="2200"/>
    </row>
    <row r="418" spans="2:4">
      <c r="B418" s="2200" t="s">
        <v>349</v>
      </c>
      <c r="C418" s="2200"/>
      <c r="D418" s="2200"/>
    </row>
    <row r="419" spans="2:4">
      <c r="B419" s="2200" t="s">
        <v>350</v>
      </c>
      <c r="C419" s="2200"/>
      <c r="D419" s="2200"/>
    </row>
    <row r="420" spans="2:4">
      <c r="B420" s="2199" t="s">
        <v>351</v>
      </c>
      <c r="C420" s="2199"/>
      <c r="D420" s="2199"/>
    </row>
    <row r="421" spans="2:4">
      <c r="B421" s="2199" t="s">
        <v>352</v>
      </c>
      <c r="C421" s="2199"/>
      <c r="D421" s="2199"/>
    </row>
    <row r="422" spans="2:4">
      <c r="B422" s="2199" t="s">
        <v>353</v>
      </c>
      <c r="C422" s="2199"/>
      <c r="D422" s="2199"/>
    </row>
    <row r="423" spans="2:4">
      <c r="B423" s="2199" t="s">
        <v>354</v>
      </c>
      <c r="C423" s="2199"/>
      <c r="D423" s="2199"/>
    </row>
    <row r="424" spans="2:4">
      <c r="B424" s="2200" t="s">
        <v>355</v>
      </c>
      <c r="C424" s="2200"/>
      <c r="D424" s="2200"/>
    </row>
    <row r="430" spans="2:4" ht="15" customHeight="1"/>
    <row r="438" hidden="1"/>
    <row r="439" hidden="1"/>
    <row r="441" hidden="1"/>
    <row r="443" hidden="1"/>
    <row r="445" hidden="1"/>
    <row r="446" hidden="1"/>
    <row r="447" hidden="1"/>
    <row r="448" hidden="1"/>
    <row r="449" spans="2:2" hidden="1"/>
    <row r="450" spans="2:2" hidden="1"/>
    <row r="451" spans="2:2">
      <c r="B451" s="532" t="s">
        <v>356</v>
      </c>
    </row>
    <row r="455" spans="2:2" hidden="1"/>
    <row r="456" spans="2:2" hidden="1"/>
    <row r="470" hidden="1"/>
    <row r="509" hidden="1"/>
    <row r="541" hidden="1"/>
    <row r="542" hidden="1"/>
    <row r="543" hidden="1"/>
    <row r="544" hidden="1"/>
    <row r="554" hidden="1"/>
    <row r="555" hidden="1"/>
    <row r="556" hidden="1"/>
    <row r="557" hidden="1"/>
    <row r="566" hidden="1"/>
    <row r="567" hidden="1"/>
    <row r="568" hidden="1"/>
    <row r="569" hidden="1"/>
    <row r="570" hidden="1"/>
    <row r="571" hidden="1"/>
    <row r="572" hidden="1"/>
    <row r="573" hidden="1"/>
    <row r="579" hidden="1"/>
    <row r="580" hidden="1"/>
    <row r="581" hidden="1"/>
    <row r="582" hidden="1"/>
    <row r="583" hidden="1"/>
    <row r="584" hidden="1"/>
    <row r="587" hidden="1"/>
    <row r="588" hidden="1"/>
    <row r="589" hidden="1"/>
    <row r="590" hidden="1"/>
    <row r="591" hidden="1"/>
    <row r="592" hidden="1"/>
    <row r="593" hidden="1"/>
    <row r="594" hidden="1"/>
    <row r="595" hidden="1"/>
    <row r="596" hidden="1"/>
    <row r="597" hidden="1"/>
    <row r="598" hidden="1"/>
    <row r="599" hidden="1"/>
  </sheetData>
  <sheetProtection algorithmName="SHA-512" hashValue="VNw42/DLy/mtG2NJxWS0cR6to5ftbcemGIxHyHnUFwES/zGkdxAuKUHAdLhAGwb82s9pCSkukKFGBHufcMvBkg==" saltValue="tPNAvRqa6jZPvz+FFvwiVQ==" spinCount="100000" sheet="1" objects="1" scenarios="1"/>
  <mergeCells count="40">
    <mergeCell ref="K127:K303"/>
    <mergeCell ref="K305:K364"/>
    <mergeCell ref="K366:K410"/>
    <mergeCell ref="B407:D409"/>
    <mergeCell ref="G318:H319"/>
    <mergeCell ref="G304:H305"/>
    <mergeCell ref="B166:F166"/>
    <mergeCell ref="B171:F171"/>
    <mergeCell ref="B366:F366"/>
    <mergeCell ref="B374:F374"/>
    <mergeCell ref="B381:F381"/>
    <mergeCell ref="B421:D421"/>
    <mergeCell ref="B422:D422"/>
    <mergeCell ref="B423:D423"/>
    <mergeCell ref="B424:D424"/>
    <mergeCell ref="I304:I305"/>
    <mergeCell ref="I318:I319"/>
    <mergeCell ref="B416:D416"/>
    <mergeCell ref="B417:D417"/>
    <mergeCell ref="B418:D418"/>
    <mergeCell ref="B419:D419"/>
    <mergeCell ref="B420:D420"/>
    <mergeCell ref="B399:F399"/>
    <mergeCell ref="B412:D412"/>
    <mergeCell ref="B413:D413"/>
    <mergeCell ref="B414:D414"/>
    <mergeCell ref="B415:D415"/>
    <mergeCell ref="B70:F70"/>
    <mergeCell ref="G87:H87"/>
    <mergeCell ref="B93:F93"/>
    <mergeCell ref="B126:F126"/>
    <mergeCell ref="J126:K126"/>
    <mergeCell ref="K70:K124"/>
    <mergeCell ref="A3:F3"/>
    <mergeCell ref="B10:F10"/>
    <mergeCell ref="B32:F32"/>
    <mergeCell ref="G69:H69"/>
    <mergeCell ref="J69:K69"/>
    <mergeCell ref="K3:K14"/>
    <mergeCell ref="K15:K38"/>
  </mergeCells>
  <printOptions horizontalCentered="1" verticalCentered="1"/>
  <pageMargins left="0" right="0" top="0" bottom="0" header="0.31" footer="0.31"/>
  <pageSetup paperSize="9" scale="98"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pageSetUpPr fitToPage="1"/>
  </sheetPr>
  <dimension ref="A1:N136"/>
  <sheetViews>
    <sheetView topLeftCell="A14" zoomScale="87" zoomScaleNormal="87" workbookViewId="0">
      <selection activeCell="E40" sqref="E40"/>
    </sheetView>
  </sheetViews>
  <sheetFormatPr defaultColWidth="9.26953125" defaultRowHeight="13"/>
  <cols>
    <col min="1" max="1" width="13.453125" style="310" customWidth="1"/>
    <col min="2" max="2" width="26.453125" style="310" customWidth="1"/>
    <col min="3" max="3" width="19.1796875" style="310" customWidth="1"/>
    <col min="4" max="4" width="15.26953125" style="310" customWidth="1"/>
    <col min="5" max="5" width="13.81640625" style="310" customWidth="1"/>
    <col min="6" max="6" width="14.7265625" style="310" customWidth="1"/>
    <col min="7" max="7" width="23.453125" style="310" customWidth="1"/>
    <col min="8" max="8" width="11.7265625" style="310" customWidth="1"/>
    <col min="9" max="9" width="4.26953125" style="310" customWidth="1"/>
    <col min="10" max="10" width="16.54296875" style="310" customWidth="1"/>
    <col min="11" max="11" width="17.54296875" style="310" customWidth="1"/>
    <col min="12" max="12" width="13.7265625" style="310"/>
    <col min="13" max="13" width="12.81640625" style="310"/>
    <col min="14" max="16384" width="9.26953125" style="310"/>
  </cols>
  <sheetData>
    <row r="1" spans="1:13" ht="28.5">
      <c r="A1" s="1848"/>
    </row>
    <row r="2" spans="1:13" ht="15.5">
      <c r="A2" s="311"/>
    </row>
    <row r="3" spans="1:13">
      <c r="A3" s="1849"/>
    </row>
    <row r="4" spans="1:13" ht="3.75" customHeight="1"/>
    <row r="5" spans="1:13" ht="23.5">
      <c r="A5" s="2216" t="s">
        <v>357</v>
      </c>
      <c r="B5" s="2216"/>
      <c r="C5" s="2216"/>
      <c r="D5" s="2216"/>
      <c r="E5" s="2216"/>
      <c r="F5" s="2216"/>
      <c r="G5" s="2216"/>
      <c r="H5" s="2216"/>
      <c r="I5" s="2216"/>
      <c r="J5" s="2216"/>
      <c r="K5" s="2216"/>
    </row>
    <row r="6" spans="1:13" ht="15.75" customHeight="1">
      <c r="A6" s="2"/>
      <c r="B6" s="2"/>
      <c r="C6" s="2"/>
      <c r="D6" s="2"/>
      <c r="E6" s="2"/>
      <c r="F6" s="2"/>
      <c r="G6" s="2"/>
      <c r="H6" s="2"/>
      <c r="I6" s="2"/>
      <c r="J6" s="2"/>
      <c r="K6" s="2"/>
    </row>
    <row r="7" spans="1:13" ht="16.899999999999999" customHeight="1">
      <c r="A7" s="2"/>
      <c r="B7" s="2"/>
      <c r="C7" s="2"/>
      <c r="D7" s="2"/>
      <c r="E7" s="2"/>
      <c r="F7" s="2"/>
      <c r="G7" s="2"/>
      <c r="H7" s="1045" t="s">
        <v>358</v>
      </c>
      <c r="I7" s="1926" t="s">
        <v>359</v>
      </c>
      <c r="J7" s="2217" t="str">
        <f>LPKK!O4</f>
        <v>RC SAMATA GOWA</v>
      </c>
      <c r="K7" s="2217"/>
    </row>
    <row r="8" spans="1:13" ht="16.899999999999999" customHeight="1">
      <c r="A8" s="2"/>
      <c r="B8" s="2"/>
      <c r="C8" s="2"/>
      <c r="D8" s="2"/>
      <c r="E8" s="2"/>
      <c r="F8" s="2"/>
      <c r="G8" s="2"/>
      <c r="H8" s="50" t="s">
        <v>360</v>
      </c>
      <c r="I8" s="1926" t="s">
        <v>359</v>
      </c>
      <c r="J8" s="2218" t="str">
        <f>LPKK!O5</f>
        <v>8-14 JANUARI 2025</v>
      </c>
      <c r="K8" s="2218"/>
    </row>
    <row r="10" spans="1:13" ht="20.149999999999999" customHeight="1">
      <c r="A10" s="2223" t="s">
        <v>361</v>
      </c>
      <c r="B10" s="2223" t="s">
        <v>362</v>
      </c>
      <c r="C10" s="2223" t="s">
        <v>363</v>
      </c>
      <c r="D10" s="1014" t="s">
        <v>364</v>
      </c>
      <c r="E10" s="1014" t="s">
        <v>91</v>
      </c>
      <c r="F10" s="1014" t="s">
        <v>365</v>
      </c>
      <c r="G10" s="2223" t="s">
        <v>310</v>
      </c>
      <c r="H10" s="2219" t="s">
        <v>366</v>
      </c>
      <c r="I10" s="2220"/>
      <c r="J10" s="1066" t="s">
        <v>119</v>
      </c>
      <c r="K10" s="1014" t="s">
        <v>361</v>
      </c>
      <c r="L10" s="310" t="s">
        <v>61</v>
      </c>
    </row>
    <row r="11" spans="1:13" ht="20.149999999999999" customHeight="1">
      <c r="A11" s="2224"/>
      <c r="B11" s="2224"/>
      <c r="C11" s="2224"/>
      <c r="D11" s="1017" t="s">
        <v>367</v>
      </c>
      <c r="E11" s="1017" t="s">
        <v>368</v>
      </c>
      <c r="F11" s="1017" t="s">
        <v>368</v>
      </c>
      <c r="G11" s="2224"/>
      <c r="H11" s="2221" t="s">
        <v>369</v>
      </c>
      <c r="I11" s="2222"/>
      <c r="J11" s="1018" t="s">
        <v>370</v>
      </c>
      <c r="K11" s="1017" t="s">
        <v>371</v>
      </c>
    </row>
    <row r="12" spans="1:13" ht="3.75" customHeight="1">
      <c r="A12" s="1037"/>
    </row>
    <row r="13" spans="1:13" ht="3.75" customHeight="1">
      <c r="A13" s="1850"/>
    </row>
    <row r="14" spans="1:13" ht="20.149999999999999" customHeight="1">
      <c r="A14" s="1851"/>
      <c r="B14" s="2240" t="s">
        <v>372</v>
      </c>
      <c r="C14" s="1852" t="s">
        <v>373</v>
      </c>
      <c r="D14" s="1851"/>
      <c r="E14" s="1853">
        <v>130</v>
      </c>
      <c r="F14" s="1854">
        <f>G14/E14</f>
        <v>5981.5865384615399</v>
      </c>
      <c r="G14" s="1855">
        <f>6220850/1200*150</f>
        <v>777606.25</v>
      </c>
      <c r="H14" s="1855"/>
      <c r="I14" s="1855"/>
      <c r="J14" s="1854"/>
      <c r="K14" s="1847"/>
      <c r="L14" s="310">
        <f>E14/46</f>
        <v>2.8260869565217401</v>
      </c>
    </row>
    <row r="15" spans="1:13" ht="20.149999999999999" customHeight="1">
      <c r="A15" s="1856"/>
      <c r="B15" s="2241"/>
      <c r="C15" s="1852" t="s">
        <v>374</v>
      </c>
      <c r="D15" s="1856"/>
      <c r="E15" s="1853">
        <v>260</v>
      </c>
      <c r="F15" s="1854">
        <f t="shared" ref="F15:F18" si="0">G15/E15</f>
        <v>7177.9038461538503</v>
      </c>
      <c r="G15" s="1855">
        <f>6220850/1200*180*2</f>
        <v>1866255</v>
      </c>
      <c r="H15" s="1855"/>
      <c r="I15" s="1855"/>
      <c r="J15" s="1854"/>
      <c r="K15" s="1847"/>
      <c r="M15" s="310">
        <f>E20/60</f>
        <v>0.5</v>
      </c>
    </row>
    <row r="16" spans="1:13" ht="20.149999999999999" customHeight="1">
      <c r="A16" s="1856"/>
      <c r="B16" s="2241"/>
      <c r="C16" s="1852" t="s">
        <v>76</v>
      </c>
      <c r="D16" s="1856"/>
      <c r="E16" s="1853">
        <v>260</v>
      </c>
      <c r="F16" s="1854">
        <f t="shared" si="0"/>
        <v>5782.2003205128203</v>
      </c>
      <c r="G16" s="1855">
        <f>6220850/1200*145*2</f>
        <v>1503372.08333333</v>
      </c>
      <c r="H16" s="1855"/>
      <c r="I16" s="1855"/>
      <c r="J16" s="1854"/>
      <c r="K16" s="1847"/>
      <c r="L16" s="1927"/>
    </row>
    <row r="17" spans="1:12" ht="20.149999999999999" customHeight="1">
      <c r="A17" s="1856"/>
      <c r="B17" s="2241"/>
      <c r="C17" s="1852" t="s">
        <v>77</v>
      </c>
      <c r="D17" s="1856"/>
      <c r="E17" s="1853">
        <v>260</v>
      </c>
      <c r="F17" s="1854">
        <f t="shared" si="0"/>
        <v>3788.3381410256402</v>
      </c>
      <c r="G17" s="1855">
        <f>6220850/1200*95*2</f>
        <v>984967.91666666698</v>
      </c>
      <c r="H17" s="1855"/>
      <c r="I17" s="1855"/>
      <c r="J17" s="1854"/>
      <c r="K17" s="1847"/>
    </row>
    <row r="18" spans="1:12" ht="20.149999999999999" customHeight="1">
      <c r="A18" s="1856"/>
      <c r="B18" s="2241"/>
      <c r="C18" s="1857" t="s">
        <v>78</v>
      </c>
      <c r="D18" s="1856"/>
      <c r="E18" s="1853">
        <v>260</v>
      </c>
      <c r="F18" s="1854">
        <f t="shared" si="0"/>
        <v>4187.1105769230799</v>
      </c>
      <c r="G18" s="1855">
        <f>6220850/1200*105*2</f>
        <v>1088648.75</v>
      </c>
      <c r="H18" s="1855"/>
      <c r="I18" s="1855"/>
      <c r="J18" s="1854"/>
      <c r="K18" s="1847"/>
    </row>
    <row r="19" spans="1:12" ht="20.149999999999999" customHeight="1">
      <c r="A19" s="1856"/>
      <c r="B19" s="2241"/>
      <c r="C19" s="1852"/>
      <c r="D19" s="1856"/>
      <c r="E19" s="1853"/>
      <c r="F19" s="1854"/>
      <c r="G19" s="1858"/>
      <c r="H19" s="1855"/>
      <c r="I19" s="1855"/>
      <c r="J19" s="1854"/>
      <c r="K19" s="1928"/>
    </row>
    <row r="20" spans="1:12" ht="20.149999999999999" customHeight="1">
      <c r="A20" s="1859">
        <v>46035</v>
      </c>
      <c r="B20" s="2241"/>
      <c r="C20" s="1852" t="s">
        <v>89</v>
      </c>
      <c r="D20" s="1856"/>
      <c r="E20" s="1853">
        <v>30</v>
      </c>
      <c r="F20" s="1854">
        <f>G20/E20</f>
        <v>34000</v>
      </c>
      <c r="G20" s="1858">
        <v>1020000</v>
      </c>
      <c r="H20" s="1855"/>
      <c r="I20" s="1855"/>
      <c r="J20" s="1854"/>
      <c r="K20" s="1847"/>
    </row>
    <row r="21" spans="1:12" ht="20.149999999999999" customHeight="1">
      <c r="A21" s="1860"/>
      <c r="B21" s="2242"/>
      <c r="C21" s="1861"/>
      <c r="D21" s="1862"/>
      <c r="E21" s="1861"/>
      <c r="F21" s="1863"/>
      <c r="G21" s="1864">
        <f>SUM(G14:G20)</f>
        <v>7240850</v>
      </c>
      <c r="H21" s="1855"/>
      <c r="I21" s="1855"/>
      <c r="J21" s="1854"/>
      <c r="K21" s="1929"/>
      <c r="L21" s="1930">
        <f>G14*11%</f>
        <v>85536.6875</v>
      </c>
    </row>
    <row r="22" spans="1:12" ht="20.149999999999999" customHeight="1">
      <c r="A22" s="2237">
        <v>46034</v>
      </c>
      <c r="B22" s="2241" t="s">
        <v>375</v>
      </c>
      <c r="C22" s="1852" t="s">
        <v>376</v>
      </c>
      <c r="D22" s="1865"/>
      <c r="E22" s="1866">
        <v>120</v>
      </c>
      <c r="F22" s="1867">
        <f>G22/E22</f>
        <v>1666.6666666666699</v>
      </c>
      <c r="G22" s="1868">
        <v>200000</v>
      </c>
      <c r="H22" s="1855"/>
      <c r="I22" s="1855"/>
      <c r="J22" s="1854"/>
      <c r="K22" s="1847"/>
    </row>
    <row r="23" spans="1:12" ht="20.149999999999999" customHeight="1">
      <c r="A23" s="2237"/>
      <c r="B23" s="2241"/>
      <c r="C23" s="1869" t="s">
        <v>377</v>
      </c>
      <c r="D23" s="1865"/>
      <c r="E23" s="1870">
        <v>240</v>
      </c>
      <c r="F23" s="1867">
        <f t="shared" ref="F23:F39" si="1">G23/E23</f>
        <v>1583.9708333333299</v>
      </c>
      <c r="G23" s="1871">
        <v>380153</v>
      </c>
      <c r="H23" s="1855"/>
      <c r="I23" s="1855"/>
      <c r="J23" s="1854"/>
      <c r="K23" s="1847"/>
    </row>
    <row r="24" spans="1:12" ht="20.149999999999999" customHeight="1">
      <c r="A24" s="2237"/>
      <c r="B24" s="2241"/>
      <c r="C24" s="1869" t="s">
        <v>378</v>
      </c>
      <c r="D24" s="1865"/>
      <c r="E24" s="1870">
        <v>48</v>
      </c>
      <c r="F24" s="1867">
        <f t="shared" si="1"/>
        <v>2166.6666666666702</v>
      </c>
      <c r="G24" s="1871">
        <v>104000</v>
      </c>
      <c r="H24" s="1855"/>
      <c r="I24" s="1855"/>
      <c r="J24" s="1854"/>
      <c r="K24" s="1847"/>
    </row>
    <row r="25" spans="1:12" ht="20.149999999999999" customHeight="1">
      <c r="A25" s="2237"/>
      <c r="B25" s="2241"/>
      <c r="C25" s="1869" t="s">
        <v>379</v>
      </c>
      <c r="D25" s="1865"/>
      <c r="E25" s="1870">
        <v>48</v>
      </c>
      <c r="F25" s="1867">
        <f t="shared" si="1"/>
        <v>2500</v>
      </c>
      <c r="G25" s="1871">
        <v>120000</v>
      </c>
      <c r="H25" s="1855"/>
      <c r="I25" s="1855"/>
      <c r="J25" s="1854"/>
      <c r="K25" s="1847"/>
    </row>
    <row r="26" spans="1:12" ht="20.149999999999999" customHeight="1">
      <c r="A26" s="2237"/>
      <c r="B26" s="2241"/>
      <c r="C26" s="1872" t="s">
        <v>380</v>
      </c>
      <c r="D26" s="1873"/>
      <c r="E26" s="1874">
        <v>36</v>
      </c>
      <c r="F26" s="1867">
        <f t="shared" si="1"/>
        <v>7875</v>
      </c>
      <c r="G26" s="1875">
        <v>283500</v>
      </c>
      <c r="H26" s="1855"/>
      <c r="I26" s="1855"/>
      <c r="J26" s="1854"/>
      <c r="K26" s="1847"/>
    </row>
    <row r="27" spans="1:12" ht="20.149999999999999" hidden="1" customHeight="1">
      <c r="A27" s="2237"/>
      <c r="B27" s="2241"/>
      <c r="C27" s="1876"/>
      <c r="D27" s="1856"/>
      <c r="E27" s="1877"/>
      <c r="F27" s="1867" t="e">
        <f t="shared" si="1"/>
        <v>#DIV/0!</v>
      </c>
      <c r="G27" s="1878"/>
      <c r="H27" s="1855"/>
      <c r="I27" s="1855"/>
      <c r="J27" s="1854"/>
      <c r="K27" s="1847"/>
    </row>
    <row r="28" spans="1:12" ht="20.149999999999999" hidden="1" customHeight="1">
      <c r="A28" s="2237"/>
      <c r="B28" s="2241"/>
      <c r="C28" s="1876"/>
      <c r="D28" s="1856"/>
      <c r="E28" s="1877"/>
      <c r="F28" s="1867" t="e">
        <f t="shared" si="1"/>
        <v>#DIV/0!</v>
      </c>
      <c r="G28" s="1878"/>
      <c r="H28" s="1855"/>
      <c r="I28" s="1855"/>
      <c r="J28" s="1854"/>
      <c r="K28" s="1847"/>
    </row>
    <row r="29" spans="1:12" ht="20.149999999999999" hidden="1" customHeight="1">
      <c r="A29" s="2237"/>
      <c r="B29" s="2241"/>
      <c r="C29" s="1876"/>
      <c r="D29" s="1879"/>
      <c r="E29" s="1877"/>
      <c r="F29" s="1867" t="e">
        <f t="shared" si="1"/>
        <v>#DIV/0!</v>
      </c>
      <c r="G29" s="1878"/>
      <c r="H29" s="1855"/>
      <c r="I29" s="1855"/>
      <c r="J29" s="1854"/>
      <c r="K29" s="1847"/>
    </row>
    <row r="30" spans="1:12" ht="20.149999999999999" hidden="1" customHeight="1">
      <c r="A30" s="2237"/>
      <c r="B30" s="2241"/>
      <c r="C30" s="1876"/>
      <c r="D30" s="1879"/>
      <c r="E30" s="1877"/>
      <c r="F30" s="1867" t="e">
        <f t="shared" si="1"/>
        <v>#DIV/0!</v>
      </c>
      <c r="G30" s="1878"/>
      <c r="H30" s="1855"/>
      <c r="I30" s="1855"/>
      <c r="J30" s="1854"/>
      <c r="K30" s="1847"/>
    </row>
    <row r="31" spans="1:12" ht="20.149999999999999" hidden="1" customHeight="1">
      <c r="A31" s="2237"/>
      <c r="B31" s="2241"/>
      <c r="C31" s="1880"/>
      <c r="D31" s="1879"/>
      <c r="E31" s="1881"/>
      <c r="F31" s="1867" t="e">
        <f t="shared" si="1"/>
        <v>#DIV/0!</v>
      </c>
      <c r="G31" s="1882"/>
      <c r="H31" s="1858"/>
      <c r="I31" s="1858"/>
      <c r="J31" s="1931"/>
      <c r="K31" s="1932"/>
    </row>
    <row r="32" spans="1:12" s="1847" customFormat="1" ht="20.149999999999999" hidden="1" customHeight="1">
      <c r="A32" s="2237"/>
      <c r="B32" s="2241"/>
      <c r="C32" s="1853"/>
      <c r="D32" s="1879"/>
      <c r="E32" s="1853"/>
      <c r="F32" s="1867" t="e">
        <f t="shared" si="1"/>
        <v>#DIV/0!</v>
      </c>
      <c r="G32" s="1854"/>
      <c r="H32" s="1854"/>
      <c r="I32" s="1854"/>
      <c r="J32" s="1854"/>
    </row>
    <row r="33" spans="1:13" ht="20.149999999999999" hidden="1" customHeight="1">
      <c r="A33" s="2237"/>
      <c r="B33" s="2241"/>
      <c r="C33" s="1883"/>
      <c r="D33" s="1879"/>
      <c r="E33" s="1884"/>
      <c r="F33" s="1867" t="e">
        <f t="shared" si="1"/>
        <v>#DIV/0!</v>
      </c>
      <c r="G33" s="1885"/>
      <c r="H33" s="1886"/>
      <c r="I33" s="1886"/>
      <c r="J33" s="1933"/>
      <c r="K33" s="1934"/>
    </row>
    <row r="34" spans="1:13" ht="20.149999999999999" hidden="1" customHeight="1">
      <c r="A34" s="2237"/>
      <c r="B34" s="2241"/>
      <c r="C34" s="1887"/>
      <c r="D34" s="1879"/>
      <c r="E34" s="1877"/>
      <c r="F34" s="1867" t="e">
        <f t="shared" si="1"/>
        <v>#DIV/0!</v>
      </c>
      <c r="G34" s="1888"/>
      <c r="H34" s="2225"/>
      <c r="I34" s="2226"/>
      <c r="J34" s="1854"/>
      <c r="K34" s="1847"/>
    </row>
    <row r="35" spans="1:13" ht="20.149999999999999" hidden="1" customHeight="1">
      <c r="A35" s="2237"/>
      <c r="B35" s="2241"/>
      <c r="C35" s="1887"/>
      <c r="D35" s="1879"/>
      <c r="E35" s="1877"/>
      <c r="F35" s="1867" t="e">
        <f t="shared" si="1"/>
        <v>#DIV/0!</v>
      </c>
      <c r="G35" s="1888"/>
      <c r="H35" s="2225"/>
      <c r="I35" s="2226"/>
      <c r="J35" s="1854"/>
      <c r="K35" s="1847"/>
    </row>
    <row r="36" spans="1:13" ht="20.149999999999999" hidden="1" customHeight="1">
      <c r="A36" s="2237"/>
      <c r="B36" s="2241"/>
      <c r="C36" s="1887"/>
      <c r="D36" s="1879"/>
      <c r="E36" s="1877"/>
      <c r="F36" s="1867" t="e">
        <f t="shared" si="1"/>
        <v>#DIV/0!</v>
      </c>
      <c r="G36" s="1888"/>
      <c r="H36" s="2225"/>
      <c r="I36" s="2226"/>
      <c r="J36" s="1854"/>
      <c r="K36" s="1847"/>
    </row>
    <row r="37" spans="1:13" ht="20.149999999999999" hidden="1" customHeight="1">
      <c r="A37" s="2237"/>
      <c r="B37" s="2241"/>
      <c r="C37" s="1887"/>
      <c r="D37" s="1879"/>
      <c r="E37" s="1877"/>
      <c r="F37" s="1867" t="e">
        <f t="shared" si="1"/>
        <v>#DIV/0!</v>
      </c>
      <c r="G37" s="1888"/>
      <c r="H37" s="2225"/>
      <c r="I37" s="2226"/>
      <c r="J37" s="1854"/>
      <c r="K37" s="1847"/>
    </row>
    <row r="38" spans="1:13" ht="20.149999999999999" customHeight="1">
      <c r="A38" s="2237"/>
      <c r="B38" s="2241"/>
      <c r="C38" s="1887" t="s">
        <v>381</v>
      </c>
      <c r="D38" s="1879"/>
      <c r="E38" s="1877">
        <v>12</v>
      </c>
      <c r="F38" s="1867">
        <f t="shared" si="1"/>
        <v>3500</v>
      </c>
      <c r="G38" s="1888">
        <v>42000</v>
      </c>
      <c r="H38" s="1855"/>
      <c r="I38" s="1853"/>
      <c r="J38" s="1854"/>
      <c r="K38" s="1847"/>
    </row>
    <row r="39" spans="1:13" ht="20.149999999999999" customHeight="1">
      <c r="A39" s="2237"/>
      <c r="B39" s="2241"/>
      <c r="C39" s="1887" t="s">
        <v>153</v>
      </c>
      <c r="D39" s="1879"/>
      <c r="E39" s="1877">
        <v>12</v>
      </c>
      <c r="F39" s="1867">
        <f t="shared" si="1"/>
        <v>3500</v>
      </c>
      <c r="G39" s="1888">
        <v>42000</v>
      </c>
      <c r="H39" s="2225"/>
      <c r="I39" s="2226"/>
      <c r="J39" s="1854"/>
      <c r="K39" s="1847"/>
    </row>
    <row r="40" spans="1:13" ht="20.149999999999999" customHeight="1">
      <c r="A40" s="1889"/>
      <c r="B40" s="1890"/>
      <c r="C40" s="1891"/>
      <c r="D40" s="1890"/>
      <c r="E40" s="1892"/>
      <c r="F40" s="1893"/>
      <c r="G40" s="1894">
        <f>SUM(G22:G39)</f>
        <v>1171653</v>
      </c>
      <c r="H40" s="2225"/>
      <c r="I40" s="2226"/>
      <c r="J40" s="1854"/>
      <c r="K40" s="1847"/>
    </row>
    <row r="41" spans="1:13" ht="20.149999999999999" customHeight="1">
      <c r="A41" s="1895"/>
      <c r="B41" s="1879" t="s">
        <v>382</v>
      </c>
      <c r="C41" s="1887" t="s">
        <v>383</v>
      </c>
      <c r="D41" s="1879"/>
      <c r="E41" s="1896">
        <f>L14+M15</f>
        <v>3.3260869565217401</v>
      </c>
      <c r="F41" s="1897">
        <f>'WEEKLY FC'!E324</f>
        <v>82362</v>
      </c>
      <c r="G41" s="1888">
        <f>F41*E41</f>
        <v>273943.17391304398</v>
      </c>
      <c r="H41" s="2225"/>
      <c r="I41" s="2226"/>
      <c r="J41" s="1854"/>
      <c r="K41" s="1847"/>
    </row>
    <row r="42" spans="1:13" ht="20.149999999999999" customHeight="1">
      <c r="A42" s="1889"/>
      <c r="B42" s="1890"/>
      <c r="C42" s="1898"/>
      <c r="D42" s="1890"/>
      <c r="E42" s="1899"/>
      <c r="F42" s="1900"/>
      <c r="G42" s="1901">
        <f>G41</f>
        <v>273943.17391304398</v>
      </c>
      <c r="H42" s="2225"/>
      <c r="I42" s="2226"/>
      <c r="J42" s="1854"/>
      <c r="K42" s="1847"/>
      <c r="L42" s="1927"/>
    </row>
    <row r="43" spans="1:13" ht="20.149999999999999" customHeight="1">
      <c r="A43" s="2239"/>
      <c r="B43" s="2240"/>
      <c r="C43" s="1902"/>
      <c r="D43" s="2240"/>
      <c r="E43" s="1903"/>
      <c r="F43" s="1904"/>
      <c r="G43" s="1904"/>
      <c r="H43" s="2225"/>
      <c r="I43" s="2226"/>
      <c r="J43" s="1854"/>
      <c r="K43" s="1847"/>
    </row>
    <row r="44" spans="1:13" ht="20.149999999999999" customHeight="1">
      <c r="A44" s="2237"/>
      <c r="B44" s="2241"/>
      <c r="C44" s="1905"/>
      <c r="D44" s="2241"/>
      <c r="E44" s="1906"/>
      <c r="F44" s="1904"/>
      <c r="G44" s="1885"/>
      <c r="H44" s="2225"/>
      <c r="I44" s="2226"/>
      <c r="J44" s="1854"/>
      <c r="K44" s="1847"/>
      <c r="L44" s="310">
        <f>M44/486</f>
        <v>0.90123456790123502</v>
      </c>
      <c r="M44" s="310" cm="1">
        <f t="array" ref="M44">SUM(E20:E24+E33:E37)</f>
        <v>438</v>
      </c>
    </row>
    <row r="45" spans="1:13" ht="19" hidden="1" customHeight="1">
      <c r="A45" s="1895"/>
      <c r="B45" s="2241"/>
      <c r="C45" s="1905"/>
      <c r="D45" s="1879"/>
      <c r="E45" s="1907"/>
      <c r="F45" s="1904"/>
      <c r="G45" s="1904"/>
      <c r="H45" s="1855"/>
      <c r="I45" s="1853"/>
      <c r="J45" s="1854"/>
      <c r="K45" s="1847"/>
    </row>
    <row r="46" spans="1:13" ht="20.149999999999999" hidden="1" customHeight="1">
      <c r="A46" s="1895"/>
      <c r="B46" s="2241"/>
      <c r="C46" s="1905"/>
      <c r="D46" s="1879"/>
      <c r="E46" s="1908"/>
      <c r="F46" s="1904"/>
      <c r="G46" s="1909"/>
      <c r="H46" s="1855"/>
      <c r="I46" s="1853"/>
      <c r="J46" s="1854"/>
      <c r="K46" s="1847"/>
    </row>
    <row r="47" spans="1:13" ht="20.149999999999999" hidden="1" customHeight="1">
      <c r="A47" s="1895"/>
      <c r="B47" s="2241"/>
      <c r="C47" s="1905"/>
      <c r="D47" s="1879"/>
      <c r="E47" s="1910"/>
      <c r="F47" s="1904"/>
      <c r="G47" s="1911"/>
      <c r="H47" s="1855"/>
      <c r="I47" s="1853"/>
      <c r="J47" s="1854"/>
      <c r="K47" s="1847"/>
    </row>
    <row r="48" spans="1:13" ht="20.149999999999999" hidden="1" customHeight="1">
      <c r="A48" s="1895"/>
      <c r="B48" s="2241"/>
      <c r="C48" s="1902"/>
      <c r="D48" s="1905"/>
      <c r="E48" s="1912"/>
      <c r="F48" s="1904"/>
      <c r="G48" s="1913"/>
      <c r="H48" s="2225"/>
      <c r="I48" s="2226"/>
      <c r="J48" s="1854"/>
      <c r="K48" s="1847"/>
      <c r="L48" s="310">
        <f>M48/414</f>
        <v>2.8260869565217401</v>
      </c>
      <c r="M48" s="310" cm="1">
        <f t="array" ref="M48">SUM(E14:E18+E27:E31)</f>
        <v>1170</v>
      </c>
    </row>
    <row r="49" spans="1:14" ht="20.149999999999999" customHeight="1">
      <c r="A49" s="1889"/>
      <c r="B49" s="1890"/>
      <c r="C49" s="1914"/>
      <c r="D49" s="1898"/>
      <c r="E49" s="1899"/>
      <c r="F49" s="1893"/>
      <c r="G49" s="1901">
        <f>G43</f>
        <v>0</v>
      </c>
      <c r="H49" s="2225"/>
      <c r="I49" s="2226"/>
      <c r="J49" s="1854"/>
      <c r="K49" s="1847"/>
      <c r="L49" s="310">
        <f>30/60</f>
        <v>0.5</v>
      </c>
    </row>
    <row r="50" spans="1:14" ht="20.149999999999999" customHeight="1">
      <c r="A50" s="1895">
        <v>46033</v>
      </c>
      <c r="B50" s="1879" t="s">
        <v>384</v>
      </c>
      <c r="C50" s="1887" t="s">
        <v>96</v>
      </c>
      <c r="D50" s="1879"/>
      <c r="E50" s="1912">
        <v>100</v>
      </c>
      <c r="F50" s="1897">
        <v>14000</v>
      </c>
      <c r="G50" s="1913">
        <v>1400000</v>
      </c>
      <c r="H50" s="1854"/>
      <c r="I50" s="1854"/>
      <c r="J50" s="1854"/>
      <c r="K50" s="1935"/>
    </row>
    <row r="51" spans="1:14" ht="20.149999999999999" customHeight="1">
      <c r="A51" s="1889"/>
      <c r="B51" s="1890"/>
      <c r="C51" s="1891"/>
      <c r="D51" s="1890"/>
      <c r="E51" s="1899"/>
      <c r="F51" s="1893"/>
      <c r="G51" s="1901">
        <f>G50</f>
        <v>1400000</v>
      </c>
      <c r="H51" s="1854"/>
      <c r="I51" s="1854"/>
      <c r="J51" s="1933"/>
      <c r="K51" s="1936"/>
    </row>
    <row r="52" spans="1:14" ht="20.149999999999999" customHeight="1">
      <c r="A52" s="1895"/>
      <c r="B52" s="1879"/>
      <c r="C52" s="1887"/>
      <c r="D52" s="1879"/>
      <c r="E52" s="1912"/>
      <c r="F52" s="1897"/>
      <c r="G52" s="1913"/>
      <c r="H52" s="1854"/>
      <c r="I52" s="1854"/>
      <c r="J52" s="1854"/>
      <c r="K52" s="1936"/>
    </row>
    <row r="53" spans="1:14" ht="20.149999999999999" customHeight="1">
      <c r="A53" s="1889"/>
      <c r="B53" s="1890"/>
      <c r="C53" s="1891"/>
      <c r="D53" s="1890"/>
      <c r="E53" s="1899"/>
      <c r="F53" s="1893"/>
      <c r="G53" s="1901">
        <f>G52</f>
        <v>0</v>
      </c>
      <c r="H53" s="1854"/>
      <c r="I53" s="1854"/>
      <c r="J53" s="1854"/>
      <c r="K53" s="1936"/>
    </row>
    <row r="54" spans="1:14" ht="20.149999999999999" customHeight="1">
      <c r="A54" s="1895"/>
      <c r="B54" s="2241" t="s">
        <v>385</v>
      </c>
      <c r="C54" s="1887" t="s">
        <v>386</v>
      </c>
      <c r="D54" s="2241"/>
      <c r="E54" s="1912">
        <v>2500</v>
      </c>
      <c r="F54" s="1897">
        <f>G54/E54</f>
        <v>200.9076</v>
      </c>
      <c r="G54" s="1913">
        <v>502269</v>
      </c>
      <c r="H54" s="1854"/>
      <c r="I54" s="1854"/>
      <c r="J54" s="1854"/>
      <c r="K54" s="1936"/>
      <c r="L54" s="1930">
        <f>G26+G40+G49+G51+G53+G54+G59+G60+G61</f>
        <v>3357422</v>
      </c>
    </row>
    <row r="55" spans="1:14" ht="20.149999999999999" customHeight="1">
      <c r="A55" s="1895">
        <v>46035</v>
      </c>
      <c r="B55" s="2241"/>
      <c r="C55" s="1887" t="s">
        <v>387</v>
      </c>
      <c r="D55" s="2241"/>
      <c r="E55" s="1912">
        <v>2500</v>
      </c>
      <c r="F55" s="1897">
        <f>G55/E55</f>
        <v>206.00200000000001</v>
      </c>
      <c r="G55" s="1913">
        <v>515005</v>
      </c>
      <c r="H55" s="1854"/>
      <c r="I55" s="1854"/>
      <c r="J55" s="1854"/>
      <c r="K55" s="1936"/>
      <c r="L55" s="1930"/>
    </row>
    <row r="56" spans="1:14" ht="20.149999999999999" customHeight="1">
      <c r="A56" s="1895"/>
      <c r="B56" s="2241"/>
      <c r="C56" s="1887" t="s">
        <v>388</v>
      </c>
      <c r="D56" s="2241"/>
      <c r="E56" s="1912">
        <v>3</v>
      </c>
      <c r="F56" s="1897">
        <f>G56/E56</f>
        <v>64854</v>
      </c>
      <c r="G56" s="1913">
        <v>194562</v>
      </c>
      <c r="H56" s="1854"/>
      <c r="I56" s="1854"/>
      <c r="J56" s="1854"/>
      <c r="K56" s="1936"/>
      <c r="L56" s="1930"/>
    </row>
    <row r="57" spans="1:14" ht="20.149999999999999" hidden="1" customHeight="1">
      <c r="A57" s="1895"/>
      <c r="B57" s="2241"/>
      <c r="C57" s="1887"/>
      <c r="D57" s="2241"/>
      <c r="E57" s="1912"/>
      <c r="F57" s="1897" t="e">
        <f t="shared" ref="F57:F61" si="2">G57/E57</f>
        <v>#DIV/0!</v>
      </c>
      <c r="G57" s="1913"/>
      <c r="H57" s="1854"/>
      <c r="I57" s="1854"/>
      <c r="J57" s="1854"/>
      <c r="K57" s="1936"/>
      <c r="L57" s="1930"/>
      <c r="N57" s="310" t="s">
        <v>60</v>
      </c>
    </row>
    <row r="58" spans="1:14" ht="20.149999999999999" hidden="1" customHeight="1">
      <c r="A58" s="1895"/>
      <c r="B58" s="2241"/>
      <c r="C58" s="1887"/>
      <c r="D58" s="2241"/>
      <c r="E58" s="1912"/>
      <c r="F58" s="1897" t="e">
        <f t="shared" si="2"/>
        <v>#DIV/0!</v>
      </c>
      <c r="G58" s="1913"/>
      <c r="H58" s="1854"/>
      <c r="I58" s="1854"/>
      <c r="J58" s="1854"/>
      <c r="K58" s="1936"/>
    </row>
    <row r="59" spans="1:14" ht="20.149999999999999" hidden="1" customHeight="1">
      <c r="A59" s="2237"/>
      <c r="B59" s="2241"/>
      <c r="C59" s="1887"/>
      <c r="D59" s="1879"/>
      <c r="E59" s="1915"/>
      <c r="F59" s="1897" t="e">
        <f t="shared" si="2"/>
        <v>#DIV/0!</v>
      </c>
      <c r="G59" s="1913"/>
      <c r="H59" s="1854"/>
      <c r="I59" s="1854"/>
      <c r="J59" s="1854"/>
      <c r="K59" s="1936"/>
    </row>
    <row r="60" spans="1:14" ht="20.149999999999999" hidden="1" customHeight="1">
      <c r="A60" s="2237"/>
      <c r="B60" s="2241"/>
      <c r="C60" s="1902"/>
      <c r="D60" s="1879"/>
      <c r="E60" s="1915"/>
      <c r="F60" s="1897" t="e">
        <f t="shared" si="2"/>
        <v>#DIV/0!</v>
      </c>
      <c r="G60" s="1913"/>
      <c r="H60" s="1854"/>
      <c r="I60" s="1854"/>
      <c r="J60" s="1854"/>
      <c r="K60" s="1936"/>
    </row>
    <row r="61" spans="1:14" ht="20.149999999999999" hidden="1" customHeight="1">
      <c r="A61" s="2238"/>
      <c r="B61" s="2243"/>
      <c r="C61" s="1902"/>
      <c r="D61" s="1879"/>
      <c r="E61" s="1915"/>
      <c r="F61" s="1897" t="e">
        <f t="shared" si="2"/>
        <v>#DIV/0!</v>
      </c>
      <c r="G61" s="1913"/>
      <c r="H61" s="1854"/>
      <c r="I61" s="1854"/>
      <c r="J61" s="1854"/>
      <c r="K61" s="1936"/>
    </row>
    <row r="62" spans="1:14" ht="20.149999999999999" customHeight="1">
      <c r="A62" s="1916"/>
      <c r="B62" s="1917"/>
      <c r="C62" s="1898"/>
      <c r="D62" s="1917"/>
      <c r="E62" s="1918"/>
      <c r="F62" s="1893"/>
      <c r="G62" s="1901">
        <f>SUM(G54:G56)</f>
        <v>1211836</v>
      </c>
      <c r="H62" s="1854"/>
      <c r="I62" s="1854"/>
      <c r="J62" s="1854"/>
      <c r="K62" s="1936"/>
    </row>
    <row r="63" spans="1:14" ht="20.149999999999999" customHeight="1">
      <c r="A63" s="1919">
        <v>46029</v>
      </c>
      <c r="B63" s="1919" t="s">
        <v>389</v>
      </c>
      <c r="C63" s="1919" t="s">
        <v>390</v>
      </c>
      <c r="D63" s="1919"/>
      <c r="E63" s="1920">
        <v>100</v>
      </c>
      <c r="F63" s="1921">
        <f>G63/E63</f>
        <v>9362.64</v>
      </c>
      <c r="G63" s="1922">
        <v>936264</v>
      </c>
      <c r="H63" s="1854"/>
      <c r="I63" s="1854"/>
      <c r="J63" s="1854"/>
      <c r="K63" s="1936"/>
    </row>
    <row r="64" spans="1:14" ht="20.149999999999999" customHeight="1">
      <c r="A64" s="1916"/>
      <c r="B64" s="1916"/>
      <c r="C64" s="1916"/>
      <c r="D64" s="1916"/>
      <c r="E64" s="1923"/>
      <c r="F64" s="1924"/>
      <c r="G64" s="1925">
        <f>G63</f>
        <v>936264</v>
      </c>
      <c r="H64" s="1854"/>
      <c r="I64" s="1854"/>
      <c r="J64" s="1854"/>
      <c r="K64" s="1936"/>
    </row>
    <row r="65" spans="1:11" ht="20.149999999999999" hidden="1" customHeight="1">
      <c r="A65" s="2239"/>
      <c r="B65" s="2239"/>
      <c r="C65" s="1919"/>
      <c r="D65" s="1937"/>
      <c r="E65" s="1920"/>
      <c r="F65" s="1921"/>
      <c r="G65" s="1938"/>
      <c r="H65" s="1854"/>
      <c r="I65" s="1854"/>
      <c r="J65" s="1854"/>
      <c r="K65" s="1936"/>
    </row>
    <row r="66" spans="1:11" ht="20.149999999999999" hidden="1" customHeight="1">
      <c r="A66" s="2237"/>
      <c r="B66" s="2237"/>
      <c r="C66" s="1919"/>
      <c r="D66" s="1895"/>
      <c r="E66" s="1920"/>
      <c r="F66" s="1921"/>
      <c r="G66" s="1938"/>
      <c r="H66" s="1854"/>
      <c r="I66" s="1854"/>
      <c r="J66" s="1854"/>
      <c r="K66" s="1936"/>
    </row>
    <row r="67" spans="1:11" ht="20.149999999999999" hidden="1" customHeight="1">
      <c r="A67" s="2237"/>
      <c r="B67" s="2237"/>
      <c r="C67" s="1919"/>
      <c r="D67" s="1895"/>
      <c r="E67" s="1920"/>
      <c r="F67" s="1921"/>
      <c r="G67" s="1938"/>
      <c r="H67" s="1854"/>
      <c r="I67" s="1854"/>
      <c r="J67" s="1854"/>
      <c r="K67" s="1936"/>
    </row>
    <row r="68" spans="1:11" ht="20.149999999999999" hidden="1" customHeight="1">
      <c r="A68" s="2237"/>
      <c r="B68" s="2237"/>
      <c r="C68" s="1919"/>
      <c r="D68" s="1895"/>
      <c r="E68" s="1920"/>
      <c r="F68" s="1921"/>
      <c r="G68" s="1938"/>
      <c r="H68" s="1854"/>
      <c r="I68" s="1854"/>
      <c r="J68" s="1854"/>
      <c r="K68" s="1936"/>
    </row>
    <row r="69" spans="1:11" ht="20.149999999999999" hidden="1" customHeight="1">
      <c r="A69" s="2237"/>
      <c r="B69" s="2237"/>
      <c r="C69" s="1919"/>
      <c r="D69" s="1895"/>
      <c r="E69" s="1920"/>
      <c r="F69" s="1921"/>
      <c r="G69" s="1938"/>
      <c r="H69" s="1854"/>
      <c r="I69" s="1854"/>
      <c r="J69" s="1854"/>
      <c r="K69" s="1936"/>
    </row>
    <row r="70" spans="1:11" ht="20.149999999999999" hidden="1" customHeight="1">
      <c r="A70" s="2237"/>
      <c r="B70" s="2237"/>
      <c r="C70" s="1919"/>
      <c r="D70" s="1895"/>
      <c r="E70" s="1920"/>
      <c r="F70" s="1921"/>
      <c r="G70" s="1938"/>
      <c r="H70" s="1854"/>
      <c r="I70" s="1854"/>
      <c r="J70" s="1854"/>
      <c r="K70" s="1936"/>
    </row>
    <row r="71" spans="1:11" ht="20.149999999999999" hidden="1" customHeight="1">
      <c r="A71" s="2237"/>
      <c r="B71" s="2237"/>
      <c r="C71" s="1919"/>
      <c r="D71" s="1895"/>
      <c r="E71" s="1920"/>
      <c r="F71" s="1921"/>
      <c r="G71" s="1938"/>
      <c r="H71" s="1854"/>
      <c r="I71" s="1854"/>
      <c r="J71" s="1854"/>
      <c r="K71" s="1936"/>
    </row>
    <row r="72" spans="1:11" ht="20.149999999999999" hidden="1" customHeight="1">
      <c r="A72" s="2237"/>
      <c r="B72" s="2237"/>
      <c r="C72" s="1919"/>
      <c r="D72" s="1895"/>
      <c r="E72" s="1920"/>
      <c r="F72" s="1921"/>
      <c r="G72" s="1938"/>
      <c r="H72" s="1854"/>
      <c r="I72" s="1854"/>
      <c r="J72" s="1854"/>
      <c r="K72" s="1936"/>
    </row>
    <row r="73" spans="1:11" ht="20.149999999999999" hidden="1" customHeight="1">
      <c r="A73" s="2237"/>
      <c r="B73" s="2237"/>
      <c r="C73" s="1919"/>
      <c r="D73" s="1895"/>
      <c r="E73" s="1920"/>
      <c r="F73" s="1921"/>
      <c r="G73" s="1938"/>
      <c r="H73" s="1854"/>
      <c r="I73" s="1854"/>
      <c r="J73" s="1854"/>
      <c r="K73" s="1936"/>
    </row>
    <row r="74" spans="1:11" ht="20.149999999999999" hidden="1" customHeight="1">
      <c r="A74" s="2237"/>
      <c r="B74" s="2237"/>
      <c r="C74" s="1919"/>
      <c r="D74" s="1895"/>
      <c r="E74" s="1920"/>
      <c r="F74" s="1921"/>
      <c r="G74" s="1938"/>
      <c r="H74" s="1854"/>
      <c r="I74" s="1854"/>
      <c r="J74" s="1854"/>
      <c r="K74" s="1936"/>
    </row>
    <row r="75" spans="1:11" ht="20.149999999999999" hidden="1" customHeight="1">
      <c r="A75" s="2237"/>
      <c r="B75" s="2237"/>
      <c r="C75" s="1919"/>
      <c r="D75" s="1895"/>
      <c r="E75" s="1920"/>
      <c r="F75" s="1921"/>
      <c r="G75" s="1938"/>
      <c r="H75" s="1854"/>
      <c r="I75" s="1854"/>
      <c r="J75" s="1854"/>
      <c r="K75" s="1936"/>
    </row>
    <row r="76" spans="1:11" ht="20.149999999999999" hidden="1" customHeight="1">
      <c r="A76" s="2237"/>
      <c r="B76" s="2237"/>
      <c r="C76" s="1919"/>
      <c r="D76" s="1895"/>
      <c r="E76" s="1920"/>
      <c r="F76" s="1921"/>
      <c r="G76" s="1938"/>
      <c r="H76" s="1854"/>
      <c r="I76" s="1854"/>
      <c r="J76" s="1854"/>
      <c r="K76" s="1936"/>
    </row>
    <row r="77" spans="1:11" ht="20.149999999999999" hidden="1" customHeight="1">
      <c r="A77" s="2237"/>
      <c r="B77" s="2237"/>
      <c r="C77" s="1919"/>
      <c r="D77" s="1895"/>
      <c r="E77" s="1920"/>
      <c r="F77" s="1921"/>
      <c r="G77" s="1938"/>
      <c r="H77" s="1854"/>
      <c r="I77" s="1854"/>
      <c r="J77" s="1854"/>
      <c r="K77" s="1936"/>
    </row>
    <row r="78" spans="1:11" ht="20.149999999999999" hidden="1" customHeight="1">
      <c r="A78" s="2237"/>
      <c r="B78" s="2237"/>
      <c r="C78" s="1919"/>
      <c r="D78" s="1895"/>
      <c r="E78" s="1920"/>
      <c r="F78" s="1921"/>
      <c r="G78" s="1938"/>
      <c r="H78" s="1854"/>
      <c r="I78" s="1854"/>
      <c r="J78" s="1854"/>
      <c r="K78" s="1936"/>
    </row>
    <row r="79" spans="1:11" ht="20.149999999999999" hidden="1" customHeight="1">
      <c r="A79" s="2237"/>
      <c r="B79" s="2237"/>
      <c r="C79" s="1919"/>
      <c r="D79" s="1895"/>
      <c r="E79" s="1920"/>
      <c r="F79" s="1921"/>
      <c r="G79" s="1938"/>
      <c r="H79" s="1854"/>
      <c r="I79" s="1854"/>
      <c r="J79" s="1854"/>
      <c r="K79" s="1936"/>
    </row>
    <row r="80" spans="1:11" ht="20.149999999999999" hidden="1" customHeight="1">
      <c r="A80" s="2237"/>
      <c r="B80" s="2237"/>
      <c r="C80" s="1919"/>
      <c r="D80" s="1895"/>
      <c r="E80" s="1920"/>
      <c r="F80" s="1921"/>
      <c r="G80" s="1938"/>
      <c r="H80" s="1854"/>
      <c r="I80" s="1854"/>
      <c r="J80" s="1854"/>
      <c r="K80" s="1936"/>
    </row>
    <row r="81" spans="1:12" ht="20.149999999999999" hidden="1" customHeight="1">
      <c r="A81" s="2237"/>
      <c r="B81" s="2237"/>
      <c r="C81" s="1919"/>
      <c r="D81" s="1895"/>
      <c r="E81" s="1920"/>
      <c r="F81" s="1921"/>
      <c r="G81" s="1938"/>
      <c r="H81" s="1854"/>
      <c r="I81" s="1854"/>
      <c r="J81" s="1854"/>
      <c r="K81" s="1936"/>
    </row>
    <row r="82" spans="1:12" ht="20.149999999999999" hidden="1" customHeight="1">
      <c r="A82" s="2237"/>
      <c r="B82" s="2237"/>
      <c r="C82" s="1919"/>
      <c r="D82" s="1895"/>
      <c r="E82" s="1920"/>
      <c r="F82" s="1921"/>
      <c r="G82" s="1938"/>
      <c r="H82" s="1854"/>
      <c r="I82" s="1854"/>
      <c r="J82" s="1854"/>
      <c r="K82" s="1936"/>
    </row>
    <row r="83" spans="1:12" ht="20.149999999999999" hidden="1" customHeight="1">
      <c r="A83" s="2237"/>
      <c r="B83" s="2237"/>
      <c r="C83" s="1919"/>
      <c r="D83" s="1895"/>
      <c r="E83" s="1920"/>
      <c r="F83" s="1921"/>
      <c r="G83" s="1938"/>
      <c r="H83" s="1854"/>
      <c r="I83" s="1854"/>
      <c r="J83" s="1854"/>
      <c r="K83" s="1936"/>
    </row>
    <row r="84" spans="1:12" ht="20.149999999999999" hidden="1" customHeight="1">
      <c r="A84" s="2237"/>
      <c r="B84" s="2237"/>
      <c r="C84" s="1919"/>
      <c r="D84" s="1895"/>
      <c r="E84" s="1920"/>
      <c r="F84" s="1921"/>
      <c r="G84" s="1938"/>
      <c r="H84" s="1854"/>
      <c r="I84" s="1854"/>
      <c r="J84" s="1854"/>
      <c r="K84" s="1936"/>
    </row>
    <row r="85" spans="1:12" ht="20.149999999999999" hidden="1" customHeight="1">
      <c r="A85" s="2237"/>
      <c r="B85" s="2237"/>
      <c r="C85" s="1919"/>
      <c r="D85" s="1895"/>
      <c r="E85" s="1920"/>
      <c r="F85" s="1921"/>
      <c r="G85" s="1938"/>
      <c r="H85" s="1854"/>
      <c r="I85" s="1854"/>
      <c r="J85" s="1854"/>
      <c r="K85" s="1936"/>
    </row>
    <row r="86" spans="1:12" ht="20.149999999999999" hidden="1" customHeight="1">
      <c r="A86" s="2237"/>
      <c r="B86" s="2237"/>
      <c r="C86" s="1919"/>
      <c r="D86" s="1895"/>
      <c r="E86" s="1920"/>
      <c r="F86" s="1921"/>
      <c r="G86" s="1938"/>
      <c r="H86" s="1854"/>
      <c r="I86" s="1854"/>
      <c r="J86" s="1854"/>
      <c r="K86" s="1936"/>
    </row>
    <row r="87" spans="1:12" ht="20.149999999999999" hidden="1" customHeight="1">
      <c r="A87" s="2237"/>
      <c r="B87" s="2237"/>
      <c r="C87" s="1919"/>
      <c r="D87" s="1895"/>
      <c r="E87" s="1920"/>
      <c r="F87" s="1921"/>
      <c r="G87" s="1938"/>
      <c r="H87" s="1854"/>
      <c r="I87" s="1854"/>
      <c r="J87" s="1854"/>
      <c r="K87" s="1936"/>
    </row>
    <row r="88" spans="1:12" ht="20.149999999999999" hidden="1" customHeight="1">
      <c r="A88" s="2237"/>
      <c r="B88" s="2237"/>
      <c r="C88" s="1919"/>
      <c r="D88" s="1895"/>
      <c r="E88" s="1920"/>
      <c r="F88" s="1921"/>
      <c r="G88" s="1938"/>
      <c r="H88" s="1854"/>
      <c r="I88" s="1854"/>
      <c r="J88" s="1854"/>
      <c r="K88" s="1936"/>
    </row>
    <row r="89" spans="1:12" ht="20.149999999999999" hidden="1" customHeight="1">
      <c r="A89" s="2237"/>
      <c r="B89" s="2237"/>
      <c r="C89" s="1919"/>
      <c r="D89" s="1895"/>
      <c r="E89" s="1920"/>
      <c r="F89" s="1921"/>
      <c r="G89" s="1938"/>
      <c r="H89" s="1854"/>
      <c r="I89" s="1854"/>
      <c r="J89" s="1854"/>
      <c r="K89" s="1936"/>
      <c r="L89" s="1930">
        <f>H92+H91+H90+H61+H44+G48+G39</f>
        <v>42000</v>
      </c>
    </row>
    <row r="90" spans="1:12" ht="20.149999999999999" hidden="1" customHeight="1">
      <c r="A90" s="2237"/>
      <c r="B90" s="2237"/>
      <c r="C90" s="1919"/>
      <c r="D90" s="1895"/>
      <c r="E90" s="1920"/>
      <c r="F90" s="1921"/>
      <c r="G90" s="1938"/>
      <c r="H90" s="1854"/>
      <c r="I90" s="1854"/>
      <c r="J90" s="1854"/>
      <c r="K90" s="1936"/>
    </row>
    <row r="91" spans="1:12" ht="20.149999999999999" hidden="1" customHeight="1">
      <c r="A91" s="2237"/>
      <c r="B91" s="2237"/>
      <c r="C91" s="1919"/>
      <c r="D91" s="1895"/>
      <c r="E91" s="1920"/>
      <c r="F91" s="1921"/>
      <c r="G91" s="1938"/>
      <c r="H91" s="1854"/>
      <c r="I91" s="1854"/>
      <c r="J91" s="1854"/>
      <c r="K91" s="1936"/>
      <c r="L91" s="310">
        <f>(E33+E49)/46</f>
        <v>0</v>
      </c>
    </row>
    <row r="92" spans="1:12" ht="20.149999999999999" hidden="1" customHeight="1">
      <c r="A92" s="2237"/>
      <c r="B92" s="2237"/>
      <c r="C92" s="1919"/>
      <c r="D92" s="1895"/>
      <c r="E92" s="1920"/>
      <c r="F92" s="1921"/>
      <c r="G92" s="1938"/>
      <c r="H92" s="1854"/>
      <c r="I92" s="1854"/>
      <c r="J92" s="1854"/>
      <c r="K92" s="1936"/>
      <c r="L92" s="310">
        <f>(E40+E41+E42+E43+E44+E58+E59+E60+E61+E62)/486</f>
        <v>6.8438003220611899E-3</v>
      </c>
    </row>
    <row r="93" spans="1:12" ht="20.149999999999999" hidden="1" customHeight="1">
      <c r="A93" s="2237"/>
      <c r="B93" s="2237"/>
      <c r="C93" s="1919"/>
      <c r="D93" s="1895"/>
      <c r="E93" s="1920"/>
      <c r="F93" s="1921"/>
      <c r="G93" s="1938"/>
      <c r="H93" s="1854"/>
      <c r="I93" s="1854"/>
      <c r="J93" s="1854"/>
      <c r="K93" s="1936"/>
      <c r="L93" s="310">
        <f>(E48+E63)/60</f>
        <v>1.6666666666666701</v>
      </c>
    </row>
    <row r="94" spans="1:12" ht="20.149999999999999" hidden="1" customHeight="1">
      <c r="A94" s="2237"/>
      <c r="B94" s="2237"/>
      <c r="C94" s="1919"/>
      <c r="D94" s="1895"/>
      <c r="E94" s="1920"/>
      <c r="F94" s="1921"/>
      <c r="G94" s="1938"/>
      <c r="H94" s="1854"/>
      <c r="I94" s="1854"/>
      <c r="J94" s="1854"/>
      <c r="K94" s="1936"/>
    </row>
    <row r="95" spans="1:12" ht="20.149999999999999" hidden="1" customHeight="1">
      <c r="A95" s="2237"/>
      <c r="B95" s="2237"/>
      <c r="C95" s="1919"/>
      <c r="D95" s="1895"/>
      <c r="E95" s="1920"/>
      <c r="F95" s="1921"/>
      <c r="G95" s="1938"/>
      <c r="H95" s="1854"/>
      <c r="I95" s="1854"/>
      <c r="J95" s="1854"/>
      <c r="K95" s="1936"/>
    </row>
    <row r="96" spans="1:12" ht="20.149999999999999" hidden="1" customHeight="1">
      <c r="A96" s="2237"/>
      <c r="B96" s="2237"/>
      <c r="C96" s="1907"/>
      <c r="D96" s="1895"/>
      <c r="E96" s="1903"/>
      <c r="F96" s="1921"/>
      <c r="G96" s="1938"/>
      <c r="H96" s="1854"/>
      <c r="I96" s="1854"/>
      <c r="J96" s="1854"/>
      <c r="K96" s="1936"/>
    </row>
    <row r="97" spans="1:11" ht="20.149999999999999" hidden="1" customHeight="1">
      <c r="A97" s="2237"/>
      <c r="B97" s="2237"/>
      <c r="C97" s="1907"/>
      <c r="D97" s="1895"/>
      <c r="E97" s="1903"/>
      <c r="F97" s="1921"/>
      <c r="G97" s="1938"/>
      <c r="H97" s="1854"/>
      <c r="I97" s="1854"/>
      <c r="J97" s="1854"/>
      <c r="K97" s="1936"/>
    </row>
    <row r="98" spans="1:11" ht="20.149999999999999" hidden="1" customHeight="1">
      <c r="A98" s="2237"/>
      <c r="B98" s="2237"/>
      <c r="C98" s="1907"/>
      <c r="D98" s="1895"/>
      <c r="E98" s="1903"/>
      <c r="F98" s="1921"/>
      <c r="G98" s="1938"/>
      <c r="H98" s="1854"/>
      <c r="I98" s="1854"/>
      <c r="J98" s="1854"/>
      <c r="K98" s="1936"/>
    </row>
    <row r="99" spans="1:11" ht="20.149999999999999" hidden="1" customHeight="1">
      <c r="A99" s="2237"/>
      <c r="B99" s="2237"/>
      <c r="C99" s="1907"/>
      <c r="D99" s="1895"/>
      <c r="E99" s="1903"/>
      <c r="F99" s="1921"/>
      <c r="G99" s="1938"/>
      <c r="H99" s="1854"/>
      <c r="I99" s="1854"/>
      <c r="J99" s="1854"/>
      <c r="K99" s="1936"/>
    </row>
    <row r="100" spans="1:11" ht="20.149999999999999" hidden="1" customHeight="1">
      <c r="A100" s="2237"/>
      <c r="B100" s="2237"/>
      <c r="C100" s="1907"/>
      <c r="D100" s="1895"/>
      <c r="E100" s="1903"/>
      <c r="F100" s="1921"/>
      <c r="G100" s="1938"/>
      <c r="H100" s="1854"/>
      <c r="I100" s="1854"/>
      <c r="J100" s="1854"/>
      <c r="K100" s="1936"/>
    </row>
    <row r="101" spans="1:11" ht="20.149999999999999" hidden="1" customHeight="1">
      <c r="A101" s="2237"/>
      <c r="B101" s="2237"/>
      <c r="C101" s="1907"/>
      <c r="D101" s="1895"/>
      <c r="E101" s="1903"/>
      <c r="F101" s="1921"/>
      <c r="G101" s="1938"/>
      <c r="H101" s="1854"/>
      <c r="I101" s="1854"/>
      <c r="J101" s="1854"/>
      <c r="K101" s="1936"/>
    </row>
    <row r="102" spans="1:11" ht="20.149999999999999" hidden="1" customHeight="1">
      <c r="A102" s="2237"/>
      <c r="B102" s="2237"/>
      <c r="C102" s="1907"/>
      <c r="D102" s="1895"/>
      <c r="E102" s="1903"/>
      <c r="F102" s="1921"/>
      <c r="G102" s="1938"/>
      <c r="H102" s="1854"/>
      <c r="I102" s="1854"/>
      <c r="J102" s="1854"/>
      <c r="K102" s="1936"/>
    </row>
    <row r="103" spans="1:11" ht="20.149999999999999" hidden="1" customHeight="1">
      <c r="A103" s="2237"/>
      <c r="B103" s="2237"/>
      <c r="C103" s="1907"/>
      <c r="D103" s="1895"/>
      <c r="E103" s="1903"/>
      <c r="F103" s="1921"/>
      <c r="G103" s="1938"/>
      <c r="H103" s="1854"/>
      <c r="I103" s="1854"/>
      <c r="J103" s="1854"/>
      <c r="K103" s="1936"/>
    </row>
    <row r="104" spans="1:11" ht="20.149999999999999" hidden="1" customHeight="1">
      <c r="A104" s="2237"/>
      <c r="B104" s="2237"/>
      <c r="C104" s="1907"/>
      <c r="D104" s="1895"/>
      <c r="E104" s="1903"/>
      <c r="F104" s="1921"/>
      <c r="G104" s="1938"/>
      <c r="H104" s="1854"/>
      <c r="I104" s="1854"/>
      <c r="J104" s="1854"/>
      <c r="K104" s="1936"/>
    </row>
    <row r="105" spans="1:11" ht="20.149999999999999" hidden="1" customHeight="1">
      <c r="A105" s="2237"/>
      <c r="B105" s="2237"/>
      <c r="C105" s="1907"/>
      <c r="D105" s="1895"/>
      <c r="E105" s="1903"/>
      <c r="F105" s="1921"/>
      <c r="G105" s="1938"/>
      <c r="H105" s="1854"/>
      <c r="I105" s="1854"/>
      <c r="J105" s="1854"/>
      <c r="K105" s="1936"/>
    </row>
    <row r="106" spans="1:11" ht="20.149999999999999" hidden="1" customHeight="1">
      <c r="A106" s="2237"/>
      <c r="B106" s="2237"/>
      <c r="C106" s="1907"/>
      <c r="D106" s="1895"/>
      <c r="E106" s="1903"/>
      <c r="F106" s="1921"/>
      <c r="G106" s="1938"/>
      <c r="H106" s="1854"/>
      <c r="I106" s="1854"/>
      <c r="J106" s="1854"/>
      <c r="K106" s="1936"/>
    </row>
    <row r="107" spans="1:11" ht="20.149999999999999" hidden="1" customHeight="1">
      <c r="A107" s="2237"/>
      <c r="B107" s="2237"/>
      <c r="C107" s="1907"/>
      <c r="D107" s="1895"/>
      <c r="E107" s="1903"/>
      <c r="F107" s="1921"/>
      <c r="G107" s="1938"/>
      <c r="H107" s="1855"/>
      <c r="I107" s="1853"/>
      <c r="J107" s="1854"/>
      <c r="K107" s="1936"/>
    </row>
    <row r="108" spans="1:11" ht="20.149999999999999" hidden="1" customHeight="1">
      <c r="A108" s="2237"/>
      <c r="B108" s="2237"/>
      <c r="C108" s="1907"/>
      <c r="D108" s="1895"/>
      <c r="E108" s="1903"/>
      <c r="F108" s="1921"/>
      <c r="G108" s="1904"/>
      <c r="H108" s="1907"/>
      <c r="I108" s="1907"/>
      <c r="J108" s="1946"/>
      <c r="K108" s="1068"/>
    </row>
    <row r="109" spans="1:11" ht="20.149999999999999" hidden="1" customHeight="1">
      <c r="A109" s="2237"/>
      <c r="B109" s="2237"/>
      <c r="C109" s="1907"/>
      <c r="D109" s="1895"/>
      <c r="E109" s="1903"/>
      <c r="F109" s="1921"/>
      <c r="G109" s="1904"/>
      <c r="H109" s="1907"/>
      <c r="I109" s="1907"/>
      <c r="J109" s="1946"/>
      <c r="K109" s="1068"/>
    </row>
    <row r="110" spans="1:11" ht="20.149999999999999" hidden="1" customHeight="1">
      <c r="A110" s="2237"/>
      <c r="B110" s="2237"/>
      <c r="C110" s="1939"/>
      <c r="D110" s="1895"/>
      <c r="E110" s="1903"/>
      <c r="F110" s="1921"/>
      <c r="G110" s="1904"/>
      <c r="H110" s="1907"/>
      <c r="I110" s="1907"/>
      <c r="J110" s="1946"/>
      <c r="K110" s="1068"/>
    </row>
    <row r="111" spans="1:11" ht="20.149999999999999" hidden="1" customHeight="1">
      <c r="A111" s="2237"/>
      <c r="B111" s="2237"/>
      <c r="C111" s="1939"/>
      <c r="D111" s="1940"/>
      <c r="E111" s="1903"/>
      <c r="F111" s="1921"/>
      <c r="G111" s="1904"/>
      <c r="H111" s="1908"/>
      <c r="I111" s="1908"/>
      <c r="K111" s="1068"/>
    </row>
    <row r="112" spans="1:11" ht="20.149999999999999" hidden="1" customHeight="1">
      <c r="A112" s="2237"/>
      <c r="B112" s="2237"/>
      <c r="C112" s="1939"/>
      <c r="D112" s="1919"/>
      <c r="E112" s="1903"/>
      <c r="F112" s="1921"/>
      <c r="G112" s="1904"/>
      <c r="H112" s="1908"/>
      <c r="I112" s="1908"/>
      <c r="K112" s="1068"/>
    </row>
    <row r="113" spans="1:13" ht="20.149999999999999" hidden="1" customHeight="1">
      <c r="A113" s="2237"/>
      <c r="B113" s="2237"/>
      <c r="C113" s="1910"/>
      <c r="D113" s="1941"/>
      <c r="E113" s="1942"/>
      <c r="F113" s="1921"/>
      <c r="G113" s="1904"/>
      <c r="H113" s="2227"/>
      <c r="I113" s="2228"/>
      <c r="K113" s="1947"/>
      <c r="L113" s="310">
        <f>E48+E63</f>
        <v>100</v>
      </c>
      <c r="M113" s="310">
        <f>L113/60</f>
        <v>1.6666666666666701</v>
      </c>
    </row>
    <row r="114" spans="1:13" ht="20.149999999999999" hidden="1" customHeight="1">
      <c r="A114" s="1943"/>
      <c r="B114" s="1943"/>
      <c r="C114" s="1943"/>
      <c r="D114" s="1943"/>
      <c r="E114" s="1943"/>
      <c r="F114" s="1943"/>
      <c r="G114" s="1944">
        <f>SUM(G65:G113)</f>
        <v>0</v>
      </c>
      <c r="H114" s="1040"/>
      <c r="I114" s="1070"/>
      <c r="K114" s="1948"/>
    </row>
    <row r="115" spans="1:13" ht="20.149999999999999" customHeight="1">
      <c r="A115" s="2229" t="s">
        <v>61</v>
      </c>
      <c r="B115" s="2229"/>
      <c r="C115" s="2229"/>
      <c r="D115" s="2229"/>
      <c r="E115" s="2229"/>
      <c r="F115" s="2229"/>
      <c r="G115" s="1945">
        <f>G21+G40+G42+G49+G51+G53+G62+G64+G113</f>
        <v>12234546.173913</v>
      </c>
      <c r="H115" s="2230"/>
      <c r="I115" s="2231"/>
      <c r="J115" s="1949"/>
      <c r="K115" s="1950"/>
    </row>
    <row r="116" spans="1:13">
      <c r="E116" s="310" t="s">
        <v>61</v>
      </c>
    </row>
    <row r="117" spans="1:13">
      <c r="J117" s="2232" t="s">
        <v>391</v>
      </c>
      <c r="K117" s="2232"/>
    </row>
    <row r="118" spans="1:13">
      <c r="J118" s="309"/>
    </row>
    <row r="119" spans="1:13">
      <c r="B119" s="309"/>
      <c r="J119" s="309"/>
    </row>
    <row r="120" spans="1:13">
      <c r="B120" s="309"/>
      <c r="J120" s="309"/>
    </row>
    <row r="121" spans="1:13">
      <c r="B121" s="309"/>
      <c r="J121" s="2232" t="s">
        <v>342</v>
      </c>
      <c r="K121" s="2232"/>
    </row>
    <row r="122" spans="1:13">
      <c r="B122" s="309"/>
      <c r="J122" s="309"/>
    </row>
    <row r="123" spans="1:13">
      <c r="B123" s="309"/>
    </row>
    <row r="124" spans="1:13">
      <c r="A124" s="2233" t="s">
        <v>343</v>
      </c>
      <c r="B124" s="2233"/>
      <c r="C124" s="2233"/>
    </row>
    <row r="125" spans="1:13">
      <c r="A125" s="2234" t="s">
        <v>344</v>
      </c>
      <c r="B125" s="2234"/>
      <c r="C125" s="2234"/>
    </row>
    <row r="126" spans="1:13">
      <c r="A126" s="2234" t="s">
        <v>345</v>
      </c>
      <c r="B126" s="2234"/>
      <c r="C126" s="2234"/>
    </row>
    <row r="127" spans="1:13">
      <c r="A127" s="2234" t="s">
        <v>346</v>
      </c>
      <c r="B127" s="2234"/>
      <c r="C127" s="2234"/>
    </row>
    <row r="128" spans="1:13">
      <c r="A128" s="2235" t="s">
        <v>347</v>
      </c>
      <c r="B128" s="2235"/>
      <c r="C128" s="2235"/>
    </row>
    <row r="129" spans="1:3">
      <c r="A129" s="2235" t="s">
        <v>348</v>
      </c>
      <c r="B129" s="2235"/>
      <c r="C129" s="2235"/>
    </row>
    <row r="130" spans="1:3">
      <c r="A130" s="2235" t="s">
        <v>349</v>
      </c>
      <c r="B130" s="2235"/>
      <c r="C130" s="2235"/>
    </row>
    <row r="131" spans="1:3">
      <c r="A131" s="2235" t="s">
        <v>350</v>
      </c>
      <c r="B131" s="2235"/>
      <c r="C131" s="2235"/>
    </row>
    <row r="132" spans="1:3">
      <c r="A132" s="2236" t="s">
        <v>351</v>
      </c>
      <c r="B132" s="2236"/>
      <c r="C132" s="2236"/>
    </row>
    <row r="133" spans="1:3">
      <c r="A133" s="2236" t="s">
        <v>392</v>
      </c>
      <c r="B133" s="2236"/>
      <c r="C133" s="2236"/>
    </row>
    <row r="134" spans="1:3">
      <c r="A134" s="2236" t="s">
        <v>353</v>
      </c>
      <c r="B134" s="2236"/>
      <c r="C134" s="2236"/>
    </row>
    <row r="135" spans="1:3">
      <c r="A135" s="2236" t="s">
        <v>354</v>
      </c>
      <c r="B135" s="2236"/>
      <c r="C135" s="2236"/>
    </row>
    <row r="136" spans="1:3">
      <c r="A136" s="2235" t="s">
        <v>355</v>
      </c>
      <c r="B136" s="2235"/>
      <c r="C136" s="2235"/>
    </row>
  </sheetData>
  <mergeCells count="51">
    <mergeCell ref="D43:D44"/>
    <mergeCell ref="D54:D58"/>
    <mergeCell ref="G10:G11"/>
    <mergeCell ref="A22:A39"/>
    <mergeCell ref="A43:A44"/>
    <mergeCell ref="B14:B21"/>
    <mergeCell ref="B22:B39"/>
    <mergeCell ref="B43:B48"/>
    <mergeCell ref="B54:B58"/>
    <mergeCell ref="B59:B61"/>
    <mergeCell ref="A132:C132"/>
    <mergeCell ref="A133:C133"/>
    <mergeCell ref="A134:C134"/>
    <mergeCell ref="A135:C135"/>
    <mergeCell ref="A136:C136"/>
    <mergeCell ref="A127:C127"/>
    <mergeCell ref="A128:C128"/>
    <mergeCell ref="A129:C129"/>
    <mergeCell ref="A130:C130"/>
    <mergeCell ref="A131:C131"/>
    <mergeCell ref="J117:K117"/>
    <mergeCell ref="J121:K121"/>
    <mergeCell ref="A124:C124"/>
    <mergeCell ref="A125:C125"/>
    <mergeCell ref="A126:C126"/>
    <mergeCell ref="H48:I48"/>
    <mergeCell ref="H49:I49"/>
    <mergeCell ref="H113:I113"/>
    <mergeCell ref="A115:F115"/>
    <mergeCell ref="H115:I115"/>
    <mergeCell ref="A59:A61"/>
    <mergeCell ref="A65:A113"/>
    <mergeCell ref="B65:B113"/>
    <mergeCell ref="H40:I40"/>
    <mergeCell ref="H41:I41"/>
    <mergeCell ref="H42:I42"/>
    <mergeCell ref="H43:I43"/>
    <mergeCell ref="H44:I44"/>
    <mergeCell ref="H34:I34"/>
    <mergeCell ref="H35:I35"/>
    <mergeCell ref="H36:I36"/>
    <mergeCell ref="H37:I37"/>
    <mergeCell ref="H39:I39"/>
    <mergeCell ref="A5:K5"/>
    <mergeCell ref="J7:K7"/>
    <mergeCell ref="J8:K8"/>
    <mergeCell ref="H10:I10"/>
    <mergeCell ref="H11:I11"/>
    <mergeCell ref="A10:A11"/>
    <mergeCell ref="C10:C11"/>
    <mergeCell ref="B10:B11"/>
  </mergeCells>
  <printOptions horizontalCentered="1" verticalCentered="1"/>
  <pageMargins left="0" right="0" top="0" bottom="0" header="0.31" footer="0.31"/>
  <pageSetup paperSize="9" scale="68" orientation="landscape"/>
  <headerFooter alignWithMargins="0"/>
  <rowBreaks count="1" manualBreakCount="1">
    <brk id="17" max="10" man="1"/>
  </rowBreak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pageSetUpPr fitToPage="1"/>
  </sheetPr>
  <dimension ref="A1:S405"/>
  <sheetViews>
    <sheetView topLeftCell="A4" zoomScale="52" zoomScaleNormal="52" zoomScaleSheetLayoutView="40" workbookViewId="0">
      <pane ySplit="6" topLeftCell="A164" activePane="bottomLeft" state="frozen"/>
      <selection pane="bottomLeft" activeCell="G72" sqref="A1:Q119"/>
    </sheetView>
  </sheetViews>
  <sheetFormatPr defaultColWidth="9.26953125" defaultRowHeight="13"/>
  <cols>
    <col min="1" max="1" width="19" style="692" customWidth="1"/>
    <col min="2" max="2" width="13.7265625" style="1079" customWidth="1"/>
    <col min="3" max="6" width="17.54296875" style="692" customWidth="1"/>
    <col min="7" max="7" width="19.26953125" style="692" customWidth="1"/>
    <col min="8" max="13" width="17.54296875" style="692" customWidth="1"/>
    <col min="14" max="14" width="19.26953125" style="692" customWidth="1"/>
    <col min="15" max="15" width="40.7265625" style="692" customWidth="1"/>
    <col min="16" max="16" width="18.7265625" style="692" customWidth="1"/>
    <col min="17" max="17" width="21.26953125" style="692" customWidth="1"/>
    <col min="18" max="19" width="15.54296875" style="692" customWidth="1"/>
    <col min="20" max="16384" width="9.26953125" style="692"/>
  </cols>
  <sheetData>
    <row r="1" spans="1:19" ht="21.75" customHeight="1">
      <c r="A1" s="532"/>
      <c r="B1" s="561"/>
      <c r="C1" s="532"/>
      <c r="D1" s="532"/>
      <c r="E1" s="532"/>
      <c r="F1" s="532"/>
      <c r="G1" s="532"/>
      <c r="H1" s="532"/>
      <c r="I1" s="532"/>
      <c r="J1" s="532"/>
      <c r="K1" s="532"/>
      <c r="L1" s="532"/>
      <c r="M1" s="532"/>
      <c r="N1" s="532"/>
      <c r="O1" s="532"/>
      <c r="P1" s="532"/>
      <c r="Q1" s="532"/>
    </row>
    <row r="2" spans="1:19" ht="41.25" customHeight="1">
      <c r="A2" s="2244" t="s">
        <v>393</v>
      </c>
      <c r="B2" s="2244"/>
      <c r="C2" s="2244"/>
      <c r="D2" s="2244"/>
      <c r="E2" s="2244"/>
      <c r="F2" s="2244"/>
      <c r="G2" s="2244"/>
      <c r="H2" s="2244"/>
      <c r="I2" s="2244"/>
      <c r="J2" s="2244"/>
      <c r="K2" s="2244"/>
      <c r="L2" s="2244"/>
      <c r="M2" s="2244"/>
      <c r="N2" s="2244"/>
      <c r="O2" s="2244"/>
      <c r="P2" s="2244"/>
      <c r="Q2" s="2244"/>
      <c r="R2" s="1073"/>
      <c r="S2" s="1073"/>
    </row>
    <row r="3" spans="1:19" ht="15.5">
      <c r="A3" s="579"/>
      <c r="B3" s="579"/>
      <c r="C3" s="579"/>
      <c r="D3" s="579"/>
      <c r="E3" s="579"/>
      <c r="F3" s="579"/>
      <c r="G3" s="579"/>
      <c r="H3" s="579"/>
      <c r="I3" s="579"/>
      <c r="J3" s="579"/>
      <c r="K3" s="579"/>
      <c r="L3" s="579"/>
      <c r="M3" s="579"/>
      <c r="N3" s="579"/>
      <c r="O3" s="579"/>
      <c r="P3" s="579"/>
      <c r="Q3" s="579"/>
      <c r="R3" s="1813"/>
      <c r="S3" s="1813"/>
    </row>
    <row r="4" spans="1:19" ht="25.15" customHeight="1">
      <c r="A4" s="532"/>
      <c r="B4" s="561"/>
      <c r="C4" s="532"/>
      <c r="D4" s="532"/>
      <c r="E4" s="532"/>
      <c r="F4" s="532"/>
      <c r="G4" s="532"/>
      <c r="H4" s="532"/>
      <c r="I4" s="532"/>
      <c r="J4" s="532"/>
      <c r="K4" s="532"/>
      <c r="L4" s="1401"/>
      <c r="M4" s="1401"/>
      <c r="N4" s="1401" t="s">
        <v>394</v>
      </c>
      <c r="O4" s="1401" t="s">
        <v>395</v>
      </c>
      <c r="P4" s="2245"/>
      <c r="Q4" s="2245"/>
    </row>
    <row r="5" spans="1:19" ht="25.15" customHeight="1">
      <c r="A5" s="532"/>
      <c r="B5" s="561"/>
      <c r="C5" s="532"/>
      <c r="D5" s="532"/>
      <c r="E5" s="532"/>
      <c r="F5" s="532"/>
      <c r="G5" s="532"/>
      <c r="H5" s="532"/>
      <c r="I5" s="532"/>
      <c r="J5" s="532"/>
      <c r="K5" s="532"/>
      <c r="L5" s="1401"/>
      <c r="M5" s="1401"/>
      <c r="N5" s="1401" t="s">
        <v>396</v>
      </c>
      <c r="O5" s="1803" t="s">
        <v>397</v>
      </c>
      <c r="P5" s="2245"/>
      <c r="Q5" s="2245"/>
    </row>
    <row r="6" spans="1:19" ht="5.25" customHeight="1">
      <c r="A6" s="1010"/>
      <c r="B6" s="1789"/>
      <c r="C6" s="1010"/>
      <c r="D6" s="1010"/>
      <c r="E6" s="1010"/>
      <c r="F6" s="1010"/>
      <c r="G6" s="1010"/>
      <c r="H6" s="1010"/>
      <c r="I6" s="1010"/>
      <c r="J6" s="1010"/>
      <c r="K6" s="1010"/>
      <c r="L6" s="1010"/>
      <c r="M6" s="1010"/>
      <c r="N6" s="1010"/>
      <c r="O6" s="1010" t="s">
        <v>60</v>
      </c>
      <c r="P6" s="1010"/>
      <c r="Q6" s="532"/>
    </row>
    <row r="7" spans="1:19" ht="3" customHeight="1">
      <c r="A7" s="1208"/>
      <c r="B7" s="561"/>
      <c r="C7" s="532"/>
      <c r="D7" s="532"/>
      <c r="E7" s="532"/>
      <c r="F7" s="532"/>
      <c r="G7" s="532"/>
      <c r="H7" s="532"/>
      <c r="I7" s="532"/>
      <c r="J7" s="532"/>
      <c r="K7" s="532"/>
      <c r="L7" s="532"/>
      <c r="M7" s="532"/>
      <c r="N7" s="532"/>
      <c r="O7" s="532"/>
      <c r="P7" s="532"/>
      <c r="Q7" s="920"/>
    </row>
    <row r="8" spans="1:19" ht="25.15" customHeight="1">
      <c r="A8" s="2250" t="s">
        <v>398</v>
      </c>
      <c r="B8" s="1790" t="s">
        <v>65</v>
      </c>
      <c r="C8" s="1790" t="s">
        <v>399</v>
      </c>
      <c r="D8" s="1790" t="s">
        <v>66</v>
      </c>
      <c r="E8" s="1790" t="s">
        <v>66</v>
      </c>
      <c r="F8" s="1790" t="s">
        <v>66</v>
      </c>
      <c r="G8" s="1790" t="s">
        <v>66</v>
      </c>
      <c r="H8" s="1790" t="s">
        <v>400</v>
      </c>
      <c r="I8" s="1790" t="s">
        <v>401</v>
      </c>
      <c r="J8" s="1790" t="s">
        <v>66</v>
      </c>
      <c r="K8" s="2246" t="s">
        <v>402</v>
      </c>
      <c r="L8" s="1790" t="s">
        <v>403</v>
      </c>
      <c r="M8" s="2246" t="s">
        <v>404</v>
      </c>
      <c r="N8" s="2246" t="s">
        <v>405</v>
      </c>
      <c r="O8" s="2246"/>
      <c r="P8" s="2246"/>
      <c r="Q8" s="2248" t="s">
        <v>406</v>
      </c>
    </row>
    <row r="9" spans="1:19" ht="25.15" customHeight="1">
      <c r="A9" s="2251"/>
      <c r="B9" s="1791" t="s">
        <v>407</v>
      </c>
      <c r="C9" s="1791" t="s">
        <v>408</v>
      </c>
      <c r="D9" s="1791" t="s">
        <v>409</v>
      </c>
      <c r="E9" s="1791" t="s">
        <v>410</v>
      </c>
      <c r="F9" s="1791" t="s">
        <v>411</v>
      </c>
      <c r="G9" s="1791" t="s">
        <v>412</v>
      </c>
      <c r="H9" s="1791" t="s">
        <v>413</v>
      </c>
      <c r="I9" s="1791" t="s">
        <v>414</v>
      </c>
      <c r="J9" s="1791" t="s">
        <v>317</v>
      </c>
      <c r="K9" s="2247"/>
      <c r="L9" s="1791" t="s">
        <v>335</v>
      </c>
      <c r="M9" s="2247"/>
      <c r="N9" s="1791" t="s">
        <v>415</v>
      </c>
      <c r="O9" s="1791" t="s">
        <v>416</v>
      </c>
      <c r="P9" s="1791" t="s">
        <v>91</v>
      </c>
      <c r="Q9" s="2249"/>
    </row>
    <row r="10" spans="1:19" customFormat="1" ht="25.15" customHeight="1">
      <c r="A10" s="1792"/>
      <c r="B10" s="1792">
        <v>1</v>
      </c>
      <c r="C10" s="1792"/>
      <c r="D10" s="1792"/>
      <c r="E10" s="1792"/>
      <c r="F10" s="1792"/>
      <c r="G10" s="1792"/>
      <c r="H10" s="1792"/>
      <c r="I10" s="1792"/>
      <c r="J10" s="1792"/>
      <c r="K10" s="1792"/>
      <c r="L10" s="1792"/>
      <c r="M10" s="1792"/>
      <c r="N10" s="1804">
        <v>4621304</v>
      </c>
      <c r="O10" s="1792" t="s">
        <v>417</v>
      </c>
      <c r="P10" s="1805">
        <f t="shared" ref="P10:P15" si="0">SUM(C10:N10)</f>
        <v>4621304</v>
      </c>
      <c r="Q10" s="1792"/>
    </row>
    <row r="11" spans="1:19" s="1788" customFormat="1" ht="30.75" customHeight="1">
      <c r="A11" s="2252">
        <v>46030</v>
      </c>
      <c r="B11" s="1792">
        <v>2</v>
      </c>
      <c r="C11" s="1793"/>
      <c r="D11" s="1793"/>
      <c r="E11" s="1793"/>
      <c r="F11" s="1793"/>
      <c r="G11" s="1793"/>
      <c r="H11" s="1793"/>
      <c r="I11" s="1793"/>
      <c r="J11" s="1793"/>
      <c r="K11" s="1793"/>
      <c r="L11" s="1793"/>
      <c r="M11" s="1793"/>
      <c r="N11" s="1793">
        <v>90300</v>
      </c>
      <c r="O11" s="1806" t="s">
        <v>418</v>
      </c>
      <c r="P11" s="1807">
        <f t="shared" si="0"/>
        <v>90300</v>
      </c>
      <c r="Q11" s="1814"/>
    </row>
    <row r="12" spans="1:19" s="1788" customFormat="1" ht="30.75" customHeight="1">
      <c r="A12" s="2252"/>
      <c r="B12" s="1792">
        <v>3</v>
      </c>
      <c r="C12" s="1794"/>
      <c r="D12" s="1794"/>
      <c r="E12" s="1794"/>
      <c r="F12" s="1794"/>
      <c r="G12" s="1794"/>
      <c r="H12" s="1794"/>
      <c r="I12" s="1794"/>
      <c r="J12" s="1794"/>
      <c r="K12" s="1794"/>
      <c r="L12" s="1794"/>
      <c r="M12" s="1808"/>
      <c r="N12" s="1794">
        <v>371300</v>
      </c>
      <c r="O12" s="1809" t="s">
        <v>419</v>
      </c>
      <c r="P12" s="1807">
        <f t="shared" si="0"/>
        <v>371300</v>
      </c>
      <c r="Q12" s="1815"/>
    </row>
    <row r="13" spans="1:19" s="1788" customFormat="1" ht="30.75" customHeight="1">
      <c r="A13" s="2252"/>
      <c r="B13" s="1792">
        <v>4</v>
      </c>
      <c r="C13" s="1794"/>
      <c r="D13" s="1794"/>
      <c r="E13" s="1794"/>
      <c r="F13" s="1794"/>
      <c r="G13" s="1794"/>
      <c r="H13" s="1794"/>
      <c r="I13" s="1794"/>
      <c r="J13" s="1794"/>
      <c r="K13" s="1794"/>
      <c r="L13" s="1794"/>
      <c r="M13" s="1794"/>
      <c r="N13" s="1794">
        <v>203000</v>
      </c>
      <c r="O13" s="1809" t="s">
        <v>420</v>
      </c>
      <c r="P13" s="1807">
        <f t="shared" si="0"/>
        <v>203000</v>
      </c>
      <c r="Q13" s="1815"/>
    </row>
    <row r="14" spans="1:19" s="1788" customFormat="1" ht="30.75" customHeight="1">
      <c r="A14" s="2252"/>
      <c r="B14" s="1792">
        <v>5</v>
      </c>
      <c r="C14" s="1794"/>
      <c r="D14" s="1794"/>
      <c r="E14" s="1794">
        <v>16000</v>
      </c>
      <c r="F14" s="1794"/>
      <c r="G14" s="1794"/>
      <c r="H14" s="1794"/>
      <c r="I14" s="1794"/>
      <c r="J14" s="1794"/>
      <c r="K14" s="1794"/>
      <c r="L14" s="1794"/>
      <c r="M14" s="1794"/>
      <c r="N14" s="1794"/>
      <c r="O14" s="1809" t="s">
        <v>140</v>
      </c>
      <c r="P14" s="1807">
        <f t="shared" si="0"/>
        <v>16000</v>
      </c>
      <c r="Q14" s="1815">
        <f>SUM(P10:P17)</f>
        <v>5449904</v>
      </c>
    </row>
    <row r="15" spans="1:19" s="1788" customFormat="1" ht="30.75" customHeight="1">
      <c r="A15" s="2252"/>
      <c r="B15" s="1792">
        <v>6</v>
      </c>
      <c r="C15" s="1794"/>
      <c r="D15" s="1794">
        <v>5000</v>
      </c>
      <c r="E15" s="1794"/>
      <c r="F15" s="1794"/>
      <c r="G15" s="1794"/>
      <c r="H15" s="1794"/>
      <c r="I15" s="1794">
        <v>143000</v>
      </c>
      <c r="J15" s="1794"/>
      <c r="K15" s="1794"/>
      <c r="L15" s="1794"/>
      <c r="M15" s="1794"/>
      <c r="N15" s="1794"/>
      <c r="O15" s="1809" t="s">
        <v>421</v>
      </c>
      <c r="P15" s="1807">
        <f t="shared" si="0"/>
        <v>148000</v>
      </c>
      <c r="Q15" s="1815"/>
    </row>
    <row r="16" spans="1:19" s="1788" customFormat="1" ht="30.75" hidden="1" customHeight="1">
      <c r="A16" s="2252"/>
      <c r="B16" s="1795"/>
      <c r="C16" s="1794"/>
      <c r="D16" s="1794"/>
      <c r="E16" s="1794"/>
      <c r="F16" s="1794"/>
      <c r="G16" s="1794"/>
      <c r="H16" s="1794"/>
      <c r="I16" s="1794"/>
      <c r="J16" s="1794"/>
      <c r="K16" s="1794"/>
      <c r="L16" s="1794"/>
      <c r="M16" s="1794"/>
      <c r="N16" s="1794"/>
      <c r="O16" s="1809"/>
      <c r="P16" s="1807">
        <f t="shared" ref="P16:P26" si="1">SUM(C16:N16)</f>
        <v>0</v>
      </c>
      <c r="Q16" s="1815"/>
    </row>
    <row r="17" spans="1:17" s="1788" customFormat="1" ht="30.75" hidden="1" customHeight="1">
      <c r="A17" s="2252"/>
      <c r="B17" s="1795"/>
      <c r="C17" s="1794"/>
      <c r="D17" s="1794"/>
      <c r="E17" s="1794"/>
      <c r="F17" s="1794"/>
      <c r="G17" s="1794"/>
      <c r="H17" s="1794"/>
      <c r="I17" s="1794"/>
      <c r="J17" s="1794"/>
      <c r="K17" s="1794"/>
      <c r="L17" s="1794"/>
      <c r="M17" s="1794"/>
      <c r="N17" s="1794"/>
      <c r="O17" s="1809"/>
      <c r="P17" s="1807">
        <f t="shared" si="1"/>
        <v>0</v>
      </c>
      <c r="Q17" s="1815"/>
    </row>
    <row r="18" spans="1:17" s="1788" customFormat="1" ht="30.75" hidden="1" customHeight="1">
      <c r="A18" s="2252"/>
      <c r="B18" s="1795"/>
      <c r="C18" s="1794"/>
      <c r="D18" s="1794"/>
      <c r="E18" s="1794"/>
      <c r="F18" s="1794"/>
      <c r="G18" s="1794"/>
      <c r="H18" s="1794"/>
      <c r="I18" s="1794"/>
      <c r="J18" s="1794"/>
      <c r="K18" s="1794"/>
      <c r="L18" s="1794"/>
      <c r="M18" s="1794"/>
      <c r="N18" s="1794"/>
      <c r="O18" s="1809"/>
      <c r="P18" s="1807">
        <f t="shared" si="1"/>
        <v>0</v>
      </c>
      <c r="Q18" s="1815"/>
    </row>
    <row r="19" spans="1:17" s="1788" customFormat="1" ht="30.75" hidden="1" customHeight="1">
      <c r="A19" s="2252"/>
      <c r="B19" s="1795"/>
      <c r="C19" s="1794"/>
      <c r="D19" s="1794"/>
      <c r="E19" s="1794"/>
      <c r="F19" s="1794"/>
      <c r="G19" s="1794"/>
      <c r="H19" s="1794"/>
      <c r="I19" s="1794"/>
      <c r="J19" s="1794"/>
      <c r="K19" s="1794"/>
      <c r="L19" s="1794"/>
      <c r="M19" s="1794"/>
      <c r="N19" s="1794"/>
      <c r="O19" s="1809"/>
      <c r="P19" s="1807">
        <f t="shared" si="1"/>
        <v>0</v>
      </c>
      <c r="Q19" s="1815"/>
    </row>
    <row r="20" spans="1:17" s="1788" customFormat="1" ht="30.75" hidden="1" customHeight="1">
      <c r="A20" s="2252"/>
      <c r="B20" s="1795"/>
      <c r="C20" s="1794"/>
      <c r="D20" s="1794"/>
      <c r="E20" s="1794"/>
      <c r="F20" s="1794"/>
      <c r="G20" s="1794"/>
      <c r="H20" s="1794"/>
      <c r="I20" s="1794"/>
      <c r="J20" s="1794"/>
      <c r="K20" s="1794"/>
      <c r="L20" s="1794"/>
      <c r="M20" s="1794"/>
      <c r="N20" s="1794"/>
      <c r="O20" s="1809"/>
      <c r="P20" s="1807">
        <f t="shared" si="1"/>
        <v>0</v>
      </c>
      <c r="Q20" s="1815"/>
    </row>
    <row r="21" spans="1:17" s="1788" customFormat="1" ht="30.75" hidden="1" customHeight="1">
      <c r="A21" s="2252"/>
      <c r="B21" s="1795"/>
      <c r="C21" s="1794"/>
      <c r="D21" s="1794"/>
      <c r="E21" s="1794"/>
      <c r="F21" s="1794"/>
      <c r="G21" s="1794"/>
      <c r="H21" s="1794"/>
      <c r="I21" s="1794"/>
      <c r="J21" s="1794"/>
      <c r="K21" s="1794"/>
      <c r="L21" s="1794"/>
      <c r="M21" s="1794"/>
      <c r="N21" s="1794"/>
      <c r="O21" s="1809"/>
      <c r="P21" s="1807">
        <f t="shared" si="1"/>
        <v>0</v>
      </c>
      <c r="Q21" s="1815"/>
    </row>
    <row r="22" spans="1:17" s="1788" customFormat="1" ht="30.75" customHeight="1">
      <c r="A22" s="2252"/>
      <c r="B22" s="1795"/>
      <c r="C22" s="1794"/>
      <c r="D22" s="1794"/>
      <c r="E22" s="1794"/>
      <c r="F22" s="1794"/>
      <c r="G22" s="1794"/>
      <c r="H22" s="1794"/>
      <c r="I22" s="1794"/>
      <c r="J22" s="1794"/>
      <c r="K22" s="1794"/>
      <c r="L22" s="1794"/>
      <c r="M22" s="1794"/>
      <c r="N22" s="1794">
        <f>'LAPORAN KAS PERIODE'!C18</f>
        <v>221018</v>
      </c>
      <c r="O22" s="1809" t="s">
        <v>422</v>
      </c>
      <c r="P22" s="1807">
        <f t="shared" si="1"/>
        <v>221018</v>
      </c>
      <c r="Q22" s="1815"/>
    </row>
    <row r="23" spans="1:17" s="1788" customFormat="1" ht="30.75" customHeight="1">
      <c r="A23" s="2252"/>
      <c r="B23" s="1795"/>
      <c r="C23" s="1794"/>
      <c r="D23" s="1794"/>
      <c r="E23" s="1794"/>
      <c r="F23" s="1794"/>
      <c r="G23" s="1794"/>
      <c r="H23" s="1794"/>
      <c r="I23" s="1794"/>
      <c r="J23" s="1794"/>
      <c r="K23" s="1794"/>
      <c r="L23" s="1794"/>
      <c r="M23" s="1794"/>
      <c r="N23" s="1794">
        <f>'LAPORAN KAS PERIODE'!C19</f>
        <v>379318</v>
      </c>
      <c r="O23" s="1809" t="s">
        <v>423</v>
      </c>
      <c r="P23" s="1807">
        <f t="shared" si="1"/>
        <v>379318</v>
      </c>
      <c r="Q23" s="1815">
        <f>SUM(P22:P25)</f>
        <v>1892686</v>
      </c>
    </row>
    <row r="24" spans="1:17" s="1788" customFormat="1" ht="30.75" customHeight="1">
      <c r="A24" s="2252"/>
      <c r="B24" s="1796"/>
      <c r="C24" s="1794"/>
      <c r="D24" s="1794"/>
      <c r="E24" s="1794"/>
      <c r="F24" s="1794"/>
      <c r="G24" s="1794"/>
      <c r="H24" s="1794"/>
      <c r="I24" s="1794"/>
      <c r="J24" s="1794"/>
      <c r="K24" s="1794"/>
      <c r="L24" s="1794"/>
      <c r="M24" s="1794"/>
      <c r="N24" s="1794">
        <f>'LAPORAN KAS PERIODE'!C20</f>
        <v>349496</v>
      </c>
      <c r="O24" s="1809" t="s">
        <v>424</v>
      </c>
      <c r="P24" s="1807">
        <f t="shared" si="1"/>
        <v>349496</v>
      </c>
      <c r="Q24" s="1815"/>
    </row>
    <row r="25" spans="1:17" s="1788" customFormat="1" ht="30.75" customHeight="1">
      <c r="A25" s="2252"/>
      <c r="B25" s="1795"/>
      <c r="C25" s="1794"/>
      <c r="D25" s="1794"/>
      <c r="E25" s="1794"/>
      <c r="F25" s="1794"/>
      <c r="G25" s="1794"/>
      <c r="H25" s="1794" t="s">
        <v>61</v>
      </c>
      <c r="I25" s="1794"/>
      <c r="J25" s="1794"/>
      <c r="K25" s="1794"/>
      <c r="L25" s="1794"/>
      <c r="M25" s="1794"/>
      <c r="N25" s="1794">
        <f>'LAPORAN KAS PERIODE'!C21</f>
        <v>942854</v>
      </c>
      <c r="O25" s="1809" t="s">
        <v>425</v>
      </c>
      <c r="P25" s="1807">
        <f t="shared" si="1"/>
        <v>942854</v>
      </c>
      <c r="Q25" s="1815"/>
    </row>
    <row r="26" spans="1:17" s="1788" customFormat="1" ht="30.75" customHeight="1">
      <c r="A26" s="2252"/>
      <c r="B26" s="1795"/>
      <c r="C26" s="1794"/>
      <c r="D26" s="1794"/>
      <c r="E26" s="1794"/>
      <c r="F26" s="1794"/>
      <c r="G26" s="1794"/>
      <c r="H26" s="1794"/>
      <c r="I26" s="1794"/>
      <c r="J26" s="1794"/>
      <c r="K26" s="1794"/>
      <c r="L26" s="1794"/>
      <c r="M26" s="1794"/>
      <c r="N26" s="1794">
        <f>'LAPORAN KAS PERIODE'!C24</f>
        <v>6647</v>
      </c>
      <c r="O26" s="1809" t="s">
        <v>426</v>
      </c>
      <c r="P26" s="1807">
        <f t="shared" si="1"/>
        <v>6647</v>
      </c>
      <c r="Q26" s="1815"/>
    </row>
    <row r="27" spans="1:17" s="1788" customFormat="1" ht="30.75" hidden="1" customHeight="1">
      <c r="A27" s="2252"/>
      <c r="B27" s="1797"/>
      <c r="C27" s="1794"/>
      <c r="D27" s="1794"/>
      <c r="E27" s="1794"/>
      <c r="F27" s="1794"/>
      <c r="G27" s="1794"/>
      <c r="H27" s="1794"/>
      <c r="I27" s="1794"/>
      <c r="J27" s="1794"/>
      <c r="K27" s="1794"/>
      <c r="L27" s="1794"/>
      <c r="M27" s="1794"/>
      <c r="N27" s="1794"/>
      <c r="O27" s="1809"/>
      <c r="P27" s="1807">
        <f t="shared" ref="P27:P40" si="2">SUM(C27:N27)</f>
        <v>0</v>
      </c>
      <c r="Q27" s="1815"/>
    </row>
    <row r="28" spans="1:17" s="1788" customFormat="1" ht="30.75" hidden="1" customHeight="1">
      <c r="A28" s="2252"/>
      <c r="B28" s="1797"/>
      <c r="C28" s="1794"/>
      <c r="D28" s="1798"/>
      <c r="E28" s="1794"/>
      <c r="F28" s="1794"/>
      <c r="G28" s="1794"/>
      <c r="H28" s="1794"/>
      <c r="I28" s="1794"/>
      <c r="J28" s="1794"/>
      <c r="K28" s="1794"/>
      <c r="L28" s="1794"/>
      <c r="M28" s="1794"/>
      <c r="N28" s="1794"/>
      <c r="O28" s="1809"/>
      <c r="P28" s="1807">
        <f t="shared" si="2"/>
        <v>0</v>
      </c>
      <c r="Q28" s="1815"/>
    </row>
    <row r="29" spans="1:17" s="1788" customFormat="1" ht="30.75" hidden="1" customHeight="1">
      <c r="A29" s="1799"/>
      <c r="B29" s="1797">
        <v>14</v>
      </c>
      <c r="C29" s="1794"/>
      <c r="D29" s="1794"/>
      <c r="E29" s="1794"/>
      <c r="F29" s="1794"/>
      <c r="G29" s="1794"/>
      <c r="H29" s="1794"/>
      <c r="I29" s="1794"/>
      <c r="J29" s="1794"/>
      <c r="K29" s="1794"/>
      <c r="L29" s="1794"/>
      <c r="M29" s="1794"/>
      <c r="N29" s="1794"/>
      <c r="O29" s="1809"/>
      <c r="P29" s="1807">
        <f t="shared" si="2"/>
        <v>0</v>
      </c>
      <c r="Q29" s="1815"/>
    </row>
    <row r="30" spans="1:17" s="1788" customFormat="1" ht="30.75" hidden="1" customHeight="1">
      <c r="A30" s="1799"/>
      <c r="B30" s="1797">
        <v>15</v>
      </c>
      <c r="C30" s="1794"/>
      <c r="D30" s="1794"/>
      <c r="E30" s="1794"/>
      <c r="F30" s="1794"/>
      <c r="G30" s="1794"/>
      <c r="H30" s="1794"/>
      <c r="I30" s="1794"/>
      <c r="J30" s="1794"/>
      <c r="K30" s="1794"/>
      <c r="L30" s="1794"/>
      <c r="M30" s="1794"/>
      <c r="N30" s="1794"/>
      <c r="O30" s="1809"/>
      <c r="P30" s="1807">
        <f t="shared" si="2"/>
        <v>0</v>
      </c>
      <c r="Q30" s="1815"/>
    </row>
    <row r="31" spans="1:17" s="1788" customFormat="1" ht="30.75" hidden="1" customHeight="1">
      <c r="A31" s="1799"/>
      <c r="B31" s="1797">
        <v>16</v>
      </c>
      <c r="C31" s="1794"/>
      <c r="D31" s="1794"/>
      <c r="E31" s="1794"/>
      <c r="F31" s="1794"/>
      <c r="G31" s="1794"/>
      <c r="H31" s="1794"/>
      <c r="I31" s="1794"/>
      <c r="J31" s="1794"/>
      <c r="K31" s="1794"/>
      <c r="L31" s="1794"/>
      <c r="M31" s="1794"/>
      <c r="N31" s="1794"/>
      <c r="O31" s="1809"/>
      <c r="P31" s="1807">
        <f t="shared" si="2"/>
        <v>0</v>
      </c>
      <c r="Q31" s="1815"/>
    </row>
    <row r="32" spans="1:17" s="1788" customFormat="1" ht="30.75" hidden="1" customHeight="1">
      <c r="A32" s="1799"/>
      <c r="B32" s="1797">
        <v>17</v>
      </c>
      <c r="C32" s="1794"/>
      <c r="D32" s="1794"/>
      <c r="E32" s="1794"/>
      <c r="F32" s="1794"/>
      <c r="G32" s="1794"/>
      <c r="H32" s="1794"/>
      <c r="I32" s="1794"/>
      <c r="J32" s="1794"/>
      <c r="K32" s="1794"/>
      <c r="L32" s="1794"/>
      <c r="M32" s="1794"/>
      <c r="N32" s="1794"/>
      <c r="O32" s="1809"/>
      <c r="P32" s="1807">
        <f t="shared" si="2"/>
        <v>0</v>
      </c>
      <c r="Q32" s="1815"/>
    </row>
    <row r="33" spans="1:17" s="1788" customFormat="1" ht="30.75" hidden="1" customHeight="1">
      <c r="A33" s="1799"/>
      <c r="B33" s="1797">
        <v>18</v>
      </c>
      <c r="C33" s="1794"/>
      <c r="D33" s="1794"/>
      <c r="E33" s="1794"/>
      <c r="F33" s="1794"/>
      <c r="G33" s="1794"/>
      <c r="H33" s="1794"/>
      <c r="I33" s="1794"/>
      <c r="J33" s="1794"/>
      <c r="K33" s="1794"/>
      <c r="L33" s="1794"/>
      <c r="M33" s="1794"/>
      <c r="N33" s="1794"/>
      <c r="O33" s="1809"/>
      <c r="P33" s="1807">
        <f t="shared" si="2"/>
        <v>0</v>
      </c>
      <c r="Q33" s="1815"/>
    </row>
    <row r="34" spans="1:17" s="1788" customFormat="1" ht="30.75" hidden="1" customHeight="1">
      <c r="A34" s="1799"/>
      <c r="B34" s="1797">
        <v>19</v>
      </c>
      <c r="C34" s="1794"/>
      <c r="D34" s="1794"/>
      <c r="E34" s="1794"/>
      <c r="F34" s="1794"/>
      <c r="G34" s="1794"/>
      <c r="H34" s="1794"/>
      <c r="I34" s="1794"/>
      <c r="J34" s="1794"/>
      <c r="K34" s="1794"/>
      <c r="L34" s="1794"/>
      <c r="M34" s="1794"/>
      <c r="N34" s="1794"/>
      <c r="O34" s="1809"/>
      <c r="P34" s="1807">
        <f t="shared" si="2"/>
        <v>0</v>
      </c>
      <c r="Q34" s="1815"/>
    </row>
    <row r="35" spans="1:17" s="1788" customFormat="1" ht="30.75" hidden="1" customHeight="1">
      <c r="A35" s="1799"/>
      <c r="B35" s="1797">
        <v>20</v>
      </c>
      <c r="C35" s="1794"/>
      <c r="D35" s="1794"/>
      <c r="E35" s="1794"/>
      <c r="F35" s="1794"/>
      <c r="G35" s="1794"/>
      <c r="H35" s="1794"/>
      <c r="I35" s="1794"/>
      <c r="J35" s="1794"/>
      <c r="K35" s="1794"/>
      <c r="L35" s="1794"/>
      <c r="M35" s="1794"/>
      <c r="N35" s="1794"/>
      <c r="O35" s="1809"/>
      <c r="P35" s="1807">
        <f t="shared" si="2"/>
        <v>0</v>
      </c>
      <c r="Q35" s="1815"/>
    </row>
    <row r="36" spans="1:17" s="1788" customFormat="1" ht="30.75" hidden="1" customHeight="1">
      <c r="A36" s="1799"/>
      <c r="B36" s="1797">
        <v>21</v>
      </c>
      <c r="C36" s="1794"/>
      <c r="D36" s="1794"/>
      <c r="E36" s="1794"/>
      <c r="F36" s="1794"/>
      <c r="G36" s="1794"/>
      <c r="H36" s="1794"/>
      <c r="I36" s="1794"/>
      <c r="J36" s="1794"/>
      <c r="K36" s="1794"/>
      <c r="L36" s="1794"/>
      <c r="M36" s="1794"/>
      <c r="N36" s="1794"/>
      <c r="O36" s="1809"/>
      <c r="P36" s="1807">
        <f t="shared" si="2"/>
        <v>0</v>
      </c>
      <c r="Q36" s="1815"/>
    </row>
    <row r="37" spans="1:17" s="1788" customFormat="1" ht="30.75" hidden="1" customHeight="1">
      <c r="A37" s="1799"/>
      <c r="B37" s="1797">
        <v>22</v>
      </c>
      <c r="C37" s="1794"/>
      <c r="D37" s="1794"/>
      <c r="E37" s="1794"/>
      <c r="F37" s="1794"/>
      <c r="G37" s="1794"/>
      <c r="H37" s="1794"/>
      <c r="I37" s="1794"/>
      <c r="J37" s="1794"/>
      <c r="K37" s="1794"/>
      <c r="L37" s="1794"/>
      <c r="M37" s="1794"/>
      <c r="N37" s="1794"/>
      <c r="O37" s="1809"/>
      <c r="P37" s="1807">
        <f t="shared" si="2"/>
        <v>0</v>
      </c>
      <c r="Q37" s="1815"/>
    </row>
    <row r="38" spans="1:17" s="1788" customFormat="1" ht="30.75" hidden="1" customHeight="1">
      <c r="A38" s="1799"/>
      <c r="B38" s="1797">
        <v>23</v>
      </c>
      <c r="C38" s="1794"/>
      <c r="D38" s="1794"/>
      <c r="E38" s="1794"/>
      <c r="F38" s="1794"/>
      <c r="G38" s="1794"/>
      <c r="H38" s="1794"/>
      <c r="I38" s="1794"/>
      <c r="J38" s="1794"/>
      <c r="K38" s="1794"/>
      <c r="L38" s="1794"/>
      <c r="M38" s="1794"/>
      <c r="N38" s="1794"/>
      <c r="O38" s="1809"/>
      <c r="P38" s="1807">
        <f t="shared" si="2"/>
        <v>0</v>
      </c>
      <c r="Q38" s="1815"/>
    </row>
    <row r="39" spans="1:17" s="1788" customFormat="1" ht="30.75" hidden="1" customHeight="1">
      <c r="A39" s="1799"/>
      <c r="B39" s="1797">
        <v>24</v>
      </c>
      <c r="C39" s="1794"/>
      <c r="D39" s="1794"/>
      <c r="E39" s="1794"/>
      <c r="F39" s="1794"/>
      <c r="G39" s="1794"/>
      <c r="H39" s="1794"/>
      <c r="I39" s="1794"/>
      <c r="J39" s="1794"/>
      <c r="K39" s="1794"/>
      <c r="L39" s="1794"/>
      <c r="M39" s="1794"/>
      <c r="N39" s="1794"/>
      <c r="O39" s="1809"/>
      <c r="P39" s="1807">
        <f t="shared" si="2"/>
        <v>0</v>
      </c>
      <c r="Q39" s="1815"/>
    </row>
    <row r="40" spans="1:17" s="1788" customFormat="1" ht="30.75" hidden="1" customHeight="1">
      <c r="A40" s="1799"/>
      <c r="B40" s="1797">
        <v>25</v>
      </c>
      <c r="C40" s="1794"/>
      <c r="D40" s="1794"/>
      <c r="E40" s="1794"/>
      <c r="F40" s="1794"/>
      <c r="G40" s="1794"/>
      <c r="H40" s="1794"/>
      <c r="I40" s="1794"/>
      <c r="J40" s="1794"/>
      <c r="K40" s="1794"/>
      <c r="L40" s="1794"/>
      <c r="M40" s="1794"/>
      <c r="N40" s="1794"/>
      <c r="O40" s="1809"/>
      <c r="P40" s="1807">
        <f t="shared" si="2"/>
        <v>0</v>
      </c>
      <c r="Q40" s="1815"/>
    </row>
    <row r="41" spans="1:17" s="1788" customFormat="1" ht="30.75" customHeight="1">
      <c r="A41" s="1800"/>
      <c r="B41" s="1801"/>
      <c r="C41" s="1802">
        <f>SUM(C11:C40)</f>
        <v>0</v>
      </c>
      <c r="D41" s="1802">
        <f t="shared" ref="D41:N41" si="3">SUM(D11:D40)</f>
        <v>5000</v>
      </c>
      <c r="E41" s="1802">
        <f t="shared" si="3"/>
        <v>16000</v>
      </c>
      <c r="F41" s="1802">
        <f t="shared" si="3"/>
        <v>0</v>
      </c>
      <c r="G41" s="1802">
        <f t="shared" si="3"/>
        <v>0</v>
      </c>
      <c r="H41" s="1802">
        <f t="shared" si="3"/>
        <v>0</v>
      </c>
      <c r="I41" s="1802">
        <f t="shared" si="3"/>
        <v>143000</v>
      </c>
      <c r="J41" s="1802">
        <f t="shared" si="3"/>
        <v>0</v>
      </c>
      <c r="K41" s="1802">
        <f t="shared" si="3"/>
        <v>0</v>
      </c>
      <c r="L41" s="1802">
        <f t="shared" si="3"/>
        <v>0</v>
      </c>
      <c r="M41" s="1802">
        <f t="shared" si="3"/>
        <v>0</v>
      </c>
      <c r="N41" s="1802">
        <f t="shared" si="3"/>
        <v>2563933</v>
      </c>
      <c r="O41" s="1810"/>
      <c r="P41" s="1811">
        <f>SUM(P10:P40)</f>
        <v>7349237</v>
      </c>
      <c r="Q41" s="1816">
        <f>P41</f>
        <v>7349237</v>
      </c>
    </row>
    <row r="42" spans="1:17" s="1788" customFormat="1" ht="30.75" customHeight="1">
      <c r="A42" s="2253">
        <v>45666</v>
      </c>
      <c r="B42" s="1797">
        <v>7</v>
      </c>
      <c r="C42" s="1794"/>
      <c r="D42" s="1794">
        <v>18000</v>
      </c>
      <c r="E42" s="1794"/>
      <c r="F42" s="1794"/>
      <c r="G42" s="1794"/>
      <c r="H42" s="1794"/>
      <c r="I42" s="1794"/>
      <c r="J42" s="1794"/>
      <c r="K42" s="1794"/>
      <c r="L42" s="1794"/>
      <c r="M42" s="1794"/>
      <c r="N42" s="1794"/>
      <c r="O42" s="1809" t="s">
        <v>122</v>
      </c>
      <c r="P42" s="1812">
        <f>SUM(C42:N42)</f>
        <v>18000</v>
      </c>
      <c r="Q42" s="1815"/>
    </row>
    <row r="43" spans="1:17" s="1788" customFormat="1" ht="30.75" customHeight="1">
      <c r="A43" s="2252"/>
      <c r="B43" s="1797">
        <v>8</v>
      </c>
      <c r="C43" s="1794"/>
      <c r="D43" s="1794">
        <v>40900</v>
      </c>
      <c r="E43" s="1794"/>
      <c r="F43" s="1794"/>
      <c r="G43" s="1794"/>
      <c r="H43" s="1794"/>
      <c r="I43" s="1794"/>
      <c r="J43" s="1794"/>
      <c r="K43" s="1794"/>
      <c r="L43" s="1794"/>
      <c r="M43" s="1794"/>
      <c r="N43" s="1794">
        <v>200</v>
      </c>
      <c r="O43" s="1809" t="s">
        <v>427</v>
      </c>
      <c r="P43" s="1812">
        <f t="shared" ref="P43:P64" si="4">SUM(C43:N43)</f>
        <v>41100</v>
      </c>
      <c r="Q43" s="1815"/>
    </row>
    <row r="44" spans="1:17" s="1788" customFormat="1" ht="30.75" customHeight="1">
      <c r="A44" s="2252"/>
      <c r="B44" s="1797">
        <v>9</v>
      </c>
      <c r="C44" s="1794"/>
      <c r="D44" s="1794"/>
      <c r="E44" s="1794">
        <v>16000</v>
      </c>
      <c r="F44" s="1794"/>
      <c r="G44" s="1794"/>
      <c r="H44" s="1794"/>
      <c r="I44" s="1794"/>
      <c r="J44" s="1794"/>
      <c r="K44" s="1794"/>
      <c r="L44" s="1794"/>
      <c r="M44" s="1794"/>
      <c r="N44" s="1794"/>
      <c r="O44" s="1809" t="s">
        <v>140</v>
      </c>
      <c r="P44" s="1812">
        <f t="shared" si="4"/>
        <v>16000</v>
      </c>
      <c r="Q44" s="1815"/>
    </row>
    <row r="45" spans="1:17" s="1788" customFormat="1" ht="30.75" customHeight="1">
      <c r="A45" s="2252"/>
      <c r="B45" s="1797">
        <v>10</v>
      </c>
      <c r="C45" s="1794"/>
      <c r="D45" s="1794">
        <v>6000</v>
      </c>
      <c r="E45" s="1794"/>
      <c r="F45" s="1794"/>
      <c r="G45" s="1794"/>
      <c r="H45" s="1794"/>
      <c r="I45" s="1794">
        <v>116000</v>
      </c>
      <c r="J45" s="1794"/>
      <c r="K45" s="1794"/>
      <c r="L45" s="1794"/>
      <c r="M45" s="1794"/>
      <c r="N45" s="1794"/>
      <c r="O45" s="1809" t="s">
        <v>428</v>
      </c>
      <c r="P45" s="1812">
        <f t="shared" si="4"/>
        <v>122000</v>
      </c>
      <c r="Q45" s="1815"/>
    </row>
    <row r="46" spans="1:17" s="1788" customFormat="1" ht="30.75" customHeight="1">
      <c r="A46" s="2252"/>
      <c r="B46" s="1797">
        <v>11</v>
      </c>
      <c r="C46" s="1794"/>
      <c r="D46" s="1794"/>
      <c r="E46" s="1794"/>
      <c r="F46" s="1794"/>
      <c r="G46" s="1794"/>
      <c r="H46" s="1794"/>
      <c r="I46" s="1794"/>
      <c r="J46" s="1794"/>
      <c r="K46" s="1794"/>
      <c r="L46" s="1794">
        <v>20000</v>
      </c>
      <c r="M46" s="1794"/>
      <c r="N46" s="1794"/>
      <c r="O46" s="1809" t="s">
        <v>429</v>
      </c>
      <c r="P46" s="1812">
        <f t="shared" si="4"/>
        <v>20000</v>
      </c>
      <c r="Q46" s="1815">
        <f>SUM(P42:P51)</f>
        <v>217100</v>
      </c>
    </row>
    <row r="47" spans="1:17" s="1788" customFormat="1" ht="30.75" hidden="1" customHeight="1">
      <c r="A47" s="2252"/>
      <c r="B47" s="1797"/>
      <c r="C47" s="1794"/>
      <c r="D47" s="1794"/>
      <c r="E47" s="1794"/>
      <c r="F47" s="1794"/>
      <c r="G47" s="1794"/>
      <c r="H47" s="1794"/>
      <c r="I47" s="1794"/>
      <c r="J47" s="1794"/>
      <c r="K47" s="1794"/>
      <c r="L47" s="1794"/>
      <c r="M47" s="1794"/>
      <c r="N47" s="1794"/>
      <c r="O47" s="1809"/>
      <c r="P47" s="1812">
        <f t="shared" si="4"/>
        <v>0</v>
      </c>
      <c r="Q47" s="1815">
        <f>Q46-P44</f>
        <v>201100</v>
      </c>
    </row>
    <row r="48" spans="1:17" s="1788" customFormat="1" ht="30.75" hidden="1" customHeight="1">
      <c r="A48" s="2252"/>
      <c r="B48" s="1797"/>
      <c r="C48" s="1794"/>
      <c r="D48" s="1794"/>
      <c r="E48" s="1794"/>
      <c r="F48" s="1794"/>
      <c r="G48" s="1794"/>
      <c r="H48" s="1794"/>
      <c r="I48" s="1794"/>
      <c r="J48" s="1794"/>
      <c r="K48" s="1794"/>
      <c r="L48" s="1794"/>
      <c r="M48" s="1794"/>
      <c r="N48" s="1794"/>
      <c r="O48" s="1809"/>
      <c r="P48" s="1812">
        <f t="shared" si="4"/>
        <v>0</v>
      </c>
      <c r="Q48" s="1815"/>
    </row>
    <row r="49" spans="1:18" s="1788" customFormat="1" ht="30.75" hidden="1" customHeight="1">
      <c r="A49" s="2252"/>
      <c r="B49" s="1797"/>
      <c r="C49" s="1794"/>
      <c r="D49" s="1794"/>
      <c r="E49" s="1794"/>
      <c r="F49" s="1794"/>
      <c r="G49" s="1794"/>
      <c r="H49" s="1794"/>
      <c r="I49" s="1794"/>
      <c r="J49" s="1794"/>
      <c r="K49" s="1794"/>
      <c r="L49" s="1794"/>
      <c r="M49" s="1794"/>
      <c r="N49" s="1794"/>
      <c r="O49" s="1809"/>
      <c r="P49" s="1812">
        <f t="shared" si="4"/>
        <v>0</v>
      </c>
      <c r="Q49" s="1815"/>
    </row>
    <row r="50" spans="1:18" s="1788" customFormat="1" ht="30.75" hidden="1" customHeight="1">
      <c r="A50" s="2252"/>
      <c r="B50" s="1797"/>
      <c r="C50" s="1794"/>
      <c r="D50" s="1794"/>
      <c r="E50" s="1794"/>
      <c r="F50" s="1794"/>
      <c r="G50" s="1794"/>
      <c r="H50" s="1794"/>
      <c r="I50" s="1794"/>
      <c r="J50" s="1794"/>
      <c r="K50" s="1794"/>
      <c r="L50" s="1794"/>
      <c r="M50" s="1794"/>
      <c r="N50" s="1794"/>
      <c r="O50" s="1809"/>
      <c r="P50" s="1812">
        <f t="shared" si="4"/>
        <v>0</v>
      </c>
      <c r="Q50" s="1815"/>
    </row>
    <row r="51" spans="1:18" s="1788" customFormat="1" ht="30.75" hidden="1" customHeight="1">
      <c r="A51" s="2252"/>
      <c r="B51" s="1797"/>
      <c r="C51" s="1794"/>
      <c r="D51" s="1794"/>
      <c r="E51" s="1794"/>
      <c r="F51" s="1794"/>
      <c r="G51" s="1794"/>
      <c r="H51" s="1794"/>
      <c r="I51" s="1794"/>
      <c r="J51" s="1794"/>
      <c r="K51" s="1794"/>
      <c r="L51" s="1794"/>
      <c r="M51" s="1794"/>
      <c r="N51" s="1794"/>
      <c r="O51" s="1809"/>
      <c r="P51" s="1812">
        <f t="shared" si="4"/>
        <v>0</v>
      </c>
      <c r="Q51" s="1815"/>
    </row>
    <row r="52" spans="1:18" s="1788" customFormat="1" ht="30.75" hidden="1" customHeight="1">
      <c r="A52" s="2252"/>
      <c r="B52" s="1797"/>
      <c r="C52" s="1794"/>
      <c r="D52" s="1794"/>
      <c r="E52" s="1794"/>
      <c r="F52" s="1794"/>
      <c r="G52" s="1794"/>
      <c r="H52" s="1794"/>
      <c r="I52" s="1794"/>
      <c r="J52" s="1794"/>
      <c r="K52" s="1794"/>
      <c r="L52" s="1794"/>
      <c r="M52" s="1794"/>
      <c r="N52" s="1794"/>
      <c r="O52" s="1809"/>
      <c r="P52" s="1812">
        <f t="shared" si="4"/>
        <v>0</v>
      </c>
      <c r="Q52" s="1815"/>
    </row>
    <row r="53" spans="1:18" s="1788" customFormat="1" ht="30.75" hidden="1" customHeight="1">
      <c r="A53" s="2252"/>
      <c r="B53" s="1797"/>
      <c r="C53" s="1794"/>
      <c r="D53" s="1794"/>
      <c r="E53" s="1794"/>
      <c r="F53" s="1794"/>
      <c r="G53" s="1794"/>
      <c r="H53" s="1794"/>
      <c r="I53" s="1794"/>
      <c r="J53" s="1794"/>
      <c r="K53" s="1794"/>
      <c r="L53" s="1794"/>
      <c r="M53" s="1794"/>
      <c r="N53" s="1794"/>
      <c r="O53" s="1809"/>
      <c r="P53" s="1812">
        <f t="shared" si="4"/>
        <v>0</v>
      </c>
      <c r="Q53" s="1815"/>
    </row>
    <row r="54" spans="1:18" s="1788" customFormat="1" ht="30.75" hidden="1" customHeight="1">
      <c r="A54" s="2252"/>
      <c r="B54" s="1797"/>
      <c r="C54" s="1794"/>
      <c r="D54" s="1794"/>
      <c r="E54" s="1794"/>
      <c r="F54" s="1794"/>
      <c r="G54" s="1794"/>
      <c r="H54" s="1794"/>
      <c r="I54" s="1794"/>
      <c r="J54" s="1794"/>
      <c r="K54" s="1794"/>
      <c r="L54" s="1794"/>
      <c r="M54" s="1794"/>
      <c r="N54" s="1794"/>
      <c r="O54" s="1809"/>
      <c r="P54" s="1812">
        <f t="shared" si="4"/>
        <v>0</v>
      </c>
      <c r="Q54" s="1815"/>
    </row>
    <row r="55" spans="1:18" s="1788" customFormat="1" ht="30.75" customHeight="1">
      <c r="A55" s="2252"/>
      <c r="B55" s="1797"/>
      <c r="C55" s="1794"/>
      <c r="D55" s="1794"/>
      <c r="E55" s="1794"/>
      <c r="F55" s="1794"/>
      <c r="G55" s="1794"/>
      <c r="H55" s="1794"/>
      <c r="I55" s="1794"/>
      <c r="J55" s="1794"/>
      <c r="K55" s="1794"/>
      <c r="L55" s="1794"/>
      <c r="M55" s="1794"/>
      <c r="N55" s="1794">
        <f>'LAPORAN KAS PERIODE'!D18</f>
        <v>226409</v>
      </c>
      <c r="O55" s="1809" t="s">
        <v>422</v>
      </c>
      <c r="P55" s="1812">
        <f t="shared" si="4"/>
        <v>226409</v>
      </c>
      <c r="Q55" s="1815"/>
    </row>
    <row r="56" spans="1:18" s="1788" customFormat="1" ht="30.75" customHeight="1">
      <c r="A56" s="2252"/>
      <c r="B56" s="1797"/>
      <c r="C56" s="1794"/>
      <c r="D56" s="1794"/>
      <c r="E56" s="1794"/>
      <c r="F56" s="1794"/>
      <c r="G56" s="1794"/>
      <c r="H56" s="1794"/>
      <c r="I56" s="1794"/>
      <c r="J56" s="1794"/>
      <c r="K56" s="1794"/>
      <c r="L56" s="1794"/>
      <c r="M56" s="1794"/>
      <c r="N56" s="1794">
        <f>'LAPORAN KAS PERIODE'!D19</f>
        <v>541038</v>
      </c>
      <c r="O56" s="1809" t="s">
        <v>423</v>
      </c>
      <c r="P56" s="1812">
        <f t="shared" si="4"/>
        <v>541038</v>
      </c>
      <c r="Q56" s="1815"/>
    </row>
    <row r="57" spans="1:18" s="1788" customFormat="1" ht="30.75" customHeight="1">
      <c r="A57" s="2252"/>
      <c r="B57" s="1797"/>
      <c r="C57" s="1794"/>
      <c r="D57" s="1794"/>
      <c r="E57" s="1794"/>
      <c r="F57" s="1794"/>
      <c r="G57" s="1794"/>
      <c r="H57" s="1794"/>
      <c r="I57" s="1794"/>
      <c r="J57" s="1794"/>
      <c r="K57" s="1794"/>
      <c r="L57" s="1794"/>
      <c r="M57" s="1794"/>
      <c r="N57" s="1794">
        <f>'LAPORAN KAS PERIODE'!D20</f>
        <v>77854</v>
      </c>
      <c r="O57" s="1809" t="s">
        <v>424</v>
      </c>
      <c r="P57" s="1812">
        <f t="shared" si="4"/>
        <v>77854</v>
      </c>
      <c r="Q57" s="1815"/>
    </row>
    <row r="58" spans="1:18" s="1788" customFormat="1" ht="30.75" hidden="1" customHeight="1">
      <c r="A58" s="2252"/>
      <c r="B58" s="1797"/>
      <c r="C58" s="1794"/>
      <c r="D58" s="1794"/>
      <c r="E58" s="1794"/>
      <c r="F58" s="1794"/>
      <c r="G58" s="1794"/>
      <c r="H58" s="1794"/>
      <c r="I58" s="1794"/>
      <c r="J58" s="1794"/>
      <c r="K58" s="1794"/>
      <c r="L58" s="1794"/>
      <c r="M58" s="1794"/>
      <c r="N58" s="1794"/>
      <c r="O58" s="1809"/>
      <c r="P58" s="1812">
        <f t="shared" si="4"/>
        <v>0</v>
      </c>
      <c r="Q58" s="1815"/>
    </row>
    <row r="59" spans="1:18" s="1788" customFormat="1" ht="30.75" hidden="1" customHeight="1">
      <c r="A59" s="2252"/>
      <c r="B59" s="1797"/>
      <c r="C59" s="1794"/>
      <c r="D59" s="1794"/>
      <c r="E59" s="1794"/>
      <c r="F59" s="1794"/>
      <c r="G59" s="1794"/>
      <c r="H59" s="1794"/>
      <c r="I59" s="1794"/>
      <c r="J59" s="1794"/>
      <c r="K59" s="1794"/>
      <c r="L59" s="1794"/>
      <c r="M59" s="1794"/>
      <c r="N59" s="1794"/>
      <c r="O59" s="1809" t="s">
        <v>424</v>
      </c>
      <c r="P59" s="1812">
        <f t="shared" si="4"/>
        <v>0</v>
      </c>
      <c r="Q59" s="1815"/>
    </row>
    <row r="60" spans="1:18" s="1788" customFormat="1" ht="30.75" hidden="1" customHeight="1">
      <c r="A60" s="2252"/>
      <c r="B60" s="1797"/>
      <c r="C60" s="1794"/>
      <c r="D60" s="1794"/>
      <c r="E60" s="1794"/>
      <c r="F60" s="1794"/>
      <c r="G60" s="1794"/>
      <c r="H60" s="1794"/>
      <c r="I60" s="1794"/>
      <c r="J60" s="1794"/>
      <c r="K60" s="1794"/>
      <c r="L60" s="1794"/>
      <c r="M60" s="1794"/>
      <c r="N60" s="1794"/>
      <c r="O60" s="1809" t="s">
        <v>425</v>
      </c>
      <c r="P60" s="1812">
        <f t="shared" si="4"/>
        <v>0</v>
      </c>
      <c r="Q60" s="1815"/>
    </row>
    <row r="61" spans="1:18" s="1788" customFormat="1" ht="30.75" hidden="1" customHeight="1">
      <c r="A61" s="2252"/>
      <c r="B61" s="1797"/>
      <c r="C61" s="1794"/>
      <c r="D61" s="1794"/>
      <c r="E61" s="1794"/>
      <c r="F61" s="1794"/>
      <c r="G61" s="1794"/>
      <c r="H61" s="1794"/>
      <c r="I61" s="1794"/>
      <c r="J61" s="1794"/>
      <c r="K61" s="1794"/>
      <c r="L61" s="1794"/>
      <c r="M61" s="1794"/>
      <c r="N61" s="1794"/>
      <c r="O61" s="1809" t="s">
        <v>426</v>
      </c>
      <c r="P61" s="1812">
        <f t="shared" si="4"/>
        <v>0</v>
      </c>
      <c r="Q61" s="1815"/>
    </row>
    <row r="62" spans="1:18" s="1788" customFormat="1" ht="30.75" hidden="1" customHeight="1">
      <c r="A62" s="2252"/>
      <c r="B62" s="1797"/>
      <c r="C62" s="1794"/>
      <c r="D62" s="1794"/>
      <c r="E62" s="1794"/>
      <c r="F62" s="1794"/>
      <c r="G62" s="1794"/>
      <c r="H62" s="1794"/>
      <c r="I62" s="1794"/>
      <c r="J62" s="1794"/>
      <c r="K62" s="1794"/>
      <c r="L62" s="1794"/>
      <c r="M62" s="1794"/>
      <c r="N62" s="1794"/>
      <c r="O62" s="1809"/>
      <c r="P62" s="1812">
        <f t="shared" si="4"/>
        <v>0</v>
      </c>
      <c r="Q62" s="1815"/>
    </row>
    <row r="63" spans="1:18" s="1788" customFormat="1" ht="30.75" customHeight="1">
      <c r="A63" s="2252"/>
      <c r="B63" s="1797"/>
      <c r="C63" s="1794"/>
      <c r="D63" s="1794"/>
      <c r="E63" s="1794"/>
      <c r="F63" s="1794"/>
      <c r="G63" s="1794"/>
      <c r="H63" s="1794"/>
      <c r="I63" s="1794"/>
      <c r="J63" s="1794"/>
      <c r="K63" s="1794"/>
      <c r="L63" s="1794"/>
      <c r="M63" s="1794"/>
      <c r="N63" s="1794">
        <f>'LAPORAN KAS PERIODE'!D21</f>
        <v>1894644</v>
      </c>
      <c r="O63" s="1809" t="s">
        <v>425</v>
      </c>
      <c r="P63" s="1812">
        <f t="shared" si="4"/>
        <v>1894644</v>
      </c>
      <c r="Q63" s="1815"/>
      <c r="R63" s="1817">
        <f>SUM(P43:P62)</f>
        <v>1044401</v>
      </c>
    </row>
    <row r="64" spans="1:18" s="1788" customFormat="1" ht="30.75" customHeight="1">
      <c r="A64" s="2252"/>
      <c r="B64" s="1797"/>
      <c r="C64" s="1794"/>
      <c r="D64" s="1794"/>
      <c r="E64" s="1794"/>
      <c r="F64" s="1794"/>
      <c r="G64" s="1794"/>
      <c r="H64" s="1794"/>
      <c r="I64" s="1794"/>
      <c r="J64" s="1794"/>
      <c r="K64" s="1794"/>
      <c r="L64" s="1794"/>
      <c r="M64" s="1794"/>
      <c r="N64" s="1794">
        <f>'LAPORAN KAS PERIODE'!D24</f>
        <v>13356</v>
      </c>
      <c r="O64" s="1809" t="s">
        <v>430</v>
      </c>
      <c r="P64" s="1812">
        <f t="shared" si="4"/>
        <v>13356</v>
      </c>
      <c r="Q64" s="1815"/>
    </row>
    <row r="65" spans="1:17" s="1788" customFormat="1" ht="35.25" hidden="1" customHeight="1">
      <c r="A65" s="2252"/>
      <c r="B65" s="1797"/>
      <c r="C65" s="1794"/>
      <c r="D65" s="1794"/>
      <c r="E65" s="1794"/>
      <c r="F65" s="1794"/>
      <c r="G65" s="1794"/>
      <c r="H65" s="1794"/>
      <c r="I65" s="1794"/>
      <c r="J65" s="1794"/>
      <c r="K65" s="1794"/>
      <c r="L65" s="1794"/>
      <c r="M65" s="1794"/>
      <c r="N65" s="1794"/>
      <c r="O65" s="1809"/>
      <c r="P65" s="1812">
        <f t="shared" ref="P65:P78" si="5">SUM(C65:N65)</f>
        <v>0</v>
      </c>
      <c r="Q65" s="1815"/>
    </row>
    <row r="66" spans="1:17" s="1788" customFormat="1" ht="30.75" hidden="1" customHeight="1">
      <c r="A66" s="2252"/>
      <c r="B66" s="1797"/>
      <c r="C66" s="1794"/>
      <c r="D66" s="1794"/>
      <c r="E66" s="1794"/>
      <c r="F66" s="1794"/>
      <c r="G66" s="1794"/>
      <c r="H66" s="1794"/>
      <c r="I66" s="1794"/>
      <c r="J66" s="1794"/>
      <c r="K66" s="1794"/>
      <c r="L66" s="1794"/>
      <c r="M66" s="1794"/>
      <c r="N66" s="1794"/>
      <c r="O66" s="1809"/>
      <c r="P66" s="1812">
        <f t="shared" si="5"/>
        <v>0</v>
      </c>
      <c r="Q66" s="1815"/>
    </row>
    <row r="67" spans="1:17" s="1788" customFormat="1" ht="30.75" hidden="1" customHeight="1">
      <c r="A67" s="2252"/>
      <c r="B67" s="1797"/>
      <c r="C67" s="1794"/>
      <c r="D67" s="1794"/>
      <c r="E67" s="1794"/>
      <c r="F67" s="1794"/>
      <c r="G67" s="1794"/>
      <c r="H67" s="1794"/>
      <c r="I67" s="1794"/>
      <c r="J67" s="1794"/>
      <c r="K67" s="1794"/>
      <c r="L67" s="1794"/>
      <c r="M67" s="1794"/>
      <c r="N67" s="1794"/>
      <c r="O67" s="1809"/>
      <c r="P67" s="1812">
        <f t="shared" si="5"/>
        <v>0</v>
      </c>
      <c r="Q67" s="1815"/>
    </row>
    <row r="68" spans="1:17" s="1788" customFormat="1" ht="30.75" hidden="1" customHeight="1">
      <c r="A68" s="1818"/>
      <c r="B68" s="1797"/>
      <c r="C68" s="1794"/>
      <c r="D68" s="1794"/>
      <c r="E68" s="1794"/>
      <c r="F68" s="1794"/>
      <c r="G68" s="1794"/>
      <c r="H68" s="1794"/>
      <c r="I68" s="1794"/>
      <c r="J68" s="1794"/>
      <c r="K68" s="1794"/>
      <c r="L68" s="1794"/>
      <c r="M68" s="1794"/>
      <c r="N68" s="1794"/>
      <c r="O68" s="1809"/>
      <c r="P68" s="1812">
        <f t="shared" si="5"/>
        <v>0</v>
      </c>
      <c r="Q68" s="1815"/>
    </row>
    <row r="69" spans="1:17" s="1788" customFormat="1" ht="30.75" hidden="1" customHeight="1">
      <c r="A69" s="1818"/>
      <c r="B69" s="1797"/>
      <c r="C69" s="1794"/>
      <c r="D69" s="1794"/>
      <c r="E69" s="1794"/>
      <c r="F69" s="1794"/>
      <c r="G69" s="1794"/>
      <c r="H69" s="1794"/>
      <c r="I69" s="1794"/>
      <c r="J69" s="1794"/>
      <c r="K69" s="1794"/>
      <c r="L69" s="1794"/>
      <c r="M69" s="1794"/>
      <c r="N69" s="1794"/>
      <c r="O69" s="1809"/>
      <c r="P69" s="1812">
        <f t="shared" si="5"/>
        <v>0</v>
      </c>
      <c r="Q69" s="1815"/>
    </row>
    <row r="70" spans="1:17" s="1788" customFormat="1" ht="30.75" hidden="1" customHeight="1">
      <c r="A70" s="1818"/>
      <c r="B70" s="1797"/>
      <c r="C70" s="1794"/>
      <c r="D70" s="1794"/>
      <c r="E70" s="1794"/>
      <c r="F70" s="1794"/>
      <c r="G70" s="1794"/>
      <c r="H70" s="1794"/>
      <c r="I70" s="1794"/>
      <c r="J70" s="1794"/>
      <c r="K70" s="1794"/>
      <c r="L70" s="1794"/>
      <c r="M70" s="1794"/>
      <c r="N70" s="1794"/>
      <c r="O70" s="1809"/>
      <c r="P70" s="1812">
        <f t="shared" si="5"/>
        <v>0</v>
      </c>
      <c r="Q70" s="1815"/>
    </row>
    <row r="71" spans="1:17" s="1788" customFormat="1" ht="30.75" hidden="1" customHeight="1">
      <c r="A71" s="1818"/>
      <c r="B71" s="1797"/>
      <c r="C71" s="1794"/>
      <c r="D71" s="1794"/>
      <c r="E71" s="1794"/>
      <c r="F71" s="1794"/>
      <c r="G71" s="1794"/>
      <c r="H71" s="1794"/>
      <c r="I71" s="1794"/>
      <c r="J71" s="1794"/>
      <c r="K71" s="1794"/>
      <c r="L71" s="1794"/>
      <c r="M71" s="1794"/>
      <c r="N71" s="1794"/>
      <c r="O71" s="1809"/>
      <c r="P71" s="1812">
        <f t="shared" si="5"/>
        <v>0</v>
      </c>
      <c r="Q71" s="1815"/>
    </row>
    <row r="72" spans="1:17" s="1788" customFormat="1" ht="30.75" hidden="1" customHeight="1">
      <c r="A72" s="1818"/>
      <c r="B72" s="1797"/>
      <c r="C72" s="1794"/>
      <c r="D72" s="1794"/>
      <c r="E72" s="1794"/>
      <c r="F72" s="1794"/>
      <c r="G72" s="1794"/>
      <c r="H72" s="1794"/>
      <c r="I72" s="1794"/>
      <c r="J72" s="1794"/>
      <c r="K72" s="1794"/>
      <c r="L72" s="1794"/>
      <c r="M72" s="1794"/>
      <c r="N72" s="1794"/>
      <c r="O72" s="1809"/>
      <c r="P72" s="1812">
        <f t="shared" si="5"/>
        <v>0</v>
      </c>
      <c r="Q72" s="1815"/>
    </row>
    <row r="73" spans="1:17" s="1788" customFormat="1" ht="30.75" hidden="1" customHeight="1">
      <c r="A73" s="1818"/>
      <c r="B73" s="1797"/>
      <c r="C73" s="1794"/>
      <c r="D73" s="1794"/>
      <c r="E73" s="1794"/>
      <c r="F73" s="1794"/>
      <c r="G73" s="1794"/>
      <c r="H73" s="1794"/>
      <c r="I73" s="1794"/>
      <c r="J73" s="1794"/>
      <c r="K73" s="1794"/>
      <c r="L73" s="1794"/>
      <c r="M73" s="1794"/>
      <c r="N73" s="1794"/>
      <c r="O73" s="1809"/>
      <c r="P73" s="1812">
        <f t="shared" si="5"/>
        <v>0</v>
      </c>
      <c r="Q73" s="1815"/>
    </row>
    <row r="74" spans="1:17" s="1788" customFormat="1" ht="30.75" hidden="1" customHeight="1">
      <c r="A74" s="1818"/>
      <c r="B74" s="1797"/>
      <c r="C74" s="1794"/>
      <c r="D74" s="1794"/>
      <c r="E74" s="1794"/>
      <c r="F74" s="1794"/>
      <c r="G74" s="1794"/>
      <c r="H74" s="1794"/>
      <c r="I74" s="1794"/>
      <c r="J74" s="1794"/>
      <c r="K74" s="1794"/>
      <c r="L74" s="1794"/>
      <c r="M74" s="1794"/>
      <c r="N74" s="1794"/>
      <c r="O74" s="1809"/>
      <c r="P74" s="1812">
        <f t="shared" si="5"/>
        <v>0</v>
      </c>
      <c r="Q74" s="1815"/>
    </row>
    <row r="75" spans="1:17" s="1788" customFormat="1" ht="30.75" hidden="1" customHeight="1">
      <c r="A75" s="1818"/>
      <c r="B75" s="1797"/>
      <c r="C75" s="1794"/>
      <c r="D75" s="1794"/>
      <c r="E75" s="1794"/>
      <c r="F75" s="1794"/>
      <c r="G75" s="1794"/>
      <c r="H75" s="1794"/>
      <c r="I75" s="1794"/>
      <c r="J75" s="1794"/>
      <c r="K75" s="1794"/>
      <c r="L75" s="1794"/>
      <c r="M75" s="1794"/>
      <c r="N75" s="1794"/>
      <c r="O75" s="1809"/>
      <c r="P75" s="1812">
        <f t="shared" si="5"/>
        <v>0</v>
      </c>
      <c r="Q75" s="1815"/>
    </row>
    <row r="76" spans="1:17" s="1788" customFormat="1" ht="30.75" hidden="1" customHeight="1">
      <c r="A76" s="1818"/>
      <c r="B76" s="1797"/>
      <c r="C76" s="1794"/>
      <c r="D76" s="1794"/>
      <c r="E76" s="1794"/>
      <c r="F76" s="1794"/>
      <c r="G76" s="1794"/>
      <c r="H76" s="1794"/>
      <c r="I76" s="1794"/>
      <c r="J76" s="1794"/>
      <c r="K76" s="1794"/>
      <c r="L76" s="1794"/>
      <c r="M76" s="1794"/>
      <c r="N76" s="1794"/>
      <c r="O76" s="1809"/>
      <c r="P76" s="1812">
        <f t="shared" si="5"/>
        <v>0</v>
      </c>
      <c r="Q76" s="1815"/>
    </row>
    <row r="77" spans="1:17" s="1788" customFormat="1" ht="30.75" hidden="1" customHeight="1">
      <c r="A77" s="1818"/>
      <c r="B77" s="1797"/>
      <c r="C77" s="1794"/>
      <c r="D77" s="1794"/>
      <c r="E77" s="1794"/>
      <c r="F77" s="1794"/>
      <c r="G77" s="1794"/>
      <c r="H77" s="1794"/>
      <c r="I77" s="1794"/>
      <c r="J77" s="1794"/>
      <c r="K77" s="1794"/>
      <c r="L77" s="1794"/>
      <c r="M77" s="1794"/>
      <c r="N77" s="1794"/>
      <c r="O77" s="1809"/>
      <c r="P77" s="1812">
        <f t="shared" si="5"/>
        <v>0</v>
      </c>
      <c r="Q77" s="1815"/>
    </row>
    <row r="78" spans="1:17" s="1788" customFormat="1" ht="30.75" hidden="1" customHeight="1">
      <c r="A78" s="1818"/>
      <c r="B78" s="1797"/>
      <c r="C78" s="1794"/>
      <c r="D78" s="1794"/>
      <c r="E78" s="1794"/>
      <c r="F78" s="1794"/>
      <c r="G78" s="1794"/>
      <c r="H78" s="1794"/>
      <c r="I78" s="1794"/>
      <c r="J78" s="1794"/>
      <c r="K78" s="1794"/>
      <c r="L78" s="1794"/>
      <c r="M78" s="1794"/>
      <c r="N78" s="1794"/>
      <c r="O78" s="1809"/>
      <c r="P78" s="1812">
        <f t="shared" si="5"/>
        <v>0</v>
      </c>
      <c r="Q78" s="1815"/>
    </row>
    <row r="79" spans="1:17" s="1788" customFormat="1" ht="30.75" customHeight="1">
      <c r="A79" s="1800"/>
      <c r="B79" s="1801"/>
      <c r="C79" s="1802">
        <f>SUM(C42:C78)</f>
        <v>0</v>
      </c>
      <c r="D79" s="1802">
        <f t="shared" ref="D79:N79" si="6">SUM(D42:D78)</f>
        <v>64900</v>
      </c>
      <c r="E79" s="1802">
        <f t="shared" si="6"/>
        <v>16000</v>
      </c>
      <c r="F79" s="1802">
        <f t="shared" si="6"/>
        <v>0</v>
      </c>
      <c r="G79" s="1802">
        <f t="shared" si="6"/>
        <v>0</v>
      </c>
      <c r="H79" s="1802">
        <f t="shared" si="6"/>
        <v>0</v>
      </c>
      <c r="I79" s="1802">
        <f t="shared" si="6"/>
        <v>116000</v>
      </c>
      <c r="J79" s="1802">
        <f t="shared" si="6"/>
        <v>0</v>
      </c>
      <c r="K79" s="1802">
        <f t="shared" si="6"/>
        <v>0</v>
      </c>
      <c r="L79" s="1802">
        <f t="shared" si="6"/>
        <v>20000</v>
      </c>
      <c r="M79" s="1802">
        <f t="shared" si="6"/>
        <v>0</v>
      </c>
      <c r="N79" s="1802">
        <f t="shared" si="6"/>
        <v>2753501</v>
      </c>
      <c r="O79" s="1810"/>
      <c r="P79" s="1811">
        <f>SUM(P42:P78)</f>
        <v>2970401</v>
      </c>
      <c r="Q79" s="1816">
        <f>Q41+P79</f>
        <v>10319638</v>
      </c>
    </row>
    <row r="80" spans="1:17" s="1788" customFormat="1" ht="30.75" customHeight="1">
      <c r="A80" s="2253">
        <v>46032</v>
      </c>
      <c r="B80" s="1797">
        <v>12</v>
      </c>
      <c r="C80" s="1794"/>
      <c r="D80" s="1794"/>
      <c r="E80" s="1794">
        <v>16000</v>
      </c>
      <c r="F80" s="1794"/>
      <c r="G80" s="1794"/>
      <c r="H80" s="1794"/>
      <c r="I80" s="1794"/>
      <c r="J80" s="1794"/>
      <c r="K80" s="1794"/>
      <c r="L80" s="1794"/>
      <c r="M80" s="1794"/>
      <c r="N80" s="1794"/>
      <c r="O80" s="1809" t="s">
        <v>140</v>
      </c>
      <c r="P80" s="1812">
        <f t="shared" ref="P80:P99" si="7">SUM(C80:N80)</f>
        <v>16000</v>
      </c>
      <c r="Q80" s="1815"/>
    </row>
    <row r="81" spans="1:18" s="1788" customFormat="1" ht="30.75" customHeight="1">
      <c r="A81" s="2252"/>
      <c r="B81" s="1797">
        <v>13</v>
      </c>
      <c r="C81" s="1794"/>
      <c r="D81" s="1794"/>
      <c r="E81" s="1794"/>
      <c r="F81" s="1794"/>
      <c r="G81" s="1794"/>
      <c r="H81" s="1794"/>
      <c r="I81" s="1794"/>
      <c r="J81" s="1794"/>
      <c r="K81" s="1794"/>
      <c r="L81" s="1794"/>
      <c r="M81" s="1794"/>
      <c r="N81" s="1794">
        <v>68500</v>
      </c>
      <c r="O81" s="1809" t="s">
        <v>431</v>
      </c>
      <c r="P81" s="1812">
        <f t="shared" si="7"/>
        <v>68500</v>
      </c>
      <c r="Q81" s="1815"/>
      <c r="R81" s="1817"/>
    </row>
    <row r="82" spans="1:18" s="1788" customFormat="1" ht="30.75" customHeight="1">
      <c r="A82" s="2252"/>
      <c r="B82" s="1797">
        <v>14</v>
      </c>
      <c r="C82" s="1794"/>
      <c r="D82" s="1794"/>
      <c r="E82" s="1794">
        <v>75000</v>
      </c>
      <c r="F82" s="1794"/>
      <c r="G82" s="1794"/>
      <c r="H82" s="1794"/>
      <c r="I82" s="1794"/>
      <c r="J82" s="1794"/>
      <c r="K82" s="1794"/>
      <c r="L82" s="1794"/>
      <c r="M82" s="1794"/>
      <c r="N82" s="1794"/>
      <c r="O82" s="1809" t="s">
        <v>432</v>
      </c>
      <c r="P82" s="1812">
        <f t="shared" si="7"/>
        <v>75000</v>
      </c>
      <c r="Q82" s="1815"/>
    </row>
    <row r="83" spans="1:18" s="1788" customFormat="1" ht="30.75" customHeight="1">
      <c r="A83" s="2252"/>
      <c r="B83" s="1797">
        <v>15</v>
      </c>
      <c r="C83" s="1794"/>
      <c r="D83" s="1794"/>
      <c r="E83" s="1794"/>
      <c r="F83" s="1794"/>
      <c r="G83" s="1794"/>
      <c r="H83" s="1794"/>
      <c r="I83" s="1794"/>
      <c r="J83" s="1794"/>
      <c r="K83" s="1794"/>
      <c r="L83" s="1794"/>
      <c r="M83" s="1794"/>
      <c r="N83" s="1794">
        <v>130000</v>
      </c>
      <c r="O83" s="1809" t="s">
        <v>433</v>
      </c>
      <c r="P83" s="1812">
        <f t="shared" si="7"/>
        <v>130000</v>
      </c>
      <c r="Q83" s="1815">
        <f>SUM(P80:P94)</f>
        <v>402500</v>
      </c>
    </row>
    <row r="84" spans="1:18" s="1788" customFormat="1" ht="30.75" customHeight="1">
      <c r="A84" s="2252"/>
      <c r="B84" s="1797">
        <v>16</v>
      </c>
      <c r="C84" s="1794"/>
      <c r="D84" s="1794"/>
      <c r="E84" s="1794"/>
      <c r="F84" s="1794"/>
      <c r="G84" s="1794"/>
      <c r="H84" s="1794"/>
      <c r="I84" s="1794"/>
      <c r="J84" s="1794"/>
      <c r="K84" s="1794"/>
      <c r="L84" s="1794">
        <v>5000</v>
      </c>
      <c r="M84" s="1794"/>
      <c r="N84" s="1794">
        <v>108000</v>
      </c>
      <c r="O84" s="1809" t="s">
        <v>434</v>
      </c>
      <c r="P84" s="1812">
        <f t="shared" si="7"/>
        <v>113000</v>
      </c>
      <c r="Q84" s="1815"/>
    </row>
    <row r="85" spans="1:18" s="1788" customFormat="1" ht="30.75" hidden="1" customHeight="1">
      <c r="A85" s="2252"/>
      <c r="B85" s="1797">
        <v>17</v>
      </c>
      <c r="C85" s="1794"/>
      <c r="D85" s="1794"/>
      <c r="E85" s="1794"/>
      <c r="F85" s="1794"/>
      <c r="G85" s="1794"/>
      <c r="H85" s="1794"/>
      <c r="I85" s="1794"/>
      <c r="J85" s="1794"/>
      <c r="K85" s="1794"/>
      <c r="L85" s="1794"/>
      <c r="M85" s="1794"/>
      <c r="N85" s="1794"/>
      <c r="O85" s="1809"/>
      <c r="P85" s="1812">
        <f t="shared" si="7"/>
        <v>0</v>
      </c>
      <c r="Q85" s="1815"/>
      <c r="R85" s="1817"/>
    </row>
    <row r="86" spans="1:18" s="1788" customFormat="1" ht="30.75" hidden="1" customHeight="1">
      <c r="A86" s="2252"/>
      <c r="B86" s="1797">
        <v>18</v>
      </c>
      <c r="C86" s="1794"/>
      <c r="D86" s="1794"/>
      <c r="E86" s="1794"/>
      <c r="F86" s="1794"/>
      <c r="G86" s="1794"/>
      <c r="H86" s="1794"/>
      <c r="I86" s="1794"/>
      <c r="J86" s="1794"/>
      <c r="K86" s="1794"/>
      <c r="L86" s="1794"/>
      <c r="M86" s="1794"/>
      <c r="N86" s="1794"/>
      <c r="O86" s="1809"/>
      <c r="P86" s="1812">
        <f t="shared" si="7"/>
        <v>0</v>
      </c>
      <c r="Q86" s="1815"/>
      <c r="R86" s="1817"/>
    </row>
    <row r="87" spans="1:18" s="1788" customFormat="1" ht="30.75" hidden="1" customHeight="1">
      <c r="A87" s="2252"/>
      <c r="B87" s="1797">
        <v>19</v>
      </c>
      <c r="C87" s="1794"/>
      <c r="D87" s="1794"/>
      <c r="E87" s="1794"/>
      <c r="F87" s="1794"/>
      <c r="G87" s="1794"/>
      <c r="H87" s="1794"/>
      <c r="I87" s="1794"/>
      <c r="J87" s="1794"/>
      <c r="K87" s="1794"/>
      <c r="L87" s="1794"/>
      <c r="M87" s="1794"/>
      <c r="N87" s="1794"/>
      <c r="O87" s="1809"/>
      <c r="P87" s="1812">
        <f t="shared" si="7"/>
        <v>0</v>
      </c>
      <c r="Q87" s="1815"/>
    </row>
    <row r="88" spans="1:18" s="1788" customFormat="1" ht="30.75" hidden="1" customHeight="1">
      <c r="A88" s="2252"/>
      <c r="B88" s="1797">
        <v>20</v>
      </c>
      <c r="C88" s="1794"/>
      <c r="D88" s="1794"/>
      <c r="E88" s="1794"/>
      <c r="F88" s="1794"/>
      <c r="G88" s="1794"/>
      <c r="H88" s="1794"/>
      <c r="I88" s="1794"/>
      <c r="J88" s="1794"/>
      <c r="K88" s="1794"/>
      <c r="L88" s="1794"/>
      <c r="M88" s="1794"/>
      <c r="N88" s="1794"/>
      <c r="O88" s="1809"/>
      <c r="P88" s="1812">
        <f t="shared" si="7"/>
        <v>0</v>
      </c>
      <c r="Q88" s="1815"/>
    </row>
    <row r="89" spans="1:18" s="1788" customFormat="1" ht="30.75" hidden="1" customHeight="1">
      <c r="A89" s="2252"/>
      <c r="B89" s="1797">
        <v>21</v>
      </c>
      <c r="C89" s="1794"/>
      <c r="D89" s="1794"/>
      <c r="E89" s="1794"/>
      <c r="F89" s="1794"/>
      <c r="G89" s="1794"/>
      <c r="H89" s="1794"/>
      <c r="I89" s="1794"/>
      <c r="J89" s="1794"/>
      <c r="K89" s="1794"/>
      <c r="L89" s="1794"/>
      <c r="M89" s="1794"/>
      <c r="N89" s="1794"/>
      <c r="O89" s="1809"/>
      <c r="P89" s="1812">
        <f t="shared" si="7"/>
        <v>0</v>
      </c>
      <c r="Q89" s="1815"/>
    </row>
    <row r="90" spans="1:18" s="1788" customFormat="1" ht="30.75" hidden="1" customHeight="1">
      <c r="A90" s="2252"/>
      <c r="B90" s="1797">
        <v>22</v>
      </c>
      <c r="C90" s="1794"/>
      <c r="D90" s="1794"/>
      <c r="E90" s="1794"/>
      <c r="F90" s="1794"/>
      <c r="G90" s="1794"/>
      <c r="H90" s="1794"/>
      <c r="I90" s="1794"/>
      <c r="J90" s="1794"/>
      <c r="K90" s="1794"/>
      <c r="L90" s="1794"/>
      <c r="M90" s="1794"/>
      <c r="N90" s="1794"/>
      <c r="O90" s="1809"/>
      <c r="P90" s="1812">
        <f t="shared" si="7"/>
        <v>0</v>
      </c>
      <c r="Q90" s="1815"/>
    </row>
    <row r="91" spans="1:18" s="1788" customFormat="1" ht="30.75" hidden="1" customHeight="1">
      <c r="A91" s="2252"/>
      <c r="B91" s="1797">
        <v>23</v>
      </c>
      <c r="C91" s="1794"/>
      <c r="D91" s="1794"/>
      <c r="E91" s="1794"/>
      <c r="F91" s="1794"/>
      <c r="G91" s="1794"/>
      <c r="H91" s="1794"/>
      <c r="I91" s="1794"/>
      <c r="J91" s="1794"/>
      <c r="K91" s="1794"/>
      <c r="L91" s="1794"/>
      <c r="M91" s="1794"/>
      <c r="N91" s="1794"/>
      <c r="O91" s="1809"/>
      <c r="P91" s="1812">
        <f t="shared" si="7"/>
        <v>0</v>
      </c>
      <c r="Q91" s="1815"/>
    </row>
    <row r="92" spans="1:18" s="1788" customFormat="1" ht="30.75" hidden="1" customHeight="1">
      <c r="A92" s="2252"/>
      <c r="B92" s="1797">
        <v>24</v>
      </c>
      <c r="C92" s="1794"/>
      <c r="D92" s="1794"/>
      <c r="E92" s="1794"/>
      <c r="F92" s="1794"/>
      <c r="G92" s="1794"/>
      <c r="H92" s="1794"/>
      <c r="I92" s="1794"/>
      <c r="J92" s="1794"/>
      <c r="K92" s="1794"/>
      <c r="L92" s="1794"/>
      <c r="M92" s="1794"/>
      <c r="N92" s="1794"/>
      <c r="O92" s="1809"/>
      <c r="P92" s="1812">
        <f t="shared" si="7"/>
        <v>0</v>
      </c>
      <c r="Q92" s="1815"/>
    </row>
    <row r="93" spans="1:18" s="1788" customFormat="1" ht="30.75" hidden="1" customHeight="1">
      <c r="A93" s="2252"/>
      <c r="B93" s="1797">
        <v>25</v>
      </c>
      <c r="C93" s="1794"/>
      <c r="D93" s="1794"/>
      <c r="E93" s="1794"/>
      <c r="F93" s="1794"/>
      <c r="G93" s="1794"/>
      <c r="H93" s="1794"/>
      <c r="I93" s="1794"/>
      <c r="J93" s="1794"/>
      <c r="K93" s="1794"/>
      <c r="L93" s="1794"/>
      <c r="M93" s="1794"/>
      <c r="N93" s="1794"/>
      <c r="O93" s="1809"/>
      <c r="P93" s="1812">
        <f t="shared" si="7"/>
        <v>0</v>
      </c>
      <c r="Q93" s="1815"/>
    </row>
    <row r="94" spans="1:18" s="1788" customFormat="1" ht="30.75" hidden="1" customHeight="1">
      <c r="A94" s="2252"/>
      <c r="B94" s="1797">
        <v>26</v>
      </c>
      <c r="C94" s="1794"/>
      <c r="D94" s="1794"/>
      <c r="E94" s="1794"/>
      <c r="F94" s="1794"/>
      <c r="G94" s="1794"/>
      <c r="H94" s="1794"/>
      <c r="I94" s="1794"/>
      <c r="J94" s="1794"/>
      <c r="K94" s="1794"/>
      <c r="L94" s="1794"/>
      <c r="M94" s="1794"/>
      <c r="N94" s="1794"/>
      <c r="O94" s="1809"/>
      <c r="P94" s="1812">
        <f t="shared" si="7"/>
        <v>0</v>
      </c>
      <c r="Q94" s="1815"/>
    </row>
    <row r="95" spans="1:18" s="1788" customFormat="1" ht="30.75" customHeight="1">
      <c r="A95" s="2252"/>
      <c r="B95" s="1797"/>
      <c r="C95" s="1794"/>
      <c r="D95" s="1794"/>
      <c r="E95" s="1794"/>
      <c r="F95" s="1794"/>
      <c r="G95" s="1794"/>
      <c r="H95" s="1794"/>
      <c r="I95" s="1794"/>
      <c r="J95" s="1794"/>
      <c r="K95" s="1794"/>
      <c r="L95" s="1794"/>
      <c r="M95" s="1794"/>
      <c r="N95" s="1794">
        <f>'LAPORAN KAS PERIODE'!E18</f>
        <v>81209</v>
      </c>
      <c r="O95" s="1809" t="s">
        <v>422</v>
      </c>
      <c r="P95" s="1812">
        <f t="shared" si="7"/>
        <v>81209</v>
      </c>
      <c r="Q95" s="1815"/>
    </row>
    <row r="96" spans="1:18" s="1788" customFormat="1" ht="30.75" customHeight="1">
      <c r="A96" s="2252"/>
      <c r="B96" s="1797"/>
      <c r="C96" s="1794"/>
      <c r="D96" s="1794"/>
      <c r="E96" s="1794"/>
      <c r="F96" s="1794"/>
      <c r="G96" s="1794"/>
      <c r="H96" s="1794"/>
      <c r="I96" s="1794"/>
      <c r="J96" s="1794"/>
      <c r="K96" s="1794"/>
      <c r="L96" s="1794"/>
      <c r="M96" s="1794"/>
      <c r="N96" s="1794">
        <f>'LAPORAN KAS PERIODE'!E19</f>
        <v>634741</v>
      </c>
      <c r="O96" s="1809" t="s">
        <v>423</v>
      </c>
      <c r="P96" s="1812">
        <f t="shared" si="7"/>
        <v>634741</v>
      </c>
      <c r="Q96" s="1815"/>
    </row>
    <row r="97" spans="1:18" s="1788" customFormat="1" ht="30.75" customHeight="1">
      <c r="A97" s="2252"/>
      <c r="B97" s="1797"/>
      <c r="C97" s="1794"/>
      <c r="D97" s="1794"/>
      <c r="E97" s="1794"/>
      <c r="F97" s="1794"/>
      <c r="G97" s="1794"/>
      <c r="H97" s="1794"/>
      <c r="I97" s="1794"/>
      <c r="J97" s="1794"/>
      <c r="K97" s="1794"/>
      <c r="L97" s="1794"/>
      <c r="M97" s="1794"/>
      <c r="N97" s="1794">
        <f>'LAPORAN KAS PERIODE'!E20</f>
        <v>122797</v>
      </c>
      <c r="O97" s="1809" t="s">
        <v>424</v>
      </c>
      <c r="P97" s="1812">
        <f t="shared" si="7"/>
        <v>122797</v>
      </c>
      <c r="Q97" s="1815"/>
    </row>
    <row r="98" spans="1:18" s="1788" customFormat="1" ht="30.75" customHeight="1">
      <c r="A98" s="2252"/>
      <c r="B98" s="1797"/>
      <c r="C98" s="1794"/>
      <c r="D98" s="1794"/>
      <c r="E98" s="1794"/>
      <c r="F98" s="1794"/>
      <c r="G98" s="1794"/>
      <c r="H98" s="1794"/>
      <c r="I98" s="1794"/>
      <c r="J98" s="1794"/>
      <c r="K98" s="1794"/>
      <c r="L98" s="1794"/>
      <c r="M98" s="1794"/>
      <c r="N98" s="1794">
        <f>'LAPORAN KAS PERIODE'!E21</f>
        <v>1622562</v>
      </c>
      <c r="O98" s="1809" t="s">
        <v>425</v>
      </c>
      <c r="P98" s="1812">
        <f t="shared" si="7"/>
        <v>1622562</v>
      </c>
      <c r="Q98" s="1815"/>
    </row>
    <row r="99" spans="1:18" s="1788" customFormat="1" ht="30.75" customHeight="1">
      <c r="A99" s="2252"/>
      <c r="B99" s="1797"/>
      <c r="C99" s="1794"/>
      <c r="D99" s="1794"/>
      <c r="E99" s="1794"/>
      <c r="F99" s="1794"/>
      <c r="G99" s="1794"/>
      <c r="H99" s="1794"/>
      <c r="I99" s="1794"/>
      <c r="J99" s="1794"/>
      <c r="K99" s="1794"/>
      <c r="L99" s="1794"/>
      <c r="M99" s="1794"/>
      <c r="N99" s="1794">
        <f>'LAPORAN KAS PERIODE'!E24</f>
        <v>11438</v>
      </c>
      <c r="O99" s="1809" t="s">
        <v>426</v>
      </c>
      <c r="P99" s="1812">
        <f t="shared" si="7"/>
        <v>11438</v>
      </c>
      <c r="Q99" s="1815"/>
    </row>
    <row r="100" spans="1:18" s="1788" customFormat="1" ht="30.75" customHeight="1">
      <c r="A100" s="1800" t="s">
        <v>234</v>
      </c>
      <c r="B100" s="1801"/>
      <c r="C100" s="1802">
        <f t="shared" ref="C100:N100" si="8">SUM(C80:C99)</f>
        <v>0</v>
      </c>
      <c r="D100" s="1802">
        <f t="shared" si="8"/>
        <v>0</v>
      </c>
      <c r="E100" s="1802">
        <f t="shared" si="8"/>
        <v>91000</v>
      </c>
      <c r="F100" s="1802">
        <f t="shared" si="8"/>
        <v>0</v>
      </c>
      <c r="G100" s="1802">
        <f t="shared" si="8"/>
        <v>0</v>
      </c>
      <c r="H100" s="1802">
        <f t="shared" si="8"/>
        <v>0</v>
      </c>
      <c r="I100" s="1802">
        <f t="shared" si="8"/>
        <v>0</v>
      </c>
      <c r="J100" s="1802">
        <f t="shared" si="8"/>
        <v>0</v>
      </c>
      <c r="K100" s="1802">
        <f t="shared" si="8"/>
        <v>0</v>
      </c>
      <c r="L100" s="1802">
        <f t="shared" si="8"/>
        <v>5000</v>
      </c>
      <c r="M100" s="1802">
        <f t="shared" si="8"/>
        <v>0</v>
      </c>
      <c r="N100" s="1802">
        <f t="shared" si="8"/>
        <v>2779247</v>
      </c>
      <c r="O100" s="1810"/>
      <c r="P100" s="1811">
        <f>SUM(P80:P99)</f>
        <v>2875247</v>
      </c>
      <c r="Q100" s="1816">
        <f>Q79+P100</f>
        <v>13194885</v>
      </c>
    </row>
    <row r="101" spans="1:18" s="1788" customFormat="1" ht="30.75" customHeight="1">
      <c r="A101" s="2254">
        <v>46033</v>
      </c>
      <c r="B101" s="1797">
        <v>17</v>
      </c>
      <c r="C101" s="1794"/>
      <c r="D101" s="1794"/>
      <c r="E101" s="1794"/>
      <c r="F101" s="1794"/>
      <c r="G101" s="1794"/>
      <c r="H101" s="1794"/>
      <c r="I101" s="1794"/>
      <c r="J101" s="1794"/>
      <c r="K101" s="1794"/>
      <c r="L101" s="1794"/>
      <c r="M101" s="1794"/>
      <c r="N101" s="1794">
        <v>30100</v>
      </c>
      <c r="O101" s="1809" t="s">
        <v>435</v>
      </c>
      <c r="P101" s="1812">
        <f>SUM(C101:N101)</f>
        <v>30100</v>
      </c>
      <c r="Q101" s="1815"/>
    </row>
    <row r="102" spans="1:18" s="1788" customFormat="1" ht="30.75" customHeight="1">
      <c r="A102" s="2255"/>
      <c r="B102" s="1797">
        <v>18</v>
      </c>
      <c r="C102" s="1794"/>
      <c r="D102" s="1794"/>
      <c r="E102" s="1794"/>
      <c r="F102" s="1794"/>
      <c r="G102" s="1794"/>
      <c r="H102" s="1794"/>
      <c r="I102" s="1794"/>
      <c r="J102" s="1794"/>
      <c r="K102" s="1794"/>
      <c r="L102" s="1794"/>
      <c r="M102" s="1794"/>
      <c r="N102" s="1794">
        <v>203000</v>
      </c>
      <c r="O102" s="1809" t="s">
        <v>436</v>
      </c>
      <c r="P102" s="1812">
        <f t="shared" ref="P102:P119" si="9">SUM(C102:N102)</f>
        <v>203000</v>
      </c>
      <c r="Q102" s="1815"/>
    </row>
    <row r="103" spans="1:18" s="1788" customFormat="1" ht="30.75" customHeight="1">
      <c r="A103" s="2255"/>
      <c r="B103" s="1797">
        <v>19</v>
      </c>
      <c r="C103" s="1794"/>
      <c r="D103" s="1794">
        <v>38300</v>
      </c>
      <c r="E103" s="1794">
        <v>88000</v>
      </c>
      <c r="F103" s="1794"/>
      <c r="G103" s="1794"/>
      <c r="H103" s="1794">
        <v>40700</v>
      </c>
      <c r="I103" s="1794"/>
      <c r="J103" s="1794">
        <v>44200</v>
      </c>
      <c r="K103" s="1794"/>
      <c r="L103" s="1794"/>
      <c r="M103" s="1794"/>
      <c r="N103" s="1794"/>
      <c r="O103" s="1809" t="s">
        <v>437</v>
      </c>
      <c r="P103" s="1812">
        <f t="shared" si="9"/>
        <v>211200</v>
      </c>
      <c r="Q103" s="1815"/>
    </row>
    <row r="104" spans="1:18" s="1788" customFormat="1" ht="30.75" customHeight="1">
      <c r="A104" s="2255"/>
      <c r="B104" s="1797">
        <v>20</v>
      </c>
      <c r="C104" s="1794"/>
      <c r="D104" s="1794"/>
      <c r="E104" s="1794"/>
      <c r="F104" s="1794"/>
      <c r="G104" s="1794"/>
      <c r="H104" s="1794"/>
      <c r="I104" s="1794"/>
      <c r="J104" s="1794"/>
      <c r="K104" s="1794"/>
      <c r="L104" s="1794"/>
      <c r="M104" s="1794"/>
      <c r="N104" s="1794">
        <v>410000</v>
      </c>
      <c r="O104" s="1809" t="s">
        <v>438</v>
      </c>
      <c r="P104" s="1812">
        <f t="shared" si="9"/>
        <v>410000</v>
      </c>
      <c r="Q104" s="1815">
        <f>SUM(P101:P114)</f>
        <v>872300</v>
      </c>
    </row>
    <row r="105" spans="1:18" s="1788" customFormat="1" ht="30.75" customHeight="1">
      <c r="A105" s="2255"/>
      <c r="B105" s="1797">
        <v>21</v>
      </c>
      <c r="C105" s="1794"/>
      <c r="D105" s="1794"/>
      <c r="E105" s="1794"/>
      <c r="F105" s="1794"/>
      <c r="G105" s="1794"/>
      <c r="H105" s="1794"/>
      <c r="I105" s="1794"/>
      <c r="J105" s="1794">
        <v>18000</v>
      </c>
      <c r="K105" s="1794"/>
      <c r="L105" s="1794"/>
      <c r="M105" s="1794"/>
      <c r="N105" s="1794"/>
      <c r="O105" s="1809" t="s">
        <v>439</v>
      </c>
      <c r="P105" s="1812">
        <f t="shared" si="9"/>
        <v>18000</v>
      </c>
      <c r="Q105" s="1815"/>
    </row>
    <row r="106" spans="1:18" s="1788" customFormat="1" ht="30.75" hidden="1" customHeight="1">
      <c r="A106" s="2255"/>
      <c r="B106" s="1797"/>
      <c r="C106" s="1794"/>
      <c r="D106" s="1794"/>
      <c r="E106" s="1794"/>
      <c r="F106" s="1794"/>
      <c r="G106" s="1794"/>
      <c r="H106" s="1794"/>
      <c r="I106" s="1794"/>
      <c r="J106" s="1794"/>
      <c r="K106" s="1794"/>
      <c r="L106" s="1794"/>
      <c r="M106" s="1794"/>
      <c r="N106" s="1794"/>
      <c r="O106" s="1809"/>
      <c r="P106" s="1812">
        <f t="shared" si="9"/>
        <v>0</v>
      </c>
      <c r="Q106" s="1815"/>
    </row>
    <row r="107" spans="1:18" s="1788" customFormat="1" ht="30.75" hidden="1" customHeight="1">
      <c r="A107" s="2255"/>
      <c r="B107" s="1797"/>
      <c r="C107" s="1794"/>
      <c r="D107" s="1794"/>
      <c r="E107" s="1794"/>
      <c r="F107" s="1794"/>
      <c r="G107" s="1794"/>
      <c r="H107" s="1794"/>
      <c r="I107" s="1794"/>
      <c r="J107" s="1794"/>
      <c r="K107" s="1794"/>
      <c r="L107" s="1794"/>
      <c r="M107" s="1794"/>
      <c r="N107" s="1794"/>
      <c r="O107" s="1809"/>
      <c r="P107" s="1812">
        <f t="shared" si="9"/>
        <v>0</v>
      </c>
      <c r="Q107" s="1815"/>
    </row>
    <row r="108" spans="1:18" s="1788" customFormat="1" ht="30.75" hidden="1" customHeight="1">
      <c r="A108" s="2255"/>
      <c r="B108" s="1797"/>
      <c r="C108" s="1794"/>
      <c r="D108" s="1794"/>
      <c r="E108" s="1794"/>
      <c r="F108" s="1794"/>
      <c r="G108" s="1794"/>
      <c r="H108" s="1794"/>
      <c r="I108" s="1794"/>
      <c r="J108" s="1794"/>
      <c r="K108" s="1794"/>
      <c r="L108" s="1794"/>
      <c r="M108" s="1794"/>
      <c r="N108" s="1794"/>
      <c r="O108" s="1809"/>
      <c r="P108" s="1812">
        <f t="shared" si="9"/>
        <v>0</v>
      </c>
      <c r="Q108" s="1815"/>
    </row>
    <row r="109" spans="1:18" s="1788" customFormat="1" ht="30.75" hidden="1" customHeight="1">
      <c r="A109" s="2255"/>
      <c r="B109" s="1797"/>
      <c r="C109" s="1794"/>
      <c r="D109" s="1794"/>
      <c r="E109" s="1794"/>
      <c r="F109" s="1794"/>
      <c r="G109" s="1794"/>
      <c r="H109" s="1794"/>
      <c r="I109" s="1794"/>
      <c r="J109" s="1794"/>
      <c r="K109" s="1794"/>
      <c r="L109" s="1794"/>
      <c r="M109" s="1794"/>
      <c r="N109" s="1794"/>
      <c r="O109" s="1809"/>
      <c r="P109" s="1812">
        <f t="shared" si="9"/>
        <v>0</v>
      </c>
      <c r="Q109" s="1815"/>
    </row>
    <row r="110" spans="1:18" s="1788" customFormat="1" ht="30.75" hidden="1" customHeight="1">
      <c r="A110" s="2255"/>
      <c r="B110" s="1797"/>
      <c r="C110" s="1794"/>
      <c r="D110" s="1794"/>
      <c r="E110" s="1794"/>
      <c r="F110" s="1794"/>
      <c r="G110" s="1794"/>
      <c r="H110" s="1794"/>
      <c r="I110" s="1794"/>
      <c r="J110" s="1794"/>
      <c r="K110" s="1794"/>
      <c r="L110" s="1794"/>
      <c r="M110" s="1794"/>
      <c r="N110" s="1794"/>
      <c r="O110" s="1809"/>
      <c r="P110" s="1812">
        <f t="shared" si="9"/>
        <v>0</v>
      </c>
      <c r="Q110" s="1815"/>
    </row>
    <row r="111" spans="1:18" s="1788" customFormat="1" ht="30.75" hidden="1" customHeight="1">
      <c r="A111" s="2255"/>
      <c r="B111" s="1797"/>
      <c r="C111" s="1794"/>
      <c r="D111" s="1794"/>
      <c r="E111" s="1794"/>
      <c r="F111" s="1794"/>
      <c r="G111" s="1794"/>
      <c r="H111" s="1794"/>
      <c r="I111" s="1794"/>
      <c r="J111" s="1794"/>
      <c r="K111" s="1794"/>
      <c r="L111" s="1794"/>
      <c r="M111" s="1794"/>
      <c r="N111" s="1794"/>
      <c r="O111" s="1809"/>
      <c r="P111" s="1812">
        <f t="shared" si="9"/>
        <v>0</v>
      </c>
      <c r="Q111" s="1815"/>
      <c r="R111" s="1817"/>
    </row>
    <row r="112" spans="1:18" s="1788" customFormat="1" ht="30.75" hidden="1" customHeight="1">
      <c r="A112" s="2255"/>
      <c r="B112" s="1797"/>
      <c r="C112" s="1794"/>
      <c r="D112" s="1794"/>
      <c r="E112" s="1794"/>
      <c r="F112" s="1794"/>
      <c r="G112" s="1794"/>
      <c r="H112" s="1794"/>
      <c r="I112" s="1794"/>
      <c r="J112" s="1794"/>
      <c r="K112" s="1794"/>
      <c r="L112" s="1794"/>
      <c r="M112" s="1794"/>
      <c r="N112" s="1794"/>
      <c r="O112" s="1809"/>
      <c r="P112" s="1812">
        <f t="shared" si="9"/>
        <v>0</v>
      </c>
      <c r="Q112" s="1815"/>
      <c r="R112" s="1817"/>
    </row>
    <row r="113" spans="1:18" s="1788" customFormat="1" ht="30.75" hidden="1" customHeight="1">
      <c r="A113" s="2255"/>
      <c r="B113" s="1797"/>
      <c r="C113" s="1794"/>
      <c r="D113" s="1794"/>
      <c r="E113" s="1794"/>
      <c r="F113" s="1794"/>
      <c r="G113" s="1794"/>
      <c r="H113" s="1794"/>
      <c r="I113" s="1794"/>
      <c r="J113" s="1794"/>
      <c r="K113" s="1794"/>
      <c r="L113" s="1794"/>
      <c r="M113" s="1794"/>
      <c r="N113" s="1794"/>
      <c r="O113" s="1809"/>
      <c r="P113" s="1812">
        <f t="shared" si="9"/>
        <v>0</v>
      </c>
      <c r="Q113" s="1815"/>
      <c r="R113" s="1817"/>
    </row>
    <row r="114" spans="1:18" s="1788" customFormat="1" ht="30.75" hidden="1" customHeight="1">
      <c r="A114" s="2255"/>
      <c r="B114" s="1797"/>
      <c r="C114" s="1794"/>
      <c r="D114" s="1794"/>
      <c r="E114" s="1794"/>
      <c r="F114" s="1794"/>
      <c r="G114" s="1794"/>
      <c r="H114" s="1794"/>
      <c r="I114" s="1794"/>
      <c r="J114" s="1794"/>
      <c r="K114" s="1794"/>
      <c r="L114" s="1794"/>
      <c r="M114" s="1794"/>
      <c r="N114" s="1794"/>
      <c r="O114" s="1809"/>
      <c r="P114" s="1812">
        <f t="shared" si="9"/>
        <v>0</v>
      </c>
      <c r="Q114" s="1815"/>
      <c r="R114" s="1817">
        <f>SUM(P101:P110)</f>
        <v>872300</v>
      </c>
    </row>
    <row r="115" spans="1:18" s="1788" customFormat="1" ht="30.75" customHeight="1">
      <c r="A115" s="2255"/>
      <c r="B115" s="1797"/>
      <c r="C115" s="1794"/>
      <c r="D115" s="1794"/>
      <c r="E115" s="1794"/>
      <c r="F115" s="1794"/>
      <c r="G115" s="1794"/>
      <c r="H115" s="1794"/>
      <c r="I115" s="1794"/>
      <c r="J115" s="1794"/>
      <c r="K115" s="1794"/>
      <c r="L115" s="1794"/>
      <c r="M115" s="1794"/>
      <c r="N115" s="1794">
        <f>'LAPORAN KAS PERIODE'!F18</f>
        <v>165791</v>
      </c>
      <c r="O115" s="1809" t="s">
        <v>422</v>
      </c>
      <c r="P115" s="1812">
        <f t="shared" si="9"/>
        <v>165791</v>
      </c>
      <c r="Q115" s="1815"/>
    </row>
    <row r="116" spans="1:18" s="1788" customFormat="1" ht="30.75" customHeight="1">
      <c r="A116" s="2255"/>
      <c r="B116" s="1797"/>
      <c r="C116" s="1794"/>
      <c r="D116" s="1794"/>
      <c r="E116" s="1794"/>
      <c r="F116" s="1794"/>
      <c r="G116" s="1794"/>
      <c r="H116" s="1794"/>
      <c r="I116" s="1794"/>
      <c r="J116" s="1794"/>
      <c r="K116" s="1794"/>
      <c r="L116" s="1794"/>
      <c r="M116" s="1794"/>
      <c r="N116" s="1794">
        <f>'LAPORAN KAS PERIODE'!F19</f>
        <v>678466</v>
      </c>
      <c r="O116" s="1809" t="s">
        <v>423</v>
      </c>
      <c r="P116" s="1812">
        <f t="shared" si="9"/>
        <v>678466</v>
      </c>
      <c r="Q116" s="1815"/>
    </row>
    <row r="117" spans="1:18" s="1788" customFormat="1" ht="30.75" customHeight="1">
      <c r="A117" s="2255"/>
      <c r="B117" s="1797"/>
      <c r="C117" s="1794"/>
      <c r="D117" s="1794"/>
      <c r="E117" s="1794"/>
      <c r="F117" s="1794"/>
      <c r="G117" s="1794"/>
      <c r="H117" s="1794"/>
      <c r="I117" s="1794"/>
      <c r="J117" s="1794"/>
      <c r="K117" s="1794"/>
      <c r="L117" s="1794"/>
      <c r="M117" s="1794"/>
      <c r="N117" s="1794">
        <f>'LAPORAN KAS PERIODE'!F20</f>
        <v>86928</v>
      </c>
      <c r="O117" s="1809" t="s">
        <v>424</v>
      </c>
      <c r="P117" s="1812">
        <f t="shared" si="9"/>
        <v>86928</v>
      </c>
      <c r="Q117" s="1815"/>
    </row>
    <row r="118" spans="1:18" s="1788" customFormat="1" ht="30.75" customHeight="1">
      <c r="A118" s="2255"/>
      <c r="B118" s="1797"/>
      <c r="C118" s="1794"/>
      <c r="D118" s="1794"/>
      <c r="E118" s="1794"/>
      <c r="F118" s="1794"/>
      <c r="G118" s="1794"/>
      <c r="H118" s="1794"/>
      <c r="I118" s="1794"/>
      <c r="J118" s="1794"/>
      <c r="K118" s="1794"/>
      <c r="L118" s="1794"/>
      <c r="M118" s="1794"/>
      <c r="N118" s="1794">
        <f>'LAPORAN KAS PERIODE'!F21</f>
        <v>1730799</v>
      </c>
      <c r="O118" s="1809" t="s">
        <v>425</v>
      </c>
      <c r="P118" s="1812">
        <f t="shared" si="9"/>
        <v>1730799</v>
      </c>
      <c r="Q118" s="1815"/>
    </row>
    <row r="119" spans="1:18" s="1788" customFormat="1" ht="30.75" customHeight="1">
      <c r="A119" s="2255"/>
      <c r="B119" s="1797"/>
      <c r="C119" s="1794"/>
      <c r="D119" s="1794"/>
      <c r="E119" s="1794"/>
      <c r="F119" s="1794"/>
      <c r="G119" s="1794"/>
      <c r="H119" s="1794"/>
      <c r="I119" s="1794"/>
      <c r="J119" s="1794"/>
      <c r="K119" s="1794"/>
      <c r="L119" s="1794"/>
      <c r="M119" s="1794"/>
      <c r="N119" s="1794">
        <f>'LAPORAN KAS PERIODE'!F24</f>
        <v>12201</v>
      </c>
      <c r="O119" s="1809" t="s">
        <v>426</v>
      </c>
      <c r="P119" s="1812">
        <f t="shared" si="9"/>
        <v>12201</v>
      </c>
      <c r="Q119" s="1815"/>
    </row>
    <row r="120" spans="1:18" s="1788" customFormat="1" ht="30.75" customHeight="1">
      <c r="A120" s="1800" t="s">
        <v>234</v>
      </c>
      <c r="B120" s="1819"/>
      <c r="C120" s="1802">
        <f>SUM(C101:C119)</f>
        <v>0</v>
      </c>
      <c r="D120" s="1802">
        <f t="shared" ref="D120:N120" si="10">SUM(D101:D119)</f>
        <v>38300</v>
      </c>
      <c r="E120" s="1802">
        <f t="shared" si="10"/>
        <v>88000</v>
      </c>
      <c r="F120" s="1802">
        <f t="shared" si="10"/>
        <v>0</v>
      </c>
      <c r="G120" s="1802">
        <f t="shared" si="10"/>
        <v>0</v>
      </c>
      <c r="H120" s="1802">
        <f t="shared" si="10"/>
        <v>40700</v>
      </c>
      <c r="I120" s="1802">
        <f t="shared" si="10"/>
        <v>0</v>
      </c>
      <c r="J120" s="1802">
        <f t="shared" si="10"/>
        <v>62200</v>
      </c>
      <c r="K120" s="1802">
        <f t="shared" si="10"/>
        <v>0</v>
      </c>
      <c r="L120" s="1802">
        <f t="shared" si="10"/>
        <v>0</v>
      </c>
      <c r="M120" s="1802">
        <f t="shared" si="10"/>
        <v>0</v>
      </c>
      <c r="N120" s="1802">
        <f t="shared" si="10"/>
        <v>3317285</v>
      </c>
      <c r="O120" s="1810" t="s">
        <v>61</v>
      </c>
      <c r="P120" s="1811">
        <f>SUM(P101:P119)</f>
        <v>3546485</v>
      </c>
      <c r="Q120" s="1816">
        <f>Q100+P120</f>
        <v>16741370</v>
      </c>
    </row>
    <row r="121" spans="1:18" s="1788" customFormat="1" ht="30.75" customHeight="1">
      <c r="A121" s="2254">
        <v>46034</v>
      </c>
      <c r="B121" s="1797">
        <v>22</v>
      </c>
      <c r="C121" s="1794"/>
      <c r="D121" s="1794"/>
      <c r="E121" s="1794">
        <v>16000</v>
      </c>
      <c r="F121" s="1794"/>
      <c r="G121" s="1794"/>
      <c r="H121" s="1794"/>
      <c r="I121" s="1794"/>
      <c r="J121" s="1794"/>
      <c r="K121" s="1794"/>
      <c r="L121" s="1794"/>
      <c r="M121" s="1794"/>
      <c r="N121" s="1794"/>
      <c r="O121" s="1809" t="s">
        <v>140</v>
      </c>
      <c r="P121" s="1812">
        <f>SUM(C121:N121)</f>
        <v>16000</v>
      </c>
      <c r="Q121" s="1815"/>
    </row>
    <row r="122" spans="1:18" s="1788" customFormat="1" ht="30.75" customHeight="1">
      <c r="A122" s="2255"/>
      <c r="B122" s="1797">
        <v>23</v>
      </c>
      <c r="C122" s="1794"/>
      <c r="D122" s="1794"/>
      <c r="E122" s="1794"/>
      <c r="F122" s="1794"/>
      <c r="G122" s="1794"/>
      <c r="H122" s="1794"/>
      <c r="I122" s="1794"/>
      <c r="J122" s="1794"/>
      <c r="K122" s="1794">
        <v>25000</v>
      </c>
      <c r="L122" s="1794"/>
      <c r="M122" s="1794"/>
      <c r="N122" s="1794"/>
      <c r="O122" s="1809" t="s">
        <v>440</v>
      </c>
      <c r="P122" s="1812">
        <f t="shared" ref="P122:P138" si="11">SUM(C122:N122)</f>
        <v>25000</v>
      </c>
      <c r="Q122" s="1815"/>
    </row>
    <row r="123" spans="1:18" s="1788" customFormat="1" ht="30.75" customHeight="1">
      <c r="A123" s="2255"/>
      <c r="B123" s="1797">
        <v>24</v>
      </c>
      <c r="C123" s="1794"/>
      <c r="D123" s="1794">
        <v>6000</v>
      </c>
      <c r="E123" s="1794"/>
      <c r="F123" s="1794"/>
      <c r="G123" s="1794"/>
      <c r="H123" s="1794"/>
      <c r="I123" s="1794">
        <v>93000</v>
      </c>
      <c r="J123" s="1794"/>
      <c r="K123" s="1794"/>
      <c r="L123" s="1794"/>
      <c r="M123" s="1794"/>
      <c r="N123" s="1794"/>
      <c r="O123" s="1809" t="s">
        <v>428</v>
      </c>
      <c r="P123" s="1812">
        <f t="shared" si="11"/>
        <v>99000</v>
      </c>
      <c r="Q123" s="1815"/>
    </row>
    <row r="124" spans="1:18" s="1788" customFormat="1" ht="30.75" customHeight="1">
      <c r="A124" s="2255"/>
      <c r="B124" s="1797">
        <v>25</v>
      </c>
      <c r="C124" s="1794"/>
      <c r="D124" s="1794">
        <v>5000</v>
      </c>
      <c r="E124" s="1794"/>
      <c r="F124" s="1794"/>
      <c r="G124" s="1794"/>
      <c r="H124" s="1794"/>
      <c r="I124" s="1794">
        <v>136000</v>
      </c>
      <c r="J124" s="1794"/>
      <c r="K124" s="1794"/>
      <c r="L124" s="1794"/>
      <c r="M124" s="1794"/>
      <c r="N124" s="1794"/>
      <c r="O124" s="1809" t="s">
        <v>441</v>
      </c>
      <c r="P124" s="1812">
        <f t="shared" si="11"/>
        <v>141000</v>
      </c>
      <c r="Q124" s="1815"/>
    </row>
    <row r="125" spans="1:18" s="1788" customFormat="1" ht="30.75" customHeight="1">
      <c r="A125" s="2255"/>
      <c r="B125" s="1797">
        <v>26</v>
      </c>
      <c r="C125" s="1794"/>
      <c r="D125" s="1794"/>
      <c r="E125" s="1794"/>
      <c r="F125" s="1794"/>
      <c r="G125" s="1794"/>
      <c r="H125" s="1794"/>
      <c r="I125" s="1794"/>
      <c r="J125" s="1794"/>
      <c r="K125" s="1794"/>
      <c r="L125" s="1794">
        <v>5000</v>
      </c>
      <c r="M125" s="1794"/>
      <c r="N125" s="1794"/>
      <c r="O125" s="1809" t="s">
        <v>429</v>
      </c>
      <c r="P125" s="1812">
        <f t="shared" si="11"/>
        <v>5000</v>
      </c>
      <c r="Q125" s="1815">
        <f>SUM(P121:P133)</f>
        <v>286000</v>
      </c>
    </row>
    <row r="126" spans="1:18" s="1788" customFormat="1" ht="30.75" hidden="1" customHeight="1">
      <c r="A126" s="2255"/>
      <c r="B126" s="1797"/>
      <c r="C126" s="1794"/>
      <c r="D126" s="1794"/>
      <c r="E126" s="1794"/>
      <c r="F126" s="1794"/>
      <c r="G126" s="1794"/>
      <c r="H126" s="1794"/>
      <c r="I126" s="1794"/>
      <c r="J126" s="1794"/>
      <c r="K126" s="1794"/>
      <c r="L126" s="1794"/>
      <c r="M126" s="1794"/>
      <c r="N126" s="1794"/>
      <c r="O126" s="1809"/>
      <c r="P126" s="1812">
        <f t="shared" si="11"/>
        <v>0</v>
      </c>
      <c r="Q126" s="1815"/>
    </row>
    <row r="127" spans="1:18" s="1788" customFormat="1" ht="30.75" hidden="1" customHeight="1">
      <c r="A127" s="2255"/>
      <c r="B127" s="1797"/>
      <c r="C127" s="1794"/>
      <c r="D127" s="1794"/>
      <c r="E127" s="1794"/>
      <c r="F127" s="1794"/>
      <c r="G127" s="1794"/>
      <c r="H127" s="1794"/>
      <c r="I127" s="1794"/>
      <c r="J127" s="1794"/>
      <c r="K127" s="1794"/>
      <c r="L127" s="1794"/>
      <c r="M127" s="1794"/>
      <c r="N127" s="1794"/>
      <c r="O127" s="1809"/>
      <c r="P127" s="1812">
        <f t="shared" si="11"/>
        <v>0</v>
      </c>
      <c r="Q127" s="1815"/>
    </row>
    <row r="128" spans="1:18" s="1788" customFormat="1" ht="30.75" hidden="1" customHeight="1">
      <c r="A128" s="2255"/>
      <c r="B128" s="1797"/>
      <c r="C128" s="1794"/>
      <c r="D128" s="1794"/>
      <c r="E128" s="1794"/>
      <c r="F128" s="1794"/>
      <c r="G128" s="1794"/>
      <c r="H128" s="1794"/>
      <c r="I128" s="1794"/>
      <c r="J128" s="1794"/>
      <c r="K128" s="1794"/>
      <c r="L128" s="1794"/>
      <c r="M128" s="1794"/>
      <c r="N128" s="1794"/>
      <c r="O128" s="1809"/>
      <c r="P128" s="1812">
        <f t="shared" si="11"/>
        <v>0</v>
      </c>
      <c r="Q128" s="1815"/>
    </row>
    <row r="129" spans="1:17" s="1788" customFormat="1" ht="30.75" hidden="1" customHeight="1">
      <c r="A129" s="2255"/>
      <c r="B129" s="1797"/>
      <c r="C129" s="1794"/>
      <c r="D129" s="1794"/>
      <c r="E129" s="1794"/>
      <c r="F129" s="1794"/>
      <c r="G129" s="1794"/>
      <c r="H129" s="1794"/>
      <c r="I129" s="1794"/>
      <c r="J129" s="1794"/>
      <c r="K129" s="1794"/>
      <c r="L129" s="1794"/>
      <c r="M129" s="1794"/>
      <c r="N129" s="1794"/>
      <c r="O129" s="1809"/>
      <c r="P129" s="1812">
        <f t="shared" si="11"/>
        <v>0</v>
      </c>
      <c r="Q129" s="1815"/>
    </row>
    <row r="130" spans="1:17" s="1788" customFormat="1" ht="30.75" hidden="1" customHeight="1">
      <c r="A130" s="2255"/>
      <c r="B130" s="1797"/>
      <c r="C130" s="1794"/>
      <c r="D130" s="1794"/>
      <c r="E130" s="1794"/>
      <c r="F130" s="1794"/>
      <c r="G130" s="1794"/>
      <c r="H130" s="1794"/>
      <c r="I130" s="1794"/>
      <c r="J130" s="1794"/>
      <c r="K130" s="1794"/>
      <c r="L130" s="1794"/>
      <c r="M130" s="1794"/>
      <c r="N130" s="1794"/>
      <c r="O130" s="1809"/>
      <c r="P130" s="1812">
        <f t="shared" si="11"/>
        <v>0</v>
      </c>
      <c r="Q130" s="1815"/>
    </row>
    <row r="131" spans="1:17" s="1788" customFormat="1" ht="30.75" hidden="1" customHeight="1">
      <c r="A131" s="2255"/>
      <c r="B131" s="1797"/>
      <c r="C131" s="1794"/>
      <c r="D131" s="1794"/>
      <c r="E131" s="1794"/>
      <c r="F131" s="1794"/>
      <c r="G131" s="1794"/>
      <c r="H131" s="1794"/>
      <c r="I131" s="1794"/>
      <c r="J131" s="1794"/>
      <c r="K131" s="1794"/>
      <c r="L131" s="1794"/>
      <c r="M131" s="1794"/>
      <c r="N131" s="1794"/>
      <c r="O131" s="1809"/>
      <c r="P131" s="1812">
        <f t="shared" si="11"/>
        <v>0</v>
      </c>
      <c r="Q131" s="1815"/>
    </row>
    <row r="132" spans="1:17" s="1788" customFormat="1" ht="30.75" hidden="1" customHeight="1">
      <c r="A132" s="2255"/>
      <c r="B132" s="1797"/>
      <c r="C132" s="1794"/>
      <c r="D132" s="1794"/>
      <c r="E132" s="1794"/>
      <c r="F132" s="1794"/>
      <c r="G132" s="1794"/>
      <c r="H132" s="1794"/>
      <c r="I132" s="1794"/>
      <c r="J132" s="1794"/>
      <c r="K132" s="1794"/>
      <c r="L132" s="1794"/>
      <c r="M132" s="1794"/>
      <c r="N132" s="1794"/>
      <c r="O132" s="1809"/>
      <c r="P132" s="1812">
        <f t="shared" si="11"/>
        <v>0</v>
      </c>
      <c r="Q132" s="1815"/>
    </row>
    <row r="133" spans="1:17" s="1788" customFormat="1" ht="30.75" hidden="1" customHeight="1">
      <c r="A133" s="2255"/>
      <c r="B133" s="1797"/>
      <c r="C133" s="1794"/>
      <c r="D133" s="1794"/>
      <c r="E133" s="1794"/>
      <c r="F133" s="1794"/>
      <c r="G133" s="1794"/>
      <c r="H133" s="1794"/>
      <c r="I133" s="1794"/>
      <c r="J133" s="1794"/>
      <c r="K133" s="1794"/>
      <c r="L133" s="1794"/>
      <c r="M133" s="1794"/>
      <c r="N133" s="1794"/>
      <c r="O133" s="1809"/>
      <c r="P133" s="1812">
        <f t="shared" si="11"/>
        <v>0</v>
      </c>
      <c r="Q133" s="1815"/>
    </row>
    <row r="134" spans="1:17" s="1788" customFormat="1" ht="30.75" customHeight="1">
      <c r="A134" s="2255"/>
      <c r="B134" s="1797"/>
      <c r="C134" s="1794"/>
      <c r="D134" s="1794"/>
      <c r="E134" s="1794"/>
      <c r="F134" s="1794"/>
      <c r="G134" s="1794"/>
      <c r="H134" s="1794"/>
      <c r="I134" s="1794"/>
      <c r="J134" s="1794"/>
      <c r="K134" s="1794"/>
      <c r="L134" s="1794"/>
      <c r="M134" s="1794"/>
      <c r="N134" s="1794">
        <f>'LAPORAN KAS PERIODE'!G18</f>
        <v>193945</v>
      </c>
      <c r="O134" s="1809" t="s">
        <v>422</v>
      </c>
      <c r="P134" s="1812">
        <f t="shared" si="11"/>
        <v>193945</v>
      </c>
      <c r="Q134" s="1815"/>
    </row>
    <row r="135" spans="1:17" s="1788" customFormat="1" ht="30.75" customHeight="1">
      <c r="A135" s="2255"/>
      <c r="B135" s="1797"/>
      <c r="C135" s="1794"/>
      <c r="D135" s="1794"/>
      <c r="E135" s="1794"/>
      <c r="F135" s="1794"/>
      <c r="G135" s="1794"/>
      <c r="H135" s="1794"/>
      <c r="I135" s="1794"/>
      <c r="J135" s="1794"/>
      <c r="K135" s="1794"/>
      <c r="L135" s="1794"/>
      <c r="M135" s="1794"/>
      <c r="N135" s="1794">
        <f>'LAPORAN KAS PERIODE'!G19</f>
        <v>489505</v>
      </c>
      <c r="O135" s="1809" t="s">
        <v>423</v>
      </c>
      <c r="P135" s="1812">
        <f t="shared" si="11"/>
        <v>489505</v>
      </c>
      <c r="Q135" s="1815"/>
    </row>
    <row r="136" spans="1:17" s="1788" customFormat="1" ht="30.75" customHeight="1">
      <c r="A136" s="2255"/>
      <c r="B136" s="1797"/>
      <c r="C136" s="1794"/>
      <c r="D136" s="1794"/>
      <c r="E136" s="1794"/>
      <c r="F136" s="1794"/>
      <c r="G136" s="1794"/>
      <c r="H136" s="1794"/>
      <c r="I136" s="1794"/>
      <c r="J136" s="1794"/>
      <c r="K136" s="1794"/>
      <c r="L136" s="1794"/>
      <c r="M136" s="1794"/>
      <c r="N136" s="1794">
        <f>'LAPORAN KAS PERIODE'!G20</f>
        <v>115759</v>
      </c>
      <c r="O136" s="1809" t="s">
        <v>424</v>
      </c>
      <c r="P136" s="1812">
        <f t="shared" si="11"/>
        <v>115759</v>
      </c>
      <c r="Q136" s="1815"/>
    </row>
    <row r="137" spans="1:17" s="1788" customFormat="1" ht="30.75" customHeight="1">
      <c r="A137" s="2255"/>
      <c r="B137" s="1797"/>
      <c r="C137" s="1794"/>
      <c r="D137" s="1794"/>
      <c r="E137" s="1794"/>
      <c r="F137" s="1794"/>
      <c r="G137" s="1794"/>
      <c r="H137" s="1794"/>
      <c r="I137" s="1794"/>
      <c r="J137" s="1794"/>
      <c r="K137" s="1794"/>
      <c r="L137" s="1794"/>
      <c r="M137" s="1794"/>
      <c r="N137" s="1794">
        <f>'LAPORAN KAS PERIODE'!G21</f>
        <v>1387718</v>
      </c>
      <c r="O137" s="1809" t="s">
        <v>425</v>
      </c>
      <c r="P137" s="1812">
        <f t="shared" si="11"/>
        <v>1387718</v>
      </c>
      <c r="Q137" s="1815"/>
    </row>
    <row r="138" spans="1:17" s="1788" customFormat="1" ht="30.75" customHeight="1">
      <c r="A138" s="2255"/>
      <c r="B138" s="1797"/>
      <c r="C138" s="1794"/>
      <c r="D138" s="1794"/>
      <c r="E138" s="1794"/>
      <c r="F138" s="1794"/>
      <c r="G138" s="1794"/>
      <c r="H138" s="1794"/>
      <c r="I138" s="1794"/>
      <c r="J138" s="1794"/>
      <c r="K138" s="1794"/>
      <c r="L138" s="1794"/>
      <c r="M138" s="1794"/>
      <c r="N138" s="1794">
        <f>'LAPORAN KAS PERIODE'!G24</f>
        <v>9783</v>
      </c>
      <c r="O138" s="1809" t="s">
        <v>426</v>
      </c>
      <c r="P138" s="1812">
        <f t="shared" si="11"/>
        <v>9783</v>
      </c>
      <c r="Q138" s="1815"/>
    </row>
    <row r="139" spans="1:17" s="1788" customFormat="1" ht="30.75" hidden="1" customHeight="1">
      <c r="A139" s="2255"/>
      <c r="B139" s="1797"/>
      <c r="C139" s="1794"/>
      <c r="D139" s="1794"/>
      <c r="E139" s="1794"/>
      <c r="F139" s="1794"/>
      <c r="G139" s="1794"/>
      <c r="H139" s="1794"/>
      <c r="I139" s="1794"/>
      <c r="J139" s="1794"/>
      <c r="K139" s="1794"/>
      <c r="L139" s="1794"/>
      <c r="M139" s="1794"/>
      <c r="N139" s="1794"/>
      <c r="O139" s="1809"/>
      <c r="P139" s="1812">
        <f t="shared" ref="P139:P153" si="12">SUM(C139:N139)</f>
        <v>0</v>
      </c>
      <c r="Q139" s="1815"/>
    </row>
    <row r="140" spans="1:17" s="1788" customFormat="1" ht="30.75" hidden="1" customHeight="1">
      <c r="A140" s="2255"/>
      <c r="B140" s="1797"/>
      <c r="C140" s="1794"/>
      <c r="D140" s="1794"/>
      <c r="E140" s="1794"/>
      <c r="F140" s="1794"/>
      <c r="G140" s="1794"/>
      <c r="H140" s="1794"/>
      <c r="I140" s="1794"/>
      <c r="J140" s="1794"/>
      <c r="K140" s="1794"/>
      <c r="L140" s="1794"/>
      <c r="M140" s="1794"/>
      <c r="N140" s="1794"/>
      <c r="O140" s="1809"/>
      <c r="P140" s="1812">
        <f t="shared" si="12"/>
        <v>0</v>
      </c>
      <c r="Q140" s="1815"/>
    </row>
    <row r="141" spans="1:17" s="1788" customFormat="1" ht="30.75" hidden="1" customHeight="1">
      <c r="A141" s="2255"/>
      <c r="B141" s="1797"/>
      <c r="C141" s="1794"/>
      <c r="D141" s="1794"/>
      <c r="E141" s="1794"/>
      <c r="F141" s="1794"/>
      <c r="G141" s="1794"/>
      <c r="H141" s="1794"/>
      <c r="I141" s="1794"/>
      <c r="J141" s="1794"/>
      <c r="K141" s="1794"/>
      <c r="L141" s="1794"/>
      <c r="M141" s="1794"/>
      <c r="N141" s="1794"/>
      <c r="O141" s="1809"/>
      <c r="P141" s="1812">
        <f t="shared" si="12"/>
        <v>0</v>
      </c>
      <c r="Q141" s="1815"/>
    </row>
    <row r="142" spans="1:17" s="1788" customFormat="1" ht="30.75" hidden="1" customHeight="1">
      <c r="A142" s="2255"/>
      <c r="B142" s="1797"/>
      <c r="C142" s="1794"/>
      <c r="D142" s="1794"/>
      <c r="E142" s="1794"/>
      <c r="F142" s="1794"/>
      <c r="G142" s="1794"/>
      <c r="H142" s="1794"/>
      <c r="I142" s="1794"/>
      <c r="J142" s="1794"/>
      <c r="K142" s="1794"/>
      <c r="L142" s="1794"/>
      <c r="M142" s="1794"/>
      <c r="N142" s="1794"/>
      <c r="O142" s="1809"/>
      <c r="P142" s="1812">
        <f t="shared" si="12"/>
        <v>0</v>
      </c>
      <c r="Q142" s="1815"/>
    </row>
    <row r="143" spans="1:17" s="1788" customFormat="1" ht="30.75" hidden="1" customHeight="1">
      <c r="A143" s="2255"/>
      <c r="B143" s="1797"/>
      <c r="C143" s="1794"/>
      <c r="D143" s="1794"/>
      <c r="E143" s="1794"/>
      <c r="F143" s="1794"/>
      <c r="G143" s="1794"/>
      <c r="H143" s="1794"/>
      <c r="I143" s="1794"/>
      <c r="J143" s="1794"/>
      <c r="K143" s="1794"/>
      <c r="L143" s="1794"/>
      <c r="M143" s="1794"/>
      <c r="N143" s="1794"/>
      <c r="O143" s="1809"/>
      <c r="P143" s="1812">
        <f t="shared" si="12"/>
        <v>0</v>
      </c>
      <c r="Q143" s="1815"/>
    </row>
    <row r="144" spans="1:17" s="1788" customFormat="1" ht="30.75" hidden="1" customHeight="1">
      <c r="A144" s="2255"/>
      <c r="B144" s="1797"/>
      <c r="C144" s="1794"/>
      <c r="D144" s="1794"/>
      <c r="E144" s="1794"/>
      <c r="F144" s="1794"/>
      <c r="G144" s="1794"/>
      <c r="H144" s="1794"/>
      <c r="I144" s="1794"/>
      <c r="J144" s="1794"/>
      <c r="K144" s="1794"/>
      <c r="L144" s="1794"/>
      <c r="M144" s="1794"/>
      <c r="N144" s="1794"/>
      <c r="O144" s="1809"/>
      <c r="P144" s="1812">
        <f t="shared" si="12"/>
        <v>0</v>
      </c>
      <c r="Q144" s="1815"/>
    </row>
    <row r="145" spans="1:18" s="1788" customFormat="1" ht="30.75" hidden="1" customHeight="1">
      <c r="A145" s="2255"/>
      <c r="B145" s="1797"/>
      <c r="C145" s="1794"/>
      <c r="D145" s="1794"/>
      <c r="E145" s="1794"/>
      <c r="F145" s="1794"/>
      <c r="G145" s="1794"/>
      <c r="H145" s="1794"/>
      <c r="I145" s="1794"/>
      <c r="J145" s="1794"/>
      <c r="K145" s="1794"/>
      <c r="L145" s="1794"/>
      <c r="M145" s="1794"/>
      <c r="N145" s="1794"/>
      <c r="O145" s="1809"/>
      <c r="P145" s="1812">
        <f t="shared" si="12"/>
        <v>0</v>
      </c>
      <c r="Q145" s="1815"/>
    </row>
    <row r="146" spans="1:18" s="1788" customFormat="1" ht="30.75" hidden="1" customHeight="1">
      <c r="A146" s="2255"/>
      <c r="B146" s="1797"/>
      <c r="C146" s="1794"/>
      <c r="D146" s="1794"/>
      <c r="E146" s="1794"/>
      <c r="F146" s="1794"/>
      <c r="G146" s="1794"/>
      <c r="H146" s="1794"/>
      <c r="I146" s="1794"/>
      <c r="J146" s="1794"/>
      <c r="K146" s="1794"/>
      <c r="L146" s="1794"/>
      <c r="M146" s="1794"/>
      <c r="N146" s="1794"/>
      <c r="O146" s="1809"/>
      <c r="P146" s="1812">
        <f t="shared" si="12"/>
        <v>0</v>
      </c>
      <c r="Q146" s="1815"/>
    </row>
    <row r="147" spans="1:18" s="1788" customFormat="1" ht="30.75" hidden="1" customHeight="1">
      <c r="A147" s="2255"/>
      <c r="B147" s="1797"/>
      <c r="C147" s="1794"/>
      <c r="D147" s="1794"/>
      <c r="E147" s="1794"/>
      <c r="F147" s="1794"/>
      <c r="G147" s="1794"/>
      <c r="H147" s="1794"/>
      <c r="I147" s="1794"/>
      <c r="J147" s="1794"/>
      <c r="K147" s="1794"/>
      <c r="L147" s="1794"/>
      <c r="M147" s="1794"/>
      <c r="N147" s="1794"/>
      <c r="O147" s="1809"/>
      <c r="P147" s="1812">
        <f t="shared" si="12"/>
        <v>0</v>
      </c>
      <c r="Q147" s="1815"/>
    </row>
    <row r="148" spans="1:18" s="1788" customFormat="1" ht="30.75" hidden="1" customHeight="1">
      <c r="A148" s="2255"/>
      <c r="B148" s="1797"/>
      <c r="C148" s="1794"/>
      <c r="D148" s="1794"/>
      <c r="E148" s="1794"/>
      <c r="F148" s="1794"/>
      <c r="G148" s="1794"/>
      <c r="H148" s="1794"/>
      <c r="I148" s="1794"/>
      <c r="J148" s="1794"/>
      <c r="K148" s="1794"/>
      <c r="L148" s="1794"/>
      <c r="M148" s="1794"/>
      <c r="N148" s="1794"/>
      <c r="O148" s="1809"/>
      <c r="P148" s="1812">
        <f t="shared" si="12"/>
        <v>0</v>
      </c>
      <c r="Q148" s="1815"/>
    </row>
    <row r="149" spans="1:18" s="1788" customFormat="1" ht="30.75" hidden="1" customHeight="1">
      <c r="A149" s="2255"/>
      <c r="B149" s="1797"/>
      <c r="C149" s="1794"/>
      <c r="D149" s="1794"/>
      <c r="E149" s="1794"/>
      <c r="F149" s="1794"/>
      <c r="G149" s="1794"/>
      <c r="H149" s="1794"/>
      <c r="I149" s="1794"/>
      <c r="J149" s="1794"/>
      <c r="K149" s="1794"/>
      <c r="L149" s="1794"/>
      <c r="M149" s="1794"/>
      <c r="N149" s="1794"/>
      <c r="O149" s="1809"/>
      <c r="P149" s="1812">
        <f t="shared" si="12"/>
        <v>0</v>
      </c>
      <c r="Q149" s="1815"/>
    </row>
    <row r="150" spans="1:18" s="1788" customFormat="1" ht="30.75" hidden="1" customHeight="1">
      <c r="A150" s="2255"/>
      <c r="B150" s="1797"/>
      <c r="C150" s="1794"/>
      <c r="D150" s="1794"/>
      <c r="E150" s="1794"/>
      <c r="F150" s="1794"/>
      <c r="G150" s="1794"/>
      <c r="H150" s="1794"/>
      <c r="I150" s="1794"/>
      <c r="J150" s="1794"/>
      <c r="K150" s="1794"/>
      <c r="L150" s="1794"/>
      <c r="M150" s="1794"/>
      <c r="N150" s="1794"/>
      <c r="O150" s="1809"/>
      <c r="P150" s="1812">
        <f t="shared" si="12"/>
        <v>0</v>
      </c>
      <c r="Q150" s="1815"/>
    </row>
    <row r="151" spans="1:18" s="1788" customFormat="1" ht="30.75" hidden="1" customHeight="1">
      <c r="A151" s="2255"/>
      <c r="B151" s="1797"/>
      <c r="C151" s="1794"/>
      <c r="D151" s="1794"/>
      <c r="E151" s="1794"/>
      <c r="F151" s="1794"/>
      <c r="G151" s="1794"/>
      <c r="H151" s="1794"/>
      <c r="I151" s="1794"/>
      <c r="J151" s="1794"/>
      <c r="K151" s="1794"/>
      <c r="L151" s="1794"/>
      <c r="M151" s="1794"/>
      <c r="N151" s="1794"/>
      <c r="O151" s="1809"/>
      <c r="P151" s="1812">
        <f t="shared" si="12"/>
        <v>0</v>
      </c>
      <c r="Q151" s="1815"/>
    </row>
    <row r="152" spans="1:18" s="1788" customFormat="1" ht="30.75" hidden="1" customHeight="1">
      <c r="A152" s="2255"/>
      <c r="B152" s="1797"/>
      <c r="C152" s="1794"/>
      <c r="D152" s="1794"/>
      <c r="E152" s="1794"/>
      <c r="F152" s="1794"/>
      <c r="G152" s="1794"/>
      <c r="H152" s="1794"/>
      <c r="I152" s="1794"/>
      <c r="J152" s="1794"/>
      <c r="K152" s="1794"/>
      <c r="L152" s="1794"/>
      <c r="M152" s="1794"/>
      <c r="N152" s="1794"/>
      <c r="O152" s="1809"/>
      <c r="P152" s="1812">
        <f t="shared" si="12"/>
        <v>0</v>
      </c>
      <c r="Q152" s="1815"/>
    </row>
    <row r="153" spans="1:18" s="1788" customFormat="1" ht="30.75" hidden="1" customHeight="1">
      <c r="A153" s="2256"/>
      <c r="B153" s="1797"/>
      <c r="C153" s="1794"/>
      <c r="D153" s="1794"/>
      <c r="E153" s="1794"/>
      <c r="F153" s="1794"/>
      <c r="G153" s="1794"/>
      <c r="H153" s="1794"/>
      <c r="I153" s="1794"/>
      <c r="J153" s="1794"/>
      <c r="K153" s="1794"/>
      <c r="L153" s="1794"/>
      <c r="M153" s="1794"/>
      <c r="N153" s="1794"/>
      <c r="O153" s="1809"/>
      <c r="P153" s="1812">
        <f t="shared" si="12"/>
        <v>0</v>
      </c>
      <c r="Q153" s="1815"/>
    </row>
    <row r="154" spans="1:18" s="1788" customFormat="1" ht="30.75" customHeight="1">
      <c r="A154" s="1800" t="s">
        <v>234</v>
      </c>
      <c r="B154" s="1801"/>
      <c r="C154" s="1802">
        <f t="shared" ref="C154:N154" si="13">SUM(C121:C153)</f>
        <v>0</v>
      </c>
      <c r="D154" s="1802">
        <f t="shared" si="13"/>
        <v>11000</v>
      </c>
      <c r="E154" s="1802">
        <f t="shared" si="13"/>
        <v>16000</v>
      </c>
      <c r="F154" s="1802">
        <f t="shared" si="13"/>
        <v>0</v>
      </c>
      <c r="G154" s="1802">
        <f t="shared" si="13"/>
        <v>0</v>
      </c>
      <c r="H154" s="1802">
        <f t="shared" si="13"/>
        <v>0</v>
      </c>
      <c r="I154" s="1802">
        <f t="shared" si="13"/>
        <v>229000</v>
      </c>
      <c r="J154" s="1802">
        <f t="shared" si="13"/>
        <v>0</v>
      </c>
      <c r="K154" s="1802">
        <f t="shared" si="13"/>
        <v>25000</v>
      </c>
      <c r="L154" s="1802">
        <f t="shared" si="13"/>
        <v>5000</v>
      </c>
      <c r="M154" s="1802">
        <f t="shared" si="13"/>
        <v>0</v>
      </c>
      <c r="N154" s="1802">
        <f t="shared" si="13"/>
        <v>2196710</v>
      </c>
      <c r="O154" s="1810"/>
      <c r="P154" s="1811">
        <f>SUM(P121:P153)</f>
        <v>2482710</v>
      </c>
      <c r="Q154" s="1816">
        <f>Q120+P154</f>
        <v>19224080</v>
      </c>
    </row>
    <row r="155" spans="1:18" s="1788" customFormat="1" ht="30.75" customHeight="1">
      <c r="A155" s="2254">
        <v>46035</v>
      </c>
      <c r="B155" s="1797">
        <v>27</v>
      </c>
      <c r="C155" s="1794"/>
      <c r="D155" s="1794"/>
      <c r="E155" s="1794">
        <v>16000</v>
      </c>
      <c r="F155" s="1794"/>
      <c r="G155" s="1794"/>
      <c r="H155" s="1794"/>
      <c r="I155" s="1794"/>
      <c r="J155" s="1794"/>
      <c r="K155" s="1794"/>
      <c r="L155" s="1794"/>
      <c r="M155" s="1794"/>
      <c r="N155" s="1794"/>
      <c r="O155" s="1809" t="s">
        <v>140</v>
      </c>
      <c r="P155" s="1812">
        <f>SUM(C155:N155)</f>
        <v>16000</v>
      </c>
      <c r="Q155" s="1815"/>
      <c r="R155" s="1817">
        <f>SUM(P155:P161)</f>
        <v>2555692</v>
      </c>
    </row>
    <row r="156" spans="1:18" s="1788" customFormat="1" ht="30.75" customHeight="1">
      <c r="A156" s="2255"/>
      <c r="B156" s="1797">
        <v>28</v>
      </c>
      <c r="C156" s="1794"/>
      <c r="D156" s="1794"/>
      <c r="E156" s="1794"/>
      <c r="F156" s="1794"/>
      <c r="G156" s="1794"/>
      <c r="H156" s="1794"/>
      <c r="I156" s="1794"/>
      <c r="J156" s="1794"/>
      <c r="K156" s="1794"/>
      <c r="L156" s="1794"/>
      <c r="M156" s="1794"/>
      <c r="N156" s="1794">
        <v>2311452</v>
      </c>
      <c r="O156" s="1809" t="s">
        <v>442</v>
      </c>
      <c r="P156" s="1812">
        <f>SUM(C156:N156)</f>
        <v>2311452</v>
      </c>
      <c r="Q156" s="1815"/>
    </row>
    <row r="157" spans="1:18" s="1788" customFormat="1" ht="30.75" customHeight="1">
      <c r="A157" s="2255"/>
      <c r="B157" s="1797">
        <v>29</v>
      </c>
      <c r="C157" s="1794"/>
      <c r="D157" s="1794">
        <v>42380</v>
      </c>
      <c r="E157" s="1794">
        <v>26100</v>
      </c>
      <c r="F157" s="1794"/>
      <c r="G157" s="1794">
        <v>11900</v>
      </c>
      <c r="H157" s="1794">
        <v>21290</v>
      </c>
      <c r="I157" s="1794">
        <v>36570</v>
      </c>
      <c r="J157" s="1794"/>
      <c r="K157" s="1794"/>
      <c r="L157" s="1794"/>
      <c r="M157" s="1794"/>
      <c r="N157" s="1794"/>
      <c r="O157" s="1809" t="s">
        <v>443</v>
      </c>
      <c r="P157" s="1812">
        <f>SUM(C157:N157)</f>
        <v>138240</v>
      </c>
      <c r="Q157" s="1815">
        <f>SUM(P155:P161)</f>
        <v>2555692</v>
      </c>
    </row>
    <row r="158" spans="1:18" s="1788" customFormat="1" ht="30.75" customHeight="1">
      <c r="A158" s="2255"/>
      <c r="B158" s="1797">
        <v>30</v>
      </c>
      <c r="C158" s="1794"/>
      <c r="D158" s="1794"/>
      <c r="E158" s="1794"/>
      <c r="F158" s="1794"/>
      <c r="G158" s="1794"/>
      <c r="H158" s="1794"/>
      <c r="I158" s="1794"/>
      <c r="J158" s="1794"/>
      <c r="K158" s="1794"/>
      <c r="L158" s="1794"/>
      <c r="M158" s="1794"/>
      <c r="N158" s="1794">
        <v>90000</v>
      </c>
      <c r="O158" s="1809" t="s">
        <v>444</v>
      </c>
      <c r="P158" s="1812">
        <f>SUM(C158:N158)</f>
        <v>90000</v>
      </c>
      <c r="Q158" s="1815"/>
    </row>
    <row r="159" spans="1:18" s="1788" customFormat="1" ht="30.75" hidden="1" customHeight="1">
      <c r="A159" s="2255"/>
      <c r="B159" s="1797"/>
      <c r="C159" s="1794"/>
      <c r="D159" s="1794"/>
      <c r="E159" s="1794"/>
      <c r="F159" s="1794"/>
      <c r="G159" s="1794"/>
      <c r="H159" s="1794"/>
      <c r="I159" s="1794"/>
      <c r="J159" s="1794"/>
      <c r="K159" s="1794"/>
      <c r="L159" s="1794"/>
      <c r="M159" s="1794"/>
      <c r="N159" s="1794"/>
      <c r="O159" s="1809"/>
      <c r="P159" s="1812">
        <f t="shared" ref="P159:P166" si="14">SUM(C159:N159)</f>
        <v>0</v>
      </c>
      <c r="Q159" s="1815"/>
    </row>
    <row r="160" spans="1:18" s="1788" customFormat="1" ht="30.75" hidden="1" customHeight="1">
      <c r="A160" s="2255"/>
      <c r="B160" s="1797"/>
      <c r="C160" s="1794"/>
      <c r="D160" s="1794"/>
      <c r="E160" s="1794"/>
      <c r="F160" s="1794"/>
      <c r="G160" s="1794"/>
      <c r="H160" s="1794"/>
      <c r="I160" s="1794"/>
      <c r="J160" s="1794"/>
      <c r="K160" s="1794"/>
      <c r="L160" s="1794"/>
      <c r="M160" s="1794"/>
      <c r="N160" s="1794"/>
      <c r="O160" s="1809"/>
      <c r="P160" s="1812">
        <f t="shared" si="14"/>
        <v>0</v>
      </c>
      <c r="Q160" s="1815"/>
    </row>
    <row r="161" spans="1:17" s="1788" customFormat="1" ht="30.75" hidden="1" customHeight="1">
      <c r="A161" s="2255"/>
      <c r="B161" s="1797"/>
      <c r="C161" s="1794"/>
      <c r="D161" s="1794"/>
      <c r="E161" s="1794"/>
      <c r="F161" s="1794"/>
      <c r="G161" s="1794"/>
      <c r="H161" s="1794"/>
      <c r="I161" s="1794"/>
      <c r="J161" s="1794"/>
      <c r="K161" s="1794"/>
      <c r="L161" s="1794"/>
      <c r="M161" s="1794"/>
      <c r="N161" s="1794"/>
      <c r="O161" s="1809"/>
      <c r="P161" s="1812">
        <f t="shared" si="14"/>
        <v>0</v>
      </c>
      <c r="Q161" s="1815"/>
    </row>
    <row r="162" spans="1:17" s="1788" customFormat="1" ht="30.75" customHeight="1">
      <c r="A162" s="2255"/>
      <c r="B162" s="1797"/>
      <c r="C162" s="1794"/>
      <c r="D162" s="1794"/>
      <c r="E162" s="1794"/>
      <c r="F162" s="1794"/>
      <c r="G162" s="1794"/>
      <c r="H162" s="1794"/>
      <c r="I162" s="1794"/>
      <c r="J162" s="1794"/>
      <c r="K162" s="1794"/>
      <c r="L162" s="1794"/>
      <c r="M162" s="1794"/>
      <c r="N162" s="1794">
        <f>'LAPORAN KAS PERIODE'!H18</f>
        <v>138931</v>
      </c>
      <c r="O162" s="1809" t="s">
        <v>422</v>
      </c>
      <c r="P162" s="1812">
        <f t="shared" si="14"/>
        <v>138931</v>
      </c>
      <c r="Q162" s="1815"/>
    </row>
    <row r="163" spans="1:17" s="1788" customFormat="1" ht="30.75" customHeight="1">
      <c r="A163" s="2255"/>
      <c r="B163" s="1797"/>
      <c r="C163" s="1794"/>
      <c r="D163" s="1794"/>
      <c r="E163" s="1794"/>
      <c r="F163" s="1794"/>
      <c r="G163" s="1794"/>
      <c r="H163" s="1794"/>
      <c r="I163" s="1794"/>
      <c r="J163" s="1794"/>
      <c r="K163" s="1794"/>
      <c r="L163" s="1794"/>
      <c r="M163" s="1794"/>
      <c r="N163" s="1794">
        <f>'LAPORAN KAS PERIODE'!H19</f>
        <v>267530</v>
      </c>
      <c r="O163" s="1809" t="s">
        <v>423</v>
      </c>
      <c r="P163" s="1812">
        <f t="shared" si="14"/>
        <v>267530</v>
      </c>
      <c r="Q163" s="1815"/>
    </row>
    <row r="164" spans="1:17" s="1788" customFormat="1" ht="30.75" customHeight="1">
      <c r="A164" s="2255"/>
      <c r="B164" s="1797"/>
      <c r="C164" s="1794"/>
      <c r="D164" s="1794"/>
      <c r="E164" s="1794"/>
      <c r="F164" s="1794"/>
      <c r="G164" s="1794"/>
      <c r="H164" s="1794"/>
      <c r="I164" s="1794"/>
      <c r="J164" s="1794"/>
      <c r="K164" s="1794"/>
      <c r="L164" s="1794"/>
      <c r="M164" s="1794"/>
      <c r="N164" s="1794">
        <f>'LAPORAN KAS PERIODE'!H20</f>
        <v>113790</v>
      </c>
      <c r="O164" s="1809" t="s">
        <v>424</v>
      </c>
      <c r="P164" s="1812">
        <f t="shared" si="14"/>
        <v>113790</v>
      </c>
      <c r="Q164" s="1815"/>
    </row>
    <row r="165" spans="1:17" s="1788" customFormat="1" ht="30.75" customHeight="1">
      <c r="A165" s="2255"/>
      <c r="B165" s="1797"/>
      <c r="C165" s="1794"/>
      <c r="D165" s="1794"/>
      <c r="E165" s="1794"/>
      <c r="F165" s="1794"/>
      <c r="G165" s="1794"/>
      <c r="H165" s="1794"/>
      <c r="I165" s="1794"/>
      <c r="J165" s="1794"/>
      <c r="K165" s="1794"/>
      <c r="L165" s="1794"/>
      <c r="M165" s="1794"/>
      <c r="N165" s="1794">
        <f>'LAPORAN KAS PERIODE'!H21</f>
        <v>1287425</v>
      </c>
      <c r="O165" s="1809" t="s">
        <v>425</v>
      </c>
      <c r="P165" s="1812">
        <f t="shared" si="14"/>
        <v>1287425</v>
      </c>
      <c r="Q165" s="1815"/>
    </row>
    <row r="166" spans="1:17" s="1788" customFormat="1" ht="30.75" customHeight="1">
      <c r="A166" s="2255"/>
      <c r="B166" s="1797"/>
      <c r="C166" s="1794"/>
      <c r="D166" s="1794"/>
      <c r="E166" s="1794"/>
      <c r="F166" s="1794"/>
      <c r="G166" s="1794"/>
      <c r="H166" s="1794"/>
      <c r="I166" s="1794"/>
      <c r="J166" s="1794"/>
      <c r="K166" s="1794"/>
      <c r="L166" s="1794"/>
      <c r="M166" s="1794"/>
      <c r="N166" s="1794">
        <f>'LAPORAN KAS PERIODE'!H24</f>
        <v>9076</v>
      </c>
      <c r="O166" s="1809" t="s">
        <v>426</v>
      </c>
      <c r="P166" s="1812">
        <f t="shared" si="14"/>
        <v>9076</v>
      </c>
      <c r="Q166" s="1815"/>
    </row>
    <row r="167" spans="1:17" s="1788" customFormat="1" ht="30.75" hidden="1" customHeight="1">
      <c r="A167" s="2255"/>
      <c r="B167" s="1797"/>
      <c r="C167" s="1794"/>
      <c r="D167" s="1794"/>
      <c r="E167" s="1794"/>
      <c r="F167" s="1794"/>
      <c r="G167" s="1794"/>
      <c r="H167" s="1794"/>
      <c r="I167" s="1794"/>
      <c r="J167" s="1794"/>
      <c r="K167" s="1794"/>
      <c r="L167" s="1794"/>
      <c r="M167" s="1794"/>
      <c r="N167" s="1794"/>
      <c r="O167" s="1809"/>
      <c r="P167" s="1812">
        <f t="shared" ref="P167:P168" si="15">SUM(C167:N167)</f>
        <v>0</v>
      </c>
      <c r="Q167" s="1815"/>
    </row>
    <row r="168" spans="1:17" s="1788" customFormat="1" ht="30.75" hidden="1" customHeight="1">
      <c r="A168" s="2255"/>
      <c r="B168" s="1797"/>
      <c r="C168" s="1794"/>
      <c r="D168" s="1794"/>
      <c r="E168" s="1794"/>
      <c r="F168" s="1794"/>
      <c r="G168" s="1794"/>
      <c r="H168" s="1794"/>
      <c r="I168" s="1794"/>
      <c r="J168" s="1794"/>
      <c r="K168" s="1794"/>
      <c r="L168" s="1794"/>
      <c r="M168" s="1794"/>
      <c r="N168" s="1794"/>
      <c r="O168" s="1809"/>
      <c r="P168" s="1812">
        <f t="shared" si="15"/>
        <v>0</v>
      </c>
      <c r="Q168" s="1815"/>
    </row>
    <row r="169" spans="1:17" s="1788" customFormat="1" ht="30.75" hidden="1" customHeight="1">
      <c r="A169" s="2255"/>
      <c r="B169" s="1797"/>
      <c r="C169" s="1794"/>
      <c r="D169" s="1794"/>
      <c r="E169" s="1794"/>
      <c r="F169" s="1794"/>
      <c r="G169" s="1794"/>
      <c r="H169" s="1794"/>
      <c r="I169" s="1794"/>
      <c r="J169" s="1794"/>
      <c r="K169" s="1794"/>
      <c r="L169" s="1794"/>
      <c r="M169" s="1794"/>
      <c r="N169" s="1794"/>
      <c r="O169" s="1809"/>
      <c r="P169" s="1812">
        <f t="shared" ref="P169:P184" si="16">SUM(C169:N169)</f>
        <v>0</v>
      </c>
      <c r="Q169" s="1815"/>
    </row>
    <row r="170" spans="1:17" s="1788" customFormat="1" ht="30.75" hidden="1" customHeight="1">
      <c r="A170" s="2255"/>
      <c r="B170" s="1797"/>
      <c r="C170" s="1794"/>
      <c r="D170" s="1794"/>
      <c r="E170" s="1794"/>
      <c r="F170" s="1794"/>
      <c r="G170" s="1794"/>
      <c r="H170" s="1794"/>
      <c r="I170" s="1794"/>
      <c r="J170" s="1794"/>
      <c r="K170" s="1794"/>
      <c r="L170" s="1794"/>
      <c r="M170" s="1794"/>
      <c r="N170" s="1794"/>
      <c r="O170" s="1809"/>
      <c r="P170" s="1812">
        <f t="shared" si="16"/>
        <v>0</v>
      </c>
      <c r="Q170" s="1815"/>
    </row>
    <row r="171" spans="1:17" s="1788" customFormat="1" ht="30.75" hidden="1" customHeight="1">
      <c r="A171" s="2255"/>
      <c r="B171" s="1797"/>
      <c r="C171" s="1794"/>
      <c r="D171" s="1794"/>
      <c r="E171" s="1794"/>
      <c r="F171" s="1794"/>
      <c r="G171" s="1794"/>
      <c r="H171" s="1794"/>
      <c r="I171" s="1794"/>
      <c r="J171" s="1794"/>
      <c r="K171" s="1794"/>
      <c r="L171" s="1794"/>
      <c r="M171" s="1794"/>
      <c r="N171" s="1794"/>
      <c r="O171" s="1809"/>
      <c r="P171" s="1812">
        <f t="shared" si="16"/>
        <v>0</v>
      </c>
      <c r="Q171" s="1815"/>
    </row>
    <row r="172" spans="1:17" s="1788" customFormat="1" ht="30.75" hidden="1" customHeight="1">
      <c r="A172" s="2255"/>
      <c r="B172" s="1797"/>
      <c r="C172" s="1794"/>
      <c r="D172" s="1794"/>
      <c r="E172" s="1794"/>
      <c r="F172" s="1794"/>
      <c r="G172" s="1794"/>
      <c r="H172" s="1794"/>
      <c r="I172" s="1794"/>
      <c r="J172" s="1794"/>
      <c r="K172" s="1794"/>
      <c r="L172" s="1794"/>
      <c r="M172" s="1794"/>
      <c r="N172" s="1794"/>
      <c r="O172" s="1809"/>
      <c r="P172" s="1812">
        <f t="shared" si="16"/>
        <v>0</v>
      </c>
      <c r="Q172" s="1815"/>
    </row>
    <row r="173" spans="1:17" s="1788" customFormat="1" ht="30.75" hidden="1" customHeight="1">
      <c r="A173" s="2255"/>
      <c r="B173" s="1797"/>
      <c r="C173" s="1794"/>
      <c r="D173" s="1794"/>
      <c r="E173" s="1794"/>
      <c r="F173" s="1794"/>
      <c r="G173" s="1794"/>
      <c r="H173" s="1794"/>
      <c r="I173" s="1794"/>
      <c r="J173" s="1794"/>
      <c r="K173" s="1794"/>
      <c r="L173" s="1794"/>
      <c r="M173" s="1794"/>
      <c r="N173" s="1794"/>
      <c r="O173" s="1809"/>
      <c r="P173" s="1812">
        <f t="shared" si="16"/>
        <v>0</v>
      </c>
      <c r="Q173" s="1815"/>
    </row>
    <row r="174" spans="1:17" s="1788" customFormat="1" ht="30.75" hidden="1" customHeight="1">
      <c r="A174" s="2255"/>
      <c r="B174" s="1797"/>
      <c r="C174" s="1794"/>
      <c r="D174" s="1794"/>
      <c r="E174" s="1794"/>
      <c r="F174" s="1794"/>
      <c r="G174" s="1794"/>
      <c r="H174" s="1794"/>
      <c r="I174" s="1794"/>
      <c r="J174" s="1794"/>
      <c r="K174" s="1794"/>
      <c r="L174" s="1794"/>
      <c r="M174" s="1794"/>
      <c r="N174" s="1794"/>
      <c r="O174" s="1809"/>
      <c r="P174" s="1812">
        <f t="shared" si="16"/>
        <v>0</v>
      </c>
      <c r="Q174" s="1815"/>
    </row>
    <row r="175" spans="1:17" s="1788" customFormat="1" ht="30.75" hidden="1" customHeight="1">
      <c r="A175" s="2255"/>
      <c r="B175" s="1797"/>
      <c r="C175" s="1794"/>
      <c r="D175" s="1794"/>
      <c r="E175" s="1794"/>
      <c r="F175" s="1794"/>
      <c r="G175" s="1794"/>
      <c r="H175" s="1794"/>
      <c r="I175" s="1794"/>
      <c r="J175" s="1794"/>
      <c r="K175" s="1794"/>
      <c r="L175" s="1794"/>
      <c r="M175" s="1794"/>
      <c r="N175" s="1794"/>
      <c r="O175" s="1809"/>
      <c r="P175" s="1812">
        <f t="shared" si="16"/>
        <v>0</v>
      </c>
      <c r="Q175" s="1815"/>
    </row>
    <row r="176" spans="1:17" s="1788" customFormat="1" ht="30.75" hidden="1" customHeight="1">
      <c r="A176" s="2255"/>
      <c r="B176" s="1797"/>
      <c r="C176" s="1794"/>
      <c r="D176" s="1794"/>
      <c r="E176" s="1794"/>
      <c r="F176" s="1794"/>
      <c r="G176" s="1794"/>
      <c r="H176" s="1794"/>
      <c r="I176" s="1794"/>
      <c r="J176" s="1794"/>
      <c r="K176" s="1794"/>
      <c r="L176" s="1794"/>
      <c r="M176" s="1794"/>
      <c r="N176" s="1794"/>
      <c r="O176" s="1809"/>
      <c r="P176" s="1812">
        <f t="shared" si="16"/>
        <v>0</v>
      </c>
      <c r="Q176" s="1815"/>
    </row>
    <row r="177" spans="1:18" s="1788" customFormat="1" ht="30.75" hidden="1" customHeight="1">
      <c r="A177" s="2255"/>
      <c r="B177" s="1797"/>
      <c r="C177" s="1794"/>
      <c r="D177" s="1794"/>
      <c r="E177" s="1794"/>
      <c r="F177" s="1794"/>
      <c r="G177" s="1794"/>
      <c r="H177" s="1794"/>
      <c r="I177" s="1794"/>
      <c r="J177" s="1794"/>
      <c r="K177" s="1794"/>
      <c r="L177" s="1794"/>
      <c r="M177" s="1794"/>
      <c r="N177" s="1794"/>
      <c r="O177" s="1809"/>
      <c r="P177" s="1812">
        <f t="shared" si="16"/>
        <v>0</v>
      </c>
      <c r="Q177" s="1815"/>
    </row>
    <row r="178" spans="1:18" s="1788" customFormat="1" ht="30.75" hidden="1" customHeight="1">
      <c r="A178" s="2255"/>
      <c r="B178" s="1797"/>
      <c r="C178" s="1794"/>
      <c r="D178" s="1794"/>
      <c r="E178" s="1794"/>
      <c r="F178" s="1794"/>
      <c r="G178" s="1794"/>
      <c r="H178" s="1794"/>
      <c r="I178" s="1794"/>
      <c r="J178" s="1794"/>
      <c r="K178" s="1794"/>
      <c r="L178" s="1794"/>
      <c r="M178" s="1794"/>
      <c r="N178" s="1794"/>
      <c r="O178" s="1809"/>
      <c r="P178" s="1812">
        <f t="shared" si="16"/>
        <v>0</v>
      </c>
      <c r="Q178" s="1815"/>
    </row>
    <row r="179" spans="1:18" s="1788" customFormat="1" ht="30.75" hidden="1" customHeight="1">
      <c r="A179" s="2255"/>
      <c r="B179" s="1797"/>
      <c r="C179" s="1794"/>
      <c r="D179" s="1794"/>
      <c r="E179" s="1794"/>
      <c r="F179" s="1794"/>
      <c r="G179" s="1794"/>
      <c r="H179" s="1794"/>
      <c r="I179" s="1794"/>
      <c r="J179" s="1794"/>
      <c r="K179" s="1794"/>
      <c r="L179" s="1794"/>
      <c r="M179" s="1794"/>
      <c r="N179" s="1794"/>
      <c r="O179" s="1809"/>
      <c r="P179" s="1812">
        <f t="shared" si="16"/>
        <v>0</v>
      </c>
      <c r="Q179" s="1815"/>
    </row>
    <row r="180" spans="1:18" s="1788" customFormat="1" ht="30.75" hidden="1" customHeight="1">
      <c r="A180" s="2255"/>
      <c r="B180" s="1797"/>
      <c r="C180" s="1794"/>
      <c r="D180" s="1794"/>
      <c r="E180" s="1794"/>
      <c r="F180" s="1794"/>
      <c r="G180" s="1794"/>
      <c r="H180" s="1794"/>
      <c r="I180" s="1794"/>
      <c r="J180" s="1794"/>
      <c r="K180" s="1794"/>
      <c r="L180" s="1794"/>
      <c r="M180" s="1794"/>
      <c r="N180" s="1794"/>
      <c r="O180" s="1809"/>
      <c r="P180" s="1812">
        <f t="shared" si="16"/>
        <v>0</v>
      </c>
      <c r="Q180" s="1815"/>
    </row>
    <row r="181" spans="1:18" s="1788" customFormat="1" ht="30.75" hidden="1" customHeight="1">
      <c r="A181" s="2255"/>
      <c r="B181" s="1797"/>
      <c r="C181" s="1794"/>
      <c r="D181" s="1794"/>
      <c r="E181" s="1794"/>
      <c r="F181" s="1794"/>
      <c r="G181" s="1794"/>
      <c r="H181" s="1794"/>
      <c r="I181" s="1794"/>
      <c r="J181" s="1794"/>
      <c r="K181" s="1794"/>
      <c r="L181" s="1794"/>
      <c r="M181" s="1794"/>
      <c r="N181" s="1794"/>
      <c r="O181" s="1809"/>
      <c r="P181" s="1812">
        <f t="shared" si="16"/>
        <v>0</v>
      </c>
      <c r="Q181" s="1815"/>
    </row>
    <row r="182" spans="1:18" s="1788" customFormat="1" ht="30.75" hidden="1" customHeight="1">
      <c r="A182" s="2255"/>
      <c r="B182" s="1797"/>
      <c r="C182" s="1794"/>
      <c r="D182" s="1794"/>
      <c r="E182" s="1794"/>
      <c r="F182" s="1794"/>
      <c r="G182" s="1794"/>
      <c r="H182" s="1794"/>
      <c r="I182" s="1794"/>
      <c r="J182" s="1794"/>
      <c r="K182" s="1794"/>
      <c r="L182" s="1794"/>
      <c r="M182" s="1794"/>
      <c r="N182" s="1794"/>
      <c r="O182" s="1809"/>
      <c r="P182" s="1812">
        <f t="shared" si="16"/>
        <v>0</v>
      </c>
      <c r="Q182" s="1815"/>
    </row>
    <row r="183" spans="1:18" s="1788" customFormat="1" ht="30.75" hidden="1" customHeight="1">
      <c r="A183" s="2255"/>
      <c r="B183" s="1797"/>
      <c r="C183" s="1794"/>
      <c r="D183" s="1794"/>
      <c r="E183" s="1794"/>
      <c r="F183" s="1794"/>
      <c r="G183" s="1794"/>
      <c r="H183" s="1794"/>
      <c r="I183" s="1794"/>
      <c r="J183" s="1794"/>
      <c r="K183" s="1794"/>
      <c r="L183" s="1794"/>
      <c r="M183" s="1794"/>
      <c r="N183" s="1794"/>
      <c r="O183" s="1809"/>
      <c r="P183" s="1812">
        <f t="shared" si="16"/>
        <v>0</v>
      </c>
      <c r="Q183" s="1815"/>
    </row>
    <row r="184" spans="1:18" s="1788" customFormat="1" ht="30.75" hidden="1" customHeight="1">
      <c r="A184" s="2256"/>
      <c r="B184" s="1797"/>
      <c r="C184" s="1794"/>
      <c r="D184" s="1794"/>
      <c r="E184" s="1794"/>
      <c r="F184" s="1794"/>
      <c r="G184" s="1794"/>
      <c r="H184" s="1794"/>
      <c r="I184" s="1794"/>
      <c r="J184" s="1794"/>
      <c r="K184" s="1794"/>
      <c r="L184" s="1794"/>
      <c r="M184" s="1794"/>
      <c r="N184" s="1794"/>
      <c r="O184" s="1809"/>
      <c r="P184" s="1812">
        <f t="shared" si="16"/>
        <v>0</v>
      </c>
      <c r="Q184" s="1815"/>
    </row>
    <row r="185" spans="1:18" s="1788" customFormat="1" ht="30.75" customHeight="1">
      <c r="A185" s="1800" t="s">
        <v>234</v>
      </c>
      <c r="B185" s="1801"/>
      <c r="C185" s="1802">
        <f>SUM(C155:C184)</f>
        <v>0</v>
      </c>
      <c r="D185" s="1802">
        <f t="shared" ref="D185:N185" si="17">SUM(D155:D184)</f>
        <v>42380</v>
      </c>
      <c r="E185" s="1802">
        <f t="shared" si="17"/>
        <v>42100</v>
      </c>
      <c r="F185" s="1802">
        <f t="shared" si="17"/>
        <v>0</v>
      </c>
      <c r="G185" s="1802">
        <f t="shared" si="17"/>
        <v>11900</v>
      </c>
      <c r="H185" s="1802">
        <f t="shared" si="17"/>
        <v>21290</v>
      </c>
      <c r="I185" s="1802">
        <f t="shared" si="17"/>
        <v>36570</v>
      </c>
      <c r="J185" s="1802">
        <f t="shared" si="17"/>
        <v>0</v>
      </c>
      <c r="K185" s="1802">
        <f t="shared" si="17"/>
        <v>0</v>
      </c>
      <c r="L185" s="1802">
        <f t="shared" si="17"/>
        <v>0</v>
      </c>
      <c r="M185" s="1802">
        <f t="shared" si="17"/>
        <v>0</v>
      </c>
      <c r="N185" s="1802">
        <f t="shared" si="17"/>
        <v>4218204</v>
      </c>
      <c r="O185" s="1810"/>
      <c r="P185" s="1811">
        <f>SUM(P155:P184)</f>
        <v>4372444</v>
      </c>
      <c r="Q185" s="1816">
        <f>Q154+P185</f>
        <v>23596524</v>
      </c>
    </row>
    <row r="186" spans="1:18" s="1788" customFormat="1" ht="30.75" customHeight="1">
      <c r="A186" s="2254">
        <v>46036</v>
      </c>
      <c r="B186" s="1797">
        <v>31</v>
      </c>
      <c r="C186" s="1794"/>
      <c r="D186" s="1794"/>
      <c r="E186" s="1794"/>
      <c r="F186" s="1794"/>
      <c r="G186" s="1794"/>
      <c r="H186" s="1794"/>
      <c r="I186" s="1794"/>
      <c r="J186" s="1794"/>
      <c r="K186" s="1794"/>
      <c r="L186" s="1794"/>
      <c r="M186" s="1794"/>
      <c r="N186" s="1794">
        <v>5100000</v>
      </c>
      <c r="O186" s="1809" t="s">
        <v>417</v>
      </c>
      <c r="P186" s="1812">
        <f>SUM(C186:N186)</f>
        <v>5100000</v>
      </c>
      <c r="Q186" s="1815"/>
      <c r="R186" s="1817">
        <f>SUM(P187:P188)</f>
        <v>31000</v>
      </c>
    </row>
    <row r="187" spans="1:18" s="1788" customFormat="1" ht="30.75" customHeight="1">
      <c r="A187" s="2255"/>
      <c r="B187" s="1797">
        <v>32</v>
      </c>
      <c r="C187" s="1794"/>
      <c r="D187" s="1794"/>
      <c r="E187" s="1794"/>
      <c r="F187" s="1794"/>
      <c r="G187" s="1794"/>
      <c r="H187" s="1794"/>
      <c r="I187" s="1794"/>
      <c r="J187" s="1794"/>
      <c r="K187" s="1794">
        <v>15000</v>
      </c>
      <c r="L187" s="1794"/>
      <c r="M187" s="1794"/>
      <c r="N187" s="1794"/>
      <c r="O187" s="1809" t="s">
        <v>440</v>
      </c>
      <c r="P187" s="1812">
        <f>SUM(C187:N187)</f>
        <v>15000</v>
      </c>
      <c r="Q187" s="1815"/>
      <c r="R187" s="1817"/>
    </row>
    <row r="188" spans="1:18" s="1788" customFormat="1" ht="30.75" customHeight="1">
      <c r="A188" s="2255"/>
      <c r="B188" s="1797">
        <v>33</v>
      </c>
      <c r="C188" s="1794"/>
      <c r="D188" s="1794"/>
      <c r="E188" s="1794">
        <v>16000</v>
      </c>
      <c r="F188" s="1794"/>
      <c r="G188" s="1794"/>
      <c r="H188" s="1794"/>
      <c r="I188" s="1794"/>
      <c r="J188" s="1794"/>
      <c r="K188" s="1794"/>
      <c r="L188" s="1794"/>
      <c r="M188" s="1794"/>
      <c r="N188" s="1794"/>
      <c r="O188" s="1809" t="s">
        <v>140</v>
      </c>
      <c r="P188" s="1812">
        <f>SUM(C188:N188)</f>
        <v>16000</v>
      </c>
      <c r="Q188" s="1815"/>
      <c r="R188" s="1817"/>
    </row>
    <row r="189" spans="1:18" s="1788" customFormat="1" ht="30.75" customHeight="1">
      <c r="A189" s="2255"/>
      <c r="B189" s="1797">
        <v>34</v>
      </c>
      <c r="C189" s="1794"/>
      <c r="D189" s="1794"/>
      <c r="E189" s="1794"/>
      <c r="F189" s="1794"/>
      <c r="G189" s="1794">
        <v>21000</v>
      </c>
      <c r="H189" s="1794"/>
      <c r="I189" s="1794"/>
      <c r="J189" s="1794"/>
      <c r="K189" s="1794"/>
      <c r="L189" s="1794"/>
      <c r="M189" s="1794"/>
      <c r="N189" s="1794"/>
      <c r="O189" s="1809" t="s">
        <v>445</v>
      </c>
      <c r="P189" s="1812">
        <f>SUM(C189:N189)</f>
        <v>21000</v>
      </c>
      <c r="Q189" s="1815">
        <f>SUM(P186:P195)</f>
        <v>5375400</v>
      </c>
    </row>
    <row r="190" spans="1:18" s="1788" customFormat="1" ht="30.75" customHeight="1">
      <c r="A190" s="2255"/>
      <c r="B190" s="1797">
        <v>35</v>
      </c>
      <c r="C190" s="1794"/>
      <c r="D190" s="1794"/>
      <c r="E190" s="1794"/>
      <c r="F190" s="1794"/>
      <c r="G190" s="1794">
        <v>43000</v>
      </c>
      <c r="H190" s="1794"/>
      <c r="I190" s="1794"/>
      <c r="J190" s="1794"/>
      <c r="K190" s="1794"/>
      <c r="L190" s="1794"/>
      <c r="M190" s="1794"/>
      <c r="N190" s="1794"/>
      <c r="O190" s="1809" t="s">
        <v>446</v>
      </c>
      <c r="P190" s="1812">
        <f>SUM(C190:N190)</f>
        <v>43000</v>
      </c>
      <c r="Q190" s="1815"/>
    </row>
    <row r="191" spans="1:18" s="1788" customFormat="1" ht="30.75" customHeight="1">
      <c r="A191" s="2255"/>
      <c r="B191" s="1797">
        <v>36</v>
      </c>
      <c r="C191" s="1794"/>
      <c r="D191" s="1794"/>
      <c r="E191" s="1794"/>
      <c r="F191" s="1794"/>
      <c r="G191" s="1794"/>
      <c r="H191" s="1794"/>
      <c r="I191" s="1794"/>
      <c r="J191" s="1794"/>
      <c r="K191" s="1794">
        <v>25000</v>
      </c>
      <c r="L191" s="1794"/>
      <c r="M191" s="1794"/>
      <c r="N191" s="1794"/>
      <c r="O191" s="1809" t="s">
        <v>440</v>
      </c>
      <c r="P191" s="1812">
        <f t="shared" ref="P191:P200" si="18">SUM(C191:N191)</f>
        <v>25000</v>
      </c>
      <c r="Q191" s="1815"/>
    </row>
    <row r="192" spans="1:18" s="1788" customFormat="1" ht="30.75" customHeight="1">
      <c r="A192" s="2255"/>
      <c r="B192" s="1797">
        <v>37</v>
      </c>
      <c r="C192" s="1794"/>
      <c r="D192" s="1794"/>
      <c r="E192" s="1794"/>
      <c r="F192" s="1794"/>
      <c r="G192" s="1794"/>
      <c r="H192" s="1794"/>
      <c r="I192" s="1794"/>
      <c r="J192" s="1794"/>
      <c r="K192" s="1794"/>
      <c r="L192" s="1794">
        <v>12000</v>
      </c>
      <c r="M192" s="1794"/>
      <c r="N192" s="1794"/>
      <c r="O192" s="1809" t="s">
        <v>447</v>
      </c>
      <c r="P192" s="1812">
        <f t="shared" si="18"/>
        <v>12000</v>
      </c>
      <c r="Q192" s="1815"/>
    </row>
    <row r="193" spans="1:18" s="1788" customFormat="1" ht="30.75" customHeight="1">
      <c r="A193" s="2255"/>
      <c r="B193" s="1797">
        <v>38</v>
      </c>
      <c r="C193" s="1794"/>
      <c r="D193" s="1794"/>
      <c r="E193" s="1794"/>
      <c r="F193" s="1794"/>
      <c r="G193" s="1794"/>
      <c r="H193" s="1794"/>
      <c r="I193" s="1794"/>
      <c r="J193" s="1794"/>
      <c r="K193" s="1794"/>
      <c r="L193" s="1794"/>
      <c r="M193" s="1794"/>
      <c r="N193" s="1794">
        <v>20000</v>
      </c>
      <c r="O193" s="1809" t="s">
        <v>448</v>
      </c>
      <c r="P193" s="1812">
        <f t="shared" si="18"/>
        <v>20000</v>
      </c>
      <c r="Q193" s="1815"/>
    </row>
    <row r="194" spans="1:18" s="1788" customFormat="1" ht="30.75" customHeight="1">
      <c r="A194" s="2255"/>
      <c r="B194" s="1797">
        <v>39</v>
      </c>
      <c r="C194" s="1794"/>
      <c r="D194" s="1794"/>
      <c r="E194" s="1794"/>
      <c r="F194" s="1794"/>
      <c r="G194" s="1794"/>
      <c r="H194" s="1794"/>
      <c r="I194" s="1794"/>
      <c r="J194" s="1794"/>
      <c r="K194" s="1794"/>
      <c r="L194" s="1794"/>
      <c r="M194" s="1794"/>
      <c r="N194" s="1794">
        <v>51400</v>
      </c>
      <c r="O194" s="1809" t="s">
        <v>449</v>
      </c>
      <c r="P194" s="1812">
        <f t="shared" si="18"/>
        <v>51400</v>
      </c>
      <c r="Q194" s="1815"/>
    </row>
    <row r="195" spans="1:18" s="1788" customFormat="1" ht="30.75" customHeight="1">
      <c r="A195" s="2255"/>
      <c r="B195" s="1797">
        <v>40</v>
      </c>
      <c r="C195" s="1794"/>
      <c r="D195" s="1794">
        <v>5000</v>
      </c>
      <c r="E195" s="1794"/>
      <c r="F195" s="1794"/>
      <c r="G195" s="1794"/>
      <c r="H195" s="1794"/>
      <c r="I195" s="1794">
        <v>67000</v>
      </c>
      <c r="J195" s="1794"/>
      <c r="K195" s="1794"/>
      <c r="L195" s="1794"/>
      <c r="M195" s="1794"/>
      <c r="N195" s="1794"/>
      <c r="O195" s="1809" t="s">
        <v>450</v>
      </c>
      <c r="P195" s="1812">
        <f t="shared" si="18"/>
        <v>72000</v>
      </c>
      <c r="Q195" s="1815"/>
    </row>
    <row r="196" spans="1:18" s="1788" customFormat="1" ht="30.75" customHeight="1">
      <c r="A196" s="2255"/>
      <c r="B196" s="1797"/>
      <c r="C196" s="1794"/>
      <c r="D196" s="1794"/>
      <c r="E196" s="1794"/>
      <c r="F196" s="1794"/>
      <c r="G196" s="1794"/>
      <c r="H196" s="1794"/>
      <c r="I196" s="1794"/>
      <c r="J196" s="1794"/>
      <c r="K196" s="1794"/>
      <c r="L196" s="1794"/>
      <c r="M196" s="1794"/>
      <c r="N196" s="1794">
        <f>'LAPORAN KAS PERIODE'!I18</f>
        <v>112586</v>
      </c>
      <c r="O196" s="1809" t="s">
        <v>422</v>
      </c>
      <c r="P196" s="1812">
        <f t="shared" si="18"/>
        <v>112586</v>
      </c>
      <c r="Q196" s="1815"/>
    </row>
    <row r="197" spans="1:18" s="1788" customFormat="1" ht="30.75" customHeight="1">
      <c r="A197" s="2255"/>
      <c r="B197" s="1797"/>
      <c r="C197" s="1794"/>
      <c r="D197" s="1794"/>
      <c r="E197" s="1794"/>
      <c r="F197" s="1794"/>
      <c r="G197" s="1794"/>
      <c r="H197" s="1794"/>
      <c r="I197" s="1794"/>
      <c r="J197" s="1794"/>
      <c r="K197" s="1794"/>
      <c r="L197" s="1794"/>
      <c r="M197" s="1794"/>
      <c r="N197" s="1794">
        <f>'LAPORAN KAS PERIODE'!I19</f>
        <v>458640</v>
      </c>
      <c r="O197" s="1809" t="s">
        <v>423</v>
      </c>
      <c r="P197" s="1812">
        <f t="shared" si="18"/>
        <v>458640</v>
      </c>
      <c r="Q197" s="1815"/>
    </row>
    <row r="198" spans="1:18" s="1788" customFormat="1" ht="30.75" customHeight="1">
      <c r="A198" s="2255"/>
      <c r="B198" s="1797"/>
      <c r="C198" s="1794"/>
      <c r="D198" s="1794"/>
      <c r="E198" s="1794"/>
      <c r="F198" s="1794"/>
      <c r="G198" s="1794"/>
      <c r="H198" s="1794"/>
      <c r="I198" s="1794"/>
      <c r="J198" s="1794"/>
      <c r="K198" s="1794"/>
      <c r="L198" s="1794"/>
      <c r="M198" s="1794"/>
      <c r="N198" s="1794">
        <f>'LAPORAN KAS PERIODE'!I20</f>
        <v>122317</v>
      </c>
      <c r="O198" s="1809" t="s">
        <v>424</v>
      </c>
      <c r="P198" s="1812">
        <f t="shared" si="18"/>
        <v>122317</v>
      </c>
      <c r="Q198" s="1815"/>
    </row>
    <row r="199" spans="1:18" s="1788" customFormat="1" ht="30.75" customHeight="1">
      <c r="A199" s="2255"/>
      <c r="B199" s="1797"/>
      <c r="C199" s="1794"/>
      <c r="D199" s="1794"/>
      <c r="E199" s="1794"/>
      <c r="F199" s="1794"/>
      <c r="G199" s="1794"/>
      <c r="H199" s="1794"/>
      <c r="I199" s="1794"/>
      <c r="J199" s="1794"/>
      <c r="K199" s="1794"/>
      <c r="L199" s="1794"/>
      <c r="M199" s="1794"/>
      <c r="N199" s="1794">
        <f>'LAPORAN KAS PERIODE'!I21</f>
        <v>2132964</v>
      </c>
      <c r="O199" s="1809" t="s">
        <v>425</v>
      </c>
      <c r="P199" s="1812">
        <f t="shared" si="18"/>
        <v>2132964</v>
      </c>
      <c r="Q199" s="1815"/>
    </row>
    <row r="200" spans="1:18" s="1788" customFormat="1" ht="30.75" customHeight="1">
      <c r="A200" s="2255"/>
      <c r="B200" s="1797"/>
      <c r="C200" s="1794"/>
      <c r="D200" s="1794"/>
      <c r="E200" s="1794"/>
      <c r="F200" s="1794"/>
      <c r="G200" s="1794"/>
      <c r="H200" s="1794"/>
      <c r="I200" s="1794"/>
      <c r="J200" s="1794"/>
      <c r="K200" s="1794"/>
      <c r="L200" s="1794"/>
      <c r="M200" s="1794"/>
      <c r="N200" s="1794">
        <f>'LAPORAN KAS PERIODE'!I24</f>
        <v>14931</v>
      </c>
      <c r="O200" s="1809" t="s">
        <v>426</v>
      </c>
      <c r="P200" s="1812">
        <f t="shared" si="18"/>
        <v>14931</v>
      </c>
      <c r="Q200" s="1815"/>
    </row>
    <row r="201" spans="1:18" s="1788" customFormat="1" ht="30.75" customHeight="1">
      <c r="A201" s="1820" t="s">
        <v>234</v>
      </c>
      <c r="B201" s="1819"/>
      <c r="C201" s="1821">
        <f>SUM(C186:C200)</f>
        <v>0</v>
      </c>
      <c r="D201" s="1821">
        <f t="shared" ref="D201:N201" si="19">SUM(D186:D200)</f>
        <v>5000</v>
      </c>
      <c r="E201" s="1821">
        <f t="shared" si="19"/>
        <v>16000</v>
      </c>
      <c r="F201" s="1821">
        <f t="shared" si="19"/>
        <v>0</v>
      </c>
      <c r="G201" s="1821">
        <f t="shared" si="19"/>
        <v>64000</v>
      </c>
      <c r="H201" s="1821">
        <f t="shared" si="19"/>
        <v>0</v>
      </c>
      <c r="I201" s="1821">
        <f t="shared" si="19"/>
        <v>67000</v>
      </c>
      <c r="J201" s="1821">
        <f t="shared" si="19"/>
        <v>0</v>
      </c>
      <c r="K201" s="1821">
        <f t="shared" si="19"/>
        <v>40000</v>
      </c>
      <c r="L201" s="1821">
        <f t="shared" si="19"/>
        <v>12000</v>
      </c>
      <c r="M201" s="1821">
        <f t="shared" si="19"/>
        <v>0</v>
      </c>
      <c r="N201" s="1821">
        <f t="shared" si="19"/>
        <v>8012838</v>
      </c>
      <c r="O201" s="1821"/>
      <c r="P201" s="1821">
        <f>SUM(P186:P200)</f>
        <v>8216838</v>
      </c>
      <c r="Q201" s="1824">
        <f>P201+Q185</f>
        <v>31813362</v>
      </c>
    </row>
    <row r="202" spans="1:18" s="1788" customFormat="1" ht="30.75" hidden="1" customHeight="1">
      <c r="A202" s="2257">
        <v>45990</v>
      </c>
      <c r="B202" s="1797"/>
      <c r="C202" s="1794"/>
      <c r="D202" s="1794"/>
      <c r="E202" s="1794"/>
      <c r="F202" s="1794"/>
      <c r="G202" s="1794"/>
      <c r="H202" s="1794"/>
      <c r="I202" s="1794"/>
      <c r="J202" s="1794"/>
      <c r="K202" s="1794"/>
      <c r="L202" s="1794"/>
      <c r="M202" s="1794"/>
      <c r="N202" s="1794"/>
      <c r="O202" s="1809"/>
      <c r="P202" s="1812">
        <f>SUM(C202:N202)</f>
        <v>0</v>
      </c>
      <c r="Q202" s="1815"/>
    </row>
    <row r="203" spans="1:18" s="1788" customFormat="1" ht="30.75" hidden="1" customHeight="1">
      <c r="A203" s="2257"/>
      <c r="B203" s="1797"/>
      <c r="C203" s="1794"/>
      <c r="D203" s="1794"/>
      <c r="E203" s="1794"/>
      <c r="F203" s="1794"/>
      <c r="G203" s="1794"/>
      <c r="H203" s="1794"/>
      <c r="I203" s="1794"/>
      <c r="J203" s="1794"/>
      <c r="K203" s="1794"/>
      <c r="L203" s="1794"/>
      <c r="M203" s="1794"/>
      <c r="N203" s="1794"/>
      <c r="O203" s="1809"/>
      <c r="P203" s="1812">
        <f>SUM(C203:N203)</f>
        <v>0</v>
      </c>
      <c r="Q203" s="1815"/>
      <c r="R203" s="1817"/>
    </row>
    <row r="204" spans="1:18" s="1788" customFormat="1" ht="30.75" hidden="1" customHeight="1">
      <c r="A204" s="2257"/>
      <c r="B204" s="1797"/>
      <c r="C204" s="1794"/>
      <c r="D204" s="1794"/>
      <c r="E204" s="1794"/>
      <c r="F204" s="1794"/>
      <c r="G204" s="1794"/>
      <c r="H204" s="1794"/>
      <c r="I204" s="1794"/>
      <c r="J204" s="1794"/>
      <c r="K204" s="1794"/>
      <c r="L204" s="1794"/>
      <c r="M204" s="1794"/>
      <c r="N204" s="1794"/>
      <c r="O204" s="1809"/>
      <c r="P204" s="1812">
        <f t="shared" ref="P204:P215" si="20">SUM(C204:N204)</f>
        <v>0</v>
      </c>
      <c r="Q204" s="1815"/>
    </row>
    <row r="205" spans="1:18" s="1788" customFormat="1" ht="30.75" hidden="1" customHeight="1">
      <c r="A205" s="2257"/>
      <c r="B205" s="1797"/>
      <c r="C205" s="1794"/>
      <c r="D205" s="1794"/>
      <c r="E205" s="1794"/>
      <c r="F205" s="1794"/>
      <c r="G205" s="1794"/>
      <c r="H205" s="1794"/>
      <c r="I205" s="1794"/>
      <c r="J205" s="1794"/>
      <c r="K205" s="1794"/>
      <c r="L205" s="1794"/>
      <c r="M205" s="1794"/>
      <c r="N205" s="1794"/>
      <c r="O205" s="1809"/>
      <c r="P205" s="1812">
        <f t="shared" si="20"/>
        <v>0</v>
      </c>
      <c r="Q205" s="1815"/>
    </row>
    <row r="206" spans="1:18" s="1788" customFormat="1" ht="30.75" hidden="1" customHeight="1">
      <c r="A206" s="2257"/>
      <c r="B206" s="1797"/>
      <c r="C206" s="1794"/>
      <c r="D206" s="1794"/>
      <c r="E206" s="1794"/>
      <c r="F206" s="1794"/>
      <c r="G206" s="1794"/>
      <c r="H206" s="1794"/>
      <c r="I206" s="1794"/>
      <c r="J206" s="1794"/>
      <c r="K206" s="1794"/>
      <c r="L206" s="1794"/>
      <c r="M206" s="1794"/>
      <c r="N206" s="1794"/>
      <c r="O206" s="1809"/>
      <c r="P206" s="1812">
        <f t="shared" si="20"/>
        <v>0</v>
      </c>
      <c r="Q206" s="1815">
        <f>SUM(P202:P208)</f>
        <v>0</v>
      </c>
    </row>
    <row r="207" spans="1:18" s="1788" customFormat="1" ht="30.75" hidden="1" customHeight="1">
      <c r="A207" s="2257"/>
      <c r="B207" s="1797"/>
      <c r="C207" s="1794"/>
      <c r="D207" s="1794"/>
      <c r="E207" s="1794"/>
      <c r="F207" s="1794"/>
      <c r="G207" s="1794"/>
      <c r="H207" s="1794"/>
      <c r="I207" s="1794"/>
      <c r="J207" s="1794"/>
      <c r="K207" s="1794"/>
      <c r="L207" s="1794"/>
      <c r="M207" s="1794"/>
      <c r="N207" s="1794"/>
      <c r="O207" s="1809"/>
      <c r="P207" s="1812">
        <f t="shared" si="20"/>
        <v>0</v>
      </c>
      <c r="Q207" s="1815"/>
    </row>
    <row r="208" spans="1:18" s="1788" customFormat="1" ht="30.75" hidden="1" customHeight="1">
      <c r="A208" s="2257"/>
      <c r="B208" s="1797"/>
      <c r="C208" s="1794"/>
      <c r="D208" s="1794"/>
      <c r="E208" s="1794"/>
      <c r="F208" s="1794"/>
      <c r="G208" s="1794"/>
      <c r="H208" s="1794"/>
      <c r="I208" s="1794"/>
      <c r="J208" s="1794"/>
      <c r="K208" s="1794"/>
      <c r="L208" s="1794"/>
      <c r="M208" s="1794"/>
      <c r="N208" s="1794"/>
      <c r="O208" s="1809"/>
      <c r="P208" s="1812">
        <f t="shared" si="20"/>
        <v>0</v>
      </c>
      <c r="Q208" s="1815"/>
    </row>
    <row r="209" spans="1:18" s="1788" customFormat="1" ht="30.75" hidden="1" customHeight="1">
      <c r="A209" s="2257"/>
      <c r="B209" s="1797"/>
      <c r="C209" s="1794"/>
      <c r="D209" s="1794"/>
      <c r="E209" s="1794"/>
      <c r="F209" s="1794"/>
      <c r="G209" s="1794"/>
      <c r="H209" s="1794"/>
      <c r="I209" s="1794"/>
      <c r="J209" s="1794"/>
      <c r="K209" s="1794"/>
      <c r="L209" s="1794"/>
      <c r="M209" s="1794"/>
      <c r="N209" s="1794"/>
      <c r="O209" s="1809"/>
      <c r="P209" s="1812">
        <f t="shared" si="20"/>
        <v>0</v>
      </c>
      <c r="Q209" s="1815"/>
    </row>
    <row r="210" spans="1:18" s="1788" customFormat="1" ht="30.75" hidden="1" customHeight="1">
      <c r="A210" s="2257"/>
      <c r="B210" s="1797"/>
      <c r="C210" s="1794"/>
      <c r="D210" s="1794"/>
      <c r="E210" s="1794"/>
      <c r="F210" s="1794"/>
      <c r="G210" s="1794"/>
      <c r="H210" s="1794"/>
      <c r="I210" s="1794"/>
      <c r="J210" s="1794"/>
      <c r="K210" s="1794"/>
      <c r="L210" s="1794"/>
      <c r="M210" s="1794"/>
      <c r="N210" s="1794"/>
      <c r="O210" s="1809"/>
      <c r="P210" s="1812">
        <f t="shared" si="20"/>
        <v>0</v>
      </c>
      <c r="Q210" s="1815"/>
    </row>
    <row r="211" spans="1:18" s="1788" customFormat="1" ht="30.75" hidden="1" customHeight="1">
      <c r="A211" s="2258"/>
      <c r="B211" s="1822"/>
      <c r="C211" s="1823"/>
      <c r="D211" s="1823"/>
      <c r="E211" s="1823"/>
      <c r="F211" s="1823"/>
      <c r="G211" s="1823"/>
      <c r="H211" s="1823"/>
      <c r="I211" s="1823"/>
      <c r="J211" s="1823"/>
      <c r="K211" s="1823"/>
      <c r="L211" s="1823"/>
      <c r="M211" s="1823"/>
      <c r="N211" s="1823">
        <f>'LAPORAN KAS PERIODE'!J18</f>
        <v>0</v>
      </c>
      <c r="O211" s="1823" t="s">
        <v>422</v>
      </c>
      <c r="P211" s="1812">
        <f t="shared" si="20"/>
        <v>0</v>
      </c>
      <c r="Q211" s="1825"/>
    </row>
    <row r="212" spans="1:18" s="1788" customFormat="1" ht="30.75" hidden="1" customHeight="1">
      <c r="A212" s="2257"/>
      <c r="B212" s="1797"/>
      <c r="C212" s="1794"/>
      <c r="D212" s="1794"/>
      <c r="E212" s="1794"/>
      <c r="F212" s="1794"/>
      <c r="G212" s="1794"/>
      <c r="H212" s="1794"/>
      <c r="I212" s="1794"/>
      <c r="J212" s="1794"/>
      <c r="K212" s="1794"/>
      <c r="L212" s="1794"/>
      <c r="M212" s="1794"/>
      <c r="N212" s="1823">
        <f>'LAPORAN KAS PERIODE'!J19</f>
        <v>0</v>
      </c>
      <c r="O212" s="1809" t="s">
        <v>451</v>
      </c>
      <c r="P212" s="1812">
        <f t="shared" si="20"/>
        <v>0</v>
      </c>
      <c r="Q212" s="1815"/>
    </row>
    <row r="213" spans="1:18" s="1788" customFormat="1" ht="30.75" hidden="1" customHeight="1">
      <c r="A213" s="2257"/>
      <c r="B213" s="1797"/>
      <c r="C213" s="1794"/>
      <c r="D213" s="1794"/>
      <c r="E213" s="1794"/>
      <c r="F213" s="1794"/>
      <c r="G213" s="1794"/>
      <c r="H213" s="1794"/>
      <c r="I213" s="1794"/>
      <c r="J213" s="1794"/>
      <c r="K213" s="1794"/>
      <c r="L213" s="1794"/>
      <c r="M213" s="1794"/>
      <c r="N213" s="1823">
        <f>'LAPORAN KAS PERIODE'!J20</f>
        <v>0</v>
      </c>
      <c r="O213" s="1809" t="s">
        <v>452</v>
      </c>
      <c r="P213" s="1812">
        <f t="shared" si="20"/>
        <v>0</v>
      </c>
      <c r="Q213" s="1815"/>
    </row>
    <row r="214" spans="1:18" s="1788" customFormat="1" ht="30.75" hidden="1" customHeight="1">
      <c r="A214" s="2257"/>
      <c r="B214" s="1797"/>
      <c r="C214" s="1794"/>
      <c r="D214" s="1794"/>
      <c r="E214" s="1794"/>
      <c r="F214" s="1794"/>
      <c r="G214" s="1794"/>
      <c r="H214" s="1794"/>
      <c r="I214" s="1794"/>
      <c r="J214" s="1794"/>
      <c r="K214" s="1794"/>
      <c r="L214" s="1794"/>
      <c r="M214" s="1794"/>
      <c r="N214" s="1823">
        <f>'LAPORAN KAS PERIODE'!J21</f>
        <v>0</v>
      </c>
      <c r="O214" s="1809" t="s">
        <v>425</v>
      </c>
      <c r="P214" s="1812">
        <f t="shared" si="20"/>
        <v>0</v>
      </c>
      <c r="Q214" s="1815"/>
    </row>
    <row r="215" spans="1:18" s="1788" customFormat="1" ht="30.75" hidden="1" customHeight="1">
      <c r="A215" s="2257"/>
      <c r="B215" s="1797"/>
      <c r="C215" s="1794"/>
      <c r="D215" s="1794"/>
      <c r="E215" s="1794"/>
      <c r="F215" s="1794"/>
      <c r="G215" s="1794"/>
      <c r="H215" s="1794"/>
      <c r="I215" s="1794"/>
      <c r="J215" s="1794"/>
      <c r="K215" s="1794"/>
      <c r="L215" s="1794"/>
      <c r="M215" s="1794"/>
      <c r="N215" s="1794">
        <f>'LAPORAN KAS PERIODE'!J24</f>
        <v>0</v>
      </c>
      <c r="O215" s="1809" t="s">
        <v>426</v>
      </c>
      <c r="P215" s="1812">
        <f t="shared" si="20"/>
        <v>0</v>
      </c>
      <c r="Q215" s="1815"/>
    </row>
    <row r="216" spans="1:18" s="1788" customFormat="1" ht="30.75" customHeight="1">
      <c r="A216" s="1820"/>
      <c r="B216" s="1819"/>
      <c r="C216" s="1821">
        <f>SUM(C202:C215)</f>
        <v>0</v>
      </c>
      <c r="D216" s="1821">
        <f t="shared" ref="D216:N216" si="21">SUM(D202:D215)</f>
        <v>0</v>
      </c>
      <c r="E216" s="1821">
        <f t="shared" si="21"/>
        <v>0</v>
      </c>
      <c r="F216" s="1821">
        <f t="shared" si="21"/>
        <v>0</v>
      </c>
      <c r="G216" s="1821">
        <f t="shared" si="21"/>
        <v>0</v>
      </c>
      <c r="H216" s="1821">
        <f t="shared" si="21"/>
        <v>0</v>
      </c>
      <c r="I216" s="1821">
        <f t="shared" si="21"/>
        <v>0</v>
      </c>
      <c r="J216" s="1821">
        <f t="shared" si="21"/>
        <v>0</v>
      </c>
      <c r="K216" s="1821">
        <f t="shared" si="21"/>
        <v>0</v>
      </c>
      <c r="L216" s="1821">
        <f t="shared" si="21"/>
        <v>0</v>
      </c>
      <c r="M216" s="1821">
        <f t="shared" si="21"/>
        <v>0</v>
      </c>
      <c r="N216" s="1821">
        <f t="shared" si="21"/>
        <v>0</v>
      </c>
      <c r="O216" s="1821"/>
      <c r="P216" s="1821">
        <f>SUM(P202:P215)</f>
        <v>0</v>
      </c>
      <c r="Q216" s="1824">
        <f>P216+Q201</f>
        <v>31813362</v>
      </c>
    </row>
    <row r="217" spans="1:18" s="1788" customFormat="1" ht="30.75" hidden="1" customHeight="1">
      <c r="A217" s="2255">
        <v>45991</v>
      </c>
      <c r="B217" s="1797"/>
      <c r="C217" s="1794"/>
      <c r="D217" s="1794"/>
      <c r="E217" s="1794"/>
      <c r="F217" s="1794"/>
      <c r="G217" s="1794"/>
      <c r="H217" s="1794"/>
      <c r="I217" s="1794"/>
      <c r="J217" s="1794"/>
      <c r="K217" s="1794"/>
      <c r="L217" s="1794"/>
      <c r="M217" s="1794"/>
      <c r="N217" s="1794"/>
      <c r="O217" s="1809"/>
      <c r="P217" s="1812">
        <f t="shared" ref="P217:P231" si="22">SUM(C217:N217)</f>
        <v>0</v>
      </c>
      <c r="Q217" s="1815"/>
    </row>
    <row r="218" spans="1:18" s="1788" customFormat="1" ht="30.75" hidden="1" customHeight="1">
      <c r="A218" s="2255"/>
      <c r="B218" s="1797"/>
      <c r="C218" s="1794"/>
      <c r="D218" s="1794"/>
      <c r="E218" s="1794"/>
      <c r="F218" s="1794"/>
      <c r="G218" s="1794"/>
      <c r="H218" s="1794"/>
      <c r="I218" s="1794"/>
      <c r="J218" s="1794"/>
      <c r="K218" s="1794"/>
      <c r="L218" s="1794"/>
      <c r="M218" s="1794"/>
      <c r="N218" s="1794"/>
      <c r="O218" s="1809"/>
      <c r="P218" s="1812">
        <f t="shared" si="22"/>
        <v>0</v>
      </c>
      <c r="Q218" s="1815"/>
    </row>
    <row r="219" spans="1:18" s="1788" customFormat="1" ht="30.75" hidden="1" customHeight="1">
      <c r="A219" s="2255"/>
      <c r="B219" s="1797"/>
      <c r="C219" s="1794"/>
      <c r="D219" s="1794"/>
      <c r="E219" s="1794"/>
      <c r="F219" s="1794"/>
      <c r="G219" s="1794"/>
      <c r="H219" s="1794"/>
      <c r="I219" s="1794"/>
      <c r="J219" s="1794"/>
      <c r="K219" s="1794"/>
      <c r="L219" s="1794"/>
      <c r="M219" s="1794"/>
      <c r="N219" s="1794"/>
      <c r="O219" s="1809"/>
      <c r="P219" s="1812">
        <f t="shared" si="22"/>
        <v>0</v>
      </c>
      <c r="Q219" s="1815">
        <f>SUM(P217:P220)</f>
        <v>0</v>
      </c>
    </row>
    <row r="220" spans="1:18" s="1788" customFormat="1" ht="30.75" hidden="1" customHeight="1">
      <c r="A220" s="2255"/>
      <c r="B220" s="1797"/>
      <c r="C220" s="1794"/>
      <c r="D220" s="1794"/>
      <c r="E220" s="1794"/>
      <c r="F220" s="1794"/>
      <c r="G220" s="1794"/>
      <c r="H220" s="1794"/>
      <c r="I220" s="1794"/>
      <c r="J220" s="1794"/>
      <c r="K220" s="1794"/>
      <c r="L220" s="1794"/>
      <c r="M220" s="1794"/>
      <c r="N220" s="1794"/>
      <c r="O220" s="1809"/>
      <c r="P220" s="1812">
        <f t="shared" si="22"/>
        <v>0</v>
      </c>
      <c r="Q220" s="1815"/>
    </row>
    <row r="221" spans="1:18" s="1788" customFormat="1" ht="30.75" hidden="1" customHeight="1">
      <c r="A221" s="2255"/>
      <c r="B221" s="1797"/>
      <c r="C221" s="1794"/>
      <c r="D221" s="1794"/>
      <c r="E221" s="1794"/>
      <c r="F221" s="1794"/>
      <c r="G221" s="1794"/>
      <c r="H221" s="1794"/>
      <c r="I221" s="1794"/>
      <c r="J221" s="1794"/>
      <c r="K221" s="1794"/>
      <c r="L221" s="1794"/>
      <c r="M221" s="1794"/>
      <c r="N221" s="1794"/>
      <c r="O221" s="1809"/>
      <c r="P221" s="1812">
        <f t="shared" si="22"/>
        <v>0</v>
      </c>
      <c r="Q221" s="1815"/>
    </row>
    <row r="222" spans="1:18" s="1788" customFormat="1" ht="30.75" hidden="1" customHeight="1">
      <c r="A222" s="2255"/>
      <c r="B222" s="1797"/>
      <c r="C222" s="1794"/>
      <c r="D222" s="1794"/>
      <c r="E222" s="1794"/>
      <c r="F222" s="1794"/>
      <c r="G222" s="1794"/>
      <c r="H222" s="1794"/>
      <c r="I222" s="1794"/>
      <c r="J222" s="1794"/>
      <c r="K222" s="1794"/>
      <c r="L222" s="1794"/>
      <c r="M222" s="1794"/>
      <c r="N222" s="1794"/>
      <c r="O222" s="1809"/>
      <c r="P222" s="1812">
        <f t="shared" si="22"/>
        <v>0</v>
      </c>
      <c r="Q222" s="1815"/>
    </row>
    <row r="223" spans="1:18" s="1788" customFormat="1" ht="30.75" hidden="1" customHeight="1">
      <c r="A223" s="2255"/>
      <c r="B223" s="1797"/>
      <c r="C223" s="1794"/>
      <c r="D223" s="1794"/>
      <c r="E223" s="1794"/>
      <c r="F223" s="1794"/>
      <c r="G223" s="1794"/>
      <c r="H223" s="1794"/>
      <c r="I223" s="1794"/>
      <c r="J223" s="1794"/>
      <c r="K223" s="1794"/>
      <c r="L223" s="1794"/>
      <c r="M223" s="1794"/>
      <c r="N223" s="1794"/>
      <c r="O223" s="1809"/>
      <c r="P223" s="1812">
        <f t="shared" si="22"/>
        <v>0</v>
      </c>
      <c r="Q223" s="1815"/>
      <c r="R223" s="1817">
        <f>SUM(P217:P231)</f>
        <v>0</v>
      </c>
    </row>
    <row r="224" spans="1:18" s="1788" customFormat="1" ht="30.75" hidden="1" customHeight="1">
      <c r="A224" s="2255"/>
      <c r="B224" s="1797"/>
      <c r="C224" s="1794"/>
      <c r="D224" s="1794"/>
      <c r="E224" s="1794"/>
      <c r="F224" s="1794"/>
      <c r="G224" s="1794"/>
      <c r="H224" s="1794"/>
      <c r="I224" s="1794"/>
      <c r="J224" s="1794"/>
      <c r="K224" s="1794"/>
      <c r="L224" s="1794"/>
      <c r="M224" s="1794"/>
      <c r="N224" s="1794"/>
      <c r="O224" s="1809"/>
      <c r="P224" s="1812">
        <f t="shared" si="22"/>
        <v>0</v>
      </c>
      <c r="Q224" s="1815"/>
    </row>
    <row r="225" spans="1:17" s="1788" customFormat="1" ht="30.75" hidden="1" customHeight="1">
      <c r="A225" s="2255"/>
      <c r="B225" s="1797"/>
      <c r="C225" s="1794"/>
      <c r="D225" s="1794"/>
      <c r="E225" s="1794"/>
      <c r="F225" s="1794"/>
      <c r="G225" s="1794"/>
      <c r="H225" s="1794"/>
      <c r="I225" s="1794"/>
      <c r="J225" s="1794"/>
      <c r="K225" s="1794"/>
      <c r="L225" s="1794"/>
      <c r="M225" s="1794"/>
      <c r="N225" s="1794"/>
      <c r="O225" s="1809"/>
      <c r="P225" s="1812">
        <f t="shared" si="22"/>
        <v>0</v>
      </c>
      <c r="Q225" s="1815"/>
    </row>
    <row r="226" spans="1:17" s="1788" customFormat="1" ht="30.75" hidden="1" customHeight="1">
      <c r="A226" s="2255"/>
      <c r="B226" s="1797"/>
      <c r="C226" s="1794"/>
      <c r="D226" s="1794"/>
      <c r="E226" s="1794"/>
      <c r="F226" s="1794"/>
      <c r="G226" s="1794"/>
      <c r="H226" s="1794"/>
      <c r="I226" s="1794"/>
      <c r="J226" s="1794"/>
      <c r="K226" s="1794"/>
      <c r="L226" s="1794"/>
      <c r="M226" s="1794"/>
      <c r="N226" s="1794"/>
      <c r="O226" s="1809"/>
      <c r="P226" s="1812">
        <f t="shared" si="22"/>
        <v>0</v>
      </c>
      <c r="Q226" s="1815"/>
    </row>
    <row r="227" spans="1:17" s="1788" customFormat="1" ht="30.75" hidden="1" customHeight="1">
      <c r="A227" s="2255"/>
      <c r="B227" s="1797"/>
      <c r="C227" s="1794"/>
      <c r="D227" s="1794"/>
      <c r="E227" s="1794"/>
      <c r="F227" s="1794"/>
      <c r="G227" s="1794"/>
      <c r="H227" s="1794"/>
      <c r="I227" s="1794"/>
      <c r="J227" s="1794"/>
      <c r="K227" s="1794"/>
      <c r="L227" s="1794"/>
      <c r="M227" s="1794"/>
      <c r="N227" s="1794"/>
      <c r="O227" s="1809"/>
      <c r="P227" s="1812">
        <f t="shared" si="22"/>
        <v>0</v>
      </c>
      <c r="Q227" s="1815"/>
    </row>
    <row r="228" spans="1:17" s="1788" customFormat="1" ht="30.75" hidden="1" customHeight="1">
      <c r="A228" s="2255"/>
      <c r="B228" s="1797"/>
      <c r="C228" s="1794"/>
      <c r="D228" s="1794"/>
      <c r="E228" s="1794"/>
      <c r="F228" s="1794"/>
      <c r="G228" s="1794"/>
      <c r="H228" s="1794"/>
      <c r="I228" s="1794"/>
      <c r="J228" s="1794"/>
      <c r="K228" s="1794"/>
      <c r="L228" s="1794"/>
      <c r="M228" s="1794"/>
      <c r="N228" s="1794"/>
      <c r="O228" s="1809"/>
      <c r="P228" s="1812">
        <f t="shared" si="22"/>
        <v>0</v>
      </c>
      <c r="Q228" s="1815"/>
    </row>
    <row r="229" spans="1:17" s="1788" customFormat="1" ht="30.75" hidden="1" customHeight="1">
      <c r="A229" s="2255"/>
      <c r="B229" s="1797"/>
      <c r="C229" s="1794"/>
      <c r="D229" s="1794"/>
      <c r="E229" s="1794"/>
      <c r="F229" s="1794"/>
      <c r="G229" s="1794"/>
      <c r="H229" s="1794"/>
      <c r="I229" s="1794"/>
      <c r="J229" s="1794"/>
      <c r="K229" s="1794"/>
      <c r="L229" s="1794"/>
      <c r="M229" s="1794"/>
      <c r="N229" s="1794"/>
      <c r="O229" s="1809"/>
      <c r="P229" s="1812">
        <f t="shared" si="22"/>
        <v>0</v>
      </c>
      <c r="Q229" s="1815"/>
    </row>
    <row r="230" spans="1:17" s="1788" customFormat="1" ht="30.75" hidden="1" customHeight="1">
      <c r="A230" s="2255"/>
      <c r="B230" s="1797"/>
      <c r="C230" s="1794"/>
      <c r="D230" s="1794"/>
      <c r="E230" s="1794"/>
      <c r="F230" s="1794"/>
      <c r="G230" s="1794"/>
      <c r="H230" s="1794"/>
      <c r="I230" s="1794"/>
      <c r="J230" s="1794"/>
      <c r="K230" s="1794"/>
      <c r="L230" s="1794"/>
      <c r="M230" s="1794"/>
      <c r="N230" s="1794"/>
      <c r="O230" s="1809"/>
      <c r="P230" s="1812">
        <f t="shared" si="22"/>
        <v>0</v>
      </c>
      <c r="Q230" s="1815"/>
    </row>
    <row r="231" spans="1:17" s="1788" customFormat="1" ht="30.75" hidden="1" customHeight="1">
      <c r="A231" s="2255"/>
      <c r="B231" s="1797"/>
      <c r="C231" s="1794"/>
      <c r="D231" s="1794"/>
      <c r="E231" s="1794"/>
      <c r="F231" s="1794"/>
      <c r="G231" s="1794"/>
      <c r="H231" s="1794"/>
      <c r="I231" s="1794"/>
      <c r="J231" s="1794"/>
      <c r="K231" s="1794"/>
      <c r="L231" s="1794"/>
      <c r="M231" s="1794"/>
      <c r="N231" s="1794"/>
      <c r="O231" s="1809"/>
      <c r="P231" s="1812">
        <f t="shared" si="22"/>
        <v>0</v>
      </c>
      <c r="Q231" s="1815"/>
    </row>
    <row r="232" spans="1:17" s="1788" customFormat="1" ht="30.75" hidden="1" customHeight="1">
      <c r="A232" s="2255"/>
      <c r="B232" s="1797"/>
      <c r="C232" s="1794"/>
      <c r="D232" s="1794"/>
      <c r="E232" s="1794"/>
      <c r="F232" s="1794"/>
      <c r="G232" s="1794"/>
      <c r="H232" s="1794"/>
      <c r="I232" s="1794"/>
      <c r="J232" s="1794"/>
      <c r="K232" s="1794"/>
      <c r="L232" s="1794"/>
      <c r="M232" s="1794"/>
      <c r="N232" s="1794"/>
      <c r="O232" s="1809"/>
      <c r="P232" s="1812">
        <f t="shared" ref="P232:P239" si="23">SUM(C232:N232)</f>
        <v>0</v>
      </c>
      <c r="Q232" s="1815">
        <f>SUM(P232:P238)</f>
        <v>0</v>
      </c>
    </row>
    <row r="233" spans="1:17" s="1788" customFormat="1" ht="30.75" hidden="1" customHeight="1">
      <c r="A233" s="2255"/>
      <c r="B233" s="1797"/>
      <c r="C233" s="1794"/>
      <c r="D233" s="1794"/>
      <c r="E233" s="1794"/>
      <c r="F233" s="1794"/>
      <c r="G233" s="1794"/>
      <c r="H233" s="1794"/>
      <c r="I233" s="1794"/>
      <c r="J233" s="1794"/>
      <c r="K233" s="1794"/>
      <c r="L233" s="1794"/>
      <c r="M233" s="1794"/>
      <c r="N233" s="1794"/>
      <c r="O233" s="1809"/>
      <c r="P233" s="1812">
        <f t="shared" si="23"/>
        <v>0</v>
      </c>
      <c r="Q233" s="1815"/>
    </row>
    <row r="234" spans="1:17" s="1788" customFormat="1" ht="30.75" hidden="1" customHeight="1">
      <c r="A234" s="2255"/>
      <c r="B234" s="1797"/>
      <c r="C234" s="1794"/>
      <c r="D234" s="1794"/>
      <c r="E234" s="1794"/>
      <c r="F234" s="1794"/>
      <c r="G234" s="1794"/>
      <c r="H234" s="1794"/>
      <c r="I234" s="1794"/>
      <c r="J234" s="1794"/>
      <c r="K234" s="1794"/>
      <c r="L234" s="1794"/>
      <c r="M234" s="1794"/>
      <c r="N234" s="1794"/>
      <c r="O234" s="1809"/>
      <c r="P234" s="1812">
        <f t="shared" si="23"/>
        <v>0</v>
      </c>
      <c r="Q234" s="1815"/>
    </row>
    <row r="235" spans="1:17" s="1788" customFormat="1" ht="30.75" hidden="1" customHeight="1">
      <c r="A235" s="2255"/>
      <c r="B235" s="1797"/>
      <c r="C235" s="1794"/>
      <c r="D235" s="1794"/>
      <c r="E235" s="1794"/>
      <c r="F235" s="1794"/>
      <c r="G235" s="1794"/>
      <c r="H235" s="1794"/>
      <c r="I235" s="1794"/>
      <c r="J235" s="1794"/>
      <c r="K235" s="1794"/>
      <c r="L235" s="1794"/>
      <c r="M235" s="1794"/>
      <c r="N235" s="1794"/>
      <c r="O235" s="1809"/>
      <c r="P235" s="1812">
        <f t="shared" si="23"/>
        <v>0</v>
      </c>
      <c r="Q235" s="1815"/>
    </row>
    <row r="236" spans="1:17" s="1788" customFormat="1" ht="30.75" hidden="1" customHeight="1">
      <c r="A236" s="2255"/>
      <c r="B236" s="1797"/>
      <c r="C236" s="1794"/>
      <c r="D236" s="1794"/>
      <c r="E236" s="1794"/>
      <c r="F236" s="1794"/>
      <c r="G236" s="1794"/>
      <c r="H236" s="1794"/>
      <c r="I236" s="1794"/>
      <c r="J236" s="1794"/>
      <c r="K236" s="1794"/>
      <c r="L236" s="1794"/>
      <c r="M236" s="1794"/>
      <c r="N236" s="1794"/>
      <c r="O236" s="1809"/>
      <c r="P236" s="1812">
        <f t="shared" si="23"/>
        <v>0</v>
      </c>
      <c r="Q236" s="1815"/>
    </row>
    <row r="237" spans="1:17" s="1788" customFormat="1" ht="30.75" hidden="1" customHeight="1">
      <c r="A237" s="2255"/>
      <c r="B237" s="1797"/>
      <c r="C237" s="1794"/>
      <c r="D237" s="1794"/>
      <c r="E237" s="1794"/>
      <c r="F237" s="1794"/>
      <c r="G237" s="1794"/>
      <c r="H237" s="1794"/>
      <c r="I237" s="1794"/>
      <c r="J237" s="1794"/>
      <c r="K237" s="1794"/>
      <c r="L237" s="1794"/>
      <c r="M237" s="1794"/>
      <c r="N237" s="1794"/>
      <c r="O237" s="1809"/>
      <c r="P237" s="1812">
        <f t="shared" si="23"/>
        <v>0</v>
      </c>
      <c r="Q237" s="1815"/>
    </row>
    <row r="238" spans="1:17" s="1788" customFormat="1" ht="30.75" hidden="1" customHeight="1">
      <c r="A238" s="2255"/>
      <c r="B238" s="1797"/>
      <c r="C238" s="1794"/>
      <c r="D238" s="1794"/>
      <c r="E238" s="1794"/>
      <c r="F238" s="1794"/>
      <c r="G238" s="1794"/>
      <c r="H238" s="1794"/>
      <c r="I238" s="1794"/>
      <c r="J238" s="1794"/>
      <c r="K238" s="1794"/>
      <c r="L238" s="1794"/>
      <c r="M238" s="1794"/>
      <c r="N238" s="1794"/>
      <c r="O238" s="1809"/>
      <c r="P238" s="1812">
        <f t="shared" si="23"/>
        <v>0</v>
      </c>
      <c r="Q238" s="1815"/>
    </row>
    <row r="239" spans="1:17" s="1788" customFormat="1" ht="30.75" hidden="1" customHeight="1">
      <c r="A239" s="2255"/>
      <c r="B239" s="1797"/>
      <c r="C239" s="1794"/>
      <c r="D239" s="1794"/>
      <c r="E239" s="1794"/>
      <c r="F239" s="1794"/>
      <c r="G239" s="1794"/>
      <c r="H239" s="1794"/>
      <c r="I239" s="1794"/>
      <c r="J239" s="1794"/>
      <c r="K239" s="1794"/>
      <c r="L239" s="1794"/>
      <c r="M239" s="1794"/>
      <c r="N239" s="1794"/>
      <c r="O239" s="1809" t="s">
        <v>422</v>
      </c>
      <c r="P239" s="1812">
        <f t="shared" si="23"/>
        <v>0</v>
      </c>
      <c r="Q239" s="1815"/>
    </row>
    <row r="240" spans="1:17" s="1788" customFormat="1" ht="30.75" hidden="1" customHeight="1">
      <c r="A240" s="2255"/>
      <c r="B240" s="1797"/>
      <c r="C240" s="1794"/>
      <c r="D240" s="1794"/>
      <c r="E240" s="1794"/>
      <c r="F240" s="1794"/>
      <c r="G240" s="1794"/>
      <c r="H240" s="1794"/>
      <c r="I240" s="1794"/>
      <c r="J240" s="1794"/>
      <c r="K240" s="1794"/>
      <c r="L240" s="1794"/>
      <c r="M240" s="1794"/>
      <c r="N240" s="1794"/>
      <c r="O240" s="1809" t="s">
        <v>451</v>
      </c>
      <c r="P240" s="1812">
        <f t="shared" ref="P240:P250" si="24">SUM(C240:N240)</f>
        <v>0</v>
      </c>
      <c r="Q240" s="1815"/>
    </row>
    <row r="241" spans="1:17" s="1788" customFormat="1" ht="30.75" hidden="1" customHeight="1">
      <c r="A241" s="2255"/>
      <c r="B241" s="1797"/>
      <c r="C241" s="1794"/>
      <c r="D241" s="1794"/>
      <c r="E241" s="1794"/>
      <c r="F241" s="1794"/>
      <c r="G241" s="1794"/>
      <c r="H241" s="1794"/>
      <c r="I241" s="1794"/>
      <c r="J241" s="1794"/>
      <c r="K241" s="1794"/>
      <c r="L241" s="1794"/>
      <c r="M241" s="1794"/>
      <c r="N241" s="1794"/>
      <c r="O241" s="1809" t="s">
        <v>452</v>
      </c>
      <c r="P241" s="1812">
        <f t="shared" si="24"/>
        <v>0</v>
      </c>
      <c r="Q241" s="1815"/>
    </row>
    <row r="242" spans="1:17" s="1788" customFormat="1" ht="30.75" hidden="1" customHeight="1">
      <c r="A242" s="2255"/>
      <c r="B242" s="1797"/>
      <c r="C242" s="1794"/>
      <c r="D242" s="1794"/>
      <c r="E242" s="1794"/>
      <c r="F242" s="1794"/>
      <c r="G242" s="1794"/>
      <c r="H242" s="1794"/>
      <c r="I242" s="1794"/>
      <c r="J242" s="1794"/>
      <c r="K242" s="1794"/>
      <c r="L242" s="1794"/>
      <c r="M242" s="1794"/>
      <c r="N242" s="1794"/>
      <c r="O242" s="1809" t="s">
        <v>425</v>
      </c>
      <c r="P242" s="1812">
        <f t="shared" si="24"/>
        <v>0</v>
      </c>
      <c r="Q242" s="1815"/>
    </row>
    <row r="243" spans="1:17" s="1788" customFormat="1" ht="30.75" hidden="1" customHeight="1">
      <c r="A243" s="2255"/>
      <c r="B243" s="1797"/>
      <c r="C243" s="1794"/>
      <c r="D243" s="1794"/>
      <c r="E243" s="1794"/>
      <c r="F243" s="1794"/>
      <c r="G243" s="1794"/>
      <c r="H243" s="1794"/>
      <c r="I243" s="1794"/>
      <c r="J243" s="1794"/>
      <c r="K243" s="1794"/>
      <c r="L243" s="1794"/>
      <c r="M243" s="1794"/>
      <c r="N243" s="1794">
        <f>'LAPORAN KAS PERIODE'!K24</f>
        <v>0</v>
      </c>
      <c r="O243" s="1809" t="s">
        <v>426</v>
      </c>
      <c r="P243" s="1812">
        <f t="shared" si="24"/>
        <v>0</v>
      </c>
      <c r="Q243" s="1815"/>
    </row>
    <row r="244" spans="1:17" s="1788" customFormat="1" ht="30.75" hidden="1" customHeight="1">
      <c r="A244" s="2255"/>
      <c r="B244" s="1797"/>
      <c r="C244" s="1794"/>
      <c r="D244" s="1794"/>
      <c r="E244" s="1794"/>
      <c r="F244" s="1794"/>
      <c r="G244" s="1794"/>
      <c r="H244" s="1794"/>
      <c r="I244" s="1794"/>
      <c r="J244" s="1794"/>
      <c r="K244" s="1794"/>
      <c r="L244" s="1794"/>
      <c r="M244" s="1794"/>
      <c r="N244" s="1794"/>
      <c r="O244" s="1809"/>
      <c r="P244" s="1812">
        <f t="shared" si="24"/>
        <v>0</v>
      </c>
      <c r="Q244" s="1815"/>
    </row>
    <row r="245" spans="1:17" s="1788" customFormat="1" ht="30.75" hidden="1" customHeight="1">
      <c r="A245" s="2255"/>
      <c r="B245" s="1797"/>
      <c r="C245" s="1794"/>
      <c r="D245" s="1794"/>
      <c r="E245" s="1794"/>
      <c r="F245" s="1794"/>
      <c r="G245" s="1794"/>
      <c r="H245" s="1794"/>
      <c r="I245" s="1794"/>
      <c r="J245" s="1794"/>
      <c r="K245" s="1794"/>
      <c r="L245" s="1794"/>
      <c r="M245" s="1794"/>
      <c r="N245" s="1794"/>
      <c r="O245" s="1809"/>
      <c r="P245" s="1812">
        <f t="shared" si="24"/>
        <v>0</v>
      </c>
      <c r="Q245" s="1815"/>
    </row>
    <row r="246" spans="1:17" s="1788" customFormat="1" ht="30.75" hidden="1" customHeight="1">
      <c r="A246" s="2255"/>
      <c r="B246" s="1797"/>
      <c r="C246" s="1794"/>
      <c r="D246" s="1794"/>
      <c r="E246" s="1794"/>
      <c r="F246" s="1794"/>
      <c r="G246" s="1794"/>
      <c r="H246" s="1794"/>
      <c r="I246" s="1794"/>
      <c r="J246" s="1794"/>
      <c r="K246" s="1794"/>
      <c r="L246" s="1794"/>
      <c r="M246" s="1794"/>
      <c r="N246" s="1794"/>
      <c r="O246" s="1809"/>
      <c r="P246" s="1812">
        <f t="shared" si="24"/>
        <v>0</v>
      </c>
      <c r="Q246" s="1815"/>
    </row>
    <row r="247" spans="1:17" s="1788" customFormat="1" ht="30.75" hidden="1" customHeight="1">
      <c r="A247" s="2255"/>
      <c r="B247" s="1797"/>
      <c r="C247" s="1794"/>
      <c r="D247" s="1794"/>
      <c r="E247" s="1794"/>
      <c r="F247" s="1794"/>
      <c r="G247" s="1794"/>
      <c r="H247" s="1794"/>
      <c r="I247" s="1794"/>
      <c r="J247" s="1794"/>
      <c r="K247" s="1794"/>
      <c r="L247" s="1794"/>
      <c r="M247" s="1794"/>
      <c r="N247" s="1794"/>
      <c r="O247" s="1809"/>
      <c r="P247" s="1812">
        <f t="shared" si="24"/>
        <v>0</v>
      </c>
      <c r="Q247" s="1815"/>
    </row>
    <row r="248" spans="1:17" s="1788" customFormat="1" ht="30.75" hidden="1" customHeight="1">
      <c r="A248" s="2255"/>
      <c r="B248" s="1797"/>
      <c r="C248" s="1794"/>
      <c r="D248" s="1794"/>
      <c r="E248" s="1794"/>
      <c r="F248" s="1794"/>
      <c r="G248" s="1794"/>
      <c r="H248" s="1794"/>
      <c r="I248" s="1794"/>
      <c r="J248" s="1794"/>
      <c r="K248" s="1794"/>
      <c r="L248" s="1794"/>
      <c r="M248" s="1794"/>
      <c r="N248" s="1794"/>
      <c r="O248" s="1809"/>
      <c r="P248" s="1812">
        <f t="shared" si="24"/>
        <v>0</v>
      </c>
      <c r="Q248" s="1815"/>
    </row>
    <row r="249" spans="1:17" s="1788" customFormat="1" ht="30.75" hidden="1" customHeight="1">
      <c r="A249" s="2255"/>
      <c r="B249" s="1797"/>
      <c r="C249" s="1794"/>
      <c r="D249" s="1794"/>
      <c r="E249" s="1794"/>
      <c r="F249" s="1794"/>
      <c r="G249" s="1794"/>
      <c r="H249" s="1794"/>
      <c r="I249" s="1794"/>
      <c r="J249" s="1794"/>
      <c r="K249" s="1794"/>
      <c r="L249" s="1794"/>
      <c r="M249" s="1794"/>
      <c r="N249" s="1794"/>
      <c r="O249" s="1809"/>
      <c r="P249" s="1812">
        <f t="shared" si="24"/>
        <v>0</v>
      </c>
      <c r="Q249" s="1815"/>
    </row>
    <row r="250" spans="1:17" s="1788" customFormat="1" ht="30.75" hidden="1" customHeight="1">
      <c r="A250" s="2255"/>
      <c r="B250" s="1797"/>
      <c r="C250" s="1794"/>
      <c r="D250" s="1794"/>
      <c r="E250" s="1794"/>
      <c r="F250" s="1794"/>
      <c r="G250" s="1794"/>
      <c r="H250" s="1794"/>
      <c r="I250" s="1794"/>
      <c r="J250" s="1794"/>
      <c r="K250" s="1794"/>
      <c r="L250" s="1794"/>
      <c r="M250" s="1794"/>
      <c r="N250" s="1794"/>
      <c r="O250" s="1809"/>
      <c r="P250" s="1812">
        <f t="shared" si="24"/>
        <v>0</v>
      </c>
      <c r="Q250" s="1815"/>
    </row>
    <row r="251" spans="1:17" s="1788" customFormat="1" ht="30.75" hidden="1" customHeight="1">
      <c r="A251" s="2256"/>
      <c r="B251" s="1797"/>
      <c r="C251" s="1794"/>
      <c r="D251" s="1794"/>
      <c r="E251" s="1794"/>
      <c r="F251" s="1794"/>
      <c r="G251" s="1794"/>
      <c r="H251" s="1794"/>
      <c r="I251" s="1794"/>
      <c r="J251" s="1794"/>
      <c r="K251" s="1794"/>
      <c r="L251" s="1794"/>
      <c r="M251" s="1794"/>
      <c r="N251" s="1794"/>
      <c r="O251" s="1809"/>
      <c r="P251" s="1812">
        <f t="shared" ref="P251:P266" si="25">SUM(C251:N251)</f>
        <v>0</v>
      </c>
      <c r="Q251" s="1815"/>
    </row>
    <row r="252" spans="1:17" s="1788" customFormat="1" ht="30.75" hidden="1" customHeight="1">
      <c r="A252" s="1818"/>
      <c r="B252" s="1797"/>
      <c r="C252" s="1794"/>
      <c r="D252" s="1794"/>
      <c r="E252" s="1794"/>
      <c r="F252" s="1794"/>
      <c r="G252" s="1794"/>
      <c r="H252" s="1794"/>
      <c r="I252" s="1794"/>
      <c r="J252" s="1794"/>
      <c r="K252" s="1794"/>
      <c r="L252" s="1794"/>
      <c r="M252" s="1794"/>
      <c r="N252" s="1794"/>
      <c r="O252" s="1809"/>
      <c r="P252" s="1812">
        <f t="shared" si="25"/>
        <v>0</v>
      </c>
      <c r="Q252" s="1815"/>
    </row>
    <row r="253" spans="1:17" s="1788" customFormat="1" ht="30.75" hidden="1" customHeight="1">
      <c r="A253" s="1818"/>
      <c r="B253" s="1797"/>
      <c r="C253" s="1794"/>
      <c r="D253" s="1794"/>
      <c r="E253" s="1794"/>
      <c r="F253" s="1794"/>
      <c r="G253" s="1794"/>
      <c r="H253" s="1794"/>
      <c r="I253" s="1794"/>
      <c r="J253" s="1794"/>
      <c r="K253" s="1794"/>
      <c r="L253" s="1794"/>
      <c r="M253" s="1794"/>
      <c r="N253" s="1794"/>
      <c r="O253" s="1809"/>
      <c r="P253" s="1812">
        <f t="shared" si="25"/>
        <v>0</v>
      </c>
      <c r="Q253" s="1815"/>
    </row>
    <row r="254" spans="1:17" s="1788" customFormat="1" ht="30.75" hidden="1" customHeight="1">
      <c r="A254" s="1818"/>
      <c r="B254" s="1797"/>
      <c r="C254" s="1794"/>
      <c r="D254" s="1794"/>
      <c r="E254" s="1794"/>
      <c r="F254" s="1794"/>
      <c r="G254" s="1794"/>
      <c r="H254" s="1794"/>
      <c r="I254" s="1794"/>
      <c r="J254" s="1794"/>
      <c r="K254" s="1794"/>
      <c r="L254" s="1794"/>
      <c r="M254" s="1794"/>
      <c r="N254" s="1794"/>
      <c r="O254" s="1809"/>
      <c r="P254" s="1812">
        <f t="shared" si="25"/>
        <v>0</v>
      </c>
      <c r="Q254" s="1815"/>
    </row>
    <row r="255" spans="1:17" s="1788" customFormat="1" ht="30.75" hidden="1" customHeight="1">
      <c r="A255" s="1818"/>
      <c r="B255" s="1797"/>
      <c r="C255" s="1794"/>
      <c r="D255" s="1794"/>
      <c r="E255" s="1794"/>
      <c r="F255" s="1794"/>
      <c r="G255" s="1794"/>
      <c r="H255" s="1794"/>
      <c r="I255" s="1794"/>
      <c r="J255" s="1794"/>
      <c r="K255" s="1794"/>
      <c r="L255" s="1794"/>
      <c r="M255" s="1794"/>
      <c r="N255" s="1794"/>
      <c r="O255" s="1809"/>
      <c r="P255" s="1812">
        <f t="shared" si="25"/>
        <v>0</v>
      </c>
      <c r="Q255" s="1815"/>
    </row>
    <row r="256" spans="1:17" s="1788" customFormat="1" ht="30.75" hidden="1" customHeight="1">
      <c r="A256" s="1818"/>
      <c r="B256" s="1797"/>
      <c r="C256" s="1794"/>
      <c r="D256" s="1794"/>
      <c r="E256" s="1794"/>
      <c r="F256" s="1794"/>
      <c r="G256" s="1794"/>
      <c r="H256" s="1794"/>
      <c r="I256" s="1794"/>
      <c r="J256" s="1794"/>
      <c r="K256" s="1794"/>
      <c r="L256" s="1794"/>
      <c r="M256" s="1794"/>
      <c r="N256" s="1794"/>
      <c r="O256" s="1809"/>
      <c r="P256" s="1812">
        <f t="shared" si="25"/>
        <v>0</v>
      </c>
      <c r="Q256" s="1815"/>
    </row>
    <row r="257" spans="1:17" s="1788" customFormat="1" ht="30.75" hidden="1" customHeight="1">
      <c r="A257" s="1818"/>
      <c r="B257" s="1797"/>
      <c r="C257" s="1794"/>
      <c r="D257" s="1794"/>
      <c r="E257" s="1794"/>
      <c r="F257" s="1794"/>
      <c r="G257" s="1794"/>
      <c r="H257" s="1794"/>
      <c r="I257" s="1794"/>
      <c r="J257" s="1794"/>
      <c r="K257" s="1794"/>
      <c r="L257" s="1794"/>
      <c r="M257" s="1794"/>
      <c r="N257" s="1794"/>
      <c r="O257" s="1809"/>
      <c r="P257" s="1812">
        <f t="shared" si="25"/>
        <v>0</v>
      </c>
      <c r="Q257" s="1815"/>
    </row>
    <row r="258" spans="1:17" s="1788" customFormat="1" ht="30.75" hidden="1" customHeight="1">
      <c r="A258" s="1818"/>
      <c r="B258" s="1797"/>
      <c r="C258" s="1794"/>
      <c r="D258" s="1794"/>
      <c r="E258" s="1794"/>
      <c r="F258" s="1794"/>
      <c r="G258" s="1794"/>
      <c r="H258" s="1794"/>
      <c r="I258" s="1794"/>
      <c r="J258" s="1794"/>
      <c r="K258" s="1794"/>
      <c r="L258" s="1794"/>
      <c r="M258" s="1794"/>
      <c r="N258" s="1794"/>
      <c r="O258" s="1809"/>
      <c r="P258" s="1812">
        <f t="shared" si="25"/>
        <v>0</v>
      </c>
      <c r="Q258" s="1815"/>
    </row>
    <row r="259" spans="1:17" s="1788" customFormat="1" ht="30.75" hidden="1" customHeight="1">
      <c r="A259" s="1818"/>
      <c r="B259" s="1797"/>
      <c r="C259" s="1794"/>
      <c r="D259" s="1794"/>
      <c r="E259" s="1794"/>
      <c r="F259" s="1794"/>
      <c r="G259" s="1794"/>
      <c r="H259" s="1794"/>
      <c r="I259" s="1794"/>
      <c r="J259" s="1794"/>
      <c r="K259" s="1794"/>
      <c r="L259" s="1794"/>
      <c r="M259" s="1794"/>
      <c r="N259" s="1794"/>
      <c r="O259" s="1809"/>
      <c r="P259" s="1812">
        <f t="shared" si="25"/>
        <v>0</v>
      </c>
      <c r="Q259" s="1815"/>
    </row>
    <row r="260" spans="1:17" s="1788" customFormat="1" ht="30.75" hidden="1" customHeight="1">
      <c r="A260" s="1818"/>
      <c r="B260" s="1797"/>
      <c r="C260" s="1794"/>
      <c r="D260" s="1794"/>
      <c r="E260" s="1794"/>
      <c r="F260" s="1794"/>
      <c r="G260" s="1794"/>
      <c r="H260" s="1794"/>
      <c r="I260" s="1794"/>
      <c r="J260" s="1794"/>
      <c r="K260" s="1794"/>
      <c r="L260" s="1794"/>
      <c r="M260" s="1794"/>
      <c r="N260" s="1794"/>
      <c r="O260" s="1809"/>
      <c r="P260" s="1812">
        <f t="shared" si="25"/>
        <v>0</v>
      </c>
      <c r="Q260" s="1815"/>
    </row>
    <row r="261" spans="1:17" s="1788" customFormat="1" ht="30.75" hidden="1" customHeight="1">
      <c r="A261" s="1818"/>
      <c r="B261" s="1797"/>
      <c r="C261" s="1794"/>
      <c r="D261" s="1794"/>
      <c r="E261" s="1794"/>
      <c r="F261" s="1794"/>
      <c r="G261" s="1794"/>
      <c r="H261" s="1794"/>
      <c r="I261" s="1794"/>
      <c r="J261" s="1794"/>
      <c r="K261" s="1794"/>
      <c r="L261" s="1794"/>
      <c r="M261" s="1794"/>
      <c r="N261" s="1794"/>
      <c r="O261" s="1809"/>
      <c r="P261" s="1812">
        <f t="shared" si="25"/>
        <v>0</v>
      </c>
      <c r="Q261" s="1815"/>
    </row>
    <row r="262" spans="1:17" s="1788" customFormat="1" ht="30.75" hidden="1" customHeight="1">
      <c r="A262" s="1818"/>
      <c r="B262" s="1797"/>
      <c r="C262" s="1794"/>
      <c r="D262" s="1794"/>
      <c r="E262" s="1794"/>
      <c r="F262" s="1794"/>
      <c r="G262" s="1794"/>
      <c r="H262" s="1794"/>
      <c r="I262" s="1794"/>
      <c r="J262" s="1794"/>
      <c r="K262" s="1794"/>
      <c r="L262" s="1794"/>
      <c r="M262" s="1794"/>
      <c r="N262" s="1794"/>
      <c r="O262" s="1809"/>
      <c r="P262" s="1812">
        <f t="shared" si="25"/>
        <v>0</v>
      </c>
      <c r="Q262" s="1815"/>
    </row>
    <row r="263" spans="1:17" s="1788" customFormat="1" ht="30.75" hidden="1" customHeight="1">
      <c r="A263" s="1818"/>
      <c r="B263" s="1797"/>
      <c r="C263" s="1794"/>
      <c r="D263" s="1794"/>
      <c r="E263" s="1794"/>
      <c r="F263" s="1794"/>
      <c r="G263" s="1794"/>
      <c r="H263" s="1794"/>
      <c r="I263" s="1794"/>
      <c r="J263" s="1794"/>
      <c r="K263" s="1794"/>
      <c r="L263" s="1794"/>
      <c r="M263" s="1794"/>
      <c r="N263" s="1794"/>
      <c r="O263" s="1809"/>
      <c r="P263" s="1812">
        <f t="shared" si="25"/>
        <v>0</v>
      </c>
      <c r="Q263" s="1815"/>
    </row>
    <row r="264" spans="1:17" s="1788" customFormat="1" ht="30.75" hidden="1" customHeight="1">
      <c r="A264" s="1818"/>
      <c r="B264" s="1797"/>
      <c r="C264" s="1794"/>
      <c r="D264" s="1794"/>
      <c r="E264" s="1794"/>
      <c r="F264" s="1794"/>
      <c r="G264" s="1794"/>
      <c r="H264" s="1794"/>
      <c r="I264" s="1794"/>
      <c r="J264" s="1794"/>
      <c r="K264" s="1794"/>
      <c r="L264" s="1794"/>
      <c r="M264" s="1794"/>
      <c r="N264" s="1794"/>
      <c r="O264" s="1809"/>
      <c r="P264" s="1812">
        <f t="shared" si="25"/>
        <v>0</v>
      </c>
      <c r="Q264" s="1815"/>
    </row>
    <row r="265" spans="1:17" s="1788" customFormat="1" ht="30.75" hidden="1" customHeight="1">
      <c r="A265" s="1818"/>
      <c r="B265" s="1797"/>
      <c r="C265" s="1794"/>
      <c r="D265" s="1794"/>
      <c r="E265" s="1794"/>
      <c r="F265" s="1794"/>
      <c r="G265" s="1794"/>
      <c r="H265" s="1794"/>
      <c r="I265" s="1794"/>
      <c r="J265" s="1794"/>
      <c r="K265" s="1794"/>
      <c r="L265" s="1794"/>
      <c r="M265" s="1794"/>
      <c r="N265" s="1794"/>
      <c r="O265" s="1809"/>
      <c r="P265" s="1812">
        <f t="shared" si="25"/>
        <v>0</v>
      </c>
      <c r="Q265" s="1815"/>
    </row>
    <row r="266" spans="1:17" s="1788" customFormat="1" ht="30.75" hidden="1" customHeight="1">
      <c r="A266" s="1818"/>
      <c r="B266" s="1797"/>
      <c r="C266" s="1794"/>
      <c r="D266" s="1794"/>
      <c r="E266" s="1794"/>
      <c r="F266" s="1794"/>
      <c r="G266" s="1794"/>
      <c r="H266" s="1794"/>
      <c r="I266" s="1794"/>
      <c r="J266" s="1794"/>
      <c r="K266" s="1794"/>
      <c r="L266" s="1794"/>
      <c r="M266" s="1794"/>
      <c r="N266" s="1794"/>
      <c r="O266" s="1809"/>
      <c r="P266" s="1812">
        <f t="shared" si="25"/>
        <v>0</v>
      </c>
      <c r="Q266" s="1815"/>
    </row>
    <row r="267" spans="1:17" s="1788" customFormat="1" ht="30.75" customHeight="1">
      <c r="A267" s="1800" t="s">
        <v>234</v>
      </c>
      <c r="B267" s="1819"/>
      <c r="C267" s="1802">
        <f>SUM(C217:C243)</f>
        <v>0</v>
      </c>
      <c r="D267" s="1802">
        <f t="shared" ref="D267:N267" si="26">SUM(D217:D243)</f>
        <v>0</v>
      </c>
      <c r="E267" s="1802">
        <f t="shared" si="26"/>
        <v>0</v>
      </c>
      <c r="F267" s="1802">
        <f t="shared" si="26"/>
        <v>0</v>
      </c>
      <c r="G267" s="1802">
        <f t="shared" si="26"/>
        <v>0</v>
      </c>
      <c r="H267" s="1802">
        <f t="shared" si="26"/>
        <v>0</v>
      </c>
      <c r="I267" s="1802">
        <f t="shared" si="26"/>
        <v>0</v>
      </c>
      <c r="J267" s="1802">
        <f t="shared" si="26"/>
        <v>0</v>
      </c>
      <c r="K267" s="1802">
        <f t="shared" si="26"/>
        <v>0</v>
      </c>
      <c r="L267" s="1802">
        <f t="shared" si="26"/>
        <v>0</v>
      </c>
      <c r="M267" s="1802">
        <f t="shared" si="26"/>
        <v>0</v>
      </c>
      <c r="N267" s="1802">
        <f t="shared" si="26"/>
        <v>0</v>
      </c>
      <c r="O267" s="1802"/>
      <c r="P267" s="1802">
        <f>SUM(P217:P266)</f>
        <v>0</v>
      </c>
      <c r="Q267" s="1816">
        <f>P267+Q216</f>
        <v>31813362</v>
      </c>
    </row>
    <row r="268" spans="1:17" s="1788" customFormat="1" ht="30.75" hidden="1" customHeight="1">
      <c r="A268" s="1826"/>
      <c r="B268" s="1822"/>
      <c r="C268" s="1827"/>
      <c r="D268" s="1827"/>
      <c r="E268" s="1827"/>
      <c r="F268" s="1827"/>
      <c r="G268" s="1827"/>
      <c r="H268" s="1827"/>
      <c r="I268" s="1827"/>
      <c r="J268" s="1827"/>
      <c r="K268" s="1827"/>
      <c r="L268" s="1827"/>
      <c r="M268" s="1827"/>
      <c r="N268" s="1827"/>
      <c r="O268" s="1827"/>
      <c r="P268" s="1827">
        <f t="shared" ref="P268:P275" si="27">SUM(C268:N268)</f>
        <v>0</v>
      </c>
      <c r="Q268" s="1832"/>
    </row>
    <row r="269" spans="1:17" s="1788" customFormat="1" ht="30.75" hidden="1" customHeight="1">
      <c r="A269" s="2259" t="s">
        <v>453</v>
      </c>
      <c r="B269" s="1797"/>
      <c r="C269" s="1794"/>
      <c r="D269" s="1794"/>
      <c r="E269" s="1794"/>
      <c r="F269" s="1794"/>
      <c r="G269" s="1794"/>
      <c r="H269" s="1794"/>
      <c r="I269" s="1794"/>
      <c r="J269" s="1794"/>
      <c r="K269" s="1794"/>
      <c r="L269" s="1794"/>
      <c r="M269" s="1794"/>
      <c r="N269" s="1794"/>
      <c r="O269" s="1809"/>
      <c r="P269" s="1812">
        <f t="shared" si="27"/>
        <v>0</v>
      </c>
      <c r="Q269" s="1815"/>
    </row>
    <row r="270" spans="1:17" s="1788" customFormat="1" ht="30.75" hidden="1" customHeight="1">
      <c r="A270" s="2260"/>
      <c r="B270" s="1797"/>
      <c r="C270" s="1794"/>
      <c r="D270" s="1794"/>
      <c r="E270" s="1794"/>
      <c r="F270" s="1794"/>
      <c r="G270" s="1794"/>
      <c r="H270" s="1794"/>
      <c r="I270" s="1794"/>
      <c r="J270" s="1794"/>
      <c r="K270" s="1794"/>
      <c r="L270" s="1794"/>
      <c r="M270" s="1794"/>
      <c r="N270" s="1794"/>
      <c r="O270" s="1809"/>
      <c r="P270" s="1812">
        <f t="shared" si="27"/>
        <v>0</v>
      </c>
      <c r="Q270" s="1815">
        <f>SUM(P269:P280)</f>
        <v>0</v>
      </c>
    </row>
    <row r="271" spans="1:17" s="1788" customFormat="1" ht="30.75" hidden="1" customHeight="1">
      <c r="A271" s="2260"/>
      <c r="B271" s="1797"/>
      <c r="C271" s="1794"/>
      <c r="D271" s="1794"/>
      <c r="E271" s="1794"/>
      <c r="F271" s="1794"/>
      <c r="G271" s="1794"/>
      <c r="H271" s="1794"/>
      <c r="I271" s="1794"/>
      <c r="J271" s="1794"/>
      <c r="K271" s="1794"/>
      <c r="L271" s="1794"/>
      <c r="M271" s="1794"/>
      <c r="N271" s="1794"/>
      <c r="O271" s="1809"/>
      <c r="P271" s="1812">
        <f t="shared" si="27"/>
        <v>0</v>
      </c>
      <c r="Q271" s="1815"/>
    </row>
    <row r="272" spans="1:17" s="1788" customFormat="1" ht="30.75" hidden="1" customHeight="1">
      <c r="A272" s="2260"/>
      <c r="B272" s="1797"/>
      <c r="C272" s="1794"/>
      <c r="D272" s="1794"/>
      <c r="E272" s="1794"/>
      <c r="F272" s="1794"/>
      <c r="G272" s="1794"/>
      <c r="H272" s="1794"/>
      <c r="I272" s="1794"/>
      <c r="J272" s="1794"/>
      <c r="K272" s="1794"/>
      <c r="L272" s="1794"/>
      <c r="M272" s="1794"/>
      <c r="N272" s="1794"/>
      <c r="O272" s="1809"/>
      <c r="P272" s="1812">
        <f t="shared" si="27"/>
        <v>0</v>
      </c>
      <c r="Q272" s="1815">
        <f>SUM(P269:P278)</f>
        <v>0</v>
      </c>
    </row>
    <row r="273" spans="1:17" s="1788" customFormat="1" ht="30.75" hidden="1" customHeight="1">
      <c r="A273" s="2260"/>
      <c r="B273" s="1797"/>
      <c r="C273" s="1794"/>
      <c r="D273" s="1794"/>
      <c r="E273" s="1794"/>
      <c r="F273" s="1794"/>
      <c r="G273" s="1794"/>
      <c r="H273" s="1794"/>
      <c r="I273" s="1794"/>
      <c r="J273" s="1794"/>
      <c r="K273" s="1794"/>
      <c r="L273" s="1794"/>
      <c r="M273" s="1794"/>
      <c r="N273" s="1794"/>
      <c r="O273" s="1809"/>
      <c r="P273" s="1812">
        <f t="shared" si="27"/>
        <v>0</v>
      </c>
      <c r="Q273" s="1815"/>
    </row>
    <row r="274" spans="1:17" s="1788" customFormat="1" ht="30.75" hidden="1" customHeight="1">
      <c r="A274" s="2260"/>
      <c r="B274" s="1797"/>
      <c r="C274" s="1794"/>
      <c r="D274" s="1794"/>
      <c r="E274" s="1794"/>
      <c r="F274" s="1794"/>
      <c r="G274" s="1794"/>
      <c r="H274" s="1794"/>
      <c r="I274" s="1794"/>
      <c r="J274" s="1794"/>
      <c r="K274" s="1794"/>
      <c r="L274" s="1794"/>
      <c r="M274" s="1794"/>
      <c r="N274" s="1794"/>
      <c r="O274" s="1809"/>
      <c r="P274" s="1812">
        <f t="shared" si="27"/>
        <v>0</v>
      </c>
      <c r="Q274" s="1815"/>
    </row>
    <row r="275" spans="1:17" s="1788" customFormat="1" ht="30.75" hidden="1" customHeight="1">
      <c r="A275" s="2260"/>
      <c r="B275" s="1797"/>
      <c r="C275" s="1794"/>
      <c r="D275" s="1794"/>
      <c r="E275" s="1794"/>
      <c r="F275" s="1794"/>
      <c r="G275" s="1794"/>
      <c r="H275" s="1794"/>
      <c r="I275" s="1794"/>
      <c r="J275" s="1794"/>
      <c r="K275" s="1794"/>
      <c r="L275" s="1794"/>
      <c r="M275" s="1794"/>
      <c r="N275" s="1794"/>
      <c r="O275" s="1809"/>
      <c r="P275" s="1812">
        <f t="shared" si="27"/>
        <v>0</v>
      </c>
      <c r="Q275" s="1815"/>
    </row>
    <row r="276" spans="1:17" s="1788" customFormat="1" ht="30.75" hidden="1" customHeight="1">
      <c r="A276" s="2260"/>
      <c r="B276" s="1797"/>
      <c r="C276" s="1794"/>
      <c r="D276" s="1794"/>
      <c r="E276" s="1794"/>
      <c r="F276" s="1794"/>
      <c r="G276" s="1794"/>
      <c r="H276" s="1794"/>
      <c r="I276" s="1794"/>
      <c r="J276" s="1794"/>
      <c r="K276" s="1794"/>
      <c r="L276" s="1794"/>
      <c r="M276" s="1794"/>
      <c r="N276" s="1794"/>
      <c r="O276" s="1809"/>
      <c r="P276" s="1812">
        <f t="shared" ref="P276:P295" si="28">SUM(C276:N276)</f>
        <v>0</v>
      </c>
      <c r="Q276" s="1815">
        <f>SUM(P269:P275)+P277</f>
        <v>0</v>
      </c>
    </row>
    <row r="277" spans="1:17" s="1788" customFormat="1" ht="30.75" hidden="1" customHeight="1">
      <c r="A277" s="2260"/>
      <c r="B277" s="1797"/>
      <c r="C277" s="1794"/>
      <c r="D277" s="1794"/>
      <c r="E277" s="1794"/>
      <c r="F277" s="1794"/>
      <c r="G277" s="1794"/>
      <c r="H277" s="1794"/>
      <c r="I277" s="1794"/>
      <c r="J277" s="1794"/>
      <c r="K277" s="1794"/>
      <c r="L277" s="1794"/>
      <c r="M277" s="1794"/>
      <c r="N277" s="1794"/>
      <c r="O277" s="1809"/>
      <c r="P277" s="1812">
        <f t="shared" si="28"/>
        <v>0</v>
      </c>
      <c r="Q277" s="1815"/>
    </row>
    <row r="278" spans="1:17" s="1788" customFormat="1" ht="30.75" hidden="1" customHeight="1">
      <c r="A278" s="2260"/>
      <c r="B278" s="1797"/>
      <c r="C278" s="1794"/>
      <c r="D278" s="1794"/>
      <c r="E278" s="1794"/>
      <c r="F278" s="1794"/>
      <c r="G278" s="1794"/>
      <c r="H278" s="1794"/>
      <c r="I278" s="1794"/>
      <c r="J278" s="1794"/>
      <c r="K278" s="1794"/>
      <c r="L278" s="1794"/>
      <c r="M278" s="1794"/>
      <c r="N278" s="1794"/>
      <c r="O278" s="1809"/>
      <c r="P278" s="1812">
        <f t="shared" si="28"/>
        <v>0</v>
      </c>
      <c r="Q278" s="1815"/>
    </row>
    <row r="279" spans="1:17" s="1788" customFormat="1" ht="30.75" hidden="1" customHeight="1">
      <c r="A279" s="2260"/>
      <c r="B279" s="1797"/>
      <c r="C279" s="1794"/>
      <c r="D279" s="1794"/>
      <c r="E279" s="1794"/>
      <c r="F279" s="1794"/>
      <c r="G279" s="1794"/>
      <c r="H279" s="1794"/>
      <c r="I279" s="1794"/>
      <c r="J279" s="1794"/>
      <c r="K279" s="1794"/>
      <c r="L279" s="1794"/>
      <c r="M279" s="1794"/>
      <c r="N279" s="1794"/>
      <c r="O279" s="1809"/>
      <c r="P279" s="1812">
        <f t="shared" si="28"/>
        <v>0</v>
      </c>
      <c r="Q279" s="1815"/>
    </row>
    <row r="280" spans="1:17" s="1788" customFormat="1" ht="30.75" hidden="1" customHeight="1">
      <c r="A280" s="2260"/>
      <c r="B280" s="1797"/>
      <c r="C280" s="1794"/>
      <c r="D280" s="1794"/>
      <c r="E280" s="1794"/>
      <c r="F280" s="1794"/>
      <c r="G280" s="1794"/>
      <c r="H280" s="1794"/>
      <c r="I280" s="1794"/>
      <c r="J280" s="1794"/>
      <c r="K280" s="1794"/>
      <c r="L280" s="1794"/>
      <c r="M280" s="1794"/>
      <c r="N280" s="1794"/>
      <c r="O280" s="1809"/>
      <c r="P280" s="1812">
        <f t="shared" si="28"/>
        <v>0</v>
      </c>
      <c r="Q280" s="1815"/>
    </row>
    <row r="281" spans="1:17" s="1788" customFormat="1" ht="30.75" hidden="1" customHeight="1">
      <c r="A281" s="2260"/>
      <c r="B281" s="1797"/>
      <c r="C281" s="1794"/>
      <c r="D281" s="1794"/>
      <c r="E281" s="1794"/>
      <c r="F281" s="1794"/>
      <c r="G281" s="1794"/>
      <c r="H281" s="1794"/>
      <c r="I281" s="1794"/>
      <c r="J281" s="1794"/>
      <c r="K281" s="1794"/>
      <c r="L281" s="1794"/>
      <c r="M281" s="1794"/>
      <c r="N281" s="1794"/>
      <c r="O281" s="1809"/>
      <c r="P281" s="1812">
        <f t="shared" si="28"/>
        <v>0</v>
      </c>
      <c r="Q281" s="1815"/>
    </row>
    <row r="282" spans="1:17" s="1788" customFormat="1" ht="30.75" hidden="1" customHeight="1">
      <c r="A282" s="2260"/>
      <c r="B282" s="1797"/>
      <c r="C282" s="1794"/>
      <c r="D282" s="1794"/>
      <c r="E282" s="1794"/>
      <c r="F282" s="1794"/>
      <c r="G282" s="1794"/>
      <c r="H282" s="1794"/>
      <c r="I282" s="1794"/>
      <c r="J282" s="1794"/>
      <c r="K282" s="1794"/>
      <c r="L282" s="1794"/>
      <c r="M282" s="1794"/>
      <c r="N282" s="1794"/>
      <c r="O282" s="1809"/>
      <c r="P282" s="1812">
        <f t="shared" si="28"/>
        <v>0</v>
      </c>
      <c r="Q282" s="1815"/>
    </row>
    <row r="283" spans="1:17" s="1788" customFormat="1" ht="30.75" hidden="1" customHeight="1">
      <c r="A283" s="2260"/>
      <c r="B283" s="1797"/>
      <c r="C283" s="1794"/>
      <c r="D283" s="1794"/>
      <c r="E283" s="1794"/>
      <c r="F283" s="1794"/>
      <c r="G283" s="1794"/>
      <c r="H283" s="1794"/>
      <c r="I283" s="1794"/>
      <c r="J283" s="1794"/>
      <c r="K283" s="1794"/>
      <c r="L283" s="1794"/>
      <c r="M283" s="1794"/>
      <c r="N283" s="1794"/>
      <c r="O283" s="1809"/>
      <c r="P283" s="1812">
        <f t="shared" si="28"/>
        <v>0</v>
      </c>
      <c r="Q283" s="1815"/>
    </row>
    <row r="284" spans="1:17" s="1788" customFormat="1" ht="30.75" hidden="1" customHeight="1">
      <c r="A284" s="2260"/>
      <c r="B284" s="1797"/>
      <c r="C284" s="1794"/>
      <c r="D284" s="1794"/>
      <c r="E284" s="1794"/>
      <c r="F284" s="1794"/>
      <c r="G284" s="1794"/>
      <c r="H284" s="1794"/>
      <c r="I284" s="1794"/>
      <c r="J284" s="1794"/>
      <c r="K284" s="1794"/>
      <c r="L284" s="1794"/>
      <c r="M284" s="1794"/>
      <c r="N284" s="1794"/>
      <c r="O284" s="1809"/>
      <c r="P284" s="1812">
        <f t="shared" si="28"/>
        <v>0</v>
      </c>
      <c r="Q284" s="1815">
        <f>SUM(P281:P290)</f>
        <v>0</v>
      </c>
    </row>
    <row r="285" spans="1:17" s="1788" customFormat="1" ht="30.75" hidden="1" customHeight="1">
      <c r="A285" s="2260"/>
      <c r="B285" s="1797"/>
      <c r="C285" s="1794"/>
      <c r="D285" s="1794"/>
      <c r="E285" s="1794"/>
      <c r="F285" s="1794"/>
      <c r="G285" s="1794"/>
      <c r="H285" s="1794"/>
      <c r="I285" s="1794"/>
      <c r="J285" s="1794"/>
      <c r="K285" s="1794"/>
      <c r="L285" s="1794"/>
      <c r="M285" s="1794"/>
      <c r="N285" s="1794"/>
      <c r="O285" s="1809"/>
      <c r="P285" s="1812">
        <f t="shared" si="28"/>
        <v>0</v>
      </c>
      <c r="Q285" s="1815"/>
    </row>
    <row r="286" spans="1:17" s="1788" customFormat="1" ht="30.75" hidden="1" customHeight="1">
      <c r="A286" s="2260"/>
      <c r="B286" s="1797"/>
      <c r="C286" s="1794"/>
      <c r="D286" s="1794"/>
      <c r="E286" s="1794"/>
      <c r="F286" s="1794"/>
      <c r="G286" s="1794"/>
      <c r="H286" s="1794"/>
      <c r="I286" s="1794"/>
      <c r="J286" s="1794"/>
      <c r="K286" s="1794"/>
      <c r="L286" s="1794"/>
      <c r="M286" s="1794"/>
      <c r="N286" s="1794"/>
      <c r="O286" s="1809"/>
      <c r="P286" s="1812">
        <f t="shared" si="28"/>
        <v>0</v>
      </c>
      <c r="Q286" s="1815"/>
    </row>
    <row r="287" spans="1:17" s="1788" customFormat="1" ht="30.75" hidden="1" customHeight="1">
      <c r="A287" s="2260"/>
      <c r="B287" s="1797"/>
      <c r="C287" s="1794"/>
      <c r="D287" s="1794"/>
      <c r="E287" s="1794"/>
      <c r="F287" s="1794"/>
      <c r="G287" s="1794"/>
      <c r="H287" s="1794"/>
      <c r="I287" s="1794"/>
      <c r="J287" s="1794"/>
      <c r="K287" s="1794"/>
      <c r="L287" s="1794"/>
      <c r="M287" s="1794"/>
      <c r="N287" s="1794"/>
      <c r="O287" s="1809"/>
      <c r="P287" s="1812">
        <f t="shared" si="28"/>
        <v>0</v>
      </c>
      <c r="Q287" s="1815"/>
    </row>
    <row r="288" spans="1:17" s="1788" customFormat="1" ht="30.75" hidden="1" customHeight="1">
      <c r="A288" s="2260"/>
      <c r="B288" s="1797"/>
      <c r="C288" s="1794"/>
      <c r="D288" s="1794"/>
      <c r="E288" s="1794"/>
      <c r="F288" s="1794"/>
      <c r="G288" s="1794"/>
      <c r="H288" s="1794"/>
      <c r="I288" s="1794"/>
      <c r="J288" s="1794"/>
      <c r="K288" s="1794"/>
      <c r="L288" s="1794"/>
      <c r="M288" s="1794"/>
      <c r="N288" s="1794"/>
      <c r="O288" s="1809"/>
      <c r="P288" s="1812">
        <f t="shared" si="28"/>
        <v>0</v>
      </c>
      <c r="Q288" s="1815"/>
    </row>
    <row r="289" spans="1:18" s="1788" customFormat="1" ht="30.75" hidden="1" customHeight="1">
      <c r="A289" s="2260"/>
      <c r="B289" s="1797"/>
      <c r="C289" s="1794"/>
      <c r="D289" s="1794"/>
      <c r="E289" s="1794"/>
      <c r="F289" s="1794"/>
      <c r="G289" s="1794"/>
      <c r="H289" s="1794"/>
      <c r="I289" s="1794"/>
      <c r="J289" s="1794"/>
      <c r="K289" s="1794"/>
      <c r="L289" s="1794"/>
      <c r="M289" s="1794"/>
      <c r="N289" s="1794"/>
      <c r="O289" s="1809"/>
      <c r="P289" s="1812">
        <f t="shared" si="28"/>
        <v>0</v>
      </c>
      <c r="Q289" s="1815"/>
    </row>
    <row r="290" spans="1:18" s="1788" customFormat="1" ht="30.75" hidden="1" customHeight="1">
      <c r="A290" s="2260"/>
      <c r="B290" s="1797"/>
      <c r="C290" s="1794"/>
      <c r="D290" s="1794"/>
      <c r="E290" s="1794"/>
      <c r="F290" s="1794"/>
      <c r="G290" s="1794"/>
      <c r="H290" s="1794"/>
      <c r="I290" s="1794"/>
      <c r="J290" s="1794"/>
      <c r="K290" s="1794"/>
      <c r="L290" s="1794"/>
      <c r="M290" s="1794"/>
      <c r="N290" s="1794"/>
      <c r="O290" s="1809"/>
      <c r="P290" s="1812">
        <f t="shared" si="28"/>
        <v>0</v>
      </c>
      <c r="Q290" s="1815"/>
    </row>
    <row r="291" spans="1:18" s="1788" customFormat="1" ht="30.75" hidden="1" customHeight="1">
      <c r="A291" s="2260"/>
      <c r="B291" s="1797"/>
      <c r="C291" s="1794"/>
      <c r="D291" s="1794"/>
      <c r="E291" s="1794"/>
      <c r="F291" s="1794"/>
      <c r="G291" s="1794"/>
      <c r="H291" s="1794"/>
      <c r="I291" s="1794"/>
      <c r="J291" s="1794"/>
      <c r="K291" s="1794"/>
      <c r="L291" s="1794"/>
      <c r="M291" s="1794"/>
      <c r="N291" s="1794">
        <f>'LAPORAN KAS PERIODE'!L18</f>
        <v>0</v>
      </c>
      <c r="O291" s="1809" t="s">
        <v>422</v>
      </c>
      <c r="P291" s="1812">
        <f t="shared" si="28"/>
        <v>0</v>
      </c>
      <c r="Q291" s="1815"/>
    </row>
    <row r="292" spans="1:18" s="1788" customFormat="1" ht="30.75" hidden="1" customHeight="1">
      <c r="A292" s="2260"/>
      <c r="B292" s="1797"/>
      <c r="C292" s="1794"/>
      <c r="D292" s="1794"/>
      <c r="E292" s="1794"/>
      <c r="F292" s="1794"/>
      <c r="G292" s="1794"/>
      <c r="H292" s="1794"/>
      <c r="I292" s="1794"/>
      <c r="J292" s="1794"/>
      <c r="K292" s="1794"/>
      <c r="L292" s="1794"/>
      <c r="M292" s="1794"/>
      <c r="N292" s="1794">
        <f>'LAPORAN KAS PERIODE'!L19</f>
        <v>0</v>
      </c>
      <c r="O292" s="1809" t="s">
        <v>451</v>
      </c>
      <c r="P292" s="1812">
        <f t="shared" si="28"/>
        <v>0</v>
      </c>
      <c r="Q292" s="1815"/>
    </row>
    <row r="293" spans="1:18" s="1788" customFormat="1" ht="30.75" hidden="1" customHeight="1">
      <c r="A293" s="2260"/>
      <c r="B293" s="1797"/>
      <c r="C293" s="1794"/>
      <c r="D293" s="1794"/>
      <c r="E293" s="1794"/>
      <c r="F293" s="1794"/>
      <c r="G293" s="1794"/>
      <c r="H293" s="1794"/>
      <c r="I293" s="1794"/>
      <c r="J293" s="1794"/>
      <c r="K293" s="1794"/>
      <c r="L293" s="1794"/>
      <c r="M293" s="1794"/>
      <c r="N293" s="1794">
        <f>'LAPORAN KAS PERIODE'!L20</f>
        <v>0</v>
      </c>
      <c r="O293" s="1809" t="s">
        <v>452</v>
      </c>
      <c r="P293" s="1812">
        <f t="shared" si="28"/>
        <v>0</v>
      </c>
      <c r="Q293" s="1815"/>
    </row>
    <row r="294" spans="1:18" s="1788" customFormat="1" ht="30.75" hidden="1" customHeight="1">
      <c r="A294" s="2260"/>
      <c r="B294" s="1797"/>
      <c r="C294" s="1794"/>
      <c r="D294" s="1794"/>
      <c r="E294" s="1794"/>
      <c r="F294" s="1794"/>
      <c r="G294" s="1794"/>
      <c r="H294" s="1794"/>
      <c r="I294" s="1794"/>
      <c r="J294" s="1794"/>
      <c r="K294" s="1794"/>
      <c r="L294" s="1794"/>
      <c r="M294" s="1794"/>
      <c r="N294" s="1794">
        <f>'LAPORAN KAS PERIODE'!L21</f>
        <v>0</v>
      </c>
      <c r="O294" s="1809" t="s">
        <v>425</v>
      </c>
      <c r="P294" s="1812">
        <f t="shared" si="28"/>
        <v>0</v>
      </c>
      <c r="Q294" s="1815"/>
    </row>
    <row r="295" spans="1:18" s="1788" customFormat="1" ht="30.75" hidden="1" customHeight="1">
      <c r="A295" s="2261"/>
      <c r="B295" s="1797"/>
      <c r="C295" s="1794"/>
      <c r="D295" s="1794"/>
      <c r="E295" s="1794"/>
      <c r="F295" s="1794"/>
      <c r="G295" s="1794"/>
      <c r="H295" s="1794"/>
      <c r="I295" s="1794"/>
      <c r="J295" s="1794"/>
      <c r="K295" s="1794"/>
      <c r="L295" s="1794"/>
      <c r="M295" s="1794"/>
      <c r="N295" s="1794">
        <f>'LAPORAN KAS PERIODE'!L24</f>
        <v>0</v>
      </c>
      <c r="O295" s="1809" t="s">
        <v>426</v>
      </c>
      <c r="P295" s="1812">
        <f t="shared" si="28"/>
        <v>0</v>
      </c>
      <c r="Q295" s="1815"/>
    </row>
    <row r="296" spans="1:18" s="1788" customFormat="1" ht="30.75" customHeight="1">
      <c r="A296" s="1800" t="s">
        <v>234</v>
      </c>
      <c r="B296" s="1819"/>
      <c r="C296" s="1802">
        <f>SUM(C269:C295)</f>
        <v>0</v>
      </c>
      <c r="D296" s="1802">
        <f t="shared" ref="D296:N296" si="29">SUM(D269:D295)</f>
        <v>0</v>
      </c>
      <c r="E296" s="1802">
        <f t="shared" si="29"/>
        <v>0</v>
      </c>
      <c r="F296" s="1802">
        <f t="shared" si="29"/>
        <v>0</v>
      </c>
      <c r="G296" s="1802">
        <f t="shared" si="29"/>
        <v>0</v>
      </c>
      <c r="H296" s="1802">
        <f t="shared" si="29"/>
        <v>0</v>
      </c>
      <c r="I296" s="1802">
        <f t="shared" si="29"/>
        <v>0</v>
      </c>
      <c r="J296" s="1802">
        <f t="shared" si="29"/>
        <v>0</v>
      </c>
      <c r="K296" s="1802">
        <f t="shared" si="29"/>
        <v>0</v>
      </c>
      <c r="L296" s="1802">
        <f t="shared" si="29"/>
        <v>0</v>
      </c>
      <c r="M296" s="1802">
        <f t="shared" si="29"/>
        <v>0</v>
      </c>
      <c r="N296" s="1802">
        <f t="shared" si="29"/>
        <v>0</v>
      </c>
      <c r="O296" s="1829"/>
      <c r="P296" s="1811">
        <f>SUM(P268:P295)</f>
        <v>0</v>
      </c>
      <c r="Q296" s="1816">
        <f>Q267+P296</f>
        <v>31813362</v>
      </c>
    </row>
    <row r="297" spans="1:18" s="1788" customFormat="1" ht="30.75" hidden="1" customHeight="1">
      <c r="A297" s="1828"/>
      <c r="B297" s="1822"/>
      <c r="C297" s="1827"/>
      <c r="D297" s="1827"/>
      <c r="E297" s="1827"/>
      <c r="F297" s="1827"/>
      <c r="G297" s="1827"/>
      <c r="H297" s="1827"/>
      <c r="I297" s="1827"/>
      <c r="J297" s="1827"/>
      <c r="K297" s="1827"/>
      <c r="L297" s="1827"/>
      <c r="M297" s="1827"/>
      <c r="N297" s="1827"/>
      <c r="O297" s="1830"/>
      <c r="P297" s="1831">
        <f>SUM(C297:N297)</f>
        <v>0</v>
      </c>
      <c r="Q297" s="1832"/>
    </row>
    <row r="298" spans="1:18" s="1788" customFormat="1" ht="30.75" hidden="1" customHeight="1">
      <c r="A298" s="2262">
        <v>45961</v>
      </c>
      <c r="B298" s="1822"/>
      <c r="C298" s="1794"/>
      <c r="D298" s="1794"/>
      <c r="E298" s="1794"/>
      <c r="F298" s="1794"/>
      <c r="G298" s="1794"/>
      <c r="H298" s="1794"/>
      <c r="I298" s="1794"/>
      <c r="J298" s="1794"/>
      <c r="K298" s="1794"/>
      <c r="L298" s="1794"/>
      <c r="M298" s="1794"/>
      <c r="N298" s="1794"/>
      <c r="O298" s="1809"/>
      <c r="P298" s="1812">
        <f>SUM(C298:N298)</f>
        <v>0</v>
      </c>
      <c r="Q298" s="1815"/>
    </row>
    <row r="299" spans="1:18" s="1788" customFormat="1" ht="30.75" hidden="1" customHeight="1">
      <c r="A299" s="2260"/>
      <c r="B299" s="1822"/>
      <c r="C299" s="1794"/>
      <c r="D299" s="1794"/>
      <c r="E299" s="1794"/>
      <c r="F299" s="1794"/>
      <c r="G299" s="1794"/>
      <c r="H299" s="1794"/>
      <c r="I299" s="1794"/>
      <c r="J299" s="1794"/>
      <c r="K299" s="1794"/>
      <c r="L299" s="1794"/>
      <c r="M299" s="1794"/>
      <c r="N299" s="1794"/>
      <c r="O299" s="1809"/>
      <c r="P299" s="1812">
        <f t="shared" ref="P299:P329" si="30">SUM(C299:N299)</f>
        <v>0</v>
      </c>
      <c r="Q299" s="1815"/>
    </row>
    <row r="300" spans="1:18" s="1788" customFormat="1" ht="30.75" hidden="1" customHeight="1">
      <c r="A300" s="2260"/>
      <c r="B300" s="1822"/>
      <c r="C300" s="1794"/>
      <c r="D300" s="1794"/>
      <c r="E300" s="1794"/>
      <c r="F300" s="1794"/>
      <c r="G300" s="1794"/>
      <c r="H300" s="1794"/>
      <c r="I300" s="1794"/>
      <c r="J300" s="1794"/>
      <c r="K300" s="1794"/>
      <c r="L300" s="1794"/>
      <c r="M300" s="1794"/>
      <c r="N300" s="1794"/>
      <c r="O300" s="1809"/>
      <c r="P300" s="1812">
        <f t="shared" si="30"/>
        <v>0</v>
      </c>
      <c r="Q300" s="1815"/>
    </row>
    <row r="301" spans="1:18" s="1788" customFormat="1" ht="30.75" hidden="1" customHeight="1">
      <c r="A301" s="2260"/>
      <c r="B301" s="1822"/>
      <c r="C301" s="1794"/>
      <c r="D301" s="1794"/>
      <c r="E301" s="1794"/>
      <c r="F301" s="1794"/>
      <c r="G301" s="1794"/>
      <c r="H301" s="1794"/>
      <c r="I301" s="1794"/>
      <c r="J301" s="1794"/>
      <c r="K301" s="1794"/>
      <c r="L301" s="1794"/>
      <c r="M301" s="1794"/>
      <c r="N301" s="1794"/>
      <c r="O301" s="1809"/>
      <c r="P301" s="1812">
        <f t="shared" si="30"/>
        <v>0</v>
      </c>
      <c r="Q301" s="1815"/>
    </row>
    <row r="302" spans="1:18" s="1788" customFormat="1" ht="30.75" hidden="1" customHeight="1">
      <c r="A302" s="2260"/>
      <c r="B302" s="1822"/>
      <c r="C302" s="1794"/>
      <c r="D302" s="1794"/>
      <c r="E302" s="1794"/>
      <c r="F302" s="1794"/>
      <c r="G302" s="1794"/>
      <c r="H302" s="1794"/>
      <c r="I302" s="1794"/>
      <c r="J302" s="1794"/>
      <c r="K302" s="1794"/>
      <c r="L302" s="1794"/>
      <c r="M302" s="1794"/>
      <c r="N302" s="1794"/>
      <c r="O302" s="1809"/>
      <c r="P302" s="1812">
        <f t="shared" si="30"/>
        <v>0</v>
      </c>
      <c r="Q302" s="1815"/>
      <c r="R302" s="1817">
        <f>SUM(P299:P311)</f>
        <v>0</v>
      </c>
    </row>
    <row r="303" spans="1:18" s="1788" customFormat="1" ht="30.75" hidden="1" customHeight="1">
      <c r="A303" s="2260"/>
      <c r="B303" s="1822"/>
      <c r="C303" s="1794"/>
      <c r="D303" s="1794"/>
      <c r="E303" s="1794"/>
      <c r="F303" s="1794"/>
      <c r="G303" s="1794"/>
      <c r="H303" s="1794"/>
      <c r="I303" s="1794"/>
      <c r="J303" s="1794"/>
      <c r="K303" s="1794"/>
      <c r="L303" s="1794"/>
      <c r="M303" s="1794"/>
      <c r="N303" s="1794"/>
      <c r="O303" s="1809"/>
      <c r="P303" s="1812">
        <f t="shared" si="30"/>
        <v>0</v>
      </c>
      <c r="Q303" s="1815"/>
    </row>
    <row r="304" spans="1:18" s="1788" customFormat="1" ht="30.75" hidden="1" customHeight="1">
      <c r="A304" s="2260"/>
      <c r="B304" s="1822"/>
      <c r="C304" s="1794"/>
      <c r="D304" s="1794"/>
      <c r="E304" s="1794"/>
      <c r="F304" s="1794"/>
      <c r="G304" s="1794"/>
      <c r="H304" s="1794"/>
      <c r="I304" s="1794"/>
      <c r="J304" s="1794"/>
      <c r="K304" s="1794"/>
      <c r="L304" s="1794"/>
      <c r="M304" s="1794"/>
      <c r="N304" s="1794"/>
      <c r="O304" s="1809"/>
      <c r="P304" s="1812">
        <f t="shared" si="30"/>
        <v>0</v>
      </c>
      <c r="Q304" s="1815"/>
    </row>
    <row r="305" spans="1:17" s="1788" customFormat="1" ht="30.75" hidden="1" customHeight="1">
      <c r="A305" s="2260"/>
      <c r="B305" s="1822"/>
      <c r="C305" s="1794"/>
      <c r="D305" s="1794"/>
      <c r="E305" s="1794"/>
      <c r="F305" s="1794"/>
      <c r="G305" s="1794"/>
      <c r="H305" s="1794"/>
      <c r="I305" s="1794"/>
      <c r="J305" s="1794"/>
      <c r="K305" s="1794"/>
      <c r="L305" s="1794"/>
      <c r="M305" s="1794"/>
      <c r="N305" s="1794"/>
      <c r="O305" s="1809"/>
      <c r="P305" s="1812">
        <f t="shared" si="30"/>
        <v>0</v>
      </c>
      <c r="Q305" s="1815"/>
    </row>
    <row r="306" spans="1:17" s="1788" customFormat="1" ht="30.75" hidden="1" customHeight="1">
      <c r="A306" s="2260"/>
      <c r="B306" s="1822"/>
      <c r="C306" s="1794"/>
      <c r="D306" s="1794"/>
      <c r="E306" s="1794"/>
      <c r="F306" s="1794"/>
      <c r="G306" s="1794"/>
      <c r="H306" s="1794"/>
      <c r="I306" s="1794"/>
      <c r="J306" s="1794"/>
      <c r="K306" s="1794"/>
      <c r="L306" s="1794"/>
      <c r="M306" s="1794"/>
      <c r="N306" s="1794"/>
      <c r="O306" s="1809"/>
      <c r="P306" s="1812">
        <f t="shared" si="30"/>
        <v>0</v>
      </c>
      <c r="Q306" s="1815"/>
    </row>
    <row r="307" spans="1:17" s="1788" customFormat="1" ht="30.75" hidden="1" customHeight="1">
      <c r="A307" s="2260"/>
      <c r="B307" s="1822"/>
      <c r="C307" s="1794"/>
      <c r="D307" s="1794"/>
      <c r="E307" s="1794"/>
      <c r="F307" s="1794"/>
      <c r="G307" s="1794"/>
      <c r="H307" s="1794"/>
      <c r="I307" s="1794"/>
      <c r="J307" s="1794"/>
      <c r="K307" s="1794"/>
      <c r="L307" s="1794"/>
      <c r="M307" s="1794"/>
      <c r="N307" s="1794"/>
      <c r="O307" s="1809"/>
      <c r="P307" s="1812">
        <f t="shared" si="30"/>
        <v>0</v>
      </c>
      <c r="Q307" s="1815"/>
    </row>
    <row r="308" spans="1:17" s="1788" customFormat="1" ht="30.75" hidden="1" customHeight="1">
      <c r="A308" s="2260"/>
      <c r="B308" s="1822"/>
      <c r="C308" s="1794"/>
      <c r="D308" s="1794"/>
      <c r="E308" s="1794"/>
      <c r="F308" s="1794"/>
      <c r="G308" s="1794"/>
      <c r="H308" s="1794"/>
      <c r="I308" s="1794"/>
      <c r="J308" s="1794"/>
      <c r="K308" s="1794"/>
      <c r="L308" s="1794"/>
      <c r="M308" s="1794"/>
      <c r="N308" s="1794"/>
      <c r="O308" s="1809"/>
      <c r="P308" s="1812">
        <f t="shared" si="30"/>
        <v>0</v>
      </c>
      <c r="Q308" s="1815"/>
    </row>
    <row r="309" spans="1:17" s="1788" customFormat="1" ht="30.75" hidden="1" customHeight="1">
      <c r="A309" s="2260"/>
      <c r="B309" s="1822"/>
      <c r="C309" s="1794"/>
      <c r="D309" s="1794"/>
      <c r="E309" s="1794"/>
      <c r="F309" s="1794"/>
      <c r="G309" s="1794"/>
      <c r="H309" s="1794"/>
      <c r="I309" s="1794"/>
      <c r="J309" s="1794"/>
      <c r="K309" s="1794"/>
      <c r="L309" s="1794"/>
      <c r="M309" s="1794"/>
      <c r="N309" s="1794"/>
      <c r="O309" s="1809"/>
      <c r="P309" s="1812">
        <f t="shared" si="30"/>
        <v>0</v>
      </c>
      <c r="Q309" s="1815"/>
    </row>
    <row r="310" spans="1:17" s="1788" customFormat="1" ht="30.75" hidden="1" customHeight="1">
      <c r="A310" s="2260"/>
      <c r="B310" s="1822"/>
      <c r="C310" s="1794"/>
      <c r="D310" s="1794"/>
      <c r="E310" s="1794"/>
      <c r="F310" s="1794"/>
      <c r="G310" s="1794"/>
      <c r="H310" s="1794"/>
      <c r="I310" s="1794"/>
      <c r="J310" s="1794"/>
      <c r="K310" s="1794"/>
      <c r="L310" s="1794"/>
      <c r="M310" s="1794"/>
      <c r="N310" s="1794"/>
      <c r="O310" s="1809"/>
      <c r="P310" s="1812">
        <f t="shared" si="30"/>
        <v>0</v>
      </c>
      <c r="Q310" s="1815"/>
    </row>
    <row r="311" spans="1:17" s="1788" customFormat="1" ht="30.75" hidden="1" customHeight="1">
      <c r="A311" s="2260"/>
      <c r="B311" s="1822"/>
      <c r="C311" s="1794"/>
      <c r="D311" s="1794"/>
      <c r="E311" s="1794"/>
      <c r="F311" s="1794"/>
      <c r="G311" s="1794"/>
      <c r="H311" s="1794"/>
      <c r="I311" s="1794"/>
      <c r="J311" s="1794"/>
      <c r="K311" s="1794"/>
      <c r="L311" s="1794"/>
      <c r="M311" s="1794"/>
      <c r="N311" s="1794"/>
      <c r="O311" s="1809"/>
      <c r="P311" s="1812">
        <f t="shared" si="30"/>
        <v>0</v>
      </c>
      <c r="Q311" s="1815">
        <f>P299+P300+P301+P302+P303+P304+P305+P306+P309+P310+P311</f>
        <v>0</v>
      </c>
    </row>
    <row r="312" spans="1:17" s="1788" customFormat="1" ht="30.75" hidden="1" customHeight="1">
      <c r="A312" s="2260"/>
      <c r="B312" s="1822"/>
      <c r="C312" s="1794"/>
      <c r="D312" s="1794"/>
      <c r="E312" s="1794"/>
      <c r="F312" s="1794"/>
      <c r="G312" s="1794"/>
      <c r="H312" s="1794"/>
      <c r="I312" s="1794"/>
      <c r="J312" s="1794"/>
      <c r="K312" s="1794"/>
      <c r="L312" s="1794"/>
      <c r="M312" s="1794"/>
      <c r="N312" s="1794"/>
      <c r="O312" s="1809"/>
      <c r="P312" s="1812">
        <f t="shared" si="30"/>
        <v>0</v>
      </c>
      <c r="Q312" s="1815"/>
    </row>
    <row r="313" spans="1:17" s="1788" customFormat="1" ht="30.75" hidden="1" customHeight="1">
      <c r="A313" s="2260"/>
      <c r="B313" s="1822"/>
      <c r="C313" s="1794"/>
      <c r="D313" s="1794"/>
      <c r="E313" s="1794"/>
      <c r="F313" s="1794"/>
      <c r="G313" s="1794"/>
      <c r="H313" s="1794"/>
      <c r="I313" s="1794"/>
      <c r="J313" s="1794"/>
      <c r="K313" s="1794"/>
      <c r="L313" s="1794"/>
      <c r="M313" s="1794"/>
      <c r="N313" s="1794"/>
      <c r="O313" s="1809"/>
      <c r="P313" s="1812">
        <f t="shared" si="30"/>
        <v>0</v>
      </c>
      <c r="Q313" s="1815"/>
    </row>
    <row r="314" spans="1:17" s="1788" customFormat="1" ht="30.75" hidden="1" customHeight="1">
      <c r="A314" s="2260"/>
      <c r="B314" s="1822"/>
      <c r="C314" s="1794"/>
      <c r="D314" s="1794"/>
      <c r="E314" s="1794"/>
      <c r="F314" s="1794"/>
      <c r="G314" s="1794"/>
      <c r="H314" s="1794"/>
      <c r="I314" s="1794"/>
      <c r="J314" s="1794"/>
      <c r="K314" s="1794"/>
      <c r="L314" s="1794"/>
      <c r="M314" s="1794"/>
      <c r="N314" s="1794"/>
      <c r="O314" s="1809"/>
      <c r="P314" s="1812">
        <f t="shared" si="30"/>
        <v>0</v>
      </c>
      <c r="Q314" s="1815"/>
    </row>
    <row r="315" spans="1:17" s="1788" customFormat="1" ht="30.75" hidden="1" customHeight="1">
      <c r="A315" s="2260"/>
      <c r="B315" s="1822"/>
      <c r="C315" s="1794"/>
      <c r="D315" s="1794"/>
      <c r="E315" s="1794"/>
      <c r="F315" s="1794"/>
      <c r="G315" s="1794"/>
      <c r="H315" s="1794"/>
      <c r="I315" s="1794"/>
      <c r="J315" s="1794"/>
      <c r="K315" s="1794"/>
      <c r="L315" s="1794"/>
      <c r="M315" s="1794"/>
      <c r="N315" s="1794"/>
      <c r="O315" s="1809"/>
      <c r="P315" s="1812">
        <f t="shared" si="30"/>
        <v>0</v>
      </c>
      <c r="Q315" s="1815"/>
    </row>
    <row r="316" spans="1:17" s="1788" customFormat="1" ht="30.75" hidden="1" customHeight="1">
      <c r="A316" s="2260"/>
      <c r="B316" s="1822"/>
      <c r="C316" s="1794"/>
      <c r="D316" s="1794"/>
      <c r="E316" s="1794"/>
      <c r="F316" s="1794"/>
      <c r="G316" s="1794"/>
      <c r="H316" s="1794"/>
      <c r="I316" s="1794"/>
      <c r="J316" s="1794"/>
      <c r="K316" s="1794"/>
      <c r="L316" s="1794"/>
      <c r="M316" s="1794"/>
      <c r="N316" s="1794"/>
      <c r="O316" s="1809"/>
      <c r="P316" s="1812">
        <f t="shared" si="30"/>
        <v>0</v>
      </c>
      <c r="Q316" s="1815"/>
    </row>
    <row r="317" spans="1:17" s="1788" customFormat="1" ht="30.75" hidden="1" customHeight="1">
      <c r="A317" s="2260"/>
      <c r="B317" s="1822"/>
      <c r="C317" s="1794"/>
      <c r="D317" s="1794"/>
      <c r="E317" s="1794"/>
      <c r="F317" s="1794"/>
      <c r="G317" s="1794"/>
      <c r="H317" s="1794"/>
      <c r="I317" s="1794"/>
      <c r="J317" s="1794"/>
      <c r="K317" s="1794"/>
      <c r="L317" s="1794"/>
      <c r="M317" s="1794"/>
      <c r="N317" s="1794"/>
      <c r="O317" s="1809"/>
      <c r="P317" s="1812">
        <f t="shared" si="30"/>
        <v>0</v>
      </c>
      <c r="Q317" s="1815"/>
    </row>
    <row r="318" spans="1:17" s="1788" customFormat="1" ht="30.75" hidden="1" customHeight="1">
      <c r="A318" s="2260"/>
      <c r="B318" s="1822"/>
      <c r="C318" s="1794"/>
      <c r="D318" s="1794"/>
      <c r="E318" s="1794"/>
      <c r="F318" s="1794"/>
      <c r="G318" s="1794"/>
      <c r="H318" s="1794"/>
      <c r="I318" s="1794"/>
      <c r="J318" s="1794"/>
      <c r="K318" s="1794"/>
      <c r="L318" s="1794"/>
      <c r="M318" s="1794"/>
      <c r="N318" s="1794"/>
      <c r="O318" s="1809"/>
      <c r="P318" s="1812">
        <f t="shared" si="30"/>
        <v>0</v>
      </c>
      <c r="Q318" s="1815"/>
    </row>
    <row r="319" spans="1:17" s="1788" customFormat="1" ht="30.75" hidden="1" customHeight="1">
      <c r="A319" s="2260"/>
      <c r="B319" s="1822"/>
      <c r="C319" s="1794"/>
      <c r="D319" s="1794"/>
      <c r="E319" s="1794"/>
      <c r="F319" s="1794"/>
      <c r="G319" s="1794"/>
      <c r="H319" s="1794"/>
      <c r="I319" s="1794"/>
      <c r="J319" s="1794"/>
      <c r="K319" s="1794"/>
      <c r="L319" s="1794"/>
      <c r="M319" s="1794"/>
      <c r="N319" s="1794"/>
      <c r="O319" s="1809"/>
      <c r="P319" s="1812">
        <f t="shared" si="30"/>
        <v>0</v>
      </c>
      <c r="Q319" s="1815"/>
    </row>
    <row r="320" spans="1:17" s="1788" customFormat="1" ht="30.75" hidden="1" customHeight="1">
      <c r="A320" s="2260"/>
      <c r="B320" s="1822"/>
      <c r="C320" s="1794"/>
      <c r="D320" s="1794"/>
      <c r="E320" s="1794"/>
      <c r="F320" s="1794"/>
      <c r="G320" s="1794"/>
      <c r="H320" s="1794"/>
      <c r="I320" s="1794"/>
      <c r="J320" s="1794"/>
      <c r="K320" s="1794"/>
      <c r="L320" s="1794"/>
      <c r="M320" s="1794"/>
      <c r="N320" s="1794"/>
      <c r="O320" s="1809"/>
      <c r="P320" s="1812">
        <f t="shared" si="30"/>
        <v>0</v>
      </c>
      <c r="Q320" s="1815"/>
    </row>
    <row r="321" spans="1:17" s="1788" customFormat="1" ht="30.75" hidden="1" customHeight="1">
      <c r="A321" s="2260"/>
      <c r="B321" s="1822"/>
      <c r="C321" s="1794"/>
      <c r="D321" s="1794"/>
      <c r="E321" s="1794"/>
      <c r="F321" s="1794"/>
      <c r="G321" s="1794"/>
      <c r="H321" s="1794"/>
      <c r="I321" s="1794"/>
      <c r="J321" s="1794"/>
      <c r="K321" s="1794"/>
      <c r="L321" s="1794"/>
      <c r="M321" s="1794"/>
      <c r="N321" s="1794"/>
      <c r="O321" s="1809"/>
      <c r="P321" s="1812">
        <f t="shared" si="30"/>
        <v>0</v>
      </c>
      <c r="Q321" s="1815">
        <f>SUM(P312:P323)</f>
        <v>0</v>
      </c>
    </row>
    <row r="322" spans="1:17" s="1788" customFormat="1" ht="30.75" hidden="1" customHeight="1">
      <c r="A322" s="2260"/>
      <c r="B322" s="1822"/>
      <c r="C322" s="1794"/>
      <c r="D322" s="1794"/>
      <c r="E322" s="1794"/>
      <c r="F322" s="1794"/>
      <c r="G322" s="1794"/>
      <c r="H322" s="1794"/>
      <c r="I322" s="1794"/>
      <c r="J322" s="1794"/>
      <c r="K322" s="1794"/>
      <c r="L322" s="1794"/>
      <c r="M322" s="1794"/>
      <c r="N322" s="1794"/>
      <c r="O322" s="1809"/>
      <c r="P322" s="1812">
        <f t="shared" si="30"/>
        <v>0</v>
      </c>
      <c r="Q322" s="1815"/>
    </row>
    <row r="323" spans="1:17" s="1788" customFormat="1" ht="30.75" hidden="1" customHeight="1">
      <c r="A323" s="2260"/>
      <c r="B323" s="1822"/>
      <c r="C323" s="1794"/>
      <c r="D323" s="1794"/>
      <c r="E323" s="1794"/>
      <c r="F323" s="1794"/>
      <c r="G323" s="1794"/>
      <c r="H323" s="1794"/>
      <c r="I323" s="1794"/>
      <c r="J323" s="1794"/>
      <c r="K323" s="1794"/>
      <c r="L323" s="1794"/>
      <c r="M323" s="1794" t="s">
        <v>61</v>
      </c>
      <c r="N323" s="1794"/>
      <c r="O323" s="1809"/>
      <c r="P323" s="1812">
        <f t="shared" si="30"/>
        <v>0</v>
      </c>
      <c r="Q323" s="1815"/>
    </row>
    <row r="324" spans="1:17" s="1788" customFormat="1" ht="30.75" hidden="1" customHeight="1">
      <c r="A324" s="2260"/>
      <c r="B324" s="1822"/>
      <c r="C324" s="1794"/>
      <c r="D324" s="1794"/>
      <c r="E324" s="1794"/>
      <c r="F324" s="1794"/>
      <c r="G324" s="1794"/>
      <c r="H324" s="1794"/>
      <c r="I324" s="1794"/>
      <c r="J324" s="1794"/>
      <c r="K324" s="1794"/>
      <c r="L324" s="1794"/>
      <c r="M324" s="1794"/>
      <c r="N324" s="1794"/>
      <c r="O324" s="1809"/>
      <c r="P324" s="1812">
        <f t="shared" si="30"/>
        <v>0</v>
      </c>
      <c r="Q324" s="1815"/>
    </row>
    <row r="325" spans="1:17" s="1788" customFormat="1" ht="30.75" hidden="1" customHeight="1">
      <c r="A325" s="2260"/>
      <c r="B325" s="1822"/>
      <c r="C325" s="1794"/>
      <c r="D325" s="1794"/>
      <c r="E325" s="1794"/>
      <c r="F325" s="1794"/>
      <c r="G325" s="1794"/>
      <c r="H325" s="1794"/>
      <c r="I325" s="1794"/>
      <c r="J325" s="1794"/>
      <c r="K325" s="1794"/>
      <c r="L325" s="1794"/>
      <c r="M325" s="1794"/>
      <c r="N325" s="1794"/>
      <c r="O325" s="1809" t="s">
        <v>422</v>
      </c>
      <c r="P325" s="1812">
        <f t="shared" si="30"/>
        <v>0</v>
      </c>
      <c r="Q325" s="1815"/>
    </row>
    <row r="326" spans="1:17" s="1788" customFormat="1" ht="30.75" hidden="1" customHeight="1">
      <c r="A326" s="2260"/>
      <c r="B326" s="1822"/>
      <c r="C326" s="1794"/>
      <c r="D326" s="1794"/>
      <c r="E326" s="1794"/>
      <c r="F326" s="1794"/>
      <c r="G326" s="1794"/>
      <c r="H326" s="1794"/>
      <c r="I326" s="1794"/>
      <c r="J326" s="1794"/>
      <c r="K326" s="1794"/>
      <c r="L326" s="1794"/>
      <c r="M326" s="1794"/>
      <c r="N326" s="1794"/>
      <c r="O326" s="1809" t="s">
        <v>451</v>
      </c>
      <c r="P326" s="1812">
        <f t="shared" si="30"/>
        <v>0</v>
      </c>
      <c r="Q326" s="1815"/>
    </row>
    <row r="327" spans="1:17" s="1788" customFormat="1" ht="30.75" hidden="1" customHeight="1">
      <c r="A327" s="2260"/>
      <c r="B327" s="1797"/>
      <c r="C327" s="1794"/>
      <c r="D327" s="1794"/>
      <c r="E327" s="1794"/>
      <c r="F327" s="1794"/>
      <c r="G327" s="1794"/>
      <c r="H327" s="1794"/>
      <c r="I327" s="1794"/>
      <c r="J327" s="1794"/>
      <c r="K327" s="1794"/>
      <c r="L327" s="1794"/>
      <c r="M327" s="1794"/>
      <c r="N327" s="1794"/>
      <c r="O327" s="1809" t="s">
        <v>452</v>
      </c>
      <c r="P327" s="1812">
        <f t="shared" si="30"/>
        <v>0</v>
      </c>
      <c r="Q327" s="1815"/>
    </row>
    <row r="328" spans="1:17" s="1788" customFormat="1" ht="30.75" hidden="1" customHeight="1">
      <c r="A328" s="2260"/>
      <c r="B328" s="1797"/>
      <c r="C328" s="1794"/>
      <c r="D328" s="1794"/>
      <c r="E328" s="1794"/>
      <c r="F328" s="1794"/>
      <c r="G328" s="1794"/>
      <c r="H328" s="1794"/>
      <c r="I328" s="1794"/>
      <c r="J328" s="1794"/>
      <c r="K328" s="1794"/>
      <c r="L328" s="1794"/>
      <c r="M328" s="1794"/>
      <c r="N328" s="1794"/>
      <c r="O328" s="1809" t="s">
        <v>425</v>
      </c>
      <c r="P328" s="1812">
        <f t="shared" si="30"/>
        <v>0</v>
      </c>
      <c r="Q328" s="1815"/>
    </row>
    <row r="329" spans="1:17" s="1788" customFormat="1" ht="30.75" hidden="1" customHeight="1">
      <c r="A329" s="2261"/>
      <c r="B329" s="1797"/>
      <c r="C329" s="1794"/>
      <c r="D329" s="1794"/>
      <c r="E329" s="1794"/>
      <c r="F329" s="1794"/>
      <c r="G329" s="1794"/>
      <c r="H329" s="1794"/>
      <c r="I329" s="1794"/>
      <c r="J329" s="1794"/>
      <c r="K329" s="1794"/>
      <c r="L329" s="1794"/>
      <c r="M329" s="1794"/>
      <c r="N329" s="1794"/>
      <c r="O329" s="1809" t="s">
        <v>426</v>
      </c>
      <c r="P329" s="1812">
        <f t="shared" si="30"/>
        <v>0</v>
      </c>
      <c r="Q329" s="1815"/>
    </row>
    <row r="330" spans="1:17" s="1788" customFormat="1" ht="30.75" customHeight="1">
      <c r="A330" s="1800" t="s">
        <v>234</v>
      </c>
      <c r="B330" s="1819"/>
      <c r="C330" s="1802">
        <f>SUM(C298:C329)</f>
        <v>0</v>
      </c>
      <c r="D330" s="1802">
        <f t="shared" ref="D330:N330" si="31">SUM(D298:D329)</f>
        <v>0</v>
      </c>
      <c r="E330" s="1802">
        <f t="shared" si="31"/>
        <v>0</v>
      </c>
      <c r="F330" s="1802">
        <f t="shared" si="31"/>
        <v>0</v>
      </c>
      <c r="G330" s="1802">
        <f t="shared" si="31"/>
        <v>0</v>
      </c>
      <c r="H330" s="1802">
        <f t="shared" si="31"/>
        <v>0</v>
      </c>
      <c r="I330" s="1802">
        <f t="shared" si="31"/>
        <v>0</v>
      </c>
      <c r="J330" s="1802">
        <f t="shared" si="31"/>
        <v>0</v>
      </c>
      <c r="K330" s="1802">
        <f t="shared" si="31"/>
        <v>0</v>
      </c>
      <c r="L330" s="1802">
        <f t="shared" si="31"/>
        <v>0</v>
      </c>
      <c r="M330" s="1802">
        <f t="shared" si="31"/>
        <v>0</v>
      </c>
      <c r="N330" s="1802">
        <f t="shared" si="31"/>
        <v>0</v>
      </c>
      <c r="O330" s="1829"/>
      <c r="P330" s="1811">
        <f>SUM(P297:P329)</f>
        <v>0</v>
      </c>
      <c r="Q330" s="1816">
        <f>Q296+P330</f>
        <v>31813362</v>
      </c>
    </row>
    <row r="331" spans="1:17" s="1788" customFormat="1" ht="30.75" hidden="1" customHeight="1">
      <c r="A331" s="1818"/>
      <c r="B331" s="1797"/>
      <c r="C331" s="1794"/>
      <c r="D331" s="1794"/>
      <c r="E331" s="1794"/>
      <c r="F331" s="1794"/>
      <c r="G331" s="1794"/>
      <c r="H331" s="1794"/>
      <c r="I331" s="1794"/>
      <c r="J331" s="1794"/>
      <c r="K331" s="1794"/>
      <c r="L331" s="1794"/>
      <c r="M331" s="1794"/>
      <c r="N331" s="1794"/>
      <c r="O331" s="1809"/>
      <c r="P331" s="1812">
        <f>SUM(C331:N331)</f>
        <v>0</v>
      </c>
      <c r="Q331" s="1815"/>
    </row>
    <row r="332" spans="1:17" s="1788" customFormat="1" ht="30.75" hidden="1" customHeight="1">
      <c r="A332" s="1818"/>
      <c r="B332" s="1797"/>
      <c r="C332" s="1794"/>
      <c r="D332" s="1794"/>
      <c r="E332" s="1794"/>
      <c r="F332" s="1794"/>
      <c r="G332" s="1794"/>
      <c r="H332" s="1794"/>
      <c r="I332" s="1794"/>
      <c r="J332" s="1794"/>
      <c r="K332" s="1794"/>
      <c r="L332" s="1794"/>
      <c r="M332" s="1794"/>
      <c r="N332" s="1794"/>
      <c r="O332" s="1809"/>
      <c r="P332" s="1812">
        <f t="shared" ref="P332:P355" si="32">SUM(C332:N332)</f>
        <v>0</v>
      </c>
      <c r="Q332" s="1815"/>
    </row>
    <row r="333" spans="1:17" s="1788" customFormat="1" ht="30.75" hidden="1" customHeight="1">
      <c r="A333" s="1818"/>
      <c r="B333" s="1797"/>
      <c r="C333" s="1794"/>
      <c r="D333" s="1794"/>
      <c r="E333" s="1794"/>
      <c r="F333" s="1794"/>
      <c r="G333" s="1794"/>
      <c r="H333" s="1794"/>
      <c r="I333" s="1794"/>
      <c r="J333" s="1794"/>
      <c r="K333" s="1794"/>
      <c r="L333" s="1794"/>
      <c r="M333" s="1794"/>
      <c r="N333" s="1794"/>
      <c r="O333" s="1809"/>
      <c r="P333" s="1812">
        <f t="shared" si="32"/>
        <v>0</v>
      </c>
      <c r="Q333" s="1815"/>
    </row>
    <row r="334" spans="1:17" s="1788" customFormat="1" ht="30.75" hidden="1" customHeight="1">
      <c r="A334" s="1818"/>
      <c r="B334" s="1797"/>
      <c r="C334" s="1794"/>
      <c r="D334" s="1794"/>
      <c r="E334" s="1794"/>
      <c r="F334" s="1794"/>
      <c r="G334" s="1794"/>
      <c r="H334" s="1794"/>
      <c r="I334" s="1794"/>
      <c r="J334" s="1794"/>
      <c r="K334" s="1794"/>
      <c r="L334" s="1794"/>
      <c r="M334" s="1794"/>
      <c r="N334" s="1794"/>
      <c r="O334" s="1809"/>
      <c r="P334" s="1812">
        <f t="shared" si="32"/>
        <v>0</v>
      </c>
      <c r="Q334" s="1815"/>
    </row>
    <row r="335" spans="1:17" s="1788" customFormat="1" ht="30.75" hidden="1" customHeight="1">
      <c r="A335" s="1818"/>
      <c r="B335" s="1797"/>
      <c r="C335" s="1794"/>
      <c r="D335" s="1794"/>
      <c r="E335" s="1794"/>
      <c r="F335" s="1794"/>
      <c r="G335" s="1794"/>
      <c r="H335" s="1794"/>
      <c r="I335" s="1794"/>
      <c r="J335" s="1794"/>
      <c r="K335" s="1794"/>
      <c r="L335" s="1794"/>
      <c r="M335" s="1794"/>
      <c r="N335" s="1794"/>
      <c r="O335" s="1809"/>
      <c r="P335" s="1812">
        <f t="shared" si="32"/>
        <v>0</v>
      </c>
      <c r="Q335" s="1815"/>
    </row>
    <row r="336" spans="1:17" s="1788" customFormat="1" ht="30.75" hidden="1" customHeight="1">
      <c r="A336" s="1818"/>
      <c r="B336" s="1797"/>
      <c r="C336" s="1794"/>
      <c r="D336" s="1794"/>
      <c r="E336" s="1794"/>
      <c r="F336" s="1794"/>
      <c r="G336" s="1794"/>
      <c r="H336" s="1794"/>
      <c r="I336" s="1794"/>
      <c r="J336" s="1794"/>
      <c r="K336" s="1794"/>
      <c r="L336" s="1794"/>
      <c r="M336" s="1794"/>
      <c r="N336" s="1794"/>
      <c r="O336" s="1809"/>
      <c r="P336" s="1812">
        <f t="shared" si="32"/>
        <v>0</v>
      </c>
      <c r="Q336" s="1815"/>
    </row>
    <row r="337" spans="1:17" s="1788" customFormat="1" ht="30.75" hidden="1" customHeight="1">
      <c r="A337" s="1818"/>
      <c r="B337" s="1797"/>
      <c r="C337" s="1794"/>
      <c r="D337" s="1794"/>
      <c r="E337" s="1794"/>
      <c r="F337" s="1794"/>
      <c r="G337" s="1794"/>
      <c r="H337" s="1794"/>
      <c r="I337" s="1794"/>
      <c r="J337" s="1794"/>
      <c r="K337" s="1794"/>
      <c r="L337" s="1794"/>
      <c r="M337" s="1794"/>
      <c r="N337" s="1794"/>
      <c r="O337" s="1809"/>
      <c r="P337" s="1812">
        <f t="shared" si="32"/>
        <v>0</v>
      </c>
      <c r="Q337" s="1815"/>
    </row>
    <row r="338" spans="1:17" s="1788" customFormat="1" ht="30.75" hidden="1" customHeight="1">
      <c r="A338" s="1818"/>
      <c r="B338" s="1797"/>
      <c r="C338" s="1794"/>
      <c r="D338" s="1794"/>
      <c r="E338" s="1794"/>
      <c r="F338" s="1794"/>
      <c r="G338" s="1794"/>
      <c r="H338" s="1794"/>
      <c r="I338" s="1794"/>
      <c r="J338" s="1794"/>
      <c r="K338" s="1794"/>
      <c r="L338" s="1794"/>
      <c r="M338" s="1794"/>
      <c r="N338" s="1794"/>
      <c r="O338" s="1809"/>
      <c r="P338" s="1812">
        <f t="shared" si="32"/>
        <v>0</v>
      </c>
      <c r="Q338" s="1815"/>
    </row>
    <row r="339" spans="1:17" s="1788" customFormat="1" ht="30.75" hidden="1" customHeight="1">
      <c r="A339" s="1818"/>
      <c r="B339" s="1797"/>
      <c r="C339" s="1794"/>
      <c r="D339" s="1794"/>
      <c r="E339" s="1794"/>
      <c r="F339" s="1794"/>
      <c r="G339" s="1794"/>
      <c r="H339" s="1794"/>
      <c r="I339" s="1794"/>
      <c r="J339" s="1794"/>
      <c r="K339" s="1794"/>
      <c r="L339" s="1794"/>
      <c r="M339" s="1794"/>
      <c r="N339" s="1794"/>
      <c r="O339" s="1809"/>
      <c r="P339" s="1812">
        <f t="shared" si="32"/>
        <v>0</v>
      </c>
      <c r="Q339" s="1815"/>
    </row>
    <row r="340" spans="1:17" s="1788" customFormat="1" ht="30.75" hidden="1" customHeight="1">
      <c r="A340" s="1818"/>
      <c r="B340" s="1797"/>
      <c r="C340" s="1794"/>
      <c r="D340" s="1794"/>
      <c r="E340" s="1794"/>
      <c r="F340" s="1794"/>
      <c r="G340" s="1794"/>
      <c r="H340" s="1794"/>
      <c r="I340" s="1794"/>
      <c r="J340" s="1794"/>
      <c r="K340" s="1794"/>
      <c r="L340" s="1794"/>
      <c r="M340" s="1794"/>
      <c r="N340" s="1794"/>
      <c r="O340" s="1809"/>
      <c r="P340" s="1812">
        <f t="shared" si="32"/>
        <v>0</v>
      </c>
      <c r="Q340" s="1815"/>
    </row>
    <row r="341" spans="1:17" s="1788" customFormat="1" ht="30.75" hidden="1" customHeight="1">
      <c r="A341" s="1818"/>
      <c r="B341" s="1797"/>
      <c r="C341" s="1794"/>
      <c r="D341" s="1794"/>
      <c r="E341" s="1794"/>
      <c r="F341" s="1794"/>
      <c r="G341" s="1794"/>
      <c r="H341" s="1794"/>
      <c r="I341" s="1794"/>
      <c r="J341" s="1794"/>
      <c r="K341" s="1794"/>
      <c r="L341" s="1794"/>
      <c r="M341" s="1794"/>
      <c r="N341" s="1794"/>
      <c r="O341" s="1809"/>
      <c r="P341" s="1812">
        <f t="shared" si="32"/>
        <v>0</v>
      </c>
      <c r="Q341" s="1815"/>
    </row>
    <row r="342" spans="1:17" s="1788" customFormat="1" ht="30.75" hidden="1" customHeight="1">
      <c r="A342" s="1818"/>
      <c r="B342" s="1797"/>
      <c r="C342" s="1794"/>
      <c r="D342" s="1794"/>
      <c r="E342" s="1794"/>
      <c r="F342" s="1794"/>
      <c r="G342" s="1794"/>
      <c r="H342" s="1794"/>
      <c r="I342" s="1794"/>
      <c r="J342" s="1794"/>
      <c r="K342" s="1794"/>
      <c r="L342" s="1794"/>
      <c r="M342" s="1794"/>
      <c r="N342" s="1794"/>
      <c r="O342" s="1809"/>
      <c r="P342" s="1812">
        <f t="shared" si="32"/>
        <v>0</v>
      </c>
      <c r="Q342" s="1815"/>
    </row>
    <row r="343" spans="1:17" s="1788" customFormat="1" ht="30.75" hidden="1" customHeight="1">
      <c r="A343" s="1818"/>
      <c r="B343" s="1797"/>
      <c r="C343" s="1794"/>
      <c r="D343" s="1794"/>
      <c r="E343" s="1794"/>
      <c r="F343" s="1794"/>
      <c r="G343" s="1794"/>
      <c r="H343" s="1794"/>
      <c r="I343" s="1794"/>
      <c r="J343" s="1794"/>
      <c r="K343" s="1794"/>
      <c r="L343" s="1794"/>
      <c r="M343" s="1794"/>
      <c r="N343" s="1794"/>
      <c r="O343" s="1809"/>
      <c r="P343" s="1812">
        <f t="shared" si="32"/>
        <v>0</v>
      </c>
      <c r="Q343" s="1815"/>
    </row>
    <row r="344" spans="1:17" s="1788" customFormat="1" ht="30.75" hidden="1" customHeight="1">
      <c r="A344" s="1818"/>
      <c r="B344" s="1797"/>
      <c r="C344" s="1794"/>
      <c r="D344" s="1794"/>
      <c r="E344" s="1794"/>
      <c r="F344" s="1794"/>
      <c r="G344" s="1794"/>
      <c r="H344" s="1794"/>
      <c r="I344" s="1794"/>
      <c r="J344" s="1794"/>
      <c r="K344" s="1794"/>
      <c r="L344" s="1794"/>
      <c r="M344" s="1794"/>
      <c r="N344" s="1794"/>
      <c r="O344" s="1809"/>
      <c r="P344" s="1812">
        <f t="shared" si="32"/>
        <v>0</v>
      </c>
      <c r="Q344" s="1815"/>
    </row>
    <row r="345" spans="1:17" s="1788" customFormat="1" ht="30.75" hidden="1" customHeight="1">
      <c r="A345" s="1818"/>
      <c r="B345" s="1797"/>
      <c r="C345" s="1794"/>
      <c r="D345" s="1794"/>
      <c r="E345" s="1794"/>
      <c r="F345" s="1794"/>
      <c r="G345" s="1794"/>
      <c r="H345" s="1794"/>
      <c r="I345" s="1794"/>
      <c r="J345" s="1794"/>
      <c r="K345" s="1794"/>
      <c r="L345" s="1794"/>
      <c r="M345" s="1794"/>
      <c r="N345" s="1794"/>
      <c r="O345" s="1809"/>
      <c r="P345" s="1812">
        <f t="shared" si="32"/>
        <v>0</v>
      </c>
      <c r="Q345" s="1815"/>
    </row>
    <row r="346" spans="1:17" s="1788" customFormat="1" ht="30.75" hidden="1" customHeight="1">
      <c r="A346" s="1818"/>
      <c r="B346" s="1797"/>
      <c r="C346" s="1794"/>
      <c r="D346" s="1794"/>
      <c r="E346" s="1794"/>
      <c r="F346" s="1794"/>
      <c r="G346" s="1794"/>
      <c r="H346" s="1794"/>
      <c r="I346" s="1794"/>
      <c r="J346" s="1794"/>
      <c r="K346" s="1794"/>
      <c r="L346" s="1794"/>
      <c r="M346" s="1794"/>
      <c r="N346" s="1794"/>
      <c r="O346" s="1809"/>
      <c r="P346" s="1812">
        <f t="shared" si="32"/>
        <v>0</v>
      </c>
      <c r="Q346" s="1815"/>
    </row>
    <row r="347" spans="1:17" s="1788" customFormat="1" ht="30.75" hidden="1" customHeight="1">
      <c r="A347" s="1818"/>
      <c r="B347" s="1797"/>
      <c r="C347" s="1794"/>
      <c r="D347" s="1794"/>
      <c r="E347" s="1794"/>
      <c r="F347" s="1794"/>
      <c r="G347" s="1794"/>
      <c r="H347" s="1794"/>
      <c r="I347" s="1794"/>
      <c r="J347" s="1794"/>
      <c r="K347" s="1794"/>
      <c r="L347" s="1794"/>
      <c r="M347" s="1794"/>
      <c r="N347" s="1794"/>
      <c r="O347" s="1809"/>
      <c r="P347" s="1812">
        <f t="shared" si="32"/>
        <v>0</v>
      </c>
      <c r="Q347" s="1815"/>
    </row>
    <row r="348" spans="1:17" s="1788" customFormat="1" ht="30.75" hidden="1" customHeight="1">
      <c r="A348" s="1818"/>
      <c r="B348" s="1797"/>
      <c r="C348" s="1794"/>
      <c r="D348" s="1794"/>
      <c r="E348" s="1794"/>
      <c r="F348" s="1794"/>
      <c r="G348" s="1794"/>
      <c r="H348" s="1794"/>
      <c r="I348" s="1794"/>
      <c r="J348" s="1794"/>
      <c r="K348" s="1794"/>
      <c r="L348" s="1794"/>
      <c r="M348" s="1794"/>
      <c r="N348" s="1794"/>
      <c r="O348" s="1809"/>
      <c r="P348" s="1812">
        <f t="shared" si="32"/>
        <v>0</v>
      </c>
      <c r="Q348" s="1815"/>
    </row>
    <row r="349" spans="1:17" s="1788" customFormat="1" ht="30.75" hidden="1" customHeight="1">
      <c r="A349" s="1818"/>
      <c r="B349" s="1797"/>
      <c r="C349" s="1794"/>
      <c r="D349" s="1794"/>
      <c r="E349" s="1794"/>
      <c r="F349" s="1794"/>
      <c r="G349" s="1794"/>
      <c r="H349" s="1794"/>
      <c r="I349" s="1794"/>
      <c r="J349" s="1794"/>
      <c r="K349" s="1794"/>
      <c r="L349" s="1794"/>
      <c r="M349" s="1794"/>
      <c r="N349" s="1794"/>
      <c r="O349" s="1809"/>
      <c r="P349" s="1812">
        <f t="shared" si="32"/>
        <v>0</v>
      </c>
      <c r="Q349" s="1815"/>
    </row>
    <row r="350" spans="1:17" s="1788" customFormat="1" ht="30.75" hidden="1" customHeight="1">
      <c r="A350" s="1818"/>
      <c r="B350" s="1797"/>
      <c r="C350" s="1794"/>
      <c r="D350" s="1794"/>
      <c r="E350" s="1794"/>
      <c r="F350" s="1794"/>
      <c r="G350" s="1794"/>
      <c r="H350" s="1794"/>
      <c r="I350" s="1794"/>
      <c r="J350" s="1794"/>
      <c r="K350" s="1794"/>
      <c r="L350" s="1794"/>
      <c r="M350" s="1794"/>
      <c r="N350" s="1794"/>
      <c r="O350" s="1809"/>
      <c r="P350" s="1812">
        <f t="shared" si="32"/>
        <v>0</v>
      </c>
      <c r="Q350" s="1815"/>
    </row>
    <row r="351" spans="1:17" s="1788" customFormat="1" ht="30.75" hidden="1" customHeight="1">
      <c r="A351" s="1818"/>
      <c r="B351" s="1797"/>
      <c r="C351" s="1794"/>
      <c r="D351" s="1794"/>
      <c r="E351" s="1794"/>
      <c r="F351" s="1794"/>
      <c r="G351" s="1794"/>
      <c r="H351" s="1794"/>
      <c r="I351" s="1794"/>
      <c r="J351" s="1794"/>
      <c r="K351" s="1794"/>
      <c r="L351" s="1794"/>
      <c r="M351" s="1794"/>
      <c r="N351" s="1794"/>
      <c r="O351" s="1809"/>
      <c r="P351" s="1812">
        <f t="shared" si="32"/>
        <v>0</v>
      </c>
      <c r="Q351" s="1815"/>
    </row>
    <row r="352" spans="1:17" s="1788" customFormat="1" ht="30.75" hidden="1" customHeight="1">
      <c r="A352" s="1818"/>
      <c r="B352" s="1797"/>
      <c r="C352" s="1794"/>
      <c r="D352" s="1794"/>
      <c r="E352" s="1794"/>
      <c r="F352" s="1794"/>
      <c r="G352" s="1794"/>
      <c r="H352" s="1794"/>
      <c r="I352" s="1794"/>
      <c r="J352" s="1794"/>
      <c r="K352" s="1794"/>
      <c r="L352" s="1794"/>
      <c r="M352" s="1794"/>
      <c r="N352" s="1794"/>
      <c r="O352" s="1809"/>
      <c r="P352" s="1812">
        <f t="shared" si="32"/>
        <v>0</v>
      </c>
      <c r="Q352" s="1815"/>
    </row>
    <row r="353" spans="1:19" s="1788" customFormat="1" ht="30.75" hidden="1" customHeight="1">
      <c r="A353" s="1818"/>
      <c r="B353" s="1797"/>
      <c r="C353" s="1794"/>
      <c r="D353" s="1794"/>
      <c r="E353" s="1794"/>
      <c r="F353" s="1794"/>
      <c r="G353" s="1794"/>
      <c r="H353" s="1794"/>
      <c r="I353" s="1794"/>
      <c r="J353" s="1794"/>
      <c r="K353" s="1794"/>
      <c r="L353" s="1794"/>
      <c r="M353" s="1794"/>
      <c r="N353" s="1794"/>
      <c r="O353" s="1809"/>
      <c r="P353" s="1812">
        <f t="shared" si="32"/>
        <v>0</v>
      </c>
      <c r="Q353" s="1815"/>
    </row>
    <row r="354" spans="1:19" s="1788" customFormat="1" ht="30.75" hidden="1" customHeight="1">
      <c r="A354" s="1818"/>
      <c r="B354" s="1797"/>
      <c r="C354" s="1794"/>
      <c r="D354" s="1794"/>
      <c r="E354" s="1794"/>
      <c r="F354" s="1794"/>
      <c r="G354" s="1794"/>
      <c r="H354" s="1794"/>
      <c r="I354" s="1794"/>
      <c r="J354" s="1794"/>
      <c r="K354" s="1794"/>
      <c r="L354" s="1794"/>
      <c r="M354" s="1794"/>
      <c r="N354" s="1794"/>
      <c r="O354" s="1809"/>
      <c r="P354" s="1812">
        <f t="shared" si="32"/>
        <v>0</v>
      </c>
      <c r="Q354" s="1815"/>
    </row>
    <row r="355" spans="1:19" s="1788" customFormat="1" ht="30.75" hidden="1" customHeight="1">
      <c r="A355" s="1818"/>
      <c r="B355" s="1797"/>
      <c r="C355" s="1794"/>
      <c r="D355" s="1794"/>
      <c r="E355" s="1794"/>
      <c r="F355" s="1794"/>
      <c r="G355" s="1794"/>
      <c r="H355" s="1794"/>
      <c r="I355" s="1794"/>
      <c r="J355" s="1794"/>
      <c r="K355" s="1794"/>
      <c r="L355" s="1794"/>
      <c r="M355" s="1794"/>
      <c r="N355" s="1794"/>
      <c r="O355" s="1809"/>
      <c r="P355" s="1812">
        <f t="shared" si="32"/>
        <v>0</v>
      </c>
      <c r="Q355" s="1815"/>
    </row>
    <row r="356" spans="1:19" s="1788" customFormat="1" ht="30.75" customHeight="1">
      <c r="A356" s="1800" t="s">
        <v>234</v>
      </c>
      <c r="B356" s="1819"/>
      <c r="C356" s="1802">
        <f>SUM(C331:C355)</f>
        <v>0</v>
      </c>
      <c r="D356" s="1802">
        <f t="shared" ref="D356:N356" si="33">SUM(D331:D355)</f>
        <v>0</v>
      </c>
      <c r="E356" s="1802">
        <f t="shared" si="33"/>
        <v>0</v>
      </c>
      <c r="F356" s="1802">
        <f t="shared" si="33"/>
        <v>0</v>
      </c>
      <c r="G356" s="1802">
        <f t="shared" si="33"/>
        <v>0</v>
      </c>
      <c r="H356" s="1802">
        <f t="shared" si="33"/>
        <v>0</v>
      </c>
      <c r="I356" s="1802">
        <f t="shared" si="33"/>
        <v>0</v>
      </c>
      <c r="J356" s="1802">
        <f t="shared" si="33"/>
        <v>0</v>
      </c>
      <c r="K356" s="1802">
        <f t="shared" si="33"/>
        <v>0</v>
      </c>
      <c r="L356" s="1802">
        <f t="shared" si="33"/>
        <v>0</v>
      </c>
      <c r="M356" s="1802">
        <f t="shared" si="33"/>
        <v>0</v>
      </c>
      <c r="N356" s="1802">
        <f t="shared" si="33"/>
        <v>0</v>
      </c>
      <c r="O356" s="1829"/>
      <c r="P356" s="1811">
        <f>SUM(P331:P355)</f>
        <v>0</v>
      </c>
      <c r="Q356" s="1816">
        <f>Q330+P356</f>
        <v>31813362</v>
      </c>
    </row>
    <row r="357" spans="1:19" ht="51.75" customHeight="1">
      <c r="A357" s="1833" t="s">
        <v>454</v>
      </c>
      <c r="B357" s="1834"/>
      <c r="C357" s="1835">
        <f>C41+C79+C100+C120+C154+C185+C267+C296+C330+C201+C216</f>
        <v>0</v>
      </c>
      <c r="D357" s="1835">
        <f>D41+D79+D100+D120+D154+D185+D267+D296+D330+D201+D216</f>
        <v>166580</v>
      </c>
      <c r="E357" s="1835">
        <f t="shared" ref="E357:N357" si="34">E41+E79+E100+E120+E154+E185+E267+E296+E330+E201+E216</f>
        <v>285100</v>
      </c>
      <c r="F357" s="1835">
        <f t="shared" si="34"/>
        <v>0</v>
      </c>
      <c r="G357" s="1835">
        <f t="shared" si="34"/>
        <v>75900</v>
      </c>
      <c r="H357" s="1835">
        <f t="shared" si="34"/>
        <v>61990</v>
      </c>
      <c r="I357" s="1835">
        <f t="shared" si="34"/>
        <v>591570</v>
      </c>
      <c r="J357" s="1835">
        <f t="shared" si="34"/>
        <v>62200</v>
      </c>
      <c r="K357" s="1835">
        <f t="shared" si="34"/>
        <v>65000</v>
      </c>
      <c r="L357" s="1835">
        <f t="shared" si="34"/>
        <v>42000</v>
      </c>
      <c r="M357" s="1835">
        <f t="shared" si="34"/>
        <v>0</v>
      </c>
      <c r="N357" s="1835">
        <f t="shared" si="34"/>
        <v>25841718</v>
      </c>
      <c r="O357" s="1842"/>
      <c r="P357" s="1842">
        <f>P41+P79+P100+P120+P154+P185+P201+P216+P267+P296</f>
        <v>31813362</v>
      </c>
      <c r="Q357" s="1843">
        <f>SUM(C357:N357)</f>
        <v>27192058</v>
      </c>
    </row>
    <row r="358" spans="1:19" ht="15" hidden="1" customHeight="1">
      <c r="A358" s="1836"/>
      <c r="B358" s="1837"/>
      <c r="C358" s="1838"/>
      <c r="D358" s="1838"/>
      <c r="E358" s="1838"/>
      <c r="F358" s="1838"/>
      <c r="G358" s="1838"/>
      <c r="H358" s="1838"/>
      <c r="I358" s="1838"/>
      <c r="J358" s="1838"/>
      <c r="K358" s="1838"/>
      <c r="L358" s="1838"/>
      <c r="M358" s="1838"/>
      <c r="N358" s="1838"/>
      <c r="O358" s="1838"/>
      <c r="P358" s="1838"/>
      <c r="Q358" s="1844"/>
      <c r="S358" s="1845"/>
    </row>
    <row r="359" spans="1:19" ht="15" hidden="1" customHeight="1">
      <c r="A359" s="1839"/>
      <c r="B359" s="1840"/>
      <c r="C359" s="1113"/>
      <c r="D359" s="1113"/>
      <c r="E359" s="1113"/>
      <c r="F359" s="1113"/>
      <c r="G359" s="1113"/>
      <c r="H359" s="1113"/>
      <c r="I359" s="1113"/>
      <c r="J359" s="1113"/>
      <c r="K359" s="1113"/>
      <c r="L359" s="1113"/>
      <c r="M359" s="1113"/>
      <c r="N359" s="1113"/>
      <c r="O359" s="1113"/>
      <c r="P359" s="1113"/>
      <c r="Q359" s="1846"/>
    </row>
    <row r="360" spans="1:19" ht="15" hidden="1" customHeight="1">
      <c r="A360" s="1841"/>
      <c r="B360" s="1840"/>
      <c r="C360" s="1117"/>
      <c r="D360" s="1117"/>
      <c r="E360" s="1117"/>
      <c r="F360" s="1117"/>
      <c r="G360" s="1117"/>
      <c r="H360" s="1117"/>
      <c r="I360" s="1117"/>
      <c r="J360" s="1117"/>
      <c r="K360" s="1117"/>
      <c r="L360" s="1117"/>
      <c r="M360" s="1117"/>
      <c r="N360" s="1117"/>
      <c r="O360" s="1117"/>
      <c r="P360" s="1117"/>
    </row>
    <row r="361" spans="1:19" ht="30" customHeight="1"/>
    <row r="362" spans="1:19" ht="30" customHeight="1"/>
    <row r="363" spans="1:19" s="532" customFormat="1" ht="30" customHeight="1">
      <c r="A363" s="2205" t="s">
        <v>343</v>
      </c>
      <c r="B363" s="2205"/>
      <c r="C363" s="2205"/>
    </row>
    <row r="364" spans="1:19" s="532" customFormat="1" ht="30" customHeight="1">
      <c r="A364" s="2206" t="s">
        <v>344</v>
      </c>
      <c r="B364" s="2206"/>
      <c r="C364" s="2206"/>
      <c r="D364" s="2206"/>
      <c r="E364" s="2206"/>
    </row>
    <row r="365" spans="1:19" s="532" customFormat="1" ht="30" customHeight="1">
      <c r="A365" s="2206" t="s">
        <v>345</v>
      </c>
      <c r="B365" s="2206"/>
      <c r="C365" s="2206"/>
      <c r="D365" s="2206"/>
      <c r="E365" s="2206"/>
    </row>
    <row r="366" spans="1:19" s="532" customFormat="1" ht="30" customHeight="1">
      <c r="A366" s="2206" t="s">
        <v>346</v>
      </c>
      <c r="B366" s="2206"/>
      <c r="C366" s="2206"/>
      <c r="D366" s="2206"/>
      <c r="E366" s="2206"/>
    </row>
    <row r="367" spans="1:19" s="532" customFormat="1" ht="30" customHeight="1">
      <c r="A367" s="2200" t="s">
        <v>347</v>
      </c>
      <c r="B367" s="2200"/>
      <c r="C367" s="2200"/>
      <c r="D367" s="2200"/>
      <c r="E367" s="2200"/>
    </row>
    <row r="368" spans="1:19" s="532" customFormat="1" ht="30" customHeight="1">
      <c r="A368" s="2200" t="s">
        <v>348</v>
      </c>
      <c r="B368" s="2200"/>
      <c r="C368" s="2200"/>
      <c r="D368" s="2200"/>
      <c r="E368" s="2200"/>
    </row>
    <row r="369" spans="1:5" s="532" customFormat="1" ht="30" customHeight="1">
      <c r="A369" s="2200" t="s">
        <v>349</v>
      </c>
      <c r="B369" s="2200"/>
      <c r="C369" s="2200"/>
      <c r="D369" s="2200"/>
      <c r="E369" s="2200"/>
    </row>
    <row r="370" spans="1:5" s="532" customFormat="1" ht="30" customHeight="1">
      <c r="A370" s="2200" t="s">
        <v>350</v>
      </c>
      <c r="B370" s="2200"/>
      <c r="C370" s="2200"/>
      <c r="D370" s="2200"/>
      <c r="E370" s="2200"/>
    </row>
    <row r="371" spans="1:5" s="532" customFormat="1" ht="30" customHeight="1">
      <c r="A371" s="2199" t="s">
        <v>351</v>
      </c>
      <c r="B371" s="2199"/>
      <c r="C371" s="2199"/>
      <c r="D371" s="2199"/>
      <c r="E371" s="2199"/>
    </row>
    <row r="372" spans="1:5" s="532" customFormat="1" ht="30" customHeight="1">
      <c r="A372" s="2199" t="s">
        <v>455</v>
      </c>
      <c r="B372" s="2199"/>
      <c r="C372" s="2199"/>
      <c r="D372" s="2199"/>
      <c r="E372" s="2199"/>
    </row>
    <row r="373" spans="1:5" s="532" customFormat="1" ht="30" customHeight="1">
      <c r="A373" s="2199" t="s">
        <v>353</v>
      </c>
      <c r="B373" s="2199"/>
      <c r="C373" s="2199"/>
      <c r="D373" s="2199"/>
      <c r="E373" s="2199"/>
    </row>
    <row r="374" spans="1:5" s="532" customFormat="1" ht="30" customHeight="1">
      <c r="A374" s="2199" t="s">
        <v>354</v>
      </c>
      <c r="B374" s="2199"/>
      <c r="C374" s="2199"/>
      <c r="D374" s="2199"/>
      <c r="E374" s="2199"/>
    </row>
    <row r="375" spans="1:5" s="532" customFormat="1" ht="30" customHeight="1">
      <c r="A375" s="2200" t="s">
        <v>355</v>
      </c>
      <c r="B375" s="2200"/>
      <c r="C375" s="2200"/>
      <c r="D375" s="2200"/>
      <c r="E375" s="2200"/>
    </row>
    <row r="376" spans="1:5" s="532" customFormat="1" ht="30" customHeight="1"/>
    <row r="377" spans="1:5" s="532" customFormat="1" ht="30" customHeight="1"/>
    <row r="378" spans="1:5" s="532" customFormat="1" ht="30" customHeight="1"/>
    <row r="379" spans="1:5" s="532" customFormat="1" ht="30" customHeight="1"/>
    <row r="380" spans="1:5" s="532" customFormat="1" ht="30" customHeight="1"/>
    <row r="381" spans="1:5" s="532" customFormat="1" ht="30" customHeight="1"/>
    <row r="382" spans="1:5" s="532" customFormat="1" ht="30" customHeight="1"/>
    <row r="383" spans="1:5" s="532" customFormat="1" ht="30" customHeight="1"/>
    <row r="384" spans="1:5" s="532" customFormat="1" ht="30" customHeight="1"/>
    <row r="385" s="532" customFormat="1" ht="30" customHeight="1"/>
    <row r="386" s="532" customFormat="1" ht="30" customHeight="1"/>
    <row r="387" s="532" customFormat="1" ht="30" customHeight="1"/>
    <row r="388" s="532" customFormat="1" ht="30" customHeight="1"/>
    <row r="389" s="532" customFormat="1" ht="30" customHeight="1"/>
    <row r="390" s="532" customFormat="1" ht="30" customHeight="1"/>
    <row r="391" s="532" customFormat="1" ht="30" customHeight="1"/>
    <row r="392" s="532" customFormat="1" ht="30" customHeight="1"/>
    <row r="393" s="532" customFormat="1" ht="30" customHeight="1"/>
    <row r="394" s="532" customFormat="1" ht="30" customHeight="1"/>
    <row r="395" ht="30" customHeight="1"/>
    <row r="396" ht="30" customHeight="1"/>
    <row r="397" ht="30" customHeight="1"/>
    <row r="398" ht="30" customHeight="1"/>
    <row r="399" ht="30" customHeight="1"/>
    <row r="400" ht="30" customHeight="1"/>
    <row r="401" ht="30" customHeight="1"/>
    <row r="402" ht="30" customHeight="1"/>
    <row r="403" ht="30" customHeight="1"/>
    <row r="404" ht="30" customHeight="1"/>
    <row r="405" ht="30" customHeight="1"/>
  </sheetData>
  <mergeCells count="32">
    <mergeCell ref="A374:E374"/>
    <mergeCell ref="A375:E375"/>
    <mergeCell ref="A8:A9"/>
    <mergeCell ref="A11:A28"/>
    <mergeCell ref="A42:A67"/>
    <mergeCell ref="A80:A99"/>
    <mergeCell ref="A101:A119"/>
    <mergeCell ref="A121:A153"/>
    <mergeCell ref="A155:A184"/>
    <mergeCell ref="A186:A200"/>
    <mergeCell ref="A202:A215"/>
    <mergeCell ref="A217:A251"/>
    <mergeCell ref="A269:A295"/>
    <mergeCell ref="A298:A329"/>
    <mergeCell ref="A369:E369"/>
    <mergeCell ref="A370:E370"/>
    <mergeCell ref="A371:E371"/>
    <mergeCell ref="A372:E372"/>
    <mergeCell ref="A373:E373"/>
    <mergeCell ref="A364:E364"/>
    <mergeCell ref="A365:E365"/>
    <mergeCell ref="A366:E366"/>
    <mergeCell ref="A367:E367"/>
    <mergeCell ref="A368:E368"/>
    <mergeCell ref="A2:Q2"/>
    <mergeCell ref="P4:Q4"/>
    <mergeCell ref="P5:Q5"/>
    <mergeCell ref="N8:P8"/>
    <mergeCell ref="A363:C363"/>
    <mergeCell ref="K8:K9"/>
    <mergeCell ref="M8:M9"/>
    <mergeCell ref="Q8:Q9"/>
  </mergeCells>
  <printOptions horizontalCentered="1"/>
  <pageMargins left="0.12" right="0.12" top="0.39" bottom="0.12" header="0.31" footer="0.31"/>
  <pageSetup paperSize="9" scale="34" orientation="landscape"/>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pageSetUpPr fitToPage="1"/>
  </sheetPr>
  <dimension ref="A1:BE317"/>
  <sheetViews>
    <sheetView topLeftCell="B2" zoomScale="59" zoomScaleNormal="66" workbookViewId="0">
      <pane xSplit="8060" ySplit="2250" topLeftCell="AM195" activePane="bottomRight"/>
      <selection activeCell="B84" sqref="B84:AN84"/>
      <selection pane="topRight"/>
      <selection pane="bottomLeft"/>
      <selection pane="bottomRight" activeCell="Y206" sqref="Y206"/>
    </sheetView>
  </sheetViews>
  <sheetFormatPr defaultColWidth="9.26953125" defaultRowHeight="13"/>
  <cols>
    <col min="1" max="1" width="9.26953125" style="929" customWidth="1"/>
    <col min="2" max="2" width="8.7265625" style="929" customWidth="1"/>
    <col min="3" max="3" width="5" style="929" customWidth="1"/>
    <col min="4" max="4" width="46.7265625" style="929" customWidth="1"/>
    <col min="5" max="5" width="15.26953125" style="1505" customWidth="1"/>
    <col min="6" max="6" width="10.26953125" style="1506" customWidth="1"/>
    <col min="7" max="7" width="15.26953125" style="1505" customWidth="1"/>
    <col min="8" max="8" width="9.7265625" style="1506" customWidth="1"/>
    <col min="9" max="9" width="15.26953125" style="1505" customWidth="1"/>
    <col min="10" max="10" width="8.7265625" style="1506" customWidth="1"/>
    <col min="11" max="11" width="15.26953125" style="1505" customWidth="1"/>
    <col min="12" max="12" width="8.7265625" style="1506" customWidth="1"/>
    <col min="13" max="13" width="15.26953125" style="1505" customWidth="1"/>
    <col min="14" max="14" width="8.7265625" style="1506" customWidth="1"/>
    <col min="15" max="15" width="15.26953125" style="1505" customWidth="1"/>
    <col min="16" max="16" width="8.7265625" style="1506" customWidth="1"/>
    <col min="17" max="17" width="15.26953125" style="1505" customWidth="1"/>
    <col min="18" max="18" width="8.7265625" style="1506" customWidth="1"/>
    <col min="19" max="19" width="15.26953125" style="1505" customWidth="1"/>
    <col min="20" max="20" width="8.7265625" style="1506" customWidth="1"/>
    <col min="21" max="21" width="15.26953125" style="1505" customWidth="1"/>
    <col min="22" max="22" width="8.7265625" style="1506" customWidth="1"/>
    <col min="23" max="23" width="15.26953125" style="1505" customWidth="1"/>
    <col min="24" max="24" width="8.7265625" style="1506" customWidth="1"/>
    <col min="25" max="25" width="15.26953125" style="1505" customWidth="1"/>
    <col min="26" max="26" width="8.7265625" style="1506" customWidth="1"/>
    <col min="27" max="27" width="15.26953125" style="1505" customWidth="1"/>
    <col min="28" max="28" width="8.7265625" style="1506" customWidth="1"/>
    <col min="29" max="29" width="15.26953125" style="1505" customWidth="1"/>
    <col min="30" max="30" width="8.7265625" style="929" customWidth="1"/>
    <col min="31" max="31" width="15.26953125" style="1505" customWidth="1"/>
    <col min="32" max="32" width="8.7265625" style="1506" customWidth="1"/>
    <col min="33" max="33" width="15.26953125" style="1505" customWidth="1"/>
    <col min="34" max="34" width="9.7265625" style="1506" customWidth="1"/>
    <col min="35" max="35" width="17.7265625" style="1505" customWidth="1"/>
    <col min="36" max="36" width="15.54296875" style="1506" customWidth="1"/>
    <col min="37" max="37" width="18.54296875" style="1505" customWidth="1"/>
    <col min="38" max="38" width="15.1796875" style="1506" customWidth="1"/>
    <col min="39" max="39" width="19.7265625" style="1505" customWidth="1"/>
    <col min="40" max="40" width="14.1796875" style="1506" customWidth="1"/>
    <col min="41" max="41" width="12.26953125" style="929" customWidth="1"/>
    <col min="42" max="42" width="31.26953125" style="929" customWidth="1"/>
    <col min="43" max="43" width="22" style="929" customWidth="1"/>
    <col min="44" max="44" width="12.54296875" style="929" customWidth="1"/>
    <col min="45" max="45" width="20.7265625" style="929" customWidth="1"/>
    <col min="46" max="46" width="12.54296875" style="929" customWidth="1"/>
    <col min="47" max="47" width="20.7265625" style="929" customWidth="1"/>
    <col min="48" max="48" width="12.54296875" style="929" customWidth="1"/>
    <col min="49" max="49" width="20.7265625" style="929" customWidth="1"/>
    <col min="50" max="50" width="12.54296875" style="929" customWidth="1"/>
    <col min="51" max="51" width="20.7265625" style="929" customWidth="1"/>
    <col min="52" max="52" width="12.54296875" style="929" customWidth="1"/>
    <col min="53" max="53" width="20.7265625" style="929" customWidth="1"/>
    <col min="54" max="54" width="12.54296875" style="929" customWidth="1"/>
    <col min="55" max="55" width="20.7265625" style="929" customWidth="1"/>
    <col min="56" max="56" width="12.54296875" style="929" customWidth="1"/>
    <col min="57" max="16384" width="9.26953125" style="929"/>
  </cols>
  <sheetData>
    <row r="1" spans="2:57" ht="12" customHeight="1">
      <c r="B1" s="2263" t="s">
        <v>61</v>
      </c>
      <c r="C1" s="2263"/>
      <c r="D1" s="2263"/>
      <c r="E1" s="2263"/>
      <c r="F1" s="2263"/>
      <c r="G1" s="2263"/>
      <c r="H1" s="2263"/>
      <c r="I1" s="2263"/>
      <c r="J1" s="2263"/>
      <c r="K1" s="2263"/>
      <c r="L1" s="2263"/>
      <c r="M1" s="2263"/>
      <c r="N1" s="2263"/>
      <c r="O1" s="2263"/>
      <c r="P1" s="2263"/>
      <c r="Q1" s="2263"/>
      <c r="R1" s="2263"/>
      <c r="S1" s="2263"/>
      <c r="T1" s="2263"/>
      <c r="U1" s="2263"/>
      <c r="V1" s="2263"/>
      <c r="W1" s="2263"/>
      <c r="X1" s="2263"/>
      <c r="Y1" s="2263"/>
      <c r="Z1" s="2263"/>
      <c r="AA1" s="2263"/>
      <c r="AB1" s="2263"/>
      <c r="AC1" s="2263"/>
      <c r="AD1" s="2263"/>
      <c r="AE1" s="2263"/>
      <c r="AF1" s="2263"/>
      <c r="AG1" s="2263"/>
      <c r="AH1" s="2263"/>
      <c r="AI1" s="2263"/>
      <c r="AJ1" s="2263"/>
      <c r="AK1" s="2263"/>
      <c r="AL1" s="2263"/>
      <c r="AM1" s="2263"/>
      <c r="AN1" s="2263"/>
    </row>
    <row r="2" spans="2:57" ht="21" customHeight="1">
      <c r="B2" s="1508"/>
      <c r="C2" s="1508"/>
      <c r="D2" s="1508"/>
      <c r="E2" s="1509"/>
      <c r="F2" s="1510"/>
      <c r="G2" s="1509"/>
      <c r="H2" s="1510"/>
      <c r="I2" s="1509"/>
      <c r="J2" s="1510"/>
      <c r="K2" s="1509" t="s">
        <v>61</v>
      </c>
      <c r="L2" s="1510"/>
      <c r="M2" s="2264" t="s">
        <v>456</v>
      </c>
      <c r="N2" s="2264"/>
      <c r="O2" s="2264"/>
      <c r="P2" s="2264"/>
      <c r="Q2" s="2264"/>
      <c r="R2" s="2264"/>
      <c r="S2" s="2264"/>
      <c r="T2" s="2264"/>
      <c r="U2" s="2264"/>
      <c r="V2" s="2264"/>
      <c r="W2" s="2264"/>
      <c r="X2" s="2264"/>
      <c r="Y2" s="2264"/>
      <c r="Z2" s="2264"/>
      <c r="AA2" s="1509"/>
      <c r="AB2" s="1510"/>
      <c r="AC2" s="1509"/>
      <c r="AD2" s="1508"/>
      <c r="AE2" s="1509"/>
      <c r="AF2" s="1510"/>
      <c r="AG2" s="1509"/>
      <c r="AH2" s="1510"/>
      <c r="AI2" s="1509" t="s">
        <v>394</v>
      </c>
      <c r="AJ2" s="2265" t="str">
        <f>LPKK!O4</f>
        <v>RC SAMATA GOWA</v>
      </c>
      <c r="AK2" s="2265"/>
      <c r="AL2" s="2265"/>
      <c r="AM2" s="2265"/>
      <c r="AN2" s="1510"/>
    </row>
    <row r="3" spans="2:57" ht="31.5" customHeight="1">
      <c r="B3" s="1508"/>
      <c r="C3" s="1508"/>
      <c r="D3" s="1508"/>
      <c r="E3" s="1509"/>
      <c r="F3" s="1510"/>
      <c r="G3" s="1509"/>
      <c r="H3" s="1510"/>
      <c r="I3" s="1509"/>
      <c r="J3" s="1510"/>
      <c r="K3" s="1509"/>
      <c r="L3" s="1510"/>
      <c r="M3" s="1509"/>
      <c r="N3" s="1510"/>
      <c r="O3" s="1509"/>
      <c r="P3" s="1510"/>
      <c r="Q3" s="1509"/>
      <c r="R3" s="1510"/>
      <c r="S3" s="1509"/>
      <c r="T3" s="1510"/>
      <c r="U3" s="1509"/>
      <c r="V3" s="1510"/>
      <c r="W3" s="1509"/>
      <c r="X3" s="1510"/>
      <c r="Y3" s="1509"/>
      <c r="Z3" s="1510"/>
      <c r="AA3" s="1509"/>
      <c r="AB3" s="1510"/>
      <c r="AC3" s="1509"/>
      <c r="AD3" s="1508"/>
      <c r="AE3" s="1509"/>
      <c r="AF3" s="1510"/>
      <c r="AG3" s="1509"/>
      <c r="AH3" s="1510"/>
      <c r="AI3" s="1509" t="s">
        <v>396</v>
      </c>
      <c r="AJ3" s="2266" t="str">
        <f>LPKK!O5</f>
        <v>8-14 JANUARI 2025</v>
      </c>
      <c r="AK3" s="2266"/>
      <c r="AL3" s="2266"/>
      <c r="AM3" s="2266"/>
      <c r="AN3" s="1510"/>
      <c r="AQ3" s="2267" t="s">
        <v>457</v>
      </c>
      <c r="AR3" s="2267"/>
      <c r="AS3" s="2267"/>
      <c r="AT3" s="2267"/>
      <c r="AU3" s="2267"/>
      <c r="AV3" s="2267"/>
      <c r="AW3" s="2267"/>
      <c r="AX3" s="2267"/>
      <c r="AY3" s="2267"/>
      <c r="AZ3" s="2267"/>
      <c r="BA3" s="2267"/>
      <c r="BB3" s="2267"/>
      <c r="BC3" s="2267"/>
    </row>
    <row r="4" spans="2:57" ht="6" customHeight="1">
      <c r="B4" s="1508"/>
      <c r="C4" s="1508"/>
      <c r="D4" s="1508"/>
      <c r="E4" s="1509"/>
      <c r="F4" s="1510"/>
      <c r="G4" s="1511"/>
      <c r="H4" s="1510"/>
      <c r="I4" s="1509"/>
      <c r="J4" s="1510"/>
      <c r="K4" s="1509"/>
      <c r="L4" s="1510"/>
      <c r="M4" s="1509"/>
      <c r="N4" s="1510"/>
      <c r="O4" s="1509"/>
      <c r="P4" s="1510"/>
      <c r="Q4" s="1509"/>
      <c r="R4" s="1510"/>
      <c r="S4" s="1509"/>
      <c r="T4" s="1510"/>
      <c r="U4" s="1509"/>
      <c r="V4" s="1510"/>
      <c r="W4" s="1509"/>
      <c r="X4" s="1510"/>
      <c r="Y4" s="1509"/>
      <c r="Z4" s="1510"/>
      <c r="AA4" s="1509"/>
      <c r="AB4" s="1510"/>
      <c r="AC4" s="1509"/>
      <c r="AD4" s="1508"/>
      <c r="AE4" s="1509"/>
      <c r="AF4" s="1510"/>
      <c r="AG4" s="1509"/>
      <c r="AH4" s="1510"/>
      <c r="AI4" s="1509"/>
      <c r="AJ4" s="1510"/>
      <c r="AK4" s="1509"/>
      <c r="AL4" s="1510"/>
      <c r="AM4" s="1509"/>
      <c r="AN4" s="1510"/>
    </row>
    <row r="5" spans="2:57" ht="30" customHeight="1">
      <c r="B5" s="2388" t="s">
        <v>458</v>
      </c>
      <c r="C5" s="2398" t="s">
        <v>65</v>
      </c>
      <c r="D5" s="1513"/>
      <c r="E5" s="2268" t="s">
        <v>459</v>
      </c>
      <c r="F5" s="2269"/>
      <c r="G5" s="2270" t="s">
        <v>460</v>
      </c>
      <c r="H5" s="2269"/>
      <c r="I5" s="2272">
        <v>46030</v>
      </c>
      <c r="J5" s="2273"/>
      <c r="K5" s="2272">
        <v>46031</v>
      </c>
      <c r="L5" s="2273"/>
      <c r="M5" s="2272">
        <v>46032</v>
      </c>
      <c r="N5" s="2273"/>
      <c r="O5" s="2272">
        <v>46033</v>
      </c>
      <c r="P5" s="2273"/>
      <c r="Q5" s="2272">
        <v>46034</v>
      </c>
      <c r="R5" s="2273"/>
      <c r="S5" s="2272">
        <v>46035</v>
      </c>
      <c r="T5" s="2273"/>
      <c r="U5" s="2272">
        <v>46036</v>
      </c>
      <c r="V5" s="2273"/>
      <c r="W5" s="2272"/>
      <c r="X5" s="2273"/>
      <c r="Y5" s="2272"/>
      <c r="Z5" s="2273"/>
      <c r="AA5" s="2272"/>
      <c r="AB5" s="2273"/>
      <c r="AC5" s="2270" t="s">
        <v>461</v>
      </c>
      <c r="AD5" s="2269"/>
      <c r="AE5" s="2276" t="s">
        <v>462</v>
      </c>
      <c r="AF5" s="2277"/>
      <c r="AG5" s="2276" t="s">
        <v>463</v>
      </c>
      <c r="AH5" s="2277"/>
      <c r="AI5" s="2270" t="s">
        <v>310</v>
      </c>
      <c r="AJ5" s="2269"/>
      <c r="AK5" s="2270" t="s">
        <v>460</v>
      </c>
      <c r="AL5" s="2269"/>
      <c r="AM5" s="2270" t="s">
        <v>459</v>
      </c>
      <c r="AN5" s="2271"/>
      <c r="AO5" s="1610"/>
      <c r="AP5" s="1611"/>
      <c r="AQ5" s="1611"/>
      <c r="AR5" s="1611"/>
      <c r="AS5" s="1611"/>
      <c r="AT5" s="1611"/>
      <c r="AU5" s="1611"/>
      <c r="AV5" s="1611"/>
      <c r="AW5" s="1611"/>
      <c r="AX5" s="1611"/>
      <c r="AY5" s="1611"/>
      <c r="AZ5" s="1611"/>
      <c r="BA5" s="1611"/>
      <c r="BB5" s="1611"/>
    </row>
    <row r="6" spans="2:57" ht="30" customHeight="1">
      <c r="B6" s="2389"/>
      <c r="C6" s="2399"/>
      <c r="D6" s="2405" t="s">
        <v>464</v>
      </c>
      <c r="E6" s="2282" t="s">
        <v>465</v>
      </c>
      <c r="F6" s="2283"/>
      <c r="G6" s="2284" t="s">
        <v>466</v>
      </c>
      <c r="H6" s="2283"/>
      <c r="I6" s="2274"/>
      <c r="J6" s="2275"/>
      <c r="K6" s="2274"/>
      <c r="L6" s="2275"/>
      <c r="M6" s="2274"/>
      <c r="N6" s="2275"/>
      <c r="O6" s="2274"/>
      <c r="P6" s="2275"/>
      <c r="Q6" s="2274"/>
      <c r="R6" s="2275"/>
      <c r="S6" s="2274"/>
      <c r="T6" s="2275"/>
      <c r="U6" s="2274"/>
      <c r="V6" s="2275"/>
      <c r="W6" s="2274"/>
      <c r="X6" s="2275"/>
      <c r="Y6" s="2274"/>
      <c r="Z6" s="2275"/>
      <c r="AA6" s="2274"/>
      <c r="AB6" s="2275"/>
      <c r="AC6" s="2285" t="s">
        <v>467</v>
      </c>
      <c r="AD6" s="2286"/>
      <c r="AE6" s="2280"/>
      <c r="AF6" s="2281"/>
      <c r="AG6" s="2278"/>
      <c r="AH6" s="2279"/>
      <c r="AI6" s="2284" t="s">
        <v>468</v>
      </c>
      <c r="AJ6" s="2283"/>
      <c r="AK6" s="2284" t="s">
        <v>469</v>
      </c>
      <c r="AL6" s="2283"/>
      <c r="AM6" s="2284" t="s">
        <v>470</v>
      </c>
      <c r="AN6" s="2287"/>
      <c r="AO6" s="1612"/>
      <c r="AP6" s="1613" t="s">
        <v>458</v>
      </c>
      <c r="AQ6" s="1614"/>
      <c r="AR6" s="1615"/>
      <c r="AS6" s="1616"/>
      <c r="AT6" s="1615"/>
      <c r="AU6" s="1617"/>
      <c r="AV6" s="1615"/>
      <c r="AW6" s="1617"/>
      <c r="AX6" s="1615"/>
      <c r="AY6" s="1617"/>
      <c r="AZ6" s="1615"/>
      <c r="BA6" s="1617"/>
      <c r="BB6" s="1615"/>
      <c r="BC6" s="1658"/>
      <c r="BD6" s="1659"/>
    </row>
    <row r="7" spans="2:57" ht="30" customHeight="1">
      <c r="B7" s="1517" t="s">
        <v>471</v>
      </c>
      <c r="C7" s="2399"/>
      <c r="D7" s="2405"/>
      <c r="E7" s="2282" t="s">
        <v>472</v>
      </c>
      <c r="F7" s="2283"/>
      <c r="G7" s="2284" t="s">
        <v>472</v>
      </c>
      <c r="H7" s="2283"/>
      <c r="I7" s="2284" t="s">
        <v>473</v>
      </c>
      <c r="J7" s="2283"/>
      <c r="K7" s="2284" t="s">
        <v>474</v>
      </c>
      <c r="L7" s="2283"/>
      <c r="M7" s="2284" t="s">
        <v>475</v>
      </c>
      <c r="N7" s="2283"/>
      <c r="O7" s="2284" t="s">
        <v>476</v>
      </c>
      <c r="P7" s="2283"/>
      <c r="Q7" s="2284" t="s">
        <v>477</v>
      </c>
      <c r="R7" s="2283"/>
      <c r="S7" s="2284" t="s">
        <v>478</v>
      </c>
      <c r="T7" s="2283"/>
      <c r="U7" s="2284" t="s">
        <v>479</v>
      </c>
      <c r="V7" s="2283"/>
      <c r="W7" s="2284"/>
      <c r="X7" s="2283"/>
      <c r="Y7" s="2284"/>
      <c r="Z7" s="2283"/>
      <c r="AA7" s="2284"/>
      <c r="AB7" s="2283"/>
      <c r="AC7" s="2284" t="s">
        <v>480</v>
      </c>
      <c r="AD7" s="2283"/>
      <c r="AE7" s="2278"/>
      <c r="AF7" s="2279"/>
      <c r="AG7" s="2284" t="s">
        <v>481</v>
      </c>
      <c r="AH7" s="2283"/>
      <c r="AI7" s="2284" t="s">
        <v>472</v>
      </c>
      <c r="AJ7" s="2283"/>
      <c r="AK7" s="2284" t="s">
        <v>472</v>
      </c>
      <c r="AL7" s="2283"/>
      <c r="AM7" s="2284" t="s">
        <v>472</v>
      </c>
      <c r="AN7" s="2287"/>
      <c r="AO7" s="1612"/>
      <c r="AP7" s="1618" t="s">
        <v>482</v>
      </c>
      <c r="AQ7" s="1619" t="s">
        <v>60</v>
      </c>
      <c r="AR7" s="1620"/>
      <c r="AS7" s="1619"/>
      <c r="AT7" s="1620"/>
      <c r="AU7" s="1619"/>
      <c r="AV7" s="1620"/>
      <c r="AW7" s="1619"/>
      <c r="AX7" s="1620"/>
      <c r="AY7" s="1619"/>
      <c r="AZ7" s="1620"/>
      <c r="BA7" s="1619"/>
      <c r="BB7" s="1620"/>
      <c r="BC7" s="1641"/>
      <c r="BD7" s="1620"/>
    </row>
    <row r="8" spans="2:57" ht="30" customHeight="1">
      <c r="B8" s="1518"/>
      <c r="C8" s="2400"/>
      <c r="D8" s="1520"/>
      <c r="E8" s="1521" t="s">
        <v>483</v>
      </c>
      <c r="F8" s="1522" t="s">
        <v>484</v>
      </c>
      <c r="G8" s="1521" t="s">
        <v>483</v>
      </c>
      <c r="H8" s="1522" t="s">
        <v>484</v>
      </c>
      <c r="I8" s="1560" t="s">
        <v>483</v>
      </c>
      <c r="J8" s="1522" t="s">
        <v>484</v>
      </c>
      <c r="K8" s="1560" t="s">
        <v>483</v>
      </c>
      <c r="L8" s="1522" t="s">
        <v>484</v>
      </c>
      <c r="M8" s="1560" t="s">
        <v>483</v>
      </c>
      <c r="N8" s="1522" t="s">
        <v>484</v>
      </c>
      <c r="O8" s="1560" t="s">
        <v>483</v>
      </c>
      <c r="P8" s="1522" t="s">
        <v>484</v>
      </c>
      <c r="Q8" s="1560" t="s">
        <v>483</v>
      </c>
      <c r="R8" s="1522" t="s">
        <v>484</v>
      </c>
      <c r="S8" s="1560" t="s">
        <v>483</v>
      </c>
      <c r="T8" s="1522" t="s">
        <v>484</v>
      </c>
      <c r="U8" s="1560" t="s">
        <v>483</v>
      </c>
      <c r="V8" s="1522" t="s">
        <v>484</v>
      </c>
      <c r="W8" s="1560" t="s">
        <v>483</v>
      </c>
      <c r="X8" s="1522" t="s">
        <v>484</v>
      </c>
      <c r="Y8" s="1560" t="s">
        <v>483</v>
      </c>
      <c r="Z8" s="1522" t="s">
        <v>484</v>
      </c>
      <c r="AA8" s="1560" t="s">
        <v>483</v>
      </c>
      <c r="AB8" s="1522" t="s">
        <v>484</v>
      </c>
      <c r="AC8" s="1560" t="s">
        <v>483</v>
      </c>
      <c r="AD8" s="1568" t="s">
        <v>484</v>
      </c>
      <c r="AE8" s="1560" t="s">
        <v>483</v>
      </c>
      <c r="AF8" s="1522" t="s">
        <v>484</v>
      </c>
      <c r="AG8" s="1560" t="s">
        <v>483</v>
      </c>
      <c r="AH8" s="1522" t="s">
        <v>484</v>
      </c>
      <c r="AI8" s="1560" t="s">
        <v>483</v>
      </c>
      <c r="AJ8" s="1522" t="s">
        <v>484</v>
      </c>
      <c r="AK8" s="1560" t="s">
        <v>483</v>
      </c>
      <c r="AL8" s="1522" t="s">
        <v>484</v>
      </c>
      <c r="AM8" s="1560" t="s">
        <v>483</v>
      </c>
      <c r="AN8" s="1573" t="s">
        <v>484</v>
      </c>
      <c r="AO8" s="1612"/>
      <c r="AP8" s="1621"/>
      <c r="AQ8" s="1622" t="s">
        <v>485</v>
      </c>
      <c r="AR8" s="1623" t="s">
        <v>486</v>
      </c>
      <c r="AS8" s="1622" t="s">
        <v>485</v>
      </c>
      <c r="AT8" s="1623" t="s">
        <v>486</v>
      </c>
      <c r="AU8" s="1622" t="s">
        <v>485</v>
      </c>
      <c r="AV8" s="1623" t="s">
        <v>486</v>
      </c>
      <c r="AW8" s="1622" t="s">
        <v>485</v>
      </c>
      <c r="AX8" s="1623" t="s">
        <v>486</v>
      </c>
      <c r="AY8" s="1622" t="s">
        <v>485</v>
      </c>
      <c r="AZ8" s="1623" t="s">
        <v>486</v>
      </c>
      <c r="BA8" s="1622" t="s">
        <v>485</v>
      </c>
      <c r="BB8" s="1623" t="s">
        <v>486</v>
      </c>
      <c r="BC8" s="1622" t="s">
        <v>485</v>
      </c>
      <c r="BD8" s="1623" t="s">
        <v>486</v>
      </c>
    </row>
    <row r="9" spans="2:57" ht="30" customHeight="1">
      <c r="B9" s="1512"/>
      <c r="C9" s="1523"/>
      <c r="D9" s="1524" t="s">
        <v>408</v>
      </c>
      <c r="E9" s="1525"/>
      <c r="F9" s="1526"/>
      <c r="G9" s="1527"/>
      <c r="H9" s="1526"/>
      <c r="I9" s="1561">
        <f>SUM(I10:I14)</f>
        <v>0</v>
      </c>
      <c r="J9" s="1562"/>
      <c r="K9" s="1561">
        <f>SUM(K10:K14)</f>
        <v>0</v>
      </c>
      <c r="L9" s="1526"/>
      <c r="M9" s="1561">
        <f>SUM(M10:M14)</f>
        <v>0</v>
      </c>
      <c r="N9" s="1526"/>
      <c r="O9" s="1561">
        <f>SUM(O10:O14)</f>
        <v>0</v>
      </c>
      <c r="P9" s="1526"/>
      <c r="Q9" s="1561">
        <f>SUM(Q10:Q14)</f>
        <v>0</v>
      </c>
      <c r="R9" s="1526"/>
      <c r="S9" s="1561">
        <f>SUM(S10:S14)</f>
        <v>0</v>
      </c>
      <c r="T9" s="1526"/>
      <c r="U9" s="1561">
        <f>SUM(U10:U14)</f>
        <v>0</v>
      </c>
      <c r="V9" s="1567"/>
      <c r="W9" s="1561">
        <f>SUM(W10:W14)</f>
        <v>0</v>
      </c>
      <c r="X9" s="1567"/>
      <c r="Y9" s="1561">
        <f>SUM(Y10:Y14)</f>
        <v>0</v>
      </c>
      <c r="Z9" s="1567"/>
      <c r="AA9" s="1561">
        <f>SUM(AA10:AA14)</f>
        <v>0</v>
      </c>
      <c r="AB9" s="1567"/>
      <c r="AC9" s="1569"/>
      <c r="AD9" s="1567"/>
      <c r="AE9" s="1527"/>
      <c r="AF9" s="1567"/>
      <c r="AG9" s="1561">
        <f>SUM(AG10:AG14)</f>
        <v>6220850</v>
      </c>
      <c r="AH9" s="1567"/>
      <c r="AI9" s="1561">
        <f>SUM(AI10:AI14)</f>
        <v>5939783.4443124402</v>
      </c>
      <c r="AJ9" s="1567"/>
      <c r="AK9" s="1527"/>
      <c r="AL9" s="1567"/>
      <c r="AM9" s="1527" t="s">
        <v>61</v>
      </c>
      <c r="AN9" s="1574"/>
      <c r="AO9" s="1612"/>
      <c r="AP9" s="1624" t="s">
        <v>408</v>
      </c>
      <c r="AQ9" s="1625">
        <f>SUM(AQ10:AQ14)</f>
        <v>6220850</v>
      </c>
      <c r="AR9" s="1626"/>
      <c r="AS9" s="1627">
        <f>SUM(AS10:AS14)</f>
        <v>0</v>
      </c>
      <c r="AT9" s="1626"/>
      <c r="AU9" s="1627">
        <f>SUM(AU10:AU14)</f>
        <v>0</v>
      </c>
      <c r="AV9" s="1626"/>
      <c r="AW9" s="1627">
        <f>SUM(AW10:AW14)</f>
        <v>0</v>
      </c>
      <c r="AX9" s="1626"/>
      <c r="AY9" s="1627">
        <f>SUM(AY10:AY14)</f>
        <v>0</v>
      </c>
      <c r="AZ9" s="1626"/>
      <c r="BA9" s="1627">
        <f>SUM(BA10:BA14)</f>
        <v>0</v>
      </c>
      <c r="BB9" s="1626"/>
      <c r="BC9" s="1660">
        <f>SUM(BC10:BC14)</f>
        <v>0</v>
      </c>
      <c r="BD9" s="1615"/>
    </row>
    <row r="10" spans="2:57" ht="30" customHeight="1">
      <c r="B10" s="1515"/>
      <c r="C10" s="1517">
        <v>1</v>
      </c>
      <c r="D10" s="1528" t="str">
        <f>'WEEKLY FC'!B11</f>
        <v>DADA MENTOK</v>
      </c>
      <c r="E10" s="1525">
        <v>1119761.2712800901</v>
      </c>
      <c r="F10" s="1526">
        <v>191.4</v>
      </c>
      <c r="G10" s="1527">
        <v>818584.30769230798</v>
      </c>
      <c r="H10" s="1526">
        <v>133</v>
      </c>
      <c r="I10" s="1532"/>
      <c r="J10" s="1563"/>
      <c r="K10" s="1532"/>
      <c r="L10" s="1563"/>
      <c r="M10" s="1532"/>
      <c r="N10" s="1563"/>
      <c r="O10" s="1532"/>
      <c r="P10" s="1563"/>
      <c r="Q10" s="1532"/>
      <c r="R10" s="1563"/>
      <c r="S10" s="1532"/>
      <c r="T10" s="1563"/>
      <c r="U10" s="1532"/>
      <c r="V10" s="1563"/>
      <c r="W10" s="1532"/>
      <c r="X10" s="1563"/>
      <c r="Y10" s="1532"/>
      <c r="Z10" s="1563"/>
      <c r="AA10" s="1532"/>
      <c r="AB10" s="1563"/>
      <c r="AC10" s="1570">
        <f>-'TO - TI'!I20-'TO - TI'!S7</f>
        <v>-30773.846153846102</v>
      </c>
      <c r="AD10" s="1563">
        <f>-'TO - TI'!Q7-'TO - TI'!G7</f>
        <v>-12</v>
      </c>
      <c r="AE10" s="1532"/>
      <c r="AF10" s="1563"/>
      <c r="AG10" s="1575">
        <f t="shared" ref="AG10:AH14" si="0">SUM(AQ10+AS10+AU10+AW10+AY10+BA10+BC10)</f>
        <v>777606.25</v>
      </c>
      <c r="AH10" s="1576">
        <f>SUM(AR10+AT10+AV10+AX10+AZ10+BB10+BD10)</f>
        <v>130</v>
      </c>
      <c r="AI10" s="1575">
        <f t="shared" ref="AI10:AI49" si="1">SUM(I10,K10,M10,O10,Q10,S10,U10,W10,Y10,AA10,AC10,AE10,AG10)</f>
        <v>746832.40384615399</v>
      </c>
      <c r="AJ10" s="1576">
        <f>SUM(J10,L10,N10,P10,R10,T10,V10,X10,Z10,AB10,AD10,AF10,AH10)</f>
        <v>118</v>
      </c>
      <c r="AK10" s="1575">
        <f>('WEEKLY FC'!F11)</f>
        <v>691180.584615384</v>
      </c>
      <c r="AL10" s="1576">
        <f>'WEEKLY FC'!D11</f>
        <v>112.3</v>
      </c>
      <c r="AM10" s="1575">
        <f t="shared" ref="AM10:AM49" si="2">G10+AI10-AK10</f>
        <v>874236.12692307797</v>
      </c>
      <c r="AN10" s="1577">
        <f>H10+AJ10-AL10</f>
        <v>138.69999999999999</v>
      </c>
      <c r="AO10" s="1612"/>
      <c r="AP10" s="1628" t="s">
        <v>73</v>
      </c>
      <c r="AQ10" s="1629">
        <f>'PEMBELIAN KREDIT'!G14</f>
        <v>777606.25</v>
      </c>
      <c r="AR10" s="1630">
        <f>'PEMBELIAN KREDIT'!E14</f>
        <v>130</v>
      </c>
      <c r="AS10" s="1629"/>
      <c r="AT10" s="1630"/>
      <c r="AU10" s="1629"/>
      <c r="AV10" s="1630"/>
      <c r="AW10" s="1629"/>
      <c r="AX10" s="1630"/>
      <c r="AY10" s="1629"/>
      <c r="AZ10" s="1630"/>
      <c r="BA10" s="1629"/>
      <c r="BB10" s="1630"/>
      <c r="BC10" s="1629"/>
      <c r="BD10" s="1630"/>
    </row>
    <row r="11" spans="2:57" ht="30" customHeight="1">
      <c r="B11" s="1515"/>
      <c r="C11" s="1517">
        <v>2</v>
      </c>
      <c r="D11" s="1528" t="str">
        <f>'WEEKLY FC'!B12</f>
        <v>DADA</v>
      </c>
      <c r="E11" s="1525">
        <v>2846596.6394615602</v>
      </c>
      <c r="F11" s="1526">
        <v>391</v>
      </c>
      <c r="G11" s="1527">
        <v>1824273.6</v>
      </c>
      <c r="H11" s="1526">
        <v>247</v>
      </c>
      <c r="I11" s="1532"/>
      <c r="J11" s="1532"/>
      <c r="K11" s="1532"/>
      <c r="L11" s="1532"/>
      <c r="M11" s="1532"/>
      <c r="N11" s="1532"/>
      <c r="O11" s="1532"/>
      <c r="P11" s="1532"/>
      <c r="Q11" s="1532"/>
      <c r="R11" s="1532"/>
      <c r="S11" s="1532"/>
      <c r="T11" s="1532"/>
      <c r="U11" s="1532"/>
      <c r="V11" s="1532"/>
      <c r="W11" s="1532"/>
      <c r="X11" s="1532"/>
      <c r="Y11" s="1532"/>
      <c r="Z11" s="1532"/>
      <c r="AA11" s="1532"/>
      <c r="AB11" s="1532"/>
      <c r="AC11" s="1570">
        <f>-'TO - TI'!I7-'TO - TI'!N7</f>
        <v>-55391.747995248799</v>
      </c>
      <c r="AD11" s="1532">
        <f>-'TO - TI'!G7-'TO - TI'!L7</f>
        <v>-7</v>
      </c>
      <c r="AE11" s="1532"/>
      <c r="AF11" s="1532"/>
      <c r="AG11" s="1575">
        <f t="shared" si="0"/>
        <v>1866255</v>
      </c>
      <c r="AH11" s="1578">
        <f t="shared" si="0"/>
        <v>260</v>
      </c>
      <c r="AI11" s="1575">
        <f t="shared" si="1"/>
        <v>1810863.2520047501</v>
      </c>
      <c r="AJ11" s="1579">
        <f t="shared" ref="AJ11:AJ17" si="3">SUM(J11,L11,N11,P11,R11,T11,V11,X11,Z11,AB11,AD11,AF11,AH11)</f>
        <v>253</v>
      </c>
      <c r="AK11" s="1579">
        <f>('WEEKLY FC'!F12)</f>
        <v>1536230.3999999999</v>
      </c>
      <c r="AL11" s="1579">
        <f>'WEEKLY FC'!D12</f>
        <v>208</v>
      </c>
      <c r="AM11" s="1579">
        <f t="shared" si="2"/>
        <v>2098906.4520047498</v>
      </c>
      <c r="AN11" s="1580">
        <f>H11+AJ11-AL11</f>
        <v>292</v>
      </c>
      <c r="AO11" s="1612"/>
      <c r="AP11" s="1628" t="s">
        <v>75</v>
      </c>
      <c r="AQ11" s="1629">
        <f>'PEMBELIAN KREDIT'!G15</f>
        <v>1866255</v>
      </c>
      <c r="AR11" s="1630">
        <f>'PEMBELIAN KREDIT'!E15</f>
        <v>260</v>
      </c>
      <c r="AS11" s="1629"/>
      <c r="AT11" s="1630"/>
      <c r="AU11" s="1629"/>
      <c r="AV11" s="1630"/>
      <c r="AW11" s="1629"/>
      <c r="AX11" s="1630"/>
      <c r="AY11" s="1629"/>
      <c r="AZ11" s="1630"/>
      <c r="BA11" s="1629"/>
      <c r="BB11" s="1630"/>
      <c r="BC11" s="1629"/>
      <c r="BD11" s="1630"/>
    </row>
    <row r="12" spans="2:57" ht="30" customHeight="1">
      <c r="B12" s="1529"/>
      <c r="C12" s="1517">
        <v>3</v>
      </c>
      <c r="D12" s="1528" t="str">
        <f>'WEEKLY FC'!B13</f>
        <v>PAHA ATAS</v>
      </c>
      <c r="E12" s="1525">
        <v>2357685.8807876199</v>
      </c>
      <c r="F12" s="1526">
        <v>401</v>
      </c>
      <c r="G12" s="1527">
        <v>1481452.9570384601</v>
      </c>
      <c r="H12" s="1526">
        <v>249</v>
      </c>
      <c r="I12" s="1532"/>
      <c r="J12" s="1532"/>
      <c r="K12" s="1532"/>
      <c r="L12" s="1532"/>
      <c r="M12" s="1532"/>
      <c r="N12" s="1532"/>
      <c r="O12" s="1532"/>
      <c r="P12" s="1532"/>
      <c r="Q12" s="1532"/>
      <c r="R12" s="1532"/>
      <c r="S12" s="1532"/>
      <c r="T12" s="1532"/>
      <c r="U12" s="1532"/>
      <c r="V12" s="1532"/>
      <c r="W12" s="1532"/>
      <c r="X12" s="1532"/>
      <c r="Y12" s="1532"/>
      <c r="Z12" s="1532"/>
      <c r="AA12" s="1532"/>
      <c r="AB12" s="1532"/>
      <c r="AC12" s="1532"/>
      <c r="AD12" s="1532"/>
      <c r="AE12" s="1532"/>
      <c r="AF12" s="1532"/>
      <c r="AG12" s="1575">
        <f t="shared" si="0"/>
        <v>1503372.08333333</v>
      </c>
      <c r="AH12" s="1578">
        <f t="shared" si="0"/>
        <v>260</v>
      </c>
      <c r="AI12" s="1575">
        <f t="shared" si="1"/>
        <v>1503372.08333333</v>
      </c>
      <c r="AJ12" s="1579">
        <f t="shared" si="3"/>
        <v>260</v>
      </c>
      <c r="AK12" s="1579">
        <f>('WEEKLY FC'!F13)</f>
        <v>1237518.936</v>
      </c>
      <c r="AL12" s="1579">
        <f>'WEEKLY FC'!D13</f>
        <v>208</v>
      </c>
      <c r="AM12" s="1579">
        <f t="shared" si="2"/>
        <v>1747306.1043717901</v>
      </c>
      <c r="AN12" s="1580">
        <f>H12+AJ12-AL12</f>
        <v>301</v>
      </c>
      <c r="AO12" s="1612"/>
      <c r="AP12" s="1628" t="s">
        <v>76</v>
      </c>
      <c r="AQ12" s="1629">
        <f>'PEMBELIAN KREDIT'!G16</f>
        <v>1503372.08333333</v>
      </c>
      <c r="AR12" s="1630">
        <f>'PEMBELIAN KREDIT'!E16</f>
        <v>260</v>
      </c>
      <c r="AS12" s="1629"/>
      <c r="AT12" s="1630"/>
      <c r="AU12" s="1629"/>
      <c r="AV12" s="1630"/>
      <c r="AW12" s="1629"/>
      <c r="AX12" s="1630"/>
      <c r="AY12" s="1629"/>
      <c r="AZ12" s="1630"/>
      <c r="BA12" s="1629"/>
      <c r="BB12" s="1630"/>
      <c r="BC12" s="1629"/>
      <c r="BD12" s="1630"/>
    </row>
    <row r="13" spans="2:57" ht="30" customHeight="1">
      <c r="B13" s="1529"/>
      <c r="C13" s="1517">
        <v>4</v>
      </c>
      <c r="D13" s="1528" t="str">
        <f>'WEEKLY FC'!B14</f>
        <v>PAHA BAWAH</v>
      </c>
      <c r="E13" s="1525">
        <v>1451138.1265217401</v>
      </c>
      <c r="F13" s="1526">
        <v>377</v>
      </c>
      <c r="G13" s="1527">
        <v>1064159.25</v>
      </c>
      <c r="H13" s="1526">
        <v>273</v>
      </c>
      <c r="I13" s="1532"/>
      <c r="J13" s="1532"/>
      <c r="K13" s="1532"/>
      <c r="L13" s="1532"/>
      <c r="M13" s="1532"/>
      <c r="N13" s="1532"/>
      <c r="O13" s="1532"/>
      <c r="P13" s="1532"/>
      <c r="Q13" s="1532"/>
      <c r="R13" s="1532"/>
      <c r="S13" s="1532"/>
      <c r="T13" s="1532"/>
      <c r="U13" s="1532"/>
      <c r="V13" s="1532"/>
      <c r="W13" s="1532"/>
      <c r="X13" s="1532"/>
      <c r="Y13" s="1532"/>
      <c r="Z13" s="1532"/>
      <c r="AA13" s="1532"/>
      <c r="AB13" s="1532"/>
      <c r="AC13" s="1570">
        <f>-'TO - TI'!S8-'TO - TI'!N9-'TO - TI'!D19</f>
        <v>-194900.961538462</v>
      </c>
      <c r="AD13" s="1532">
        <f>-'TO - TI'!Q8-'TO - TI'!L9-'TO - TI'!B19</f>
        <v>-50</v>
      </c>
      <c r="AE13" s="1532"/>
      <c r="AF13" s="1532"/>
      <c r="AG13" s="1575">
        <f t="shared" si="0"/>
        <v>984967.91666666698</v>
      </c>
      <c r="AH13" s="1578">
        <f t="shared" si="0"/>
        <v>260</v>
      </c>
      <c r="AI13" s="1575">
        <f t="shared" si="1"/>
        <v>790066.95512820501</v>
      </c>
      <c r="AJ13" s="1579">
        <f t="shared" si="3"/>
        <v>210</v>
      </c>
      <c r="AK13" s="1575">
        <f>('WEEKLY FC'!F14)</f>
        <v>935524.61538461503</v>
      </c>
      <c r="AL13" s="1578">
        <f>'WEEKLY FC'!D14</f>
        <v>240</v>
      </c>
      <c r="AM13" s="1575">
        <f t="shared" si="2"/>
        <v>918701.58974358998</v>
      </c>
      <c r="AN13" s="1580">
        <f t="shared" ref="AN13:AN49" si="4">H13+AJ13-AL13</f>
        <v>243</v>
      </c>
      <c r="AO13" s="1612"/>
      <c r="AP13" s="1628" t="s">
        <v>77</v>
      </c>
      <c r="AQ13" s="1629">
        <f>'PEMBELIAN KREDIT'!G17</f>
        <v>984967.91666666698</v>
      </c>
      <c r="AR13" s="1630">
        <f>'PEMBELIAN KREDIT'!E17</f>
        <v>260</v>
      </c>
      <c r="AS13" s="1629"/>
      <c r="AT13" s="1630"/>
      <c r="AU13" s="1629"/>
      <c r="AV13" s="1630"/>
      <c r="AW13" s="1629"/>
      <c r="AX13" s="1630"/>
      <c r="AY13" s="1629"/>
      <c r="AZ13" s="1630"/>
      <c r="BA13" s="1629"/>
      <c r="BB13" s="1630"/>
      <c r="BC13" s="1629"/>
      <c r="BD13" s="1630"/>
    </row>
    <row r="14" spans="2:57" ht="30" customHeight="1">
      <c r="B14" s="1515" t="s">
        <v>487</v>
      </c>
      <c r="C14" s="1517">
        <v>5</v>
      </c>
      <c r="D14" s="1528" t="str">
        <f>'WEEKLY FC'!B15</f>
        <v>SAYAP</v>
      </c>
      <c r="E14" s="1530">
        <v>1929424.79736622</v>
      </c>
      <c r="F14" s="1531">
        <v>453</v>
      </c>
      <c r="G14" s="1532">
        <v>1085701.29230769</v>
      </c>
      <c r="H14" s="1526">
        <v>252</v>
      </c>
      <c r="I14" s="1532"/>
      <c r="J14" s="1532"/>
      <c r="K14" s="1532"/>
      <c r="L14" s="1532"/>
      <c r="M14" s="1532"/>
      <c r="N14" s="1532"/>
      <c r="O14" s="1532"/>
      <c r="P14" s="1532"/>
      <c r="Q14" s="1532"/>
      <c r="R14" s="1532"/>
      <c r="S14" s="1532"/>
      <c r="T14" s="1532"/>
      <c r="U14" s="1532"/>
      <c r="V14" s="1532"/>
      <c r="W14" s="1532"/>
      <c r="X14" s="1532"/>
      <c r="Y14" s="1532"/>
      <c r="Z14" s="1532"/>
      <c r="AA14" s="1532"/>
      <c r="AB14" s="1532"/>
      <c r="AC14" s="1570">
        <f>-'TO - TI'!N10</f>
        <v>0</v>
      </c>
      <c r="AD14" s="1532">
        <f>-'TO - TI'!L10</f>
        <v>0</v>
      </c>
      <c r="AE14" s="1532"/>
      <c r="AF14" s="1532"/>
      <c r="AG14" s="1575">
        <f t="shared" si="0"/>
        <v>1088648.75</v>
      </c>
      <c r="AH14" s="1578">
        <f t="shared" si="0"/>
        <v>260</v>
      </c>
      <c r="AI14" s="1575">
        <f t="shared" si="1"/>
        <v>1088648.75</v>
      </c>
      <c r="AJ14" s="1579">
        <f t="shared" si="3"/>
        <v>260</v>
      </c>
      <c r="AK14" s="1575">
        <f>('WEEKLY FC'!F15)</f>
        <v>904751.07692307699</v>
      </c>
      <c r="AL14" s="1578">
        <f>'WEEKLY FC'!D15</f>
        <v>210</v>
      </c>
      <c r="AM14" s="1575">
        <f t="shared" si="2"/>
        <v>1269598.96538461</v>
      </c>
      <c r="AN14" s="1580">
        <f t="shared" si="4"/>
        <v>302</v>
      </c>
      <c r="AO14" s="1612"/>
      <c r="AP14" s="1628" t="s">
        <v>78</v>
      </c>
      <c r="AQ14" s="1629">
        <f>'PEMBELIAN KREDIT'!G18</f>
        <v>1088648.75</v>
      </c>
      <c r="AR14" s="1630">
        <f>'PEMBELIAN KREDIT'!E18</f>
        <v>260</v>
      </c>
      <c r="AS14" s="1629"/>
      <c r="AT14" s="1630"/>
      <c r="AU14" s="1629"/>
      <c r="AV14" s="1630"/>
      <c r="AW14" s="1629"/>
      <c r="AX14" s="1630"/>
      <c r="AY14" s="1629"/>
      <c r="AZ14" s="1630"/>
      <c r="BA14" s="1629"/>
      <c r="BB14" s="1630"/>
      <c r="BC14" s="1629"/>
      <c r="BD14" s="1630"/>
    </row>
    <row r="15" spans="2:57" ht="30" customHeight="1">
      <c r="B15" s="1515" t="s">
        <v>488</v>
      </c>
      <c r="C15" s="1517">
        <v>6</v>
      </c>
      <c r="D15" s="1528" t="str">
        <f>'WEEKLY FC'!B16</f>
        <v>CHICKEN PATTY</v>
      </c>
      <c r="E15" s="1530">
        <v>201385.45588235301</v>
      </c>
      <c r="F15" s="1531">
        <v>54</v>
      </c>
      <c r="G15" s="1532">
        <v>22376.161764705899</v>
      </c>
      <c r="H15" s="1526">
        <v>6</v>
      </c>
      <c r="I15" s="1532"/>
      <c r="J15" s="1532"/>
      <c r="K15" s="1532"/>
      <c r="L15" s="1532"/>
      <c r="M15" s="1532"/>
      <c r="N15" s="1532"/>
      <c r="O15" s="1532"/>
      <c r="P15" s="1532"/>
      <c r="Q15" s="1532"/>
      <c r="R15" s="1532"/>
      <c r="S15" s="1532"/>
      <c r="T15" s="1532"/>
      <c r="U15" s="1532"/>
      <c r="V15" s="1532"/>
      <c r="W15" s="1532"/>
      <c r="X15" s="1532"/>
      <c r="Y15" s="1532"/>
      <c r="Z15" s="1532"/>
      <c r="AA15" s="1532"/>
      <c r="AB15" s="1532"/>
      <c r="AC15" s="1570">
        <f>'TO - TI'!S21</f>
        <v>264706.30769230798</v>
      </c>
      <c r="AD15" s="1532">
        <f>'TO - TI'!Q23</f>
        <v>69</v>
      </c>
      <c r="AE15" s="1532"/>
      <c r="AF15" s="1532"/>
      <c r="AG15" s="1532"/>
      <c r="AH15" s="1581"/>
      <c r="AI15" s="1575">
        <f t="shared" si="1"/>
        <v>264706.30769230798</v>
      </c>
      <c r="AJ15" s="1579">
        <f t="shared" si="3"/>
        <v>69</v>
      </c>
      <c r="AK15" s="1575">
        <f>('WEEKLY FC'!F16)</f>
        <v>41022.963235294097</v>
      </c>
      <c r="AL15" s="1578">
        <f>'WEEKLY FC'!D16</f>
        <v>11</v>
      </c>
      <c r="AM15" s="1575">
        <f t="shared" si="2"/>
        <v>246059.506221719</v>
      </c>
      <c r="AN15" s="1580">
        <f t="shared" si="4"/>
        <v>64</v>
      </c>
      <c r="AO15" s="1612"/>
      <c r="AP15" s="1631"/>
      <c r="AQ15" s="1632"/>
      <c r="AR15" s="1633"/>
      <c r="AS15" s="1634"/>
      <c r="AT15" s="1633"/>
      <c r="AU15" s="1634"/>
      <c r="AV15" s="1635"/>
      <c r="AW15" s="1632"/>
      <c r="AX15" s="1633"/>
      <c r="AY15" s="1634"/>
      <c r="AZ15" s="1635"/>
      <c r="BA15" s="1632"/>
      <c r="BB15" s="1635"/>
      <c r="BC15" s="1632"/>
      <c r="BD15" s="1635"/>
      <c r="BE15" s="1610"/>
    </row>
    <row r="16" spans="2:57" ht="30" customHeight="1">
      <c r="B16" s="1515" t="s">
        <v>487</v>
      </c>
      <c r="C16" s="1517">
        <v>7</v>
      </c>
      <c r="D16" s="1528" t="str">
        <f>'WEEKLY FC'!B17</f>
        <v>SAYAP TANPA KOLAR</v>
      </c>
      <c r="E16" s="1530">
        <v>0</v>
      </c>
      <c r="F16" s="1531">
        <v>0</v>
      </c>
      <c r="G16" s="1532">
        <v>0</v>
      </c>
      <c r="H16" s="1531">
        <v>0</v>
      </c>
      <c r="I16" s="1532"/>
      <c r="J16" s="1532"/>
      <c r="K16" s="1532"/>
      <c r="L16" s="1532"/>
      <c r="M16" s="1532"/>
      <c r="N16" s="1532"/>
      <c r="O16" s="1532"/>
      <c r="P16" s="1532"/>
      <c r="Q16" s="1532"/>
      <c r="R16" s="1532"/>
      <c r="S16" s="1532"/>
      <c r="T16" s="1532"/>
      <c r="U16" s="1532"/>
      <c r="V16" s="1532"/>
      <c r="W16" s="1532"/>
      <c r="X16" s="1532"/>
      <c r="Y16" s="1532"/>
      <c r="Z16" s="1532"/>
      <c r="AA16" s="1532"/>
      <c r="AB16" s="1532"/>
      <c r="AC16" s="1570"/>
      <c r="AD16" s="1532"/>
      <c r="AE16" s="1532"/>
      <c r="AF16" s="1532"/>
      <c r="AG16" s="1532"/>
      <c r="AH16" s="1581"/>
      <c r="AI16" s="1575">
        <f t="shared" si="1"/>
        <v>0</v>
      </c>
      <c r="AJ16" s="1579">
        <f t="shared" si="3"/>
        <v>0</v>
      </c>
      <c r="AK16" s="1575">
        <f>('WEEKLY FC'!F17)</f>
        <v>0</v>
      </c>
      <c r="AL16" s="1578">
        <f>'WEEKLY FC'!D17</f>
        <v>0</v>
      </c>
      <c r="AM16" s="1575">
        <f t="shared" si="2"/>
        <v>0</v>
      </c>
      <c r="AN16" s="1580">
        <f t="shared" si="4"/>
        <v>0</v>
      </c>
      <c r="AP16" s="1636"/>
    </row>
    <row r="17" spans="2:56" ht="30" customHeight="1">
      <c r="B17" s="1515" t="s">
        <v>489</v>
      </c>
      <c r="C17" s="1533">
        <v>8</v>
      </c>
      <c r="D17" s="1528" t="str">
        <f>'WEEKLY FC'!B18</f>
        <v>PATTY BEEF</v>
      </c>
      <c r="E17" s="1534">
        <v>0</v>
      </c>
      <c r="F17" s="1535">
        <v>0</v>
      </c>
      <c r="G17" s="1536">
        <v>0</v>
      </c>
      <c r="H17" s="1535">
        <v>0</v>
      </c>
      <c r="I17" s="1536"/>
      <c r="J17" s="1532"/>
      <c r="K17" s="1532"/>
      <c r="L17" s="1532"/>
      <c r="M17" s="1532"/>
      <c r="N17" s="1532"/>
      <c r="O17" s="1532"/>
      <c r="P17" s="1532"/>
      <c r="Q17" s="1532"/>
      <c r="R17" s="1532"/>
      <c r="S17" s="1532"/>
      <c r="T17" s="1532"/>
      <c r="U17" s="1532"/>
      <c r="V17" s="1532"/>
      <c r="W17" s="1532"/>
      <c r="X17" s="1532"/>
      <c r="Y17" s="1532"/>
      <c r="Z17" s="1532"/>
      <c r="AA17" s="1532"/>
      <c r="AB17" s="1532"/>
      <c r="AC17" s="1570"/>
      <c r="AD17" s="1532"/>
      <c r="AE17" s="1532"/>
      <c r="AF17" s="1532"/>
      <c r="AG17" s="1532"/>
      <c r="AH17" s="1581"/>
      <c r="AI17" s="1575">
        <f t="shared" si="1"/>
        <v>0</v>
      </c>
      <c r="AJ17" s="1579">
        <f t="shared" si="3"/>
        <v>0</v>
      </c>
      <c r="AK17" s="1575">
        <f>'WEEKLY FC'!F18</f>
        <v>0</v>
      </c>
      <c r="AL17" s="1578">
        <f>'WEEKLY FC'!D18</f>
        <v>0</v>
      </c>
      <c r="AM17" s="1575">
        <f t="shared" si="2"/>
        <v>0</v>
      </c>
      <c r="AN17" s="1580">
        <f t="shared" si="4"/>
        <v>0</v>
      </c>
      <c r="AP17" s="2288" t="s">
        <v>490</v>
      </c>
      <c r="AQ17" s="2289"/>
      <c r="AR17" s="2289"/>
      <c r="AS17" s="2289"/>
      <c r="AT17" s="2289"/>
      <c r="AU17" s="2289"/>
      <c r="AV17" s="2289"/>
      <c r="AW17" s="2289"/>
      <c r="AX17" s="2289"/>
      <c r="AY17" s="2289"/>
    </row>
    <row r="18" spans="2:56" ht="30" customHeight="1">
      <c r="B18" s="1515"/>
      <c r="C18" s="1533">
        <v>9</v>
      </c>
      <c r="D18" s="1528" t="str">
        <f>'WEEKLY FC'!B19</f>
        <v>BEEF STEAK</v>
      </c>
      <c r="E18" s="1534">
        <v>0</v>
      </c>
      <c r="F18" s="1535">
        <v>0</v>
      </c>
      <c r="G18" s="1536">
        <v>0</v>
      </c>
      <c r="H18" s="1535">
        <v>0</v>
      </c>
      <c r="I18" s="1536"/>
      <c r="J18" s="1532"/>
      <c r="K18" s="1532"/>
      <c r="L18" s="1532"/>
      <c r="M18" s="1532"/>
      <c r="N18" s="1532"/>
      <c r="O18" s="1532"/>
      <c r="P18" s="1532"/>
      <c r="Q18" s="1532"/>
      <c r="R18" s="1532"/>
      <c r="S18" s="1532"/>
      <c r="T18" s="1532"/>
      <c r="U18" s="1532"/>
      <c r="V18" s="1532"/>
      <c r="W18" s="1532"/>
      <c r="X18" s="1532"/>
      <c r="Y18" s="1532"/>
      <c r="Z18" s="1532"/>
      <c r="AA18" s="1532"/>
      <c r="AB18" s="1532"/>
      <c r="AC18" s="1570"/>
      <c r="AD18" s="1532"/>
      <c r="AE18" s="1532"/>
      <c r="AF18" s="1532"/>
      <c r="AG18" s="1532"/>
      <c r="AH18" s="1581"/>
      <c r="AI18" s="1575">
        <f t="shared" si="1"/>
        <v>0</v>
      </c>
      <c r="AJ18" s="1579">
        <f t="shared" ref="AJ18:AJ49" si="5">SUM(J18,L18,N18,P18,R18,T18,V18,X18,Z18,AB18,AD18,AF18,AH18)</f>
        <v>0</v>
      </c>
      <c r="AK18" s="1575">
        <f>'WEEKLY FC'!F19</f>
        <v>0</v>
      </c>
      <c r="AL18" s="1578">
        <f>'WEEKLY FC'!D19</f>
        <v>0</v>
      </c>
      <c r="AM18" s="1575">
        <f t="shared" si="2"/>
        <v>0</v>
      </c>
      <c r="AN18" s="1580">
        <f t="shared" si="4"/>
        <v>0</v>
      </c>
    </row>
    <row r="19" spans="2:56" ht="30" customHeight="1">
      <c r="B19" s="1529"/>
      <c r="C19" s="1517">
        <v>10</v>
      </c>
      <c r="D19" s="1528" t="str">
        <f>'WEEKLY FC'!B20</f>
        <v>DADA MENTOK TAKJIL</v>
      </c>
      <c r="E19" s="1530">
        <v>0</v>
      </c>
      <c r="F19" s="1531">
        <v>0</v>
      </c>
      <c r="G19" s="1532">
        <v>0</v>
      </c>
      <c r="H19" s="1531">
        <v>0</v>
      </c>
      <c r="I19" s="1532"/>
      <c r="J19" s="1532"/>
      <c r="K19" s="1532"/>
      <c r="L19" s="1532"/>
      <c r="M19" s="1532"/>
      <c r="N19" s="1532"/>
      <c r="O19" s="1532"/>
      <c r="P19" s="1532"/>
      <c r="Q19" s="1532"/>
      <c r="R19" s="1532"/>
      <c r="S19" s="1532"/>
      <c r="T19" s="1532"/>
      <c r="U19" s="1532"/>
      <c r="V19" s="1532"/>
      <c r="W19" s="1532"/>
      <c r="X19" s="1532"/>
      <c r="Y19" s="1532"/>
      <c r="Z19" s="1532"/>
      <c r="AA19" s="1532"/>
      <c r="AB19" s="1532"/>
      <c r="AC19" s="1570"/>
      <c r="AD19" s="1532"/>
      <c r="AE19" s="1532"/>
      <c r="AF19" s="1532"/>
      <c r="AG19" s="1532">
        <f>SUM(AQ23+AS23+AU23+AW23+AY23+BA23+BC23)</f>
        <v>0</v>
      </c>
      <c r="AH19" s="1581">
        <f>SUM(AR23+AT23+AV23+AX23+AZ23+BB23+BD23)</f>
        <v>0</v>
      </c>
      <c r="AI19" s="1575">
        <f t="shared" ref="AI19:AJ24" si="6">SUM(I19,K19,M19,O19,Q19,S19,U19,W19,Y19,AA19,AC19,AE19,AG19)</f>
        <v>0</v>
      </c>
      <c r="AJ19" s="1579">
        <f t="shared" si="6"/>
        <v>0</v>
      </c>
      <c r="AK19" s="1575">
        <f>'WEEKLY FC'!F20</f>
        <v>0</v>
      </c>
      <c r="AL19" s="1578">
        <f>'WEEKLY FC'!D20</f>
        <v>0</v>
      </c>
      <c r="AM19" s="1575">
        <f t="shared" si="2"/>
        <v>0</v>
      </c>
      <c r="AN19" s="1580">
        <f t="shared" si="4"/>
        <v>0</v>
      </c>
      <c r="AP19" s="1637" t="s">
        <v>458</v>
      </c>
      <c r="AQ19" s="1638"/>
      <c r="AR19" s="1615"/>
      <c r="AS19" s="1639"/>
      <c r="AT19" s="1640"/>
      <c r="AU19" s="1639"/>
      <c r="AV19" s="1615"/>
      <c r="AW19" s="1639"/>
      <c r="AX19" s="1615"/>
      <c r="AY19" s="1639"/>
      <c r="AZ19" s="1615"/>
      <c r="BA19" s="1639"/>
      <c r="BB19" s="1615"/>
      <c r="BC19" s="1658"/>
      <c r="BD19" s="1659"/>
    </row>
    <row r="20" spans="2:56" ht="30" customHeight="1">
      <c r="B20" s="1529"/>
      <c r="C20" s="1533">
        <v>11</v>
      </c>
      <c r="D20" s="1528" t="str">
        <f>'WEEKLY FC'!B21</f>
        <v>DADA TAKJIL</v>
      </c>
      <c r="E20" s="1530">
        <v>0</v>
      </c>
      <c r="F20" s="1531">
        <v>0</v>
      </c>
      <c r="G20" s="1532">
        <v>0</v>
      </c>
      <c r="H20" s="1531">
        <v>0</v>
      </c>
      <c r="I20" s="1532"/>
      <c r="J20" s="1532"/>
      <c r="K20" s="1532"/>
      <c r="L20" s="1532"/>
      <c r="M20" s="1532"/>
      <c r="N20" s="1532"/>
      <c r="O20" s="1532"/>
      <c r="P20" s="1532"/>
      <c r="Q20" s="1532"/>
      <c r="R20" s="1532"/>
      <c r="S20" s="1532"/>
      <c r="T20" s="1532"/>
      <c r="U20" s="1532"/>
      <c r="V20" s="1532"/>
      <c r="W20" s="1532"/>
      <c r="X20" s="1532"/>
      <c r="Y20" s="1532"/>
      <c r="Z20" s="1532"/>
      <c r="AA20" s="1532"/>
      <c r="AB20" s="1532"/>
      <c r="AC20" s="1570"/>
      <c r="AD20" s="1532"/>
      <c r="AE20" s="1532"/>
      <c r="AF20" s="1532"/>
      <c r="AG20" s="1532">
        <f t="shared" ref="AG20" si="7">SUM(AQ24+AS24+AU24+AW24+AY24+BA24+BC24)</f>
        <v>0</v>
      </c>
      <c r="AH20" s="1581">
        <f t="shared" ref="AH20" si="8">SUM(AR24+AT24+AV24+AX24+AZ24+BB24+BD24)</f>
        <v>0</v>
      </c>
      <c r="AI20" s="1575">
        <f t="shared" si="6"/>
        <v>0</v>
      </c>
      <c r="AJ20" s="1579">
        <f t="shared" si="6"/>
        <v>0</v>
      </c>
      <c r="AK20" s="1575">
        <f>'WEEKLY FC'!F21</f>
        <v>0</v>
      </c>
      <c r="AL20" s="1578">
        <f>'WEEKLY FC'!D21</f>
        <v>0</v>
      </c>
      <c r="AM20" s="1575">
        <f t="shared" si="2"/>
        <v>0</v>
      </c>
      <c r="AN20" s="1580">
        <f t="shared" si="4"/>
        <v>0</v>
      </c>
      <c r="AP20" s="1618" t="s">
        <v>482</v>
      </c>
      <c r="AQ20" s="1641"/>
      <c r="AR20" s="1620"/>
      <c r="AS20" s="1641"/>
      <c r="AT20" s="1642"/>
      <c r="AU20" s="1641"/>
      <c r="AV20" s="1620"/>
      <c r="AW20" s="1641"/>
      <c r="AX20" s="1620"/>
      <c r="AY20" s="1641"/>
      <c r="AZ20" s="1620"/>
      <c r="BA20" s="1641"/>
      <c r="BB20" s="1620"/>
      <c r="BC20" s="1641"/>
      <c r="BD20" s="1620"/>
    </row>
    <row r="21" spans="2:56" ht="30" customHeight="1">
      <c r="B21" s="1529"/>
      <c r="C21" s="1517">
        <v>12</v>
      </c>
      <c r="D21" s="1528" t="str">
        <f>'WEEKLY FC'!B22</f>
        <v>PAHA ATAS TAKJIL</v>
      </c>
      <c r="E21" s="1530">
        <v>0</v>
      </c>
      <c r="F21" s="1531">
        <v>0</v>
      </c>
      <c r="G21" s="1532">
        <v>0</v>
      </c>
      <c r="H21" s="1531">
        <v>0</v>
      </c>
      <c r="I21" s="1532"/>
      <c r="J21" s="1532"/>
      <c r="K21" s="1532"/>
      <c r="L21" s="1532"/>
      <c r="M21" s="1532"/>
      <c r="N21" s="1532"/>
      <c r="O21" s="1532"/>
      <c r="P21" s="1532"/>
      <c r="Q21" s="1532"/>
      <c r="R21" s="1532"/>
      <c r="S21" s="1532"/>
      <c r="T21" s="1532"/>
      <c r="U21" s="1532"/>
      <c r="V21" s="1532"/>
      <c r="W21" s="1532"/>
      <c r="X21" s="1532"/>
      <c r="Y21" s="1532"/>
      <c r="Z21" s="1532"/>
      <c r="AA21" s="1532"/>
      <c r="AB21" s="1532"/>
      <c r="AC21" s="1570"/>
      <c r="AD21" s="1532"/>
      <c r="AE21" s="1532"/>
      <c r="AF21" s="1532"/>
      <c r="AG21" s="1532">
        <f t="shared" ref="AG21:AH24" si="9">SUM(AQ25+AS25+AU25+AW25+AY25+BA25+BC25)</f>
        <v>0</v>
      </c>
      <c r="AH21" s="1581">
        <f t="shared" si="9"/>
        <v>0</v>
      </c>
      <c r="AI21" s="1575">
        <f>SUM(I21,K21,M21,O21,Q21,S21,U21,W21,Y21,AA21,AC21,AE21,AG21)</f>
        <v>0</v>
      </c>
      <c r="AJ21" s="1579">
        <f t="shared" si="6"/>
        <v>0</v>
      </c>
      <c r="AK21" s="1575">
        <f>'WEEKLY FC'!F22</f>
        <v>0</v>
      </c>
      <c r="AL21" s="1578">
        <f>'WEEKLY FC'!D22</f>
        <v>0</v>
      </c>
      <c r="AM21" s="1575">
        <f t="shared" si="2"/>
        <v>0</v>
      </c>
      <c r="AN21" s="1580">
        <f t="shared" si="4"/>
        <v>0</v>
      </c>
      <c r="AP21" s="1621"/>
      <c r="AQ21" s="1643" t="s">
        <v>485</v>
      </c>
      <c r="AR21" s="1623" t="s">
        <v>486</v>
      </c>
      <c r="AS21" s="1643" t="s">
        <v>485</v>
      </c>
      <c r="AT21" s="1644" t="s">
        <v>486</v>
      </c>
      <c r="AU21" s="1643" t="s">
        <v>485</v>
      </c>
      <c r="AV21" s="1623" t="s">
        <v>486</v>
      </c>
      <c r="AW21" s="1643" t="s">
        <v>485</v>
      </c>
      <c r="AX21" s="1623" t="s">
        <v>486</v>
      </c>
      <c r="AY21" s="1643" t="s">
        <v>485</v>
      </c>
      <c r="AZ21" s="1623" t="s">
        <v>486</v>
      </c>
      <c r="BA21" s="1643" t="s">
        <v>485</v>
      </c>
      <c r="BB21" s="1623" t="s">
        <v>486</v>
      </c>
      <c r="BC21" s="1643" t="s">
        <v>485</v>
      </c>
      <c r="BD21" s="1623" t="s">
        <v>486</v>
      </c>
    </row>
    <row r="22" spans="2:56" ht="30" customHeight="1">
      <c r="B22" s="1529"/>
      <c r="C22" s="1533">
        <v>13</v>
      </c>
      <c r="D22" s="1528" t="str">
        <f>'WEEKLY FC'!B23</f>
        <v>PAHA BAWAH TAKJIL</v>
      </c>
      <c r="E22" s="1530">
        <v>0</v>
      </c>
      <c r="F22" s="1531">
        <v>0</v>
      </c>
      <c r="G22" s="1532">
        <v>0</v>
      </c>
      <c r="H22" s="1531">
        <v>0</v>
      </c>
      <c r="I22" s="1532"/>
      <c r="J22" s="1532"/>
      <c r="K22" s="1532"/>
      <c r="L22" s="1532"/>
      <c r="M22" s="1532"/>
      <c r="N22" s="1532"/>
      <c r="O22" s="1532"/>
      <c r="P22" s="1532"/>
      <c r="Q22" s="1532"/>
      <c r="R22" s="1532"/>
      <c r="S22" s="1532"/>
      <c r="T22" s="1532"/>
      <c r="U22" s="1532"/>
      <c r="V22" s="1532"/>
      <c r="W22" s="1532"/>
      <c r="X22" s="1532"/>
      <c r="Y22" s="1532"/>
      <c r="Z22" s="1532"/>
      <c r="AA22" s="1532"/>
      <c r="AB22" s="1532"/>
      <c r="AC22" s="1570"/>
      <c r="AD22" s="1532"/>
      <c r="AE22" s="1532"/>
      <c r="AF22" s="1532"/>
      <c r="AG22" s="1532">
        <f t="shared" si="9"/>
        <v>0</v>
      </c>
      <c r="AH22" s="1581">
        <f t="shared" si="9"/>
        <v>0</v>
      </c>
      <c r="AI22" s="1575">
        <f>SUM(I22,K22,M22,O22,Q22,S22,U22,W22,Y22,AA22,AC22,AE22,AG22)</f>
        <v>0</v>
      </c>
      <c r="AJ22" s="1579">
        <f t="shared" si="6"/>
        <v>0</v>
      </c>
      <c r="AK22" s="1575">
        <f>'WEEKLY FC'!F23</f>
        <v>0</v>
      </c>
      <c r="AL22" s="1578">
        <f>'WEEKLY FC'!D23</f>
        <v>0</v>
      </c>
      <c r="AM22" s="1575">
        <f t="shared" si="2"/>
        <v>0</v>
      </c>
      <c r="AN22" s="1580">
        <f t="shared" si="4"/>
        <v>0</v>
      </c>
      <c r="AP22" s="1645" t="s">
        <v>408</v>
      </c>
      <c r="AQ22" s="1625">
        <f>SUM(AQ23:AQ27)</f>
        <v>0</v>
      </c>
      <c r="AR22" s="1646"/>
      <c r="AS22" s="1625">
        <f>SUM(AS23:AS27)</f>
        <v>0</v>
      </c>
      <c r="AT22" s="1647"/>
      <c r="AU22" s="1625">
        <f>SUM(AU23:AU27)</f>
        <v>0</v>
      </c>
      <c r="AV22" s="1646"/>
      <c r="AW22" s="1625">
        <f>SUM(AW23:AW27)</f>
        <v>0</v>
      </c>
      <c r="AX22" s="1646"/>
      <c r="AY22" s="1625">
        <f>SUM(AY23:AY27)</f>
        <v>0</v>
      </c>
      <c r="AZ22" s="1646"/>
      <c r="BA22" s="1625">
        <f>SUM(BA23:BA27)</f>
        <v>0</v>
      </c>
      <c r="BB22" s="1646"/>
      <c r="BC22" s="1625">
        <f>SUM(BC23:BC27)</f>
        <v>0</v>
      </c>
      <c r="BD22" s="1646"/>
    </row>
    <row r="23" spans="2:56" ht="30" customHeight="1">
      <c r="B23" s="1529"/>
      <c r="C23" s="1517">
        <v>14</v>
      </c>
      <c r="D23" s="1528" t="str">
        <f>'WEEKLY FC'!B24</f>
        <v>SAYAP TAKJIL</v>
      </c>
      <c r="E23" s="1530">
        <v>0</v>
      </c>
      <c r="F23" s="1531">
        <v>0</v>
      </c>
      <c r="G23" s="1532">
        <v>0</v>
      </c>
      <c r="H23" s="1531">
        <v>0</v>
      </c>
      <c r="I23" s="1532"/>
      <c r="J23" s="1532"/>
      <c r="K23" s="1532"/>
      <c r="L23" s="1532"/>
      <c r="M23" s="1532"/>
      <c r="N23" s="1532"/>
      <c r="O23" s="1532"/>
      <c r="P23" s="1532"/>
      <c r="Q23" s="1532"/>
      <c r="R23" s="1532"/>
      <c r="S23" s="1532"/>
      <c r="T23" s="1532"/>
      <c r="U23" s="1532"/>
      <c r="V23" s="1532"/>
      <c r="W23" s="1532"/>
      <c r="X23" s="1532"/>
      <c r="Y23" s="1532"/>
      <c r="Z23" s="1532"/>
      <c r="AA23" s="1532"/>
      <c r="AB23" s="1532"/>
      <c r="AC23" s="1570"/>
      <c r="AD23" s="1532"/>
      <c r="AE23" s="1532"/>
      <c r="AF23" s="1532"/>
      <c r="AG23" s="1532">
        <f t="shared" si="9"/>
        <v>0</v>
      </c>
      <c r="AH23" s="1581">
        <f t="shared" si="9"/>
        <v>0</v>
      </c>
      <c r="AI23" s="1575">
        <f t="shared" si="6"/>
        <v>0</v>
      </c>
      <c r="AJ23" s="1579">
        <f t="shared" si="6"/>
        <v>0</v>
      </c>
      <c r="AK23" s="1575">
        <f>'WEEKLY FC'!F24</f>
        <v>0</v>
      </c>
      <c r="AL23" s="1578">
        <f>'WEEKLY FC'!D24</f>
        <v>0</v>
      </c>
      <c r="AM23" s="1575">
        <f t="shared" si="2"/>
        <v>0</v>
      </c>
      <c r="AN23" s="1580">
        <f t="shared" si="4"/>
        <v>0</v>
      </c>
      <c r="AP23" s="1648" t="s">
        <v>84</v>
      </c>
      <c r="AQ23" s="1649"/>
      <c r="AR23" s="1646"/>
      <c r="AS23" s="1649"/>
      <c r="AT23" s="1647"/>
      <c r="AU23" s="1650"/>
      <c r="AV23" s="1646"/>
      <c r="AW23" s="1650"/>
      <c r="AX23" s="1646"/>
      <c r="AY23" s="1650"/>
      <c r="AZ23" s="1646"/>
      <c r="BA23" s="1650"/>
      <c r="BB23" s="1646"/>
      <c r="BC23" s="1650"/>
      <c r="BD23" s="1646"/>
    </row>
    <row r="24" spans="2:56" ht="30" customHeight="1">
      <c r="B24" s="1529"/>
      <c r="C24" s="1533">
        <v>15</v>
      </c>
      <c r="D24" s="1528" t="str">
        <f>'WEEKLY FC'!B25</f>
        <v>AYAM UTUH</v>
      </c>
      <c r="E24" s="1530">
        <v>980000</v>
      </c>
      <c r="F24" s="1531">
        <v>28</v>
      </c>
      <c r="G24" s="1532">
        <v>315000</v>
      </c>
      <c r="H24" s="1531">
        <v>9</v>
      </c>
      <c r="I24" s="1532"/>
      <c r="J24" s="1532"/>
      <c r="K24" s="1532"/>
      <c r="L24" s="1532"/>
      <c r="M24" s="1532"/>
      <c r="N24" s="1532"/>
      <c r="O24" s="1532"/>
      <c r="P24" s="1532"/>
      <c r="Q24" s="1532"/>
      <c r="R24" s="1532"/>
      <c r="S24" s="1532"/>
      <c r="T24" s="1532"/>
      <c r="U24" s="1532"/>
      <c r="V24" s="1532"/>
      <c r="W24" s="1532"/>
      <c r="X24" s="1532"/>
      <c r="Y24" s="1532"/>
      <c r="Z24" s="1532"/>
      <c r="AA24" s="1532"/>
      <c r="AB24" s="1532"/>
      <c r="AC24" s="1570"/>
      <c r="AD24" s="1532"/>
      <c r="AE24" s="1532"/>
      <c r="AF24" s="1532"/>
      <c r="AG24" s="1532">
        <f t="shared" si="9"/>
        <v>1020000</v>
      </c>
      <c r="AH24" s="1581">
        <f t="shared" si="9"/>
        <v>30</v>
      </c>
      <c r="AI24" s="1575">
        <f t="shared" si="6"/>
        <v>1020000</v>
      </c>
      <c r="AJ24" s="1579">
        <f t="shared" si="6"/>
        <v>30</v>
      </c>
      <c r="AK24" s="1575">
        <f>'WEEKLY FC'!F25</f>
        <v>1050000</v>
      </c>
      <c r="AL24" s="1578">
        <f>'WEEKLY FC'!D25</f>
        <v>30</v>
      </c>
      <c r="AM24" s="1575">
        <f t="shared" si="2"/>
        <v>285000</v>
      </c>
      <c r="AN24" s="1580">
        <f t="shared" si="4"/>
        <v>9</v>
      </c>
      <c r="AP24" s="1648" t="s">
        <v>85</v>
      </c>
      <c r="AQ24" s="1649"/>
      <c r="AR24" s="1646"/>
      <c r="AS24" s="1649"/>
      <c r="AT24" s="1647"/>
      <c r="AU24" s="1650"/>
      <c r="AV24" s="1646"/>
      <c r="AW24" s="1650"/>
      <c r="AX24" s="1646"/>
      <c r="AY24" s="1650"/>
      <c r="AZ24" s="1646"/>
      <c r="BA24" s="1650"/>
      <c r="BB24" s="1646"/>
      <c r="BC24" s="1650"/>
      <c r="BD24" s="1646"/>
    </row>
    <row r="25" spans="2:56" ht="30" customHeight="1">
      <c r="B25" s="1529"/>
      <c r="C25" s="1517">
        <v>16</v>
      </c>
      <c r="D25" s="1528">
        <f>'WEEKLY FC'!B30</f>
        <v>0</v>
      </c>
      <c r="E25" s="1530">
        <v>0</v>
      </c>
      <c r="F25" s="1531">
        <v>0</v>
      </c>
      <c r="G25" s="1532">
        <v>0</v>
      </c>
      <c r="H25" s="1531">
        <v>0</v>
      </c>
      <c r="I25" s="1532"/>
      <c r="J25" s="1536"/>
      <c r="K25" s="1536"/>
      <c r="L25" s="1554"/>
      <c r="M25" s="1536"/>
      <c r="N25" s="1536"/>
      <c r="O25" s="1536"/>
      <c r="P25" s="1536"/>
      <c r="Q25" s="1554"/>
      <c r="R25" s="1554"/>
      <c r="S25" s="1536"/>
      <c r="T25" s="1536"/>
      <c r="U25" s="1536"/>
      <c r="V25" s="1554"/>
      <c r="W25" s="1536"/>
      <c r="X25" s="1554"/>
      <c r="Y25" s="1536"/>
      <c r="Z25" s="1554"/>
      <c r="AA25" s="1554"/>
      <c r="AB25" s="1536"/>
      <c r="AC25" s="1571"/>
      <c r="AD25" s="1554"/>
      <c r="AE25" s="1536"/>
      <c r="AF25" s="1554"/>
      <c r="AG25" s="1532"/>
      <c r="AH25" s="1581"/>
      <c r="AI25" s="1582">
        <f t="shared" si="1"/>
        <v>0</v>
      </c>
      <c r="AJ25" s="1583">
        <f>SUM(J25,L25,N25,P25,R25,T25,V25,X25,Z25,AB25,AD25,AF25,AH25)</f>
        <v>0</v>
      </c>
      <c r="AK25" s="1582">
        <f>'WEEKLY FC'!F26</f>
        <v>0</v>
      </c>
      <c r="AL25" s="1584">
        <f>'WEEKLY FC'!D26</f>
        <v>0</v>
      </c>
      <c r="AM25" s="1582">
        <f t="shared" si="2"/>
        <v>0</v>
      </c>
      <c r="AN25" s="1585">
        <f t="shared" si="4"/>
        <v>0</v>
      </c>
      <c r="AP25" s="1648" t="s">
        <v>86</v>
      </c>
      <c r="AQ25" s="1649"/>
      <c r="AR25" s="1646"/>
      <c r="AS25" s="1649"/>
      <c r="AT25" s="1647"/>
      <c r="AU25" s="1650"/>
      <c r="AV25" s="1646"/>
      <c r="AW25" s="1650"/>
      <c r="AX25" s="1646"/>
      <c r="AY25" s="1650"/>
      <c r="AZ25" s="1646"/>
      <c r="BA25" s="1650"/>
      <c r="BB25" s="1646"/>
      <c r="BC25" s="1650"/>
      <c r="BD25" s="1646"/>
    </row>
    <row r="26" spans="2:56" ht="30" customHeight="1">
      <c r="B26" s="1537"/>
      <c r="C26" s="1514">
        <v>1</v>
      </c>
      <c r="D26" s="1538" t="str">
        <f>'WEEKLY FC'!B33</f>
        <v>VEGETABLE MIX</v>
      </c>
      <c r="E26" s="1539">
        <v>34500</v>
      </c>
      <c r="F26" s="1540">
        <v>1.1499999999999999</v>
      </c>
      <c r="G26" s="1541">
        <v>97500</v>
      </c>
      <c r="H26" s="1540">
        <v>3.25</v>
      </c>
      <c r="I26" s="1541"/>
      <c r="J26" s="1564"/>
      <c r="K26" s="1541"/>
      <c r="L26" s="1565"/>
      <c r="M26" s="1541"/>
      <c r="N26" s="1564"/>
      <c r="O26" s="1541"/>
      <c r="P26" s="1564"/>
      <c r="Q26" s="1527"/>
      <c r="R26" s="1565"/>
      <c r="S26" s="1541"/>
      <c r="T26" s="1564"/>
      <c r="U26" s="1541"/>
      <c r="V26" s="1565"/>
      <c r="W26" s="1541"/>
      <c r="X26" s="1565"/>
      <c r="Y26" s="1541"/>
      <c r="Z26" s="1565"/>
      <c r="AA26" s="1527"/>
      <c r="AB26" s="1564"/>
      <c r="AC26" s="1572"/>
      <c r="AD26" s="1565"/>
      <c r="AE26" s="1541"/>
      <c r="AF26" s="1565"/>
      <c r="AG26" s="1541"/>
      <c r="AH26" s="1564"/>
      <c r="AI26" s="1561">
        <f t="shared" si="1"/>
        <v>0</v>
      </c>
      <c r="AJ26" s="1586">
        <f>SUM(J26,L26,N26,P26,R26,T26,V26,X26,Z26,AB26,AD26,AF26,AH26)</f>
        <v>0</v>
      </c>
      <c r="AK26" s="1561">
        <f>'WEEKLY FC'!F33</f>
        <v>75000</v>
      </c>
      <c r="AL26" s="1586">
        <f>'WEEKLY FC'!D33</f>
        <v>2.5</v>
      </c>
      <c r="AM26" s="1561">
        <f t="shared" si="2"/>
        <v>22500</v>
      </c>
      <c r="AN26" s="1587">
        <f t="shared" si="4"/>
        <v>0.75</v>
      </c>
      <c r="AP26" s="1648" t="s">
        <v>87</v>
      </c>
      <c r="AQ26" s="1649"/>
      <c r="AR26" s="1646"/>
      <c r="AS26" s="1649"/>
      <c r="AT26" s="1647"/>
      <c r="AU26" s="1650"/>
      <c r="AV26" s="1646"/>
      <c r="AW26" s="1650"/>
      <c r="AX26" s="1646"/>
      <c r="AY26" s="1650"/>
      <c r="AZ26" s="1646"/>
      <c r="BA26" s="1650"/>
      <c r="BB26" s="1646"/>
      <c r="BC26" s="1650"/>
      <c r="BD26" s="1646"/>
    </row>
    <row r="27" spans="2:56" ht="30" customHeight="1">
      <c r="B27" s="1542" t="s">
        <v>491</v>
      </c>
      <c r="C27" s="1543">
        <v>2</v>
      </c>
      <c r="D27" s="1544" t="str">
        <f>'WEEKLY FC'!B34</f>
        <v>BERAS</v>
      </c>
      <c r="E27" s="1545">
        <v>1420085.88396753</v>
      </c>
      <c r="F27" s="1546">
        <v>106.545454545455</v>
      </c>
      <c r="G27" s="1547">
        <v>826000</v>
      </c>
      <c r="H27" s="1546">
        <v>59</v>
      </c>
      <c r="I27" s="1547"/>
      <c r="J27" s="1563"/>
      <c r="K27" s="1532"/>
      <c r="L27" s="1563"/>
      <c r="M27" s="1532"/>
      <c r="N27" s="1563"/>
      <c r="O27" s="1532"/>
      <c r="P27" s="1563"/>
      <c r="Q27" s="1532"/>
      <c r="R27" s="1563"/>
      <c r="S27" s="1532"/>
      <c r="T27" s="1563"/>
      <c r="U27" s="1532"/>
      <c r="V27" s="1563"/>
      <c r="W27" s="1532"/>
      <c r="X27" s="1563"/>
      <c r="Y27" s="1532"/>
      <c r="Z27" s="1563"/>
      <c r="AA27" s="1532"/>
      <c r="AB27" s="1563"/>
      <c r="AC27" s="1570">
        <f>-'TO - TI'!I23-'TO - TI'!N11</f>
        <v>-126609.70970342599</v>
      </c>
      <c r="AD27" s="1563">
        <f>-'TO - TI'!G23/11</f>
        <v>-4.7272727272727302</v>
      </c>
      <c r="AE27" s="1532"/>
      <c r="AF27" s="1563"/>
      <c r="AG27" s="1547">
        <f>'PEMBELIAN KREDIT'!G50</f>
        <v>1400000</v>
      </c>
      <c r="AH27" s="1588">
        <v>100</v>
      </c>
      <c r="AI27" s="1575">
        <f t="shared" si="1"/>
        <v>1273390.2902965699</v>
      </c>
      <c r="AJ27" s="1576">
        <f t="shared" si="5"/>
        <v>95.272727272727295</v>
      </c>
      <c r="AK27" s="1575">
        <f>'WEEKLY FC'!F34</f>
        <v>1092000</v>
      </c>
      <c r="AL27" s="1586">
        <f>'WEEKLY FC'!D34</f>
        <v>78</v>
      </c>
      <c r="AM27" s="1575">
        <f t="shared" si="2"/>
        <v>1007390.29029657</v>
      </c>
      <c r="AN27" s="1577">
        <f t="shared" si="4"/>
        <v>76.272727272727295</v>
      </c>
      <c r="AP27" s="1648" t="s">
        <v>88</v>
      </c>
      <c r="AQ27" s="1649"/>
      <c r="AR27" s="1646"/>
      <c r="AS27" s="1649"/>
      <c r="AT27" s="1647"/>
      <c r="AU27" s="1650"/>
      <c r="AV27" s="1646"/>
      <c r="AW27" s="1650"/>
      <c r="AX27" s="1646"/>
      <c r="AY27" s="1650"/>
      <c r="AZ27" s="1646"/>
      <c r="BA27" s="1650"/>
      <c r="BB27" s="1646"/>
      <c r="BC27" s="1650"/>
      <c r="BD27" s="1646"/>
    </row>
    <row r="28" spans="2:56" ht="30" customHeight="1">
      <c r="B28" s="1542" t="s">
        <v>492</v>
      </c>
      <c r="C28" s="1543">
        <v>3</v>
      </c>
      <c r="D28" s="1544" t="str">
        <f>'WEEKLY FC'!B35</f>
        <v>FRENCH FRIES</v>
      </c>
      <c r="E28" s="1534">
        <v>114400</v>
      </c>
      <c r="F28" s="1535">
        <v>4.4000000000000004</v>
      </c>
      <c r="G28" s="1536">
        <v>130000</v>
      </c>
      <c r="H28" s="1535">
        <v>5</v>
      </c>
      <c r="I28" s="1536"/>
      <c r="J28" s="1563"/>
      <c r="K28" s="1532"/>
      <c r="L28" s="1563"/>
      <c r="M28" s="1532"/>
      <c r="N28" s="1563"/>
      <c r="O28" s="1532"/>
      <c r="P28" s="1563"/>
      <c r="Q28" s="1532"/>
      <c r="R28" s="1563"/>
      <c r="S28" s="1532"/>
      <c r="T28" s="1563"/>
      <c r="U28" s="1532"/>
      <c r="V28" s="1563"/>
      <c r="W28" s="1532"/>
      <c r="X28" s="1563"/>
      <c r="Y28" s="1532"/>
      <c r="Z28" s="1563"/>
      <c r="AA28" s="1532"/>
      <c r="AB28" s="1563"/>
      <c r="AC28" s="1570"/>
      <c r="AD28" s="1563"/>
      <c r="AE28" s="1532"/>
      <c r="AF28" s="1563"/>
      <c r="AG28" s="1536"/>
      <c r="AH28" s="1589"/>
      <c r="AI28" s="1575">
        <f t="shared" si="1"/>
        <v>0</v>
      </c>
      <c r="AJ28" s="1576">
        <f t="shared" si="5"/>
        <v>0</v>
      </c>
      <c r="AK28" s="1575">
        <f>'WEEKLY FC'!F35</f>
        <v>59800</v>
      </c>
      <c r="AL28" s="1586">
        <f>'WEEKLY FC'!D35</f>
        <v>2.2999999999999998</v>
      </c>
      <c r="AM28" s="1575">
        <f t="shared" si="2"/>
        <v>70200</v>
      </c>
      <c r="AN28" s="1577">
        <f t="shared" si="4"/>
        <v>2.7</v>
      </c>
      <c r="AP28" s="1651" t="s">
        <v>89</v>
      </c>
      <c r="AQ28" s="1652">
        <v>1020000</v>
      </c>
      <c r="AR28" s="1646">
        <v>30</v>
      </c>
      <c r="AS28" s="1649"/>
      <c r="AT28" s="1653"/>
      <c r="AU28" s="1654"/>
      <c r="AV28" s="1655"/>
      <c r="AW28" s="1654"/>
      <c r="AX28" s="1655"/>
      <c r="AY28" s="1654"/>
      <c r="AZ28" s="1655"/>
      <c r="BA28" s="1654"/>
      <c r="BB28" s="1655"/>
      <c r="BC28" s="1654"/>
      <c r="BD28" s="1655"/>
    </row>
    <row r="29" spans="2:56" ht="30" customHeight="1">
      <c r="B29" s="1542" t="s">
        <v>493</v>
      </c>
      <c r="C29" s="1516">
        <v>4</v>
      </c>
      <c r="D29" s="1544" t="str">
        <f>'WEEKLY FC'!B36</f>
        <v>ROTI BURGER</v>
      </c>
      <c r="E29" s="1534">
        <v>278554.33333333401</v>
      </c>
      <c r="F29" s="1535">
        <v>53</v>
      </c>
      <c r="G29" s="1536">
        <v>372106.66666666599</v>
      </c>
      <c r="H29" s="1535">
        <v>128</v>
      </c>
      <c r="I29" s="1536"/>
      <c r="J29" s="1532"/>
      <c r="K29" s="1532"/>
      <c r="L29" s="1532"/>
      <c r="M29" s="1532"/>
      <c r="N29" s="1532"/>
      <c r="O29" s="1532"/>
      <c r="P29" s="1532"/>
      <c r="Q29" s="1532"/>
      <c r="R29" s="1532"/>
      <c r="S29" s="1532"/>
      <c r="T29" s="1532"/>
      <c r="U29" s="1532"/>
      <c r="V29" s="1532"/>
      <c r="W29" s="1532"/>
      <c r="X29" s="1532"/>
      <c r="Y29" s="1532"/>
      <c r="Z29" s="1532"/>
      <c r="AA29" s="1532"/>
      <c r="AB29" s="1532"/>
      <c r="AC29" s="1570"/>
      <c r="AD29" s="1532"/>
      <c r="AE29" s="1532"/>
      <c r="AF29" s="1532"/>
      <c r="AG29" s="1536"/>
      <c r="AH29" s="1590"/>
      <c r="AI29" s="1575">
        <f t="shared" si="1"/>
        <v>0</v>
      </c>
      <c r="AJ29" s="1579">
        <f t="shared" si="5"/>
        <v>0</v>
      </c>
      <c r="AK29" s="1575">
        <f>'WEEKLY FC'!F36</f>
        <v>200588.75</v>
      </c>
      <c r="AL29" s="1591">
        <f>'WEEKLY FC'!D36</f>
        <v>69</v>
      </c>
      <c r="AM29" s="1575">
        <f t="shared" si="2"/>
        <v>171517.91666666599</v>
      </c>
      <c r="AN29" s="1580">
        <f t="shared" si="4"/>
        <v>59</v>
      </c>
    </row>
    <row r="30" spans="2:56" ht="30" customHeight="1">
      <c r="B30" s="1542" t="s">
        <v>492</v>
      </c>
      <c r="C30" s="1542">
        <v>5</v>
      </c>
      <c r="D30" s="1544" t="str">
        <f>'WEEKLY FC'!B37</f>
        <v>SOSIS</v>
      </c>
      <c r="E30" s="1530">
        <v>0</v>
      </c>
      <c r="F30" s="1531">
        <v>0</v>
      </c>
      <c r="G30" s="1532">
        <v>0</v>
      </c>
      <c r="H30" s="1531">
        <v>0</v>
      </c>
      <c r="I30" s="1532"/>
      <c r="J30" s="1532"/>
      <c r="K30" s="1532"/>
      <c r="L30" s="1532"/>
      <c r="M30" s="1532"/>
      <c r="N30" s="1532"/>
      <c r="O30" s="1532"/>
      <c r="P30" s="1532"/>
      <c r="Q30" s="1532"/>
      <c r="R30" s="1532"/>
      <c r="S30" s="1532"/>
      <c r="T30" s="1532"/>
      <c r="U30" s="1532"/>
      <c r="V30" s="1532"/>
      <c r="W30" s="1532"/>
      <c r="X30" s="1532"/>
      <c r="Y30" s="1532"/>
      <c r="Z30" s="1532"/>
      <c r="AA30" s="1532"/>
      <c r="AB30" s="1532"/>
      <c r="AC30" s="1570"/>
      <c r="AD30" s="1532"/>
      <c r="AE30" s="1532"/>
      <c r="AF30" s="1532"/>
      <c r="AG30" s="1532"/>
      <c r="AH30" s="1581"/>
      <c r="AI30" s="1575">
        <f t="shared" si="1"/>
        <v>0</v>
      </c>
      <c r="AJ30" s="1579">
        <f t="shared" si="5"/>
        <v>0</v>
      </c>
      <c r="AK30" s="1575">
        <f>'WEEKLY FC'!F37</f>
        <v>0</v>
      </c>
      <c r="AL30" s="1591">
        <f>'WEEKLY FC'!D37</f>
        <v>0</v>
      </c>
      <c r="AM30" s="1575">
        <f t="shared" si="2"/>
        <v>0</v>
      </c>
      <c r="AN30" s="1580">
        <f t="shared" si="4"/>
        <v>0</v>
      </c>
    </row>
    <row r="31" spans="2:56" ht="30" customHeight="1">
      <c r="B31" s="1515" t="s">
        <v>494</v>
      </c>
      <c r="C31" s="1548">
        <v>6</v>
      </c>
      <c r="D31" s="1544" t="str">
        <f>'WEEKLY FC'!B38</f>
        <v>PERKEDEL</v>
      </c>
      <c r="E31" s="1530">
        <v>139681.93159639899</v>
      </c>
      <c r="F31" s="1531">
        <v>95</v>
      </c>
      <c r="G31" s="1532">
        <v>10140.264338896</v>
      </c>
      <c r="H31" s="1531">
        <v>7</v>
      </c>
      <c r="I31" s="1532"/>
      <c r="J31" s="1532"/>
      <c r="K31" s="1532"/>
      <c r="L31" s="1532"/>
      <c r="M31" s="1532"/>
      <c r="N31" s="1532"/>
      <c r="O31" s="1532"/>
      <c r="P31" s="1532"/>
      <c r="Q31" s="1532"/>
      <c r="R31" s="1532"/>
      <c r="S31" s="1532"/>
      <c r="T31" s="1532"/>
      <c r="U31" s="1532"/>
      <c r="V31" s="1532"/>
      <c r="W31" s="1532"/>
      <c r="X31" s="1532"/>
      <c r="Y31" s="1532"/>
      <c r="Z31" s="1532"/>
      <c r="AA31" s="1532"/>
      <c r="AB31" s="1532"/>
      <c r="AC31" s="1570">
        <f>'TO - TI'!D20</f>
        <v>237571.907368421</v>
      </c>
      <c r="AD31" s="1532">
        <f>'TO - TI'!B22-4</f>
        <v>140</v>
      </c>
      <c r="AE31" s="1532"/>
      <c r="AF31" s="1532"/>
      <c r="AG31" s="1527"/>
      <c r="AH31" s="1567"/>
      <c r="AI31" s="1575">
        <f t="shared" si="1"/>
        <v>237571.907368421</v>
      </c>
      <c r="AJ31" s="1579">
        <f t="shared" si="5"/>
        <v>140</v>
      </c>
      <c r="AK31" s="1575">
        <f>'WEEKLY FC'!F38</f>
        <v>118785.953684211</v>
      </c>
      <c r="AL31" s="1591">
        <f>'WEEKLY FC'!D38</f>
        <v>72</v>
      </c>
      <c r="AM31" s="1575">
        <f t="shared" si="2"/>
        <v>128926.21802310699</v>
      </c>
      <c r="AN31" s="1580">
        <f t="shared" si="4"/>
        <v>75</v>
      </c>
    </row>
    <row r="32" spans="2:56" ht="30" customHeight="1">
      <c r="B32" s="1515" t="s">
        <v>495</v>
      </c>
      <c r="C32" s="1548">
        <v>7</v>
      </c>
      <c r="D32" s="1544" t="str">
        <f>'WEEKLY FC'!B39</f>
        <v>CRINKLE</v>
      </c>
      <c r="E32" s="1525">
        <v>92800</v>
      </c>
      <c r="F32" s="1526">
        <v>2.9</v>
      </c>
      <c r="G32" s="1527">
        <v>60800</v>
      </c>
      <c r="H32" s="1526">
        <v>1.9</v>
      </c>
      <c r="I32" s="1527"/>
      <c r="J32" s="1563"/>
      <c r="K32" s="1532"/>
      <c r="L32" s="1563"/>
      <c r="M32" s="1532"/>
      <c r="N32" s="1563"/>
      <c r="O32" s="1532"/>
      <c r="P32" s="1563"/>
      <c r="Q32" s="1532"/>
      <c r="R32" s="1563"/>
      <c r="S32" s="1532"/>
      <c r="T32" s="1563"/>
      <c r="U32" s="1532"/>
      <c r="V32" s="1563"/>
      <c r="W32" s="1532"/>
      <c r="X32" s="1563"/>
      <c r="Y32" s="1532"/>
      <c r="Z32" s="1563"/>
      <c r="AA32" s="1532"/>
      <c r="AB32" s="1563"/>
      <c r="AC32" s="1570"/>
      <c r="AD32" s="1563"/>
      <c r="AE32" s="1532"/>
      <c r="AF32" s="1563"/>
      <c r="AG32" s="1532"/>
      <c r="AH32" s="1563"/>
      <c r="AI32" s="1575">
        <f t="shared" si="1"/>
        <v>0</v>
      </c>
      <c r="AJ32" s="1576">
        <f t="shared" si="5"/>
        <v>0</v>
      </c>
      <c r="AK32" s="1575">
        <f>'WEEKLY FC'!F39</f>
        <v>22400</v>
      </c>
      <c r="AL32" s="1586">
        <f>'WEEKLY FC'!D39</f>
        <v>0.7</v>
      </c>
      <c r="AM32" s="1575">
        <f t="shared" si="2"/>
        <v>38400</v>
      </c>
      <c r="AN32" s="1577">
        <f t="shared" si="4"/>
        <v>1.2</v>
      </c>
    </row>
    <row r="33" spans="2:41" ht="30" customHeight="1">
      <c r="B33" s="1515" t="s">
        <v>496</v>
      </c>
      <c r="C33" s="1548">
        <v>8</v>
      </c>
      <c r="D33" s="1544" t="str">
        <f>'WEEKLY FC'!B40</f>
        <v>NUGGET COIN</v>
      </c>
      <c r="E33" s="1525">
        <v>0</v>
      </c>
      <c r="F33" s="1526">
        <v>0</v>
      </c>
      <c r="G33" s="1527">
        <v>0</v>
      </c>
      <c r="H33" s="1526">
        <v>0</v>
      </c>
      <c r="I33" s="1527"/>
      <c r="J33" s="1532"/>
      <c r="K33" s="1532"/>
      <c r="L33" s="1532"/>
      <c r="M33" s="1532"/>
      <c r="N33" s="1532"/>
      <c r="O33" s="1532"/>
      <c r="P33" s="1532"/>
      <c r="Q33" s="1532"/>
      <c r="R33" s="1532"/>
      <c r="S33" s="1532"/>
      <c r="T33" s="1532"/>
      <c r="U33" s="1532"/>
      <c r="V33" s="1532"/>
      <c r="W33" s="1532"/>
      <c r="X33" s="1532"/>
      <c r="Y33" s="1532"/>
      <c r="Z33" s="1532"/>
      <c r="AA33" s="1532"/>
      <c r="AB33" s="1532"/>
      <c r="AC33" s="1570"/>
      <c r="AD33" s="1532"/>
      <c r="AE33" s="1532"/>
      <c r="AF33" s="1532"/>
      <c r="AG33" s="1532"/>
      <c r="AH33" s="1581"/>
      <c r="AI33" s="1575">
        <f t="shared" si="1"/>
        <v>0</v>
      </c>
      <c r="AJ33" s="1579">
        <f t="shared" si="5"/>
        <v>0</v>
      </c>
      <c r="AK33" s="1575">
        <f>'WEEKLY FC'!F40</f>
        <v>0</v>
      </c>
      <c r="AL33" s="1591">
        <f>'WEEKLY FC'!D40</f>
        <v>0</v>
      </c>
      <c r="AM33" s="1575">
        <f t="shared" si="2"/>
        <v>0</v>
      </c>
      <c r="AN33" s="1580">
        <f t="shared" si="4"/>
        <v>0</v>
      </c>
    </row>
    <row r="34" spans="2:41" ht="30" customHeight="1">
      <c r="B34" s="1515" t="s">
        <v>487</v>
      </c>
      <c r="C34" s="1548">
        <v>9</v>
      </c>
      <c r="D34" s="1544" t="str">
        <f>'WEEKLY FC'!B41</f>
        <v>NUGGET STICK</v>
      </c>
      <c r="E34" s="1525">
        <v>0</v>
      </c>
      <c r="F34" s="1526">
        <v>0</v>
      </c>
      <c r="G34" s="1527">
        <v>0</v>
      </c>
      <c r="H34" s="1526">
        <v>0</v>
      </c>
      <c r="I34" s="1527"/>
      <c r="J34" s="1532"/>
      <c r="K34" s="1532"/>
      <c r="L34" s="1532"/>
      <c r="M34" s="1532"/>
      <c r="N34" s="1532"/>
      <c r="O34" s="1532"/>
      <c r="P34" s="1532"/>
      <c r="Q34" s="1532"/>
      <c r="R34" s="1532"/>
      <c r="S34" s="1532"/>
      <c r="T34" s="1532"/>
      <c r="U34" s="1532"/>
      <c r="V34" s="1532"/>
      <c r="W34" s="1532"/>
      <c r="X34" s="1532"/>
      <c r="Y34" s="1532"/>
      <c r="Z34" s="1532"/>
      <c r="AA34" s="1532"/>
      <c r="AB34" s="1532"/>
      <c r="AC34" s="1570"/>
      <c r="AD34" s="1532"/>
      <c r="AE34" s="1532"/>
      <c r="AF34" s="1532"/>
      <c r="AG34" s="1532"/>
      <c r="AH34" s="1581"/>
      <c r="AI34" s="1575">
        <f t="shared" si="1"/>
        <v>0</v>
      </c>
      <c r="AJ34" s="1579">
        <f t="shared" si="5"/>
        <v>0</v>
      </c>
      <c r="AK34" s="1575">
        <f>'WEEKLY FC'!F41</f>
        <v>0</v>
      </c>
      <c r="AL34" s="1591">
        <f>'WEEKLY FC'!D41</f>
        <v>0</v>
      </c>
      <c r="AM34" s="1575">
        <f t="shared" si="2"/>
        <v>0</v>
      </c>
      <c r="AN34" s="1580">
        <f t="shared" si="4"/>
        <v>0</v>
      </c>
    </row>
    <row r="35" spans="2:41" ht="30" customHeight="1">
      <c r="B35" s="1515" t="s">
        <v>491</v>
      </c>
      <c r="C35" s="1548">
        <v>10</v>
      </c>
      <c r="D35" s="1544" t="str">
        <f>'WEEKLY FC'!B42</f>
        <v>SOSIS MINI JUMBO</v>
      </c>
      <c r="E35" s="1525">
        <v>0</v>
      </c>
      <c r="F35" s="1526">
        <v>0</v>
      </c>
      <c r="G35" s="1527">
        <v>0</v>
      </c>
      <c r="H35" s="1526">
        <v>0</v>
      </c>
      <c r="I35" s="1527"/>
      <c r="J35" s="1532"/>
      <c r="K35" s="1532"/>
      <c r="L35" s="1532"/>
      <c r="M35" s="1532"/>
      <c r="N35" s="1532"/>
      <c r="O35" s="1532"/>
      <c r="P35" s="1532"/>
      <c r="Q35" s="1532"/>
      <c r="R35" s="1532"/>
      <c r="S35" s="1532"/>
      <c r="T35" s="1532"/>
      <c r="U35" s="1532"/>
      <c r="V35" s="1532"/>
      <c r="W35" s="1532"/>
      <c r="X35" s="1532"/>
      <c r="Y35" s="1532"/>
      <c r="Z35" s="1532"/>
      <c r="AA35" s="1532"/>
      <c r="AB35" s="1532"/>
      <c r="AC35" s="1570"/>
      <c r="AD35" s="1532"/>
      <c r="AE35" s="1532"/>
      <c r="AF35" s="1532"/>
      <c r="AG35" s="1532"/>
      <c r="AH35" s="1581"/>
      <c r="AI35" s="1575">
        <f t="shared" si="1"/>
        <v>0</v>
      </c>
      <c r="AJ35" s="1579">
        <f t="shared" si="5"/>
        <v>0</v>
      </c>
      <c r="AK35" s="1575">
        <f>'WEEKLY FC'!F42</f>
        <v>0</v>
      </c>
      <c r="AL35" s="1591">
        <f>'WEEKLY FC'!D42</f>
        <v>0</v>
      </c>
      <c r="AM35" s="1575">
        <f t="shared" si="2"/>
        <v>0</v>
      </c>
      <c r="AN35" s="1580">
        <f t="shared" si="4"/>
        <v>0</v>
      </c>
    </row>
    <row r="36" spans="2:41" ht="30" customHeight="1">
      <c r="B36" s="1515"/>
      <c r="C36" s="1548">
        <v>11</v>
      </c>
      <c r="D36" s="1544" t="str">
        <f>'WEEKLY FC'!B43</f>
        <v>INDOMIE GORENG</v>
      </c>
      <c r="E36" s="1525">
        <v>0</v>
      </c>
      <c r="F36" s="1526">
        <v>0</v>
      </c>
      <c r="G36" s="1527">
        <v>0</v>
      </c>
      <c r="H36" s="1526">
        <v>0</v>
      </c>
      <c r="I36" s="1527"/>
      <c r="J36" s="1532"/>
      <c r="K36" s="1532"/>
      <c r="L36" s="1532"/>
      <c r="M36" s="1532"/>
      <c r="N36" s="1532"/>
      <c r="O36" s="1532"/>
      <c r="P36" s="1532"/>
      <c r="Q36" s="1532"/>
      <c r="R36" s="1532"/>
      <c r="S36" s="1532"/>
      <c r="T36" s="1532"/>
      <c r="U36" s="1532"/>
      <c r="V36" s="1532"/>
      <c r="W36" s="1532"/>
      <c r="X36" s="1532"/>
      <c r="Y36" s="1532"/>
      <c r="Z36" s="1532"/>
      <c r="AA36" s="1532"/>
      <c r="AB36" s="1532"/>
      <c r="AC36" s="1570"/>
      <c r="AD36" s="1532"/>
      <c r="AE36" s="1532"/>
      <c r="AF36" s="1532"/>
      <c r="AG36" s="1532"/>
      <c r="AH36" s="1581"/>
      <c r="AI36" s="1575">
        <f t="shared" si="1"/>
        <v>0</v>
      </c>
      <c r="AJ36" s="1579">
        <f t="shared" si="5"/>
        <v>0</v>
      </c>
      <c r="AK36" s="1575">
        <f>'WEEKLY FC'!F43</f>
        <v>0</v>
      </c>
      <c r="AL36" s="1591">
        <f>'WEEKLY FC'!D43</f>
        <v>0</v>
      </c>
      <c r="AM36" s="1575">
        <f t="shared" si="2"/>
        <v>0</v>
      </c>
      <c r="AN36" s="1580">
        <f t="shared" si="4"/>
        <v>0</v>
      </c>
    </row>
    <row r="37" spans="2:41" ht="30" customHeight="1">
      <c r="B37" s="1515"/>
      <c r="C37" s="1548">
        <v>12</v>
      </c>
      <c r="D37" s="1544" t="str">
        <f>'WEEKLY FC'!B44</f>
        <v>KERUPUK UDANG</v>
      </c>
      <c r="E37" s="1525">
        <v>0</v>
      </c>
      <c r="F37" s="1526">
        <v>0</v>
      </c>
      <c r="G37" s="1527">
        <v>0</v>
      </c>
      <c r="H37" s="1526">
        <v>0</v>
      </c>
      <c r="I37" s="1527"/>
      <c r="J37" s="1532"/>
      <c r="K37" s="1532"/>
      <c r="L37" s="1532"/>
      <c r="M37" s="1532"/>
      <c r="N37" s="1532"/>
      <c r="O37" s="1532"/>
      <c r="P37" s="1532"/>
      <c r="Q37" s="1532"/>
      <c r="R37" s="1532"/>
      <c r="S37" s="1532"/>
      <c r="T37" s="1532"/>
      <c r="U37" s="1532"/>
      <c r="V37" s="1532"/>
      <c r="W37" s="1532"/>
      <c r="X37" s="1532"/>
      <c r="Y37" s="1532"/>
      <c r="Z37" s="1532"/>
      <c r="AA37" s="1532"/>
      <c r="AB37" s="1532"/>
      <c r="AC37" s="1570"/>
      <c r="AD37" s="1532"/>
      <c r="AE37" s="1532"/>
      <c r="AF37" s="1532"/>
      <c r="AG37" s="1532"/>
      <c r="AH37" s="1581"/>
      <c r="AI37" s="1575">
        <f t="shared" si="1"/>
        <v>0</v>
      </c>
      <c r="AJ37" s="1579">
        <f t="shared" si="5"/>
        <v>0</v>
      </c>
      <c r="AK37" s="1575">
        <f>'WEEKLY FC'!F44</f>
        <v>0</v>
      </c>
      <c r="AL37" s="1591">
        <f>'WEEKLY FC'!D44</f>
        <v>0</v>
      </c>
      <c r="AM37" s="1575">
        <f t="shared" si="2"/>
        <v>0</v>
      </c>
      <c r="AN37" s="1580">
        <f t="shared" si="4"/>
        <v>0</v>
      </c>
    </row>
    <row r="38" spans="2:41" ht="30" customHeight="1">
      <c r="B38" s="1515"/>
      <c r="C38" s="1548">
        <v>13</v>
      </c>
      <c r="D38" s="1544" t="str">
        <f>'WEEKLY FC'!B45</f>
        <v>BUN BURGER BEEF</v>
      </c>
      <c r="E38" s="1525">
        <v>0</v>
      </c>
      <c r="F38" s="1526">
        <v>0</v>
      </c>
      <c r="G38" s="1527">
        <v>0</v>
      </c>
      <c r="H38" s="1526">
        <v>0</v>
      </c>
      <c r="I38" s="1527"/>
      <c r="J38" s="1532"/>
      <c r="K38" s="1532"/>
      <c r="L38" s="1532"/>
      <c r="M38" s="1532"/>
      <c r="N38" s="1532"/>
      <c r="O38" s="1532"/>
      <c r="P38" s="1532"/>
      <c r="Q38" s="1532"/>
      <c r="R38" s="1532"/>
      <c r="S38" s="1532"/>
      <c r="T38" s="1532"/>
      <c r="U38" s="1532"/>
      <c r="V38" s="1532"/>
      <c r="W38" s="1532"/>
      <c r="X38" s="1532"/>
      <c r="Y38" s="1532"/>
      <c r="Z38" s="1532"/>
      <c r="AA38" s="1532"/>
      <c r="AB38" s="1532"/>
      <c r="AC38" s="1570"/>
      <c r="AD38" s="1532"/>
      <c r="AE38" s="1532"/>
      <c r="AF38" s="1532"/>
      <c r="AG38" s="1532"/>
      <c r="AH38" s="1581"/>
      <c r="AI38" s="1575">
        <f t="shared" si="1"/>
        <v>0</v>
      </c>
      <c r="AJ38" s="1579">
        <f t="shared" si="5"/>
        <v>0</v>
      </c>
      <c r="AK38" s="1575">
        <f>'WEEKLY FC'!F45</f>
        <v>0</v>
      </c>
      <c r="AL38" s="1591">
        <f>'WEEKLY FC'!D45</f>
        <v>0</v>
      </c>
      <c r="AM38" s="1575">
        <f t="shared" si="2"/>
        <v>0</v>
      </c>
      <c r="AN38" s="1580">
        <f t="shared" si="4"/>
        <v>0</v>
      </c>
    </row>
    <row r="39" spans="2:41" ht="30" customHeight="1">
      <c r="B39" s="1515"/>
      <c r="C39" s="1548">
        <v>14</v>
      </c>
      <c r="D39" s="1544" t="str">
        <f>'WEEKLY FC'!B46</f>
        <v>CHEESE UNTUK BEEF</v>
      </c>
      <c r="E39" s="1525">
        <v>0</v>
      </c>
      <c r="F39" s="1526">
        <v>0</v>
      </c>
      <c r="G39" s="1527">
        <v>0</v>
      </c>
      <c r="H39" s="1526">
        <v>0</v>
      </c>
      <c r="I39" s="1527"/>
      <c r="J39" s="1532"/>
      <c r="K39" s="1532"/>
      <c r="L39" s="1532"/>
      <c r="M39" s="1532"/>
      <c r="N39" s="1532"/>
      <c r="O39" s="1532"/>
      <c r="P39" s="1532"/>
      <c r="Q39" s="1532"/>
      <c r="R39" s="1532"/>
      <c r="S39" s="1532"/>
      <c r="T39" s="1532"/>
      <c r="U39" s="1532"/>
      <c r="V39" s="1532"/>
      <c r="W39" s="1532"/>
      <c r="X39" s="1532"/>
      <c r="Y39" s="1532"/>
      <c r="Z39" s="1532"/>
      <c r="AA39" s="1532"/>
      <c r="AB39" s="1532"/>
      <c r="AC39" s="1570"/>
      <c r="AD39" s="1532"/>
      <c r="AE39" s="1532"/>
      <c r="AF39" s="1532"/>
      <c r="AG39" s="1532"/>
      <c r="AH39" s="1581"/>
      <c r="AI39" s="1575">
        <f t="shared" si="1"/>
        <v>0</v>
      </c>
      <c r="AJ39" s="1579">
        <f t="shared" si="5"/>
        <v>0</v>
      </c>
      <c r="AK39" s="1575">
        <f>'WEEKLY FC'!F46</f>
        <v>0</v>
      </c>
      <c r="AL39" s="1591">
        <f>'WEEKLY FC'!D46</f>
        <v>0</v>
      </c>
      <c r="AM39" s="1575">
        <f t="shared" si="2"/>
        <v>0</v>
      </c>
      <c r="AN39" s="1580">
        <f t="shared" si="4"/>
        <v>0</v>
      </c>
    </row>
    <row r="40" spans="2:41" ht="30" customHeight="1">
      <c r="B40" s="1515"/>
      <c r="C40" s="1548">
        <v>15</v>
      </c>
      <c r="D40" s="1544">
        <f>'WEEKLY FC'!B47</f>
        <v>0</v>
      </c>
      <c r="E40" s="1525">
        <v>0</v>
      </c>
      <c r="F40" s="1526">
        <v>0</v>
      </c>
      <c r="G40" s="1527">
        <v>0</v>
      </c>
      <c r="H40" s="1526">
        <v>0</v>
      </c>
      <c r="I40" s="1527"/>
      <c r="J40" s="1532"/>
      <c r="K40" s="1532"/>
      <c r="L40" s="1532"/>
      <c r="M40" s="1532"/>
      <c r="N40" s="1532"/>
      <c r="O40" s="1532"/>
      <c r="P40" s="1532"/>
      <c r="Q40" s="1532"/>
      <c r="R40" s="1532"/>
      <c r="S40" s="1532"/>
      <c r="T40" s="1532"/>
      <c r="U40" s="1532"/>
      <c r="V40" s="1532"/>
      <c r="W40" s="1532"/>
      <c r="X40" s="1532"/>
      <c r="Y40" s="1532"/>
      <c r="Z40" s="1532"/>
      <c r="AA40" s="1532"/>
      <c r="AB40" s="1532"/>
      <c r="AC40" s="1570"/>
      <c r="AD40" s="1532"/>
      <c r="AE40" s="1532"/>
      <c r="AF40" s="1532"/>
      <c r="AG40" s="1532"/>
      <c r="AH40" s="1581"/>
      <c r="AI40" s="1575">
        <f t="shared" si="1"/>
        <v>0</v>
      </c>
      <c r="AJ40" s="1579">
        <f t="shared" si="5"/>
        <v>0</v>
      </c>
      <c r="AK40" s="1575">
        <f>'WEEKLY FC'!F47</f>
        <v>0</v>
      </c>
      <c r="AL40" s="1591">
        <f>'WEEKLY FC'!D47</f>
        <v>0</v>
      </c>
      <c r="AM40" s="1575">
        <f t="shared" si="2"/>
        <v>0</v>
      </c>
      <c r="AN40" s="1580">
        <f t="shared" si="4"/>
        <v>0</v>
      </c>
    </row>
    <row r="41" spans="2:41" ht="30" customHeight="1">
      <c r="B41" s="1515"/>
      <c r="C41" s="1548">
        <v>16</v>
      </c>
      <c r="D41" s="1544">
        <f>'WEEKLY FC'!B48</f>
        <v>0</v>
      </c>
      <c r="E41" s="1525">
        <v>0</v>
      </c>
      <c r="F41" s="1526">
        <v>0</v>
      </c>
      <c r="G41" s="1527">
        <v>0</v>
      </c>
      <c r="H41" s="1526">
        <v>0</v>
      </c>
      <c r="I41" s="1527"/>
      <c r="J41" s="1532"/>
      <c r="K41" s="1532"/>
      <c r="L41" s="1532"/>
      <c r="M41" s="1532"/>
      <c r="N41" s="1532"/>
      <c r="O41" s="1532"/>
      <c r="P41" s="1532"/>
      <c r="Q41" s="1532"/>
      <c r="R41" s="1532"/>
      <c r="S41" s="1532"/>
      <c r="T41" s="1532"/>
      <c r="U41" s="1532"/>
      <c r="V41" s="1532"/>
      <c r="W41" s="1532"/>
      <c r="X41" s="1532"/>
      <c r="Y41" s="1532"/>
      <c r="Z41" s="1532"/>
      <c r="AA41" s="1532"/>
      <c r="AB41" s="1532"/>
      <c r="AC41" s="1570"/>
      <c r="AD41" s="1532"/>
      <c r="AE41" s="1532"/>
      <c r="AF41" s="1532"/>
      <c r="AG41" s="1532"/>
      <c r="AH41" s="1581"/>
      <c r="AI41" s="1575">
        <f t="shared" si="1"/>
        <v>0</v>
      </c>
      <c r="AJ41" s="1579">
        <f t="shared" si="5"/>
        <v>0</v>
      </c>
      <c r="AK41" s="1575">
        <f>'WEEKLY FC'!F48</f>
        <v>0</v>
      </c>
      <c r="AL41" s="1591">
        <f>'WEEKLY FC'!D48</f>
        <v>0</v>
      </c>
      <c r="AM41" s="1575">
        <f t="shared" si="2"/>
        <v>0</v>
      </c>
      <c r="AN41" s="1580">
        <f t="shared" si="4"/>
        <v>0</v>
      </c>
    </row>
    <row r="42" spans="2:41" ht="30" customHeight="1">
      <c r="B42" s="1515"/>
      <c r="C42" s="1548">
        <v>17</v>
      </c>
      <c r="D42" s="1544">
        <f>'WEEKLY FC'!B49</f>
        <v>0</v>
      </c>
      <c r="E42" s="1525">
        <v>0</v>
      </c>
      <c r="F42" s="1526">
        <v>0</v>
      </c>
      <c r="G42" s="1527">
        <v>0</v>
      </c>
      <c r="H42" s="1526">
        <v>0</v>
      </c>
      <c r="I42" s="1527"/>
      <c r="J42" s="1532"/>
      <c r="K42" s="1532"/>
      <c r="L42" s="1532"/>
      <c r="M42" s="1532"/>
      <c r="N42" s="1532"/>
      <c r="O42" s="1532"/>
      <c r="P42" s="1532"/>
      <c r="Q42" s="1532"/>
      <c r="R42" s="1532"/>
      <c r="S42" s="1532"/>
      <c r="T42" s="1532"/>
      <c r="U42" s="1532"/>
      <c r="V42" s="1532"/>
      <c r="W42" s="1532"/>
      <c r="X42" s="1532"/>
      <c r="Y42" s="1532"/>
      <c r="Z42" s="1532"/>
      <c r="AA42" s="1532"/>
      <c r="AB42" s="1532"/>
      <c r="AC42" s="1570"/>
      <c r="AD42" s="1532"/>
      <c r="AE42" s="1532"/>
      <c r="AF42" s="1532"/>
      <c r="AG42" s="1532"/>
      <c r="AH42" s="1581"/>
      <c r="AI42" s="1575">
        <f t="shared" si="1"/>
        <v>0</v>
      </c>
      <c r="AJ42" s="1579">
        <f t="shared" si="5"/>
        <v>0</v>
      </c>
      <c r="AK42" s="1575">
        <f>'WEEKLY FC'!F49</f>
        <v>0</v>
      </c>
      <c r="AL42" s="1591">
        <f>'WEEKLY FC'!D49</f>
        <v>0</v>
      </c>
      <c r="AM42" s="1575">
        <f t="shared" si="2"/>
        <v>0</v>
      </c>
      <c r="AN42" s="1580">
        <f t="shared" si="4"/>
        <v>0</v>
      </c>
    </row>
    <row r="43" spans="2:41" ht="30" customHeight="1">
      <c r="B43" s="1515"/>
      <c r="C43" s="1548">
        <v>18</v>
      </c>
      <c r="D43" s="1549">
        <f>'WEEKLY FC'!B50</f>
        <v>0</v>
      </c>
      <c r="E43" s="1525">
        <v>0</v>
      </c>
      <c r="F43" s="1526">
        <v>0</v>
      </c>
      <c r="G43" s="1527">
        <v>0</v>
      </c>
      <c r="H43" s="1526">
        <v>0</v>
      </c>
      <c r="I43" s="1527"/>
      <c r="J43" s="1532"/>
      <c r="K43" s="1532"/>
      <c r="L43" s="1532"/>
      <c r="M43" s="1532"/>
      <c r="N43" s="1532"/>
      <c r="O43" s="1532"/>
      <c r="P43" s="1532"/>
      <c r="Q43" s="1532"/>
      <c r="R43" s="1532"/>
      <c r="S43" s="1532"/>
      <c r="T43" s="1532"/>
      <c r="U43" s="1532"/>
      <c r="V43" s="1532"/>
      <c r="W43" s="1532"/>
      <c r="X43" s="1532"/>
      <c r="Y43" s="1532"/>
      <c r="Z43" s="1532"/>
      <c r="AA43" s="1532"/>
      <c r="AB43" s="1532"/>
      <c r="AC43" s="1570"/>
      <c r="AD43" s="1532"/>
      <c r="AE43" s="1532"/>
      <c r="AF43" s="1532"/>
      <c r="AG43" s="1532"/>
      <c r="AH43" s="1581"/>
      <c r="AI43" s="1575">
        <f t="shared" si="1"/>
        <v>0</v>
      </c>
      <c r="AJ43" s="1579">
        <f t="shared" si="5"/>
        <v>0</v>
      </c>
      <c r="AK43" s="1575">
        <f>'WEEKLY FC'!F50</f>
        <v>0</v>
      </c>
      <c r="AL43" s="1591">
        <f>'WEEKLY FC'!D50</f>
        <v>0</v>
      </c>
      <c r="AM43" s="1575">
        <f t="shared" si="2"/>
        <v>0</v>
      </c>
      <c r="AN43" s="1580">
        <f t="shared" si="4"/>
        <v>0</v>
      </c>
    </row>
    <row r="44" spans="2:41" ht="30" customHeight="1">
      <c r="B44" s="1515"/>
      <c r="C44" s="1548">
        <v>19</v>
      </c>
      <c r="D44" s="1544" t="s">
        <v>110</v>
      </c>
      <c r="E44" s="1530">
        <v>108888.746888889</v>
      </c>
      <c r="F44" s="1531">
        <v>0</v>
      </c>
      <c r="G44" s="1532">
        <v>76494.721999999994</v>
      </c>
      <c r="H44" s="1531"/>
      <c r="I44" s="1532">
        <v>5000</v>
      </c>
      <c r="J44" s="1563"/>
      <c r="K44" s="1532">
        <v>64900</v>
      </c>
      <c r="L44" s="1563"/>
      <c r="M44" s="1532"/>
      <c r="N44" s="1563"/>
      <c r="O44" s="1532">
        <v>38300</v>
      </c>
      <c r="P44" s="1563"/>
      <c r="Q44" s="1532">
        <v>11000</v>
      </c>
      <c r="R44" s="1563"/>
      <c r="S44" s="1532">
        <v>42380</v>
      </c>
      <c r="T44" s="1563"/>
      <c r="U44" s="1532">
        <v>5000</v>
      </c>
      <c r="V44" s="1563"/>
      <c r="W44" s="1532"/>
      <c r="X44" s="1563"/>
      <c r="Y44" s="1532"/>
      <c r="Z44" s="1563"/>
      <c r="AA44" s="1532"/>
      <c r="AB44" s="1563"/>
      <c r="AC44" s="1570">
        <f>-'TO - TI'!S10-'TO - TI'!S11-'TO - TI'!S12-'TO - TI'!S13</f>
        <v>-17435.5</v>
      </c>
      <c r="AD44" s="1563"/>
      <c r="AE44" s="1532"/>
      <c r="AF44" s="1563"/>
      <c r="AG44" s="1532"/>
      <c r="AH44" s="1563"/>
      <c r="AI44" s="1575">
        <f t="shared" si="1"/>
        <v>149144.5</v>
      </c>
      <c r="AJ44" s="1576">
        <f t="shared" si="5"/>
        <v>0</v>
      </c>
      <c r="AK44" s="1575">
        <f>'WEEKLY FC'!I69</f>
        <v>122923.46888888899</v>
      </c>
      <c r="AL44" s="1567"/>
      <c r="AM44" s="1575">
        <f t="shared" si="2"/>
        <v>102715.753111111</v>
      </c>
      <c r="AN44" s="1592">
        <f t="shared" si="4"/>
        <v>0</v>
      </c>
      <c r="AO44" s="1656">
        <f>SUM(AK26:AK44)</f>
        <v>1691498.1725731001</v>
      </c>
    </row>
    <row r="45" spans="2:41" ht="30" customHeight="1">
      <c r="B45" s="1515"/>
      <c r="C45" s="1550">
        <v>20</v>
      </c>
      <c r="D45" s="1551"/>
      <c r="E45" s="1552">
        <v>0</v>
      </c>
      <c r="F45" s="1553">
        <v>0</v>
      </c>
      <c r="G45" s="1554"/>
      <c r="H45" s="1546"/>
      <c r="I45" s="1554"/>
      <c r="J45" s="1536"/>
      <c r="K45" s="1536"/>
      <c r="L45" s="1536"/>
      <c r="M45" s="1554"/>
      <c r="N45" s="1554"/>
      <c r="O45" s="1536"/>
      <c r="P45" s="1536"/>
      <c r="Q45" s="1536"/>
      <c r="R45" s="1536"/>
      <c r="S45" s="1536"/>
      <c r="T45" s="1554"/>
      <c r="U45" s="1536"/>
      <c r="V45" s="1554"/>
      <c r="W45" s="1536"/>
      <c r="X45" s="1536"/>
      <c r="Y45" s="1536"/>
      <c r="Z45" s="1554"/>
      <c r="AA45" s="1536"/>
      <c r="AB45" s="1536"/>
      <c r="AC45" s="1571"/>
      <c r="AD45" s="1536"/>
      <c r="AE45" s="1536"/>
      <c r="AF45" s="1554"/>
      <c r="AG45" s="1547"/>
      <c r="AH45" s="1593"/>
      <c r="AI45" s="1594">
        <f t="shared" si="1"/>
        <v>0</v>
      </c>
      <c r="AJ45" s="1595">
        <f t="shared" si="5"/>
        <v>0</v>
      </c>
      <c r="AK45" s="1536"/>
      <c r="AL45" s="1593"/>
      <c r="AM45" s="1594">
        <f t="shared" si="2"/>
        <v>0</v>
      </c>
      <c r="AN45" s="1596">
        <f t="shared" si="4"/>
        <v>0</v>
      </c>
    </row>
    <row r="46" spans="2:41" ht="30" customHeight="1">
      <c r="B46" s="2390" t="s">
        <v>135</v>
      </c>
      <c r="C46" s="1514">
        <v>1</v>
      </c>
      <c r="D46" s="1555" t="str">
        <f>'WEEKLY FC'!B72</f>
        <v>GULA PASIR</v>
      </c>
      <c r="E46" s="1525">
        <v>130500</v>
      </c>
      <c r="F46" s="1526">
        <v>7.5</v>
      </c>
      <c r="G46" s="1527">
        <v>79200</v>
      </c>
      <c r="H46" s="1540">
        <v>4.5</v>
      </c>
      <c r="I46" s="1527"/>
      <c r="J46" s="1541"/>
      <c r="K46" s="1541"/>
      <c r="L46" s="1541"/>
      <c r="M46" s="1527"/>
      <c r="N46" s="1527"/>
      <c r="O46" s="1541">
        <v>88000</v>
      </c>
      <c r="P46" s="1541">
        <v>5</v>
      </c>
      <c r="Q46" s="1541"/>
      <c r="R46" s="1541"/>
      <c r="S46" s="1541"/>
      <c r="T46" s="1527"/>
      <c r="U46" s="1541"/>
      <c r="V46" s="1527"/>
      <c r="W46" s="1541"/>
      <c r="X46" s="1541"/>
      <c r="Y46" s="1541"/>
      <c r="Z46" s="1527"/>
      <c r="AA46" s="1541"/>
      <c r="AB46" s="1541"/>
      <c r="AC46" s="1572"/>
      <c r="AD46" s="1541"/>
      <c r="AE46" s="1541"/>
      <c r="AF46" s="1527"/>
      <c r="AG46" s="1541"/>
      <c r="AH46" s="1597"/>
      <c r="AI46" s="1598">
        <f t="shared" si="1"/>
        <v>88000</v>
      </c>
      <c r="AJ46" s="1599">
        <f t="shared" si="5"/>
        <v>5</v>
      </c>
      <c r="AK46" s="1598">
        <f>'WEEKLY FC'!F72</f>
        <v>52800</v>
      </c>
      <c r="AL46" s="1600">
        <f>'WEEKLY FC'!D72</f>
        <v>3</v>
      </c>
      <c r="AM46" s="1598">
        <f t="shared" si="2"/>
        <v>114400</v>
      </c>
      <c r="AN46" s="1601">
        <f t="shared" si="4"/>
        <v>6.5</v>
      </c>
    </row>
    <row r="47" spans="2:41" ht="30" customHeight="1">
      <c r="B47" s="2391"/>
      <c r="C47" s="1516">
        <v>2</v>
      </c>
      <c r="D47" s="1544" t="s">
        <v>497</v>
      </c>
      <c r="E47" s="1530">
        <v>0</v>
      </c>
      <c r="F47" s="1531">
        <v>0</v>
      </c>
      <c r="G47" s="1532">
        <v>0</v>
      </c>
      <c r="H47" s="1531">
        <v>0</v>
      </c>
      <c r="I47" s="1532"/>
      <c r="J47" s="1532"/>
      <c r="K47" s="1532"/>
      <c r="L47" s="1532"/>
      <c r="M47" s="1532"/>
      <c r="N47" s="1532"/>
      <c r="O47" s="1532"/>
      <c r="P47" s="1532"/>
      <c r="Q47" s="1532"/>
      <c r="R47" s="1532"/>
      <c r="S47" s="1532"/>
      <c r="T47" s="1532"/>
      <c r="U47" s="1532"/>
      <c r="V47" s="1532"/>
      <c r="W47" s="1532"/>
      <c r="X47" s="1532"/>
      <c r="Y47" s="1532"/>
      <c r="Z47" s="1532"/>
      <c r="AA47" s="1532"/>
      <c r="AB47" s="1532"/>
      <c r="AC47" s="1570"/>
      <c r="AD47" s="1532"/>
      <c r="AE47" s="1532"/>
      <c r="AF47" s="1532"/>
      <c r="AG47" s="1532"/>
      <c r="AH47" s="1581"/>
      <c r="AI47" s="1575">
        <f t="shared" si="1"/>
        <v>0</v>
      </c>
      <c r="AJ47" s="1579">
        <f t="shared" si="5"/>
        <v>0</v>
      </c>
      <c r="AK47" s="1575">
        <f>'WEEKLY FC'!F73</f>
        <v>0</v>
      </c>
      <c r="AL47" s="1578">
        <f>'WEEKLY FC'!D73</f>
        <v>0</v>
      </c>
      <c r="AM47" s="1575">
        <f t="shared" si="2"/>
        <v>0</v>
      </c>
      <c r="AN47" s="1580">
        <f t="shared" si="4"/>
        <v>0</v>
      </c>
    </row>
    <row r="48" spans="2:41" ht="30" customHeight="1">
      <c r="B48" s="2391"/>
      <c r="C48" s="1516">
        <v>3</v>
      </c>
      <c r="D48" s="1544" t="s">
        <v>498</v>
      </c>
      <c r="E48" s="1530">
        <v>0</v>
      </c>
      <c r="F48" s="1531">
        <v>0</v>
      </c>
      <c r="G48" s="1532">
        <v>0</v>
      </c>
      <c r="H48" s="1531">
        <v>0</v>
      </c>
      <c r="I48" s="1532"/>
      <c r="J48" s="1532"/>
      <c r="K48" s="1532"/>
      <c r="L48" s="1532"/>
      <c r="M48" s="1532"/>
      <c r="N48" s="1532"/>
      <c r="O48" s="1532"/>
      <c r="P48" s="1532"/>
      <c r="Q48" s="1532"/>
      <c r="R48" s="1532"/>
      <c r="S48" s="1532"/>
      <c r="T48" s="1532"/>
      <c r="U48" s="1532"/>
      <c r="V48" s="1532"/>
      <c r="W48" s="1532"/>
      <c r="X48" s="1532"/>
      <c r="Y48" s="1532"/>
      <c r="Z48" s="1532"/>
      <c r="AA48" s="1532"/>
      <c r="AB48" s="1532"/>
      <c r="AC48" s="1570"/>
      <c r="AD48" s="1532"/>
      <c r="AE48" s="1532"/>
      <c r="AF48" s="1532"/>
      <c r="AG48" s="1532"/>
      <c r="AH48" s="1581"/>
      <c r="AI48" s="1575">
        <f t="shared" si="1"/>
        <v>0</v>
      </c>
      <c r="AJ48" s="1579">
        <f t="shared" si="5"/>
        <v>0</v>
      </c>
      <c r="AK48" s="1575">
        <f>'WEEKLY FC'!F74</f>
        <v>0</v>
      </c>
      <c r="AL48" s="1578">
        <f>'WEEKLY FC'!D74</f>
        <v>0</v>
      </c>
      <c r="AM48" s="1575">
        <f t="shared" si="2"/>
        <v>0</v>
      </c>
      <c r="AN48" s="1580">
        <f t="shared" si="4"/>
        <v>0</v>
      </c>
    </row>
    <row r="49" spans="2:41" ht="30" customHeight="1">
      <c r="B49" s="2391"/>
      <c r="C49" s="1516">
        <v>4</v>
      </c>
      <c r="D49" s="1544" t="s">
        <v>135</v>
      </c>
      <c r="E49" s="1530">
        <v>200210.526315789</v>
      </c>
      <c r="F49" s="1531">
        <v>0</v>
      </c>
      <c r="G49" s="1532">
        <v>75100</v>
      </c>
      <c r="H49" s="1531"/>
      <c r="I49" s="1532">
        <v>16000</v>
      </c>
      <c r="J49" s="1532"/>
      <c r="K49" s="1532">
        <v>16000</v>
      </c>
      <c r="L49" s="1532"/>
      <c r="M49" s="1532">
        <v>91000</v>
      </c>
      <c r="N49" s="1532"/>
      <c r="O49" s="1532"/>
      <c r="P49" s="1532"/>
      <c r="Q49" s="1532">
        <v>16000</v>
      </c>
      <c r="R49" s="1532"/>
      <c r="S49" s="1532">
        <v>42100</v>
      </c>
      <c r="T49" s="1532"/>
      <c r="U49" s="1532">
        <v>16000</v>
      </c>
      <c r="V49" s="1532"/>
      <c r="W49" s="1532"/>
      <c r="X49" s="1532"/>
      <c r="Y49" s="1532"/>
      <c r="Z49" s="1532"/>
      <c r="AA49" s="1532"/>
      <c r="AB49" s="1532"/>
      <c r="AC49" s="1570">
        <f>-'TO - TI'!D9</f>
        <v>-1578.94736842105</v>
      </c>
      <c r="AD49" s="1532"/>
      <c r="AE49" s="1532"/>
      <c r="AF49" s="1532"/>
      <c r="AG49" s="1532"/>
      <c r="AH49" s="1581"/>
      <c r="AI49" s="1575">
        <f t="shared" si="1"/>
        <v>195521.05263157899</v>
      </c>
      <c r="AJ49" s="1579">
        <f t="shared" si="5"/>
        <v>0</v>
      </c>
      <c r="AK49" s="1575">
        <f>'WEEKLY FC'!I87</f>
        <v>51150</v>
      </c>
      <c r="AL49" s="1581"/>
      <c r="AM49" s="1575">
        <f t="shared" si="2"/>
        <v>219471.05263157899</v>
      </c>
      <c r="AN49" s="1580">
        <f t="shared" si="4"/>
        <v>0</v>
      </c>
      <c r="AO49" s="1657"/>
    </row>
    <row r="50" spans="2:41" ht="30" customHeight="1">
      <c r="B50" s="2392"/>
      <c r="C50" s="1556">
        <v>5</v>
      </c>
      <c r="D50" s="1551"/>
      <c r="E50" s="1534"/>
      <c r="F50" s="1553"/>
      <c r="G50" s="1554"/>
      <c r="H50" s="1553"/>
      <c r="I50" s="1536"/>
      <c r="J50" s="1536"/>
      <c r="K50" s="1536"/>
      <c r="L50" s="1536"/>
      <c r="M50" s="1536"/>
      <c r="N50" s="1554"/>
      <c r="O50" s="1536"/>
      <c r="P50" s="1554"/>
      <c r="Q50" s="1536"/>
      <c r="R50" s="1536"/>
      <c r="S50" s="1536"/>
      <c r="T50" s="1536"/>
      <c r="U50" s="1554"/>
      <c r="V50" s="1536"/>
      <c r="W50" s="1536"/>
      <c r="X50" s="1536"/>
      <c r="Y50" s="1536"/>
      <c r="Z50" s="1554"/>
      <c r="AA50" s="1554"/>
      <c r="AB50" s="1536"/>
      <c r="AC50" s="1571"/>
      <c r="AD50" s="1536"/>
      <c r="AE50" s="1536"/>
      <c r="AF50" s="1536"/>
      <c r="AG50" s="1554"/>
      <c r="AH50" s="1602"/>
      <c r="AI50" s="1554"/>
      <c r="AJ50" s="1535"/>
      <c r="AK50" s="1536"/>
      <c r="AL50" s="1590"/>
      <c r="AM50" s="1536"/>
      <c r="AN50" s="1603"/>
    </row>
    <row r="51" spans="2:41" ht="30" customHeight="1">
      <c r="B51" s="1542"/>
      <c r="C51" s="1557">
        <v>1</v>
      </c>
      <c r="D51" s="1558" t="str">
        <f>'WEEKLY FC'!B94</f>
        <v>TEH BOTOL SOSRO (TBS)</v>
      </c>
      <c r="E51" s="1559">
        <v>13002</v>
      </c>
      <c r="F51" s="1526">
        <v>6</v>
      </c>
      <c r="G51" s="1527">
        <v>34672</v>
      </c>
      <c r="H51" s="1526">
        <v>16</v>
      </c>
      <c r="I51" s="1541"/>
      <c r="J51" s="1541"/>
      <c r="K51" s="1541"/>
      <c r="L51" s="1541"/>
      <c r="M51" s="1541"/>
      <c r="N51" s="1527"/>
      <c r="O51" s="1541"/>
      <c r="P51" s="1527"/>
      <c r="Q51" s="1541"/>
      <c r="R51" s="1541"/>
      <c r="S51" s="1541"/>
      <c r="T51" s="1541"/>
      <c r="U51" s="1527"/>
      <c r="V51" s="1541"/>
      <c r="W51" s="1541"/>
      <c r="X51" s="1541"/>
      <c r="Y51" s="1541"/>
      <c r="Z51" s="1527"/>
      <c r="AA51" s="1527"/>
      <c r="AB51" s="1541"/>
      <c r="AC51" s="1572"/>
      <c r="AD51" s="1541"/>
      <c r="AE51" s="1541"/>
      <c r="AF51" s="1541"/>
      <c r="AG51" s="1527">
        <f>'PEMBELIAN KREDIT'!G24</f>
        <v>104000</v>
      </c>
      <c r="AH51" s="1567">
        <f>'PEMBELIAN KREDIT'!E24</f>
        <v>48</v>
      </c>
      <c r="AI51" s="1561">
        <f t="shared" ref="AI51:AI82" si="10">SUM(I51,K51,M51,O51,Q51,S51,U51,W51,Y51,AA51,AC51,AE51,AG51)</f>
        <v>104000</v>
      </c>
      <c r="AJ51" s="1599">
        <f t="shared" ref="AJ51:AJ81" si="11">SUM(J51,L51,N51,P51,R51,T51,V51,X51,Z51,AB51,AD51,AF51,AH51)</f>
        <v>48</v>
      </c>
      <c r="AK51" s="1598">
        <f>'WEEKLY FC'!F94</f>
        <v>121352</v>
      </c>
      <c r="AL51" s="1600">
        <f>'WEEKLY FC'!D94</f>
        <v>56</v>
      </c>
      <c r="AM51" s="1598">
        <f t="shared" ref="AM51:AM81" si="12">G51+AI51-AK51</f>
        <v>17320</v>
      </c>
      <c r="AN51" s="1604">
        <f t="shared" ref="AN51:AN81" si="13">H51+AJ51-AL51</f>
        <v>8</v>
      </c>
    </row>
    <row r="52" spans="2:41" ht="30" customHeight="1">
      <c r="B52" s="1542"/>
      <c r="C52" s="1517">
        <v>2</v>
      </c>
      <c r="D52" s="1558" t="str">
        <f>'WEEKLY FC'!B95</f>
        <v>TEH SOSRO POUCH (TBO)</v>
      </c>
      <c r="E52" s="1530">
        <v>13626</v>
      </c>
      <c r="F52" s="1531">
        <v>6</v>
      </c>
      <c r="G52" s="1532">
        <v>0</v>
      </c>
      <c r="H52" s="1531">
        <v>0</v>
      </c>
      <c r="I52" s="1532"/>
      <c r="J52" s="1532"/>
      <c r="K52" s="1532"/>
      <c r="L52" s="1532"/>
      <c r="M52" s="1532"/>
      <c r="N52" s="1532"/>
      <c r="O52" s="1532"/>
      <c r="P52" s="1532"/>
      <c r="Q52" s="1532"/>
      <c r="R52" s="1532"/>
      <c r="S52" s="1532"/>
      <c r="T52" s="1532"/>
      <c r="U52" s="1532"/>
      <c r="V52" s="1532"/>
      <c r="W52" s="1532"/>
      <c r="X52" s="1532"/>
      <c r="Y52" s="1532"/>
      <c r="Z52" s="1532"/>
      <c r="AA52" s="1532"/>
      <c r="AB52" s="1532"/>
      <c r="AC52" s="1570"/>
      <c r="AD52" s="1532"/>
      <c r="AE52" s="1532"/>
      <c r="AF52" s="1532"/>
      <c r="AG52" s="1532">
        <f>'PEMBELIAN KREDIT'!G25</f>
        <v>120000</v>
      </c>
      <c r="AH52" s="1581">
        <f>'PEMBELIAN KREDIT'!E25</f>
        <v>48</v>
      </c>
      <c r="AI52" s="1575">
        <f t="shared" si="10"/>
        <v>120000</v>
      </c>
      <c r="AJ52" s="1605">
        <f t="shared" si="11"/>
        <v>48</v>
      </c>
      <c r="AK52" s="1561">
        <f>'WEEKLY FC'!F95</f>
        <v>109008</v>
      </c>
      <c r="AL52" s="1606">
        <f>'WEEKLY FC'!D95</f>
        <v>48</v>
      </c>
      <c r="AM52" s="1575">
        <f t="shared" si="12"/>
        <v>10992</v>
      </c>
      <c r="AN52" s="1580">
        <f t="shared" si="13"/>
        <v>0</v>
      </c>
    </row>
    <row r="53" spans="2:41" ht="30" customHeight="1">
      <c r="B53" s="1542"/>
      <c r="C53" s="1517">
        <v>3</v>
      </c>
      <c r="D53" s="1558" t="str">
        <f>'WEEKLY FC'!B96</f>
        <v>FRUIT TEA BOTOL</v>
      </c>
      <c r="E53" s="1530">
        <v>10500</v>
      </c>
      <c r="F53" s="1531">
        <v>3</v>
      </c>
      <c r="G53" s="1532">
        <v>10500</v>
      </c>
      <c r="H53" s="1531">
        <v>3</v>
      </c>
      <c r="I53" s="1532"/>
      <c r="J53" s="1532"/>
      <c r="K53" s="1532"/>
      <c r="L53" s="1532"/>
      <c r="M53" s="1532"/>
      <c r="N53" s="1532"/>
      <c r="O53" s="1532"/>
      <c r="P53" s="1532"/>
      <c r="Q53" s="1532"/>
      <c r="R53" s="1532"/>
      <c r="S53" s="1532"/>
      <c r="T53" s="1532"/>
      <c r="U53" s="1532"/>
      <c r="V53" s="1532"/>
      <c r="W53" s="1532"/>
      <c r="X53" s="1532"/>
      <c r="Y53" s="1532"/>
      <c r="Z53" s="1532"/>
      <c r="AA53" s="1532"/>
      <c r="AB53" s="1532"/>
      <c r="AC53" s="1570"/>
      <c r="AD53" s="1532"/>
      <c r="AE53" s="1532"/>
      <c r="AF53" s="1532"/>
      <c r="AG53" s="1532">
        <f>'PEMBELIAN KREDIT'!G38</f>
        <v>42000</v>
      </c>
      <c r="AH53" s="1581">
        <f>'PEMBELIAN KREDIT'!E38</f>
        <v>12</v>
      </c>
      <c r="AI53" s="1575">
        <f t="shared" si="10"/>
        <v>42000</v>
      </c>
      <c r="AJ53" s="1605">
        <f t="shared" si="11"/>
        <v>12</v>
      </c>
      <c r="AK53" s="1561">
        <f>'WEEKLY FC'!F96</f>
        <v>45500</v>
      </c>
      <c r="AL53" s="1606">
        <f>'WEEKLY FC'!D96</f>
        <v>13</v>
      </c>
      <c r="AM53" s="1575">
        <f t="shared" si="12"/>
        <v>7000</v>
      </c>
      <c r="AN53" s="1580">
        <f t="shared" si="13"/>
        <v>2</v>
      </c>
    </row>
    <row r="54" spans="2:41" ht="30" customHeight="1">
      <c r="B54" s="1542"/>
      <c r="C54" s="1517">
        <v>4</v>
      </c>
      <c r="D54" s="1558" t="str">
        <f>'WEEKLY FC'!B97</f>
        <v>FRUIT TEA POUCH (FTG)</v>
      </c>
      <c r="E54" s="1530">
        <v>0</v>
      </c>
      <c r="F54" s="1531">
        <v>0</v>
      </c>
      <c r="G54" s="1532">
        <v>0</v>
      </c>
      <c r="H54" s="1531">
        <v>0</v>
      </c>
      <c r="I54" s="1532"/>
      <c r="J54" s="1532"/>
      <c r="K54" s="1532"/>
      <c r="L54" s="1532"/>
      <c r="M54" s="1532"/>
      <c r="N54" s="1532"/>
      <c r="O54" s="1532"/>
      <c r="P54" s="1532"/>
      <c r="Q54" s="1532"/>
      <c r="R54" s="1532"/>
      <c r="S54" s="1532"/>
      <c r="T54" s="1532"/>
      <c r="U54" s="1532"/>
      <c r="V54" s="1532"/>
      <c r="W54" s="1532"/>
      <c r="X54" s="1532"/>
      <c r="Y54" s="1532"/>
      <c r="Z54" s="1532"/>
      <c r="AA54" s="1532"/>
      <c r="AB54" s="1532"/>
      <c r="AC54" s="1570"/>
      <c r="AD54" s="1532"/>
      <c r="AE54" s="1532"/>
      <c r="AF54" s="1532"/>
      <c r="AG54" s="1532"/>
      <c r="AH54" s="1581"/>
      <c r="AI54" s="1575">
        <f t="shared" si="10"/>
        <v>0</v>
      </c>
      <c r="AJ54" s="1605">
        <f t="shared" si="11"/>
        <v>0</v>
      </c>
      <c r="AK54" s="1561">
        <f>'WEEKLY FC'!F97</f>
        <v>0</v>
      </c>
      <c r="AL54" s="1606">
        <f>'WEEKLY FC'!D97</f>
        <v>0</v>
      </c>
      <c r="AM54" s="1575">
        <f t="shared" si="12"/>
        <v>0</v>
      </c>
      <c r="AN54" s="1580">
        <f t="shared" si="13"/>
        <v>0</v>
      </c>
    </row>
    <row r="55" spans="2:41" ht="30" customHeight="1">
      <c r="B55" s="1537"/>
      <c r="C55" s="1517">
        <v>5</v>
      </c>
      <c r="D55" s="1558" t="str">
        <f>'WEEKLY FC'!B98</f>
        <v>TEBS</v>
      </c>
      <c r="E55" s="1530">
        <v>7000</v>
      </c>
      <c r="F55" s="1531">
        <v>2</v>
      </c>
      <c r="G55" s="1532">
        <v>7000</v>
      </c>
      <c r="H55" s="1531">
        <v>2</v>
      </c>
      <c r="I55" s="1532"/>
      <c r="J55" s="1532"/>
      <c r="K55" s="1532"/>
      <c r="L55" s="1532"/>
      <c r="M55" s="1532"/>
      <c r="N55" s="1532"/>
      <c r="O55" s="1532"/>
      <c r="P55" s="1532"/>
      <c r="Q55" s="1532"/>
      <c r="R55" s="1532"/>
      <c r="S55" s="1532"/>
      <c r="T55" s="1532"/>
      <c r="U55" s="1532"/>
      <c r="V55" s="1532"/>
      <c r="W55" s="1532"/>
      <c r="X55" s="1532"/>
      <c r="Y55" s="1532"/>
      <c r="Z55" s="1532"/>
      <c r="AA55" s="1532"/>
      <c r="AB55" s="1532"/>
      <c r="AC55" s="1570"/>
      <c r="AD55" s="1532"/>
      <c r="AE55" s="1532"/>
      <c r="AF55" s="1532"/>
      <c r="AG55" s="1532">
        <f>'PEMBELIAN KREDIT'!G39</f>
        <v>42000</v>
      </c>
      <c r="AH55" s="1581">
        <f>'PEMBELIAN KREDIT'!E39</f>
        <v>12</v>
      </c>
      <c r="AI55" s="1575">
        <f t="shared" si="10"/>
        <v>42000</v>
      </c>
      <c r="AJ55" s="1605">
        <f t="shared" si="11"/>
        <v>12</v>
      </c>
      <c r="AK55" s="1561">
        <f>'WEEKLY FC'!F98</f>
        <v>49000</v>
      </c>
      <c r="AL55" s="1606">
        <f>'WEEKLY FC'!D98</f>
        <v>14</v>
      </c>
      <c r="AM55" s="1575">
        <f t="shared" si="12"/>
        <v>0</v>
      </c>
      <c r="AN55" s="1580">
        <f t="shared" si="13"/>
        <v>0</v>
      </c>
    </row>
    <row r="56" spans="2:41" ht="30" customHeight="1">
      <c r="B56" s="1537"/>
      <c r="C56" s="1517">
        <v>6</v>
      </c>
      <c r="D56" s="1558" t="str">
        <f>'WEEKLY FC'!B99</f>
        <v>AIR MINERAL BOTOL (AMB)</v>
      </c>
      <c r="E56" s="1530">
        <v>89964</v>
      </c>
      <c r="F56" s="1531">
        <v>54</v>
      </c>
      <c r="G56" s="1532">
        <v>363188</v>
      </c>
      <c r="H56" s="1531">
        <v>218</v>
      </c>
      <c r="I56" s="1532"/>
      <c r="J56" s="1532"/>
      <c r="K56" s="1532"/>
      <c r="L56" s="1532"/>
      <c r="M56" s="1532"/>
      <c r="N56" s="1532"/>
      <c r="O56" s="1532"/>
      <c r="P56" s="1532"/>
      <c r="Q56" s="1532"/>
      <c r="R56" s="1532"/>
      <c r="S56" s="1532"/>
      <c r="T56" s="1532"/>
      <c r="U56" s="1532"/>
      <c r="V56" s="1532"/>
      <c r="W56" s="1532"/>
      <c r="X56" s="1532"/>
      <c r="Y56" s="1532"/>
      <c r="Z56" s="1532"/>
      <c r="AA56" s="1532"/>
      <c r="AB56" s="1532"/>
      <c r="AC56" s="1570">
        <f>-26627</f>
        <v>-26627</v>
      </c>
      <c r="AD56" s="1532">
        <f>-16</f>
        <v>-16</v>
      </c>
      <c r="AE56" s="1532"/>
      <c r="AF56" s="1532"/>
      <c r="AG56" s="1532">
        <f>'PEMBELIAN KREDIT'!G22</f>
        <v>200000</v>
      </c>
      <c r="AH56" s="1581">
        <f>'PEMBELIAN KREDIT'!E22</f>
        <v>120</v>
      </c>
      <c r="AI56" s="1575">
        <f t="shared" si="10"/>
        <v>173373</v>
      </c>
      <c r="AJ56" s="1605">
        <f t="shared" si="11"/>
        <v>104</v>
      </c>
      <c r="AK56" s="1561">
        <f>'WEEKLY FC'!F99</f>
        <v>458425</v>
      </c>
      <c r="AL56" s="1606">
        <f>'WEEKLY FC'!D99</f>
        <v>275</v>
      </c>
      <c r="AM56" s="1575">
        <f t="shared" si="12"/>
        <v>78136</v>
      </c>
      <c r="AN56" s="1580">
        <f t="shared" si="13"/>
        <v>47</v>
      </c>
    </row>
    <row r="57" spans="2:41" ht="30" customHeight="1">
      <c r="B57" s="1537"/>
      <c r="C57" s="1517">
        <v>7</v>
      </c>
      <c r="D57" s="1558" t="str">
        <f>'WEEKLY FC'!B100</f>
        <v>AIR MINERAL CUP (AMC)</v>
      </c>
      <c r="E57" s="1530">
        <v>0</v>
      </c>
      <c r="F57" s="1531">
        <v>0</v>
      </c>
      <c r="G57" s="1532">
        <v>21068</v>
      </c>
      <c r="H57" s="1531">
        <v>46</v>
      </c>
      <c r="I57" s="1532"/>
      <c r="J57" s="1532"/>
      <c r="K57" s="1532"/>
      <c r="L57" s="1532"/>
      <c r="M57" s="1532"/>
      <c r="N57" s="1532"/>
      <c r="O57" s="1532"/>
      <c r="P57" s="1532"/>
      <c r="Q57" s="1532"/>
      <c r="R57" s="1532"/>
      <c r="S57" s="1532"/>
      <c r="T57" s="1532"/>
      <c r="U57" s="1532"/>
      <c r="V57" s="1532"/>
      <c r="W57" s="1532"/>
      <c r="X57" s="1532"/>
      <c r="Y57" s="1532"/>
      <c r="Z57" s="1532"/>
      <c r="AA57" s="1532"/>
      <c r="AB57" s="1532"/>
      <c r="AC57" s="1570"/>
      <c r="AD57" s="1532"/>
      <c r="AE57" s="1532"/>
      <c r="AF57" s="1532"/>
      <c r="AG57" s="1532"/>
      <c r="AH57" s="1581"/>
      <c r="AI57" s="1575">
        <f t="shared" si="10"/>
        <v>0</v>
      </c>
      <c r="AJ57" s="1605">
        <f t="shared" si="11"/>
        <v>0</v>
      </c>
      <c r="AK57" s="1561">
        <f>'WEEKLY FC'!F100</f>
        <v>21068</v>
      </c>
      <c r="AL57" s="1606">
        <f>'WEEKLY FC'!D100</f>
        <v>46</v>
      </c>
      <c r="AM57" s="1575">
        <f t="shared" si="12"/>
        <v>0</v>
      </c>
      <c r="AN57" s="1580">
        <f t="shared" si="13"/>
        <v>0</v>
      </c>
    </row>
    <row r="58" spans="2:41" ht="30" customHeight="1">
      <c r="B58" s="1537"/>
      <c r="C58" s="1517">
        <v>8</v>
      </c>
      <c r="D58" s="1558" t="str">
        <f>'WEEKLY FC'!B101</f>
        <v>MILO</v>
      </c>
      <c r="E58" s="1534">
        <v>70902</v>
      </c>
      <c r="F58" s="1535">
        <v>0.95999999999999897</v>
      </c>
      <c r="G58" s="1536">
        <v>478479.5</v>
      </c>
      <c r="H58" s="1531">
        <v>4.91</v>
      </c>
      <c r="I58" s="1536"/>
      <c r="J58" s="1566"/>
      <c r="K58" s="1532"/>
      <c r="L58" s="1566"/>
      <c r="M58" s="1532"/>
      <c r="N58" s="1566"/>
      <c r="O58" s="1532"/>
      <c r="P58" s="1566"/>
      <c r="Q58" s="1532"/>
      <c r="R58" s="1566"/>
      <c r="S58" s="1532"/>
      <c r="T58" s="1566"/>
      <c r="U58" s="1532"/>
      <c r="V58" s="1566"/>
      <c r="W58" s="1532"/>
      <c r="X58" s="1566"/>
      <c r="Y58" s="1532"/>
      <c r="Z58" s="1566"/>
      <c r="AA58" s="1532"/>
      <c r="AB58" s="1566"/>
      <c r="AC58" s="1570"/>
      <c r="AD58" s="1566"/>
      <c r="AE58" s="1532"/>
      <c r="AF58" s="1566"/>
      <c r="AG58" s="1536"/>
      <c r="AH58" s="1607"/>
      <c r="AI58" s="1575">
        <f t="shared" si="10"/>
        <v>0</v>
      </c>
      <c r="AJ58" s="1608">
        <f t="shared" si="11"/>
        <v>0</v>
      </c>
      <c r="AK58" s="1561">
        <f>'WEEKLY FC'!F101</f>
        <v>359590.5</v>
      </c>
      <c r="AL58" s="1609">
        <f>'WEEKLY FC'!D101</f>
        <v>3.69</v>
      </c>
      <c r="AM58" s="1575">
        <f t="shared" si="12"/>
        <v>118889</v>
      </c>
      <c r="AN58" s="1577">
        <f t="shared" si="13"/>
        <v>1.22</v>
      </c>
    </row>
    <row r="59" spans="2:41" ht="30" customHeight="1">
      <c r="B59" s="1542" t="s">
        <v>489</v>
      </c>
      <c r="C59" s="1517">
        <v>9</v>
      </c>
      <c r="D59" s="1558" t="str">
        <f>'WEEKLY FC'!B102</f>
        <v>NESTEA</v>
      </c>
      <c r="E59" s="1534">
        <v>147884.70000000001</v>
      </c>
      <c r="F59" s="1535">
        <v>2.71</v>
      </c>
      <c r="G59" s="1536">
        <v>315960.3</v>
      </c>
      <c r="H59" s="1535">
        <v>5.79</v>
      </c>
      <c r="I59" s="1536"/>
      <c r="J59" s="1566"/>
      <c r="K59" s="1532"/>
      <c r="L59" s="1566"/>
      <c r="M59" s="1532"/>
      <c r="N59" s="1566"/>
      <c r="O59" s="1532"/>
      <c r="P59" s="1566"/>
      <c r="Q59" s="1532"/>
      <c r="R59" s="1566"/>
      <c r="S59" s="1532"/>
      <c r="T59" s="1566"/>
      <c r="U59" s="1532"/>
      <c r="V59" s="1566"/>
      <c r="W59" s="1532"/>
      <c r="X59" s="1566"/>
      <c r="Y59" s="1532"/>
      <c r="Z59" s="1566"/>
      <c r="AA59" s="1532"/>
      <c r="AB59" s="1566"/>
      <c r="AC59" s="1570"/>
      <c r="AD59" s="1566"/>
      <c r="AE59" s="1532"/>
      <c r="AF59" s="1566"/>
      <c r="AG59" s="1536"/>
      <c r="AH59" s="1607"/>
      <c r="AI59" s="1575">
        <f t="shared" si="10"/>
        <v>0</v>
      </c>
      <c r="AJ59" s="1608">
        <f t="shared" si="11"/>
        <v>0</v>
      </c>
      <c r="AK59" s="1561">
        <f>'WEEKLY FC'!F102</f>
        <v>174624</v>
      </c>
      <c r="AL59" s="1609">
        <f>'WEEKLY FC'!D102</f>
        <v>3.2</v>
      </c>
      <c r="AM59" s="1575">
        <f t="shared" si="12"/>
        <v>141336.29999999999</v>
      </c>
      <c r="AN59" s="1577">
        <f t="shared" si="13"/>
        <v>2.59</v>
      </c>
    </row>
    <row r="60" spans="2:41" ht="30" customHeight="1">
      <c r="B60" s="1542" t="s">
        <v>71</v>
      </c>
      <c r="C60" s="1517">
        <v>10</v>
      </c>
      <c r="D60" s="1558" t="str">
        <f>'WEEKLY FC'!B103</f>
        <v>ORANGE</v>
      </c>
      <c r="E60" s="1534">
        <v>0</v>
      </c>
      <c r="F60" s="1535">
        <v>0</v>
      </c>
      <c r="G60" s="1536">
        <v>0</v>
      </c>
      <c r="H60" s="1535">
        <v>0</v>
      </c>
      <c r="I60" s="1536"/>
      <c r="J60" s="1532"/>
      <c r="K60" s="1532"/>
      <c r="L60" s="1532"/>
      <c r="M60" s="1532"/>
      <c r="N60" s="1532"/>
      <c r="O60" s="1532"/>
      <c r="P60" s="1532"/>
      <c r="Q60" s="1532"/>
      <c r="R60" s="1532"/>
      <c r="S60" s="1532"/>
      <c r="T60" s="1532"/>
      <c r="U60" s="1532"/>
      <c r="V60" s="1532"/>
      <c r="W60" s="1532"/>
      <c r="X60" s="1532"/>
      <c r="Y60" s="1532"/>
      <c r="Z60" s="1532"/>
      <c r="AA60" s="1532"/>
      <c r="AB60" s="1532"/>
      <c r="AC60" s="1570"/>
      <c r="AD60" s="1532"/>
      <c r="AE60" s="1532"/>
      <c r="AF60" s="1532"/>
      <c r="AG60" s="1536"/>
      <c r="AH60" s="1590"/>
      <c r="AI60" s="1575">
        <f t="shared" si="10"/>
        <v>0</v>
      </c>
      <c r="AJ60" s="1605">
        <f t="shared" si="11"/>
        <v>0</v>
      </c>
      <c r="AK60" s="1561">
        <f>'WEEKLY FC'!F103</f>
        <v>0</v>
      </c>
      <c r="AL60" s="1606">
        <f>'WEEKLY FC'!D103</f>
        <v>0</v>
      </c>
      <c r="AM60" s="1575">
        <f t="shared" si="12"/>
        <v>0</v>
      </c>
      <c r="AN60" s="1580">
        <f t="shared" si="13"/>
        <v>0</v>
      </c>
    </row>
    <row r="61" spans="2:41" ht="30" customHeight="1">
      <c r="B61" s="1542" t="s">
        <v>494</v>
      </c>
      <c r="C61" s="1517">
        <v>11</v>
      </c>
      <c r="D61" s="1558" t="str">
        <f>'WEEKLY FC'!B104</f>
        <v>BUAH FROZEN JAMBU</v>
      </c>
      <c r="E61" s="1534">
        <v>0</v>
      </c>
      <c r="F61" s="1535">
        <v>0</v>
      </c>
      <c r="G61" s="1536">
        <v>0</v>
      </c>
      <c r="H61" s="1535">
        <v>0</v>
      </c>
      <c r="I61" s="1536"/>
      <c r="J61" s="1536"/>
      <c r="K61" s="1536"/>
      <c r="L61" s="1536"/>
      <c r="M61" s="1536"/>
      <c r="N61" s="1536"/>
      <c r="O61" s="1536"/>
      <c r="P61" s="1536"/>
      <c r="Q61" s="1536"/>
      <c r="R61" s="1536"/>
      <c r="S61" s="1536"/>
      <c r="T61" s="1536"/>
      <c r="U61" s="1536"/>
      <c r="V61" s="1536"/>
      <c r="W61" s="1536"/>
      <c r="X61" s="1536"/>
      <c r="Y61" s="1536"/>
      <c r="Z61" s="1536"/>
      <c r="AA61" s="1536"/>
      <c r="AB61" s="1536"/>
      <c r="AC61" s="1571"/>
      <c r="AD61" s="1536"/>
      <c r="AE61" s="1536"/>
      <c r="AF61" s="1536"/>
      <c r="AG61" s="1536"/>
      <c r="AH61" s="1536"/>
      <c r="AI61" s="1575">
        <f t="shared" si="10"/>
        <v>0</v>
      </c>
      <c r="AJ61" s="1605">
        <f t="shared" si="11"/>
        <v>0</v>
      </c>
      <c r="AK61" s="1561">
        <f>'WEEKLY FC'!F104</f>
        <v>0</v>
      </c>
      <c r="AL61" s="1606">
        <f>'WEEKLY FC'!D104</f>
        <v>0</v>
      </c>
      <c r="AM61" s="1575">
        <f t="shared" si="12"/>
        <v>0</v>
      </c>
      <c r="AN61" s="1580">
        <f t="shared" si="13"/>
        <v>0</v>
      </c>
    </row>
    <row r="62" spans="2:41" ht="30" customHeight="1">
      <c r="B62" s="1542" t="s">
        <v>499</v>
      </c>
      <c r="C62" s="1517">
        <v>12</v>
      </c>
      <c r="D62" s="1558" t="str">
        <f>'WEEKLY FC'!B105</f>
        <v>BUAH FROZEN MELON</v>
      </c>
      <c r="E62" s="1534">
        <v>0</v>
      </c>
      <c r="F62" s="1535">
        <v>0</v>
      </c>
      <c r="G62" s="1536">
        <v>0</v>
      </c>
      <c r="H62" s="1535">
        <v>0</v>
      </c>
      <c r="I62" s="1536"/>
      <c r="J62" s="1536"/>
      <c r="K62" s="1536"/>
      <c r="L62" s="1536"/>
      <c r="M62" s="1536"/>
      <c r="N62" s="1536"/>
      <c r="O62" s="1536"/>
      <c r="P62" s="1536"/>
      <c r="Q62" s="1536"/>
      <c r="R62" s="1536"/>
      <c r="S62" s="1536"/>
      <c r="T62" s="1536"/>
      <c r="U62" s="1536"/>
      <c r="V62" s="1536"/>
      <c r="W62" s="1536"/>
      <c r="X62" s="1536"/>
      <c r="Y62" s="1536"/>
      <c r="Z62" s="1536"/>
      <c r="AA62" s="1536"/>
      <c r="AB62" s="1536"/>
      <c r="AC62" s="1571"/>
      <c r="AD62" s="1536"/>
      <c r="AE62" s="1536"/>
      <c r="AF62" s="1536"/>
      <c r="AG62" s="1536"/>
      <c r="AH62" s="1536"/>
      <c r="AI62" s="1575">
        <f t="shared" si="10"/>
        <v>0</v>
      </c>
      <c r="AJ62" s="1605">
        <f t="shared" si="11"/>
        <v>0</v>
      </c>
      <c r="AK62" s="1561">
        <f>'WEEKLY FC'!F105</f>
        <v>0</v>
      </c>
      <c r="AL62" s="1606">
        <f>'WEEKLY FC'!D105</f>
        <v>0</v>
      </c>
      <c r="AM62" s="1575">
        <f t="shared" si="12"/>
        <v>0</v>
      </c>
      <c r="AN62" s="1580">
        <f t="shared" si="13"/>
        <v>0</v>
      </c>
    </row>
    <row r="63" spans="2:41" ht="30" customHeight="1">
      <c r="B63" s="1542" t="s">
        <v>489</v>
      </c>
      <c r="C63" s="1517">
        <v>13</v>
      </c>
      <c r="D63" s="1558" t="str">
        <f>'WEEKLY FC'!B106</f>
        <v>BUAH FROZEN STRAWBERRY</v>
      </c>
      <c r="E63" s="1534">
        <v>0</v>
      </c>
      <c r="F63" s="1535">
        <v>0</v>
      </c>
      <c r="G63" s="1536">
        <v>0</v>
      </c>
      <c r="H63" s="1535">
        <v>0</v>
      </c>
      <c r="I63" s="1536"/>
      <c r="J63" s="1536"/>
      <c r="K63" s="1536"/>
      <c r="L63" s="1536"/>
      <c r="M63" s="1536"/>
      <c r="N63" s="1536"/>
      <c r="O63" s="1536"/>
      <c r="P63" s="1536"/>
      <c r="Q63" s="1536"/>
      <c r="R63" s="1536"/>
      <c r="S63" s="1536"/>
      <c r="T63" s="1536"/>
      <c r="U63" s="1536"/>
      <c r="V63" s="1536"/>
      <c r="W63" s="1536"/>
      <c r="X63" s="1536"/>
      <c r="Y63" s="1536"/>
      <c r="Z63" s="1536"/>
      <c r="AA63" s="1536"/>
      <c r="AB63" s="1536"/>
      <c r="AC63" s="1571"/>
      <c r="AD63" s="1536"/>
      <c r="AE63" s="1536"/>
      <c r="AF63" s="1536"/>
      <c r="AG63" s="1536"/>
      <c r="AH63" s="1536"/>
      <c r="AI63" s="1575">
        <f t="shared" si="10"/>
        <v>0</v>
      </c>
      <c r="AJ63" s="1605">
        <f t="shared" si="11"/>
        <v>0</v>
      </c>
      <c r="AK63" s="1561">
        <f>'WEEKLY FC'!F106</f>
        <v>0</v>
      </c>
      <c r="AL63" s="1606">
        <f>'WEEKLY FC'!D106</f>
        <v>0</v>
      </c>
      <c r="AM63" s="1575">
        <f t="shared" si="12"/>
        <v>0</v>
      </c>
      <c r="AN63" s="1580">
        <f t="shared" si="13"/>
        <v>0</v>
      </c>
    </row>
    <row r="64" spans="2:41" ht="30" customHeight="1">
      <c r="B64" s="1542" t="s">
        <v>487</v>
      </c>
      <c r="C64" s="1517">
        <v>14</v>
      </c>
      <c r="D64" s="1558" t="str">
        <f>'WEEKLY FC'!B107</f>
        <v>BUAH FROZEN SIRSAK</v>
      </c>
      <c r="E64" s="1534">
        <v>0</v>
      </c>
      <c r="F64" s="1535">
        <v>0</v>
      </c>
      <c r="G64" s="1536">
        <v>0</v>
      </c>
      <c r="H64" s="1535">
        <v>0</v>
      </c>
      <c r="I64" s="1536"/>
      <c r="J64" s="1536"/>
      <c r="K64" s="1536"/>
      <c r="L64" s="1536"/>
      <c r="M64" s="1536"/>
      <c r="N64" s="1536"/>
      <c r="O64" s="1536"/>
      <c r="P64" s="1536"/>
      <c r="Q64" s="1536"/>
      <c r="R64" s="1536"/>
      <c r="S64" s="1536"/>
      <c r="T64" s="1536"/>
      <c r="U64" s="1536"/>
      <c r="V64" s="1536"/>
      <c r="W64" s="1536"/>
      <c r="X64" s="1536"/>
      <c r="Y64" s="1536"/>
      <c r="Z64" s="1536"/>
      <c r="AA64" s="1536"/>
      <c r="AB64" s="1536"/>
      <c r="AC64" s="1571"/>
      <c r="AD64" s="1536"/>
      <c r="AE64" s="1536"/>
      <c r="AF64" s="1536"/>
      <c r="AG64" s="1536"/>
      <c r="AH64" s="1536"/>
      <c r="AI64" s="1575">
        <f t="shared" si="10"/>
        <v>0</v>
      </c>
      <c r="AJ64" s="1605">
        <f t="shared" si="11"/>
        <v>0</v>
      </c>
      <c r="AK64" s="1561">
        <f>'WEEKLY FC'!F107</f>
        <v>0</v>
      </c>
      <c r="AL64" s="1606">
        <f>'WEEKLY FC'!D107</f>
        <v>0</v>
      </c>
      <c r="AM64" s="1575">
        <f t="shared" si="12"/>
        <v>0</v>
      </c>
      <c r="AN64" s="1580">
        <f t="shared" si="13"/>
        <v>0</v>
      </c>
    </row>
    <row r="65" spans="2:42" ht="30" customHeight="1">
      <c r="B65" s="1542" t="s">
        <v>494</v>
      </c>
      <c r="C65" s="1517">
        <v>15</v>
      </c>
      <c r="D65" s="1558" t="str">
        <f>'WEEKLY FC'!B108</f>
        <v>BUAH FROZEN MANGGA</v>
      </c>
      <c r="E65" s="1534">
        <v>0</v>
      </c>
      <c r="F65" s="1535">
        <v>0</v>
      </c>
      <c r="G65" s="1536">
        <v>0</v>
      </c>
      <c r="H65" s="1535">
        <v>0</v>
      </c>
      <c r="I65" s="1536"/>
      <c r="J65" s="1536"/>
      <c r="K65" s="1536"/>
      <c r="L65" s="1536"/>
      <c r="M65" s="1536"/>
      <c r="N65" s="1536"/>
      <c r="O65" s="1536"/>
      <c r="P65" s="1536"/>
      <c r="Q65" s="1536"/>
      <c r="R65" s="1536"/>
      <c r="S65" s="1536"/>
      <c r="T65" s="1536"/>
      <c r="U65" s="1536"/>
      <c r="V65" s="1536"/>
      <c r="W65" s="1536"/>
      <c r="X65" s="1536"/>
      <c r="Y65" s="1536"/>
      <c r="Z65" s="1536"/>
      <c r="AA65" s="1536"/>
      <c r="AB65" s="1536"/>
      <c r="AC65" s="1571"/>
      <c r="AD65" s="1536"/>
      <c r="AE65" s="1536"/>
      <c r="AF65" s="1536"/>
      <c r="AG65" s="1536"/>
      <c r="AH65" s="1536"/>
      <c r="AI65" s="1575">
        <f t="shared" si="10"/>
        <v>0</v>
      </c>
      <c r="AJ65" s="1605">
        <f t="shared" si="11"/>
        <v>0</v>
      </c>
      <c r="AK65" s="1561">
        <f>'WEEKLY FC'!F108</f>
        <v>0</v>
      </c>
      <c r="AL65" s="1606">
        <f>'WEEKLY FC'!D108</f>
        <v>0</v>
      </c>
      <c r="AM65" s="1575">
        <f t="shared" si="12"/>
        <v>0</v>
      </c>
      <c r="AN65" s="1580">
        <f t="shared" si="13"/>
        <v>0</v>
      </c>
    </row>
    <row r="66" spans="2:42" ht="30" customHeight="1">
      <c r="B66" s="1537"/>
      <c r="C66" s="1517">
        <v>16</v>
      </c>
      <c r="D66" s="1558" t="str">
        <f>'WEEKLY FC'!B109</f>
        <v>BUAH FROZEN DURIAN</v>
      </c>
      <c r="E66" s="1534">
        <v>0</v>
      </c>
      <c r="F66" s="1535">
        <v>0</v>
      </c>
      <c r="G66" s="1536">
        <v>0</v>
      </c>
      <c r="H66" s="1535">
        <v>0</v>
      </c>
      <c r="I66" s="1536"/>
      <c r="J66" s="1536"/>
      <c r="K66" s="1536"/>
      <c r="L66" s="1536"/>
      <c r="M66" s="1536"/>
      <c r="N66" s="1536"/>
      <c r="O66" s="1536"/>
      <c r="P66" s="1536"/>
      <c r="Q66" s="1536"/>
      <c r="R66" s="1536"/>
      <c r="S66" s="1536"/>
      <c r="T66" s="1536"/>
      <c r="U66" s="1536"/>
      <c r="V66" s="1536"/>
      <c r="W66" s="1536"/>
      <c r="X66" s="1536"/>
      <c r="Y66" s="1536"/>
      <c r="Z66" s="1536"/>
      <c r="AA66" s="1536"/>
      <c r="AB66" s="1536"/>
      <c r="AC66" s="1571"/>
      <c r="AD66" s="1536"/>
      <c r="AE66" s="1536"/>
      <c r="AF66" s="1536"/>
      <c r="AG66" s="1536"/>
      <c r="AH66" s="1536"/>
      <c r="AI66" s="1575">
        <f t="shared" si="10"/>
        <v>0</v>
      </c>
      <c r="AJ66" s="1605">
        <f t="shared" si="11"/>
        <v>0</v>
      </c>
      <c r="AK66" s="1561">
        <f>'WEEKLY FC'!F109</f>
        <v>0</v>
      </c>
      <c r="AL66" s="1606">
        <f>'WEEKLY FC'!D109</f>
        <v>0</v>
      </c>
      <c r="AM66" s="1575">
        <f t="shared" si="12"/>
        <v>0</v>
      </c>
      <c r="AN66" s="1580">
        <f t="shared" si="13"/>
        <v>0</v>
      </c>
    </row>
    <row r="67" spans="2:42" ht="30" customHeight="1">
      <c r="B67" s="1537"/>
      <c r="C67" s="1517">
        <v>17</v>
      </c>
      <c r="D67" s="1558" t="str">
        <f>'WEEKLY FC'!B110</f>
        <v>TEH POCI KUNING / VANILA</v>
      </c>
      <c r="E67" s="1534">
        <v>-10248.0369194222</v>
      </c>
      <c r="F67" s="1535">
        <v>11.5</v>
      </c>
      <c r="G67" s="1536">
        <v>205422</v>
      </c>
      <c r="H67" s="1535">
        <v>73</v>
      </c>
      <c r="I67" s="1536"/>
      <c r="J67" s="1536"/>
      <c r="K67" s="1536"/>
      <c r="L67" s="1536"/>
      <c r="M67" s="1536"/>
      <c r="N67" s="1536"/>
      <c r="O67" s="1536"/>
      <c r="P67" s="1536"/>
      <c r="Q67" s="1536"/>
      <c r="R67" s="1536"/>
      <c r="S67" s="1536"/>
      <c r="T67" s="1536"/>
      <c r="U67" s="1536"/>
      <c r="V67" s="1536"/>
      <c r="W67" s="1536"/>
      <c r="X67" s="1536"/>
      <c r="Y67" s="1536"/>
      <c r="Z67" s="1536"/>
      <c r="AA67" s="1536"/>
      <c r="AB67" s="1536"/>
      <c r="AC67" s="1571">
        <f>-'TO - TI'!I25-'TO - TI'!N12</f>
        <v>-21304.5184597111</v>
      </c>
      <c r="AD67" s="1536"/>
      <c r="AE67" s="1536"/>
      <c r="AF67" s="1536"/>
      <c r="AG67" s="1536"/>
      <c r="AH67" s="1536"/>
      <c r="AI67" s="1575">
        <f t="shared" si="10"/>
        <v>-21304.5184597111</v>
      </c>
      <c r="AJ67" s="1605">
        <f t="shared" si="11"/>
        <v>0</v>
      </c>
      <c r="AK67" s="1561">
        <f>'WEEKLY FC'!F110</f>
        <v>180096</v>
      </c>
      <c r="AL67" s="1606">
        <f>'WEEKLY FC'!D110</f>
        <v>64</v>
      </c>
      <c r="AM67" s="1575">
        <f t="shared" si="12"/>
        <v>4021.4815402888898</v>
      </c>
      <c r="AN67" s="1580">
        <f t="shared" si="13"/>
        <v>9</v>
      </c>
    </row>
    <row r="68" spans="2:42" ht="30" customHeight="1">
      <c r="B68" s="1537"/>
      <c r="C68" s="1517">
        <v>18</v>
      </c>
      <c r="D68" s="1558" t="str">
        <f>'WEEKLY FC'!B111</f>
        <v>MILK SHAKE COKLAT</v>
      </c>
      <c r="E68" s="1534">
        <v>0</v>
      </c>
      <c r="F68" s="1535">
        <v>0</v>
      </c>
      <c r="G68" s="1536">
        <v>64110</v>
      </c>
      <c r="H68" s="1535">
        <v>15</v>
      </c>
      <c r="I68" s="1536"/>
      <c r="J68" s="1536"/>
      <c r="K68" s="1536"/>
      <c r="L68" s="1536"/>
      <c r="M68" s="1536"/>
      <c r="N68" s="1536"/>
      <c r="O68" s="1536"/>
      <c r="P68" s="1536"/>
      <c r="Q68" s="1536"/>
      <c r="R68" s="1536"/>
      <c r="S68" s="1536"/>
      <c r="T68" s="1536"/>
      <c r="U68" s="1536"/>
      <c r="V68" s="1536"/>
      <c r="W68" s="1536"/>
      <c r="X68" s="1536"/>
      <c r="Y68" s="1536"/>
      <c r="Z68" s="1536"/>
      <c r="AA68" s="1536"/>
      <c r="AB68" s="1536"/>
      <c r="AC68" s="1571"/>
      <c r="AD68" s="1536"/>
      <c r="AE68" s="1536"/>
      <c r="AF68" s="1536"/>
      <c r="AG68" s="1536"/>
      <c r="AH68" s="1536"/>
      <c r="AI68" s="1575">
        <f t="shared" si="10"/>
        <v>0</v>
      </c>
      <c r="AJ68" s="1605">
        <f t="shared" si="11"/>
        <v>0</v>
      </c>
      <c r="AK68" s="1561">
        <f>'WEEKLY FC'!F111</f>
        <v>59836</v>
      </c>
      <c r="AL68" s="1606">
        <f>'WEEKLY FC'!D111</f>
        <v>14</v>
      </c>
      <c r="AM68" s="1575">
        <f t="shared" si="12"/>
        <v>4274</v>
      </c>
      <c r="AN68" s="1580">
        <f t="shared" si="13"/>
        <v>1</v>
      </c>
    </row>
    <row r="69" spans="2:42" ht="30" customHeight="1">
      <c r="B69" s="1542"/>
      <c r="C69" s="1517">
        <v>19</v>
      </c>
      <c r="D69" s="1558" t="str">
        <f>'WEEKLY FC'!B112</f>
        <v>MILK SHAKE CAPPUCINO</v>
      </c>
      <c r="E69" s="1530">
        <v>0</v>
      </c>
      <c r="F69" s="1531">
        <v>0</v>
      </c>
      <c r="G69" s="1532">
        <v>0</v>
      </c>
      <c r="H69" s="1531">
        <v>0</v>
      </c>
      <c r="I69" s="1536"/>
      <c r="J69" s="1536"/>
      <c r="K69" s="1536"/>
      <c r="L69" s="1536"/>
      <c r="M69" s="1536"/>
      <c r="N69" s="1536"/>
      <c r="O69" s="1536"/>
      <c r="P69" s="1536"/>
      <c r="Q69" s="1536"/>
      <c r="R69" s="1536"/>
      <c r="S69" s="1536"/>
      <c r="T69" s="1536"/>
      <c r="U69" s="1536"/>
      <c r="V69" s="1536"/>
      <c r="W69" s="1536"/>
      <c r="X69" s="1536"/>
      <c r="Y69" s="1536"/>
      <c r="Z69" s="1536"/>
      <c r="AA69" s="1536"/>
      <c r="AB69" s="1536"/>
      <c r="AC69" s="1571"/>
      <c r="AD69" s="1536"/>
      <c r="AE69" s="1536"/>
      <c r="AF69" s="1536"/>
      <c r="AG69" s="1536"/>
      <c r="AH69" s="1536"/>
      <c r="AI69" s="1575">
        <f t="shared" si="10"/>
        <v>0</v>
      </c>
      <c r="AJ69" s="1605">
        <f t="shared" si="11"/>
        <v>0</v>
      </c>
      <c r="AK69" s="1561">
        <f>'WEEKLY FC'!F112</f>
        <v>0</v>
      </c>
      <c r="AL69" s="1606">
        <f>'WEEKLY FC'!D112</f>
        <v>0</v>
      </c>
      <c r="AM69" s="1575">
        <f t="shared" si="12"/>
        <v>0</v>
      </c>
      <c r="AN69" s="1580">
        <f t="shared" si="13"/>
        <v>0</v>
      </c>
      <c r="AP69" s="929" t="s">
        <v>61</v>
      </c>
    </row>
    <row r="70" spans="2:42" ht="30" customHeight="1">
      <c r="B70" s="1542"/>
      <c r="C70" s="1517">
        <v>20</v>
      </c>
      <c r="D70" s="1558" t="str">
        <f>'WEEKLY FC'!B113</f>
        <v>MILK SHAKE MANGGA</v>
      </c>
      <c r="E70" s="1530">
        <v>0</v>
      </c>
      <c r="F70" s="1531">
        <v>0</v>
      </c>
      <c r="G70" s="1532">
        <v>0</v>
      </c>
      <c r="H70" s="1531">
        <v>0</v>
      </c>
      <c r="I70" s="1536"/>
      <c r="J70" s="1536"/>
      <c r="K70" s="1536"/>
      <c r="L70" s="1536"/>
      <c r="M70" s="1536"/>
      <c r="N70" s="1536"/>
      <c r="O70" s="1536"/>
      <c r="P70" s="1536"/>
      <c r="Q70" s="1536"/>
      <c r="R70" s="1536"/>
      <c r="S70" s="1536"/>
      <c r="T70" s="1536"/>
      <c r="U70" s="1536"/>
      <c r="V70" s="1536"/>
      <c r="W70" s="1536"/>
      <c r="X70" s="1536"/>
      <c r="Y70" s="1536"/>
      <c r="Z70" s="1536"/>
      <c r="AA70" s="1536"/>
      <c r="AB70" s="1536"/>
      <c r="AC70" s="1571"/>
      <c r="AD70" s="1536"/>
      <c r="AE70" s="1536"/>
      <c r="AF70" s="1536"/>
      <c r="AG70" s="1536"/>
      <c r="AH70" s="1536"/>
      <c r="AI70" s="1575">
        <f t="shared" si="10"/>
        <v>0</v>
      </c>
      <c r="AJ70" s="1605">
        <f t="shared" si="11"/>
        <v>0</v>
      </c>
      <c r="AK70" s="1561">
        <f>'WEEKLY FC'!F113</f>
        <v>0</v>
      </c>
      <c r="AL70" s="1606">
        <f>'WEEKLY FC'!D113</f>
        <v>0</v>
      </c>
      <c r="AM70" s="1575">
        <f t="shared" si="12"/>
        <v>0</v>
      </c>
      <c r="AN70" s="1580">
        <f t="shared" si="13"/>
        <v>0</v>
      </c>
    </row>
    <row r="71" spans="2:42" ht="30" customHeight="1">
      <c r="B71" s="1542"/>
      <c r="C71" s="1517">
        <v>21</v>
      </c>
      <c r="D71" s="1558" t="str">
        <f>'WEEKLY FC'!B114</f>
        <v>MILK SHAKE STRAWBERRY</v>
      </c>
      <c r="E71" s="1530">
        <v>0</v>
      </c>
      <c r="F71" s="1531">
        <v>0</v>
      </c>
      <c r="G71" s="1532">
        <v>0</v>
      </c>
      <c r="H71" s="1531">
        <v>0</v>
      </c>
      <c r="I71" s="1536"/>
      <c r="J71" s="1536"/>
      <c r="K71" s="1536"/>
      <c r="L71" s="1536"/>
      <c r="M71" s="1536"/>
      <c r="N71" s="1536"/>
      <c r="O71" s="1536"/>
      <c r="P71" s="1536"/>
      <c r="Q71" s="1536"/>
      <c r="R71" s="1536"/>
      <c r="S71" s="1536"/>
      <c r="T71" s="1536"/>
      <c r="U71" s="1536"/>
      <c r="V71" s="1536"/>
      <c r="W71" s="1536"/>
      <c r="X71" s="1536"/>
      <c r="Y71" s="1536"/>
      <c r="Z71" s="1536"/>
      <c r="AA71" s="1536"/>
      <c r="AB71" s="1536"/>
      <c r="AC71" s="1571"/>
      <c r="AD71" s="1536"/>
      <c r="AE71" s="1536"/>
      <c r="AF71" s="1536"/>
      <c r="AG71" s="1536"/>
      <c r="AH71" s="1536"/>
      <c r="AI71" s="1575">
        <f t="shared" si="10"/>
        <v>0</v>
      </c>
      <c r="AJ71" s="1605">
        <f t="shared" si="11"/>
        <v>0</v>
      </c>
      <c r="AK71" s="1561">
        <f>'WEEKLY FC'!F114</f>
        <v>0</v>
      </c>
      <c r="AL71" s="1606">
        <f>'WEEKLY FC'!D114</f>
        <v>0</v>
      </c>
      <c r="AM71" s="1575">
        <f t="shared" si="12"/>
        <v>0</v>
      </c>
      <c r="AN71" s="1580">
        <f t="shared" si="13"/>
        <v>0</v>
      </c>
    </row>
    <row r="72" spans="2:42" ht="30" customHeight="1">
      <c r="B72" s="1542"/>
      <c r="C72" s="1517">
        <v>22</v>
      </c>
      <c r="D72" s="1558" t="str">
        <f>'WEEKLY FC'!B115</f>
        <v>STEE</v>
      </c>
      <c r="E72" s="1530">
        <v>475191</v>
      </c>
      <c r="F72" s="1531">
        <v>300</v>
      </c>
      <c r="G72" s="1532">
        <v>177404.64</v>
      </c>
      <c r="H72" s="1531">
        <v>112</v>
      </c>
      <c r="I72" s="1536"/>
      <c r="J72" s="1536"/>
      <c r="K72" s="1536"/>
      <c r="L72" s="1536"/>
      <c r="M72" s="1536"/>
      <c r="N72" s="1536"/>
      <c r="O72" s="1536"/>
      <c r="P72" s="1536"/>
      <c r="Q72" s="1536"/>
      <c r="R72" s="1536"/>
      <c r="S72" s="1536"/>
      <c r="T72" s="1536"/>
      <c r="U72" s="1536"/>
      <c r="V72" s="1536"/>
      <c r="W72" s="1536"/>
      <c r="X72" s="1536"/>
      <c r="Y72" s="1536"/>
      <c r="Z72" s="1536"/>
      <c r="AA72" s="1536"/>
      <c r="AB72" s="1536"/>
      <c r="AC72" s="1571">
        <f>-'TO - TI'!N13</f>
        <v>0</v>
      </c>
      <c r="AD72" s="1536">
        <f>-'TO - TI'!L13</f>
        <v>0</v>
      </c>
      <c r="AE72" s="1536"/>
      <c r="AF72" s="1536"/>
      <c r="AG72" s="1536">
        <f>'PEMBELIAN KREDIT'!G23</f>
        <v>380153</v>
      </c>
      <c r="AH72" s="1536">
        <f>'PEMBELIAN KREDIT'!E23</f>
        <v>240</v>
      </c>
      <c r="AI72" s="1683">
        <f t="shared" si="10"/>
        <v>380153</v>
      </c>
      <c r="AJ72" s="1605">
        <f t="shared" si="11"/>
        <v>240</v>
      </c>
      <c r="AK72" s="1561">
        <f>'WEEKLY FC'!F115</f>
        <v>251851.23</v>
      </c>
      <c r="AL72" s="1606">
        <f>'WEEKLY FC'!D115</f>
        <v>159</v>
      </c>
      <c r="AM72" s="1683">
        <f t="shared" si="12"/>
        <v>305706.40999999997</v>
      </c>
      <c r="AN72" s="1580">
        <f t="shared" si="13"/>
        <v>193</v>
      </c>
    </row>
    <row r="73" spans="2:42" ht="30" customHeight="1">
      <c r="B73" s="1542"/>
      <c r="C73" s="1533">
        <v>23</v>
      </c>
      <c r="D73" s="1558" t="str">
        <f>'WEEKLY FC'!B116</f>
        <v>THAI GREEN TEA</v>
      </c>
      <c r="E73" s="1530">
        <v>9706.9500000000007</v>
      </c>
      <c r="F73" s="1531">
        <v>3</v>
      </c>
      <c r="G73" s="1532">
        <v>3235.65</v>
      </c>
      <c r="H73" s="1531">
        <v>1</v>
      </c>
      <c r="I73" s="1536"/>
      <c r="J73" s="1536"/>
      <c r="K73" s="1536"/>
      <c r="L73" s="1536"/>
      <c r="M73" s="1536"/>
      <c r="N73" s="1536"/>
      <c r="O73" s="1536"/>
      <c r="P73" s="1536"/>
      <c r="Q73" s="1536"/>
      <c r="R73" s="1536"/>
      <c r="S73" s="1536"/>
      <c r="T73" s="1536"/>
      <c r="U73" s="1536"/>
      <c r="V73" s="1536"/>
      <c r="W73" s="1536"/>
      <c r="X73" s="1536"/>
      <c r="Y73" s="1536"/>
      <c r="Z73" s="1536"/>
      <c r="AA73" s="1536"/>
      <c r="AB73" s="1536"/>
      <c r="AC73" s="1571"/>
      <c r="AD73" s="1536"/>
      <c r="AE73" s="1678"/>
      <c r="AF73" s="1536"/>
      <c r="AG73" s="1536"/>
      <c r="AH73" s="1536"/>
      <c r="AI73" s="1683">
        <f t="shared" si="10"/>
        <v>0</v>
      </c>
      <c r="AJ73" s="1605">
        <f t="shared" si="11"/>
        <v>0</v>
      </c>
      <c r="AK73" s="1561">
        <f>'WEEKLY FC'!F116</f>
        <v>0</v>
      </c>
      <c r="AL73" s="1606">
        <f>'WEEKLY FC'!D116</f>
        <v>0</v>
      </c>
      <c r="AM73" s="1683">
        <f t="shared" si="12"/>
        <v>3235.65</v>
      </c>
      <c r="AN73" s="1580">
        <f t="shared" si="13"/>
        <v>1</v>
      </c>
    </row>
    <row r="74" spans="2:42" ht="30" customHeight="1">
      <c r="B74" s="1542"/>
      <c r="C74" s="1517">
        <v>24</v>
      </c>
      <c r="D74" s="1558" t="str">
        <f>'WEEKLY FC'!B117</f>
        <v>RED VALVET</v>
      </c>
      <c r="E74" s="1530">
        <v>0</v>
      </c>
      <c r="F74" s="1531">
        <v>0</v>
      </c>
      <c r="G74" s="1532">
        <v>40293</v>
      </c>
      <c r="H74" s="1531">
        <v>11</v>
      </c>
      <c r="I74" s="1536"/>
      <c r="J74" s="1536"/>
      <c r="K74" s="1536"/>
      <c r="L74" s="1536"/>
      <c r="M74" s="1536"/>
      <c r="N74" s="1536"/>
      <c r="O74" s="1536"/>
      <c r="P74" s="1536"/>
      <c r="Q74" s="1536"/>
      <c r="R74" s="1536"/>
      <c r="S74" s="1536"/>
      <c r="T74" s="1536"/>
      <c r="U74" s="1536"/>
      <c r="V74" s="1536"/>
      <c r="W74" s="1536"/>
      <c r="X74" s="1536"/>
      <c r="Y74" s="1536"/>
      <c r="Z74" s="1536"/>
      <c r="AA74" s="1536"/>
      <c r="AB74" s="1536"/>
      <c r="AC74" s="1571"/>
      <c r="AD74" s="1536"/>
      <c r="AE74" s="1536"/>
      <c r="AF74" s="1536"/>
      <c r="AG74" s="1536"/>
      <c r="AH74" s="1536"/>
      <c r="AI74" s="1683">
        <f t="shared" si="10"/>
        <v>0</v>
      </c>
      <c r="AJ74" s="1605">
        <f t="shared" si="11"/>
        <v>0</v>
      </c>
      <c r="AK74" s="1561">
        <f>'WEEKLY FC'!F117</f>
        <v>32967</v>
      </c>
      <c r="AL74" s="1606">
        <f>'WEEKLY FC'!D117</f>
        <v>9</v>
      </c>
      <c r="AM74" s="1683">
        <f t="shared" si="12"/>
        <v>7326</v>
      </c>
      <c r="AN74" s="1580">
        <f t="shared" si="13"/>
        <v>2</v>
      </c>
    </row>
    <row r="75" spans="2:42" ht="30" customHeight="1">
      <c r="B75" s="1542"/>
      <c r="C75" s="1533">
        <v>25</v>
      </c>
      <c r="D75" s="1558" t="str">
        <f>'WEEKLY FC'!B118</f>
        <v>MILKY MANGGO</v>
      </c>
      <c r="E75" s="1530">
        <v>8424.9</v>
      </c>
      <c r="F75" s="1531">
        <v>3</v>
      </c>
      <c r="G75" s="1532">
        <v>28083</v>
      </c>
      <c r="H75" s="1531">
        <v>10</v>
      </c>
      <c r="I75" s="1536"/>
      <c r="J75" s="1536"/>
      <c r="K75" s="1536"/>
      <c r="L75" s="1536"/>
      <c r="M75" s="1536"/>
      <c r="N75" s="1536"/>
      <c r="O75" s="1536"/>
      <c r="P75" s="1536"/>
      <c r="Q75" s="1536"/>
      <c r="R75" s="1536"/>
      <c r="S75" s="1536"/>
      <c r="T75" s="1536"/>
      <c r="U75" s="1536"/>
      <c r="V75" s="1536"/>
      <c r="W75" s="1536"/>
      <c r="X75" s="1536"/>
      <c r="Y75" s="1536"/>
      <c r="Z75" s="1536"/>
      <c r="AA75" s="1536"/>
      <c r="AB75" s="1536"/>
      <c r="AC75" s="1571"/>
      <c r="AD75" s="1536"/>
      <c r="AE75" s="1678"/>
      <c r="AF75" s="1536"/>
      <c r="AG75" s="1536"/>
      <c r="AH75" s="1536"/>
      <c r="AI75" s="1683">
        <f t="shared" si="10"/>
        <v>0</v>
      </c>
      <c r="AJ75" s="1605">
        <f t="shared" si="11"/>
        <v>0</v>
      </c>
      <c r="AK75" s="1561">
        <f>'WEEKLY FC'!F118</f>
        <v>28083</v>
      </c>
      <c r="AL75" s="1606">
        <f>'WEEKLY FC'!D118</f>
        <v>10</v>
      </c>
      <c r="AM75" s="1683">
        <f t="shared" si="12"/>
        <v>0</v>
      </c>
      <c r="AN75" s="1580">
        <f t="shared" si="13"/>
        <v>0</v>
      </c>
    </row>
    <row r="76" spans="2:42" ht="30" customHeight="1">
      <c r="B76" s="1542"/>
      <c r="C76" s="1517">
        <v>26</v>
      </c>
      <c r="D76" s="1558" t="str">
        <f>'WEEKLY FC'!B119</f>
        <v>AIR MINERAL BOTOL (AMB) 330 ML</v>
      </c>
      <c r="E76" s="1530">
        <v>0</v>
      </c>
      <c r="F76" s="1531">
        <v>0</v>
      </c>
      <c r="G76" s="1532">
        <v>0</v>
      </c>
      <c r="H76" s="1531">
        <v>0</v>
      </c>
      <c r="I76" s="1536"/>
      <c r="J76" s="1536"/>
      <c r="K76" s="1536"/>
      <c r="L76" s="1536"/>
      <c r="M76" s="1536"/>
      <c r="N76" s="1536"/>
      <c r="O76" s="1536"/>
      <c r="P76" s="1536"/>
      <c r="Q76" s="1536"/>
      <c r="R76" s="1536"/>
      <c r="S76" s="1536"/>
      <c r="T76" s="1536"/>
      <c r="U76" s="1536"/>
      <c r="V76" s="1536"/>
      <c r="W76" s="1536"/>
      <c r="X76" s="1536"/>
      <c r="Y76" s="1536"/>
      <c r="Z76" s="1536"/>
      <c r="AA76" s="1536"/>
      <c r="AB76" s="1536"/>
      <c r="AC76" s="1571"/>
      <c r="AD76" s="1536"/>
      <c r="AE76" s="1536"/>
      <c r="AF76" s="1536"/>
      <c r="AG76" s="1536"/>
      <c r="AH76" s="1536"/>
      <c r="AI76" s="1683">
        <f t="shared" si="10"/>
        <v>0</v>
      </c>
      <c r="AJ76" s="1605">
        <f t="shared" si="11"/>
        <v>0</v>
      </c>
      <c r="AK76" s="1561">
        <f>'WEEKLY FC'!F119</f>
        <v>0</v>
      </c>
      <c r="AL76" s="1606">
        <f>'WEEKLY FC'!D119</f>
        <v>0</v>
      </c>
      <c r="AM76" s="1683">
        <f t="shared" si="12"/>
        <v>0</v>
      </c>
      <c r="AN76" s="1580">
        <f t="shared" si="13"/>
        <v>0</v>
      </c>
    </row>
    <row r="77" spans="2:42" ht="30" customHeight="1">
      <c r="B77" s="1542"/>
      <c r="C77" s="1533">
        <v>27</v>
      </c>
      <c r="D77" s="1558" t="str">
        <f>'WEEKLY FC'!B120</f>
        <v>TEH RC</v>
      </c>
      <c r="E77" s="1530">
        <v>0</v>
      </c>
      <c r="F77" s="1531">
        <v>0</v>
      </c>
      <c r="G77" s="1532">
        <v>0</v>
      </c>
      <c r="H77" s="1531">
        <v>0</v>
      </c>
      <c r="I77" s="1532"/>
      <c r="J77" s="1563"/>
      <c r="K77" s="1532"/>
      <c r="L77" s="1563"/>
      <c r="M77" s="1532"/>
      <c r="N77" s="1563"/>
      <c r="O77" s="1532"/>
      <c r="P77" s="1563"/>
      <c r="Q77" s="1532"/>
      <c r="R77" s="1563"/>
      <c r="S77" s="1532"/>
      <c r="T77" s="1563"/>
      <c r="U77" s="1532"/>
      <c r="V77" s="1563"/>
      <c r="W77" s="1532"/>
      <c r="X77" s="1563"/>
      <c r="Y77" s="1532"/>
      <c r="Z77" s="1563"/>
      <c r="AA77" s="1532"/>
      <c r="AB77" s="1563"/>
      <c r="AC77" s="1570"/>
      <c r="AD77" s="1563"/>
      <c r="AE77" s="1532"/>
      <c r="AF77" s="1563"/>
      <c r="AG77" s="1532"/>
      <c r="AH77" s="1563"/>
      <c r="AI77" s="1683">
        <f t="shared" si="10"/>
        <v>0</v>
      </c>
      <c r="AJ77" s="1608">
        <f t="shared" si="11"/>
        <v>0</v>
      </c>
      <c r="AK77" s="1561">
        <f>'WEEKLY FC'!F120</f>
        <v>0</v>
      </c>
      <c r="AL77" s="1609">
        <f>'WEEKLY FC'!D120</f>
        <v>0</v>
      </c>
      <c r="AM77" s="1683">
        <f t="shared" si="12"/>
        <v>0</v>
      </c>
      <c r="AN77" s="1577">
        <f t="shared" si="13"/>
        <v>0</v>
      </c>
    </row>
    <row r="78" spans="2:42" ht="30" customHeight="1">
      <c r="B78" s="1542"/>
      <c r="C78" s="1517">
        <v>28</v>
      </c>
      <c r="D78" s="1558" t="str">
        <f>'WEEKLY FC'!B121</f>
        <v>TEH BOTOL 1 LITER</v>
      </c>
      <c r="E78" s="1530">
        <v>0</v>
      </c>
      <c r="F78" s="1531">
        <v>0</v>
      </c>
      <c r="G78" s="1532">
        <v>0</v>
      </c>
      <c r="H78" s="1531">
        <v>0</v>
      </c>
      <c r="I78" s="1532"/>
      <c r="J78" s="1532"/>
      <c r="K78" s="1532"/>
      <c r="L78" s="1532"/>
      <c r="M78" s="1532"/>
      <c r="N78" s="1532"/>
      <c r="O78" s="1532"/>
      <c r="P78" s="1532"/>
      <c r="Q78" s="1532"/>
      <c r="R78" s="1532"/>
      <c r="S78" s="1532"/>
      <c r="T78" s="1532"/>
      <c r="U78" s="1532"/>
      <c r="V78" s="1532"/>
      <c r="W78" s="1532"/>
      <c r="X78" s="1532"/>
      <c r="Y78" s="1532"/>
      <c r="Z78" s="1532"/>
      <c r="AA78" s="1532"/>
      <c r="AB78" s="1532"/>
      <c r="AC78" s="1570"/>
      <c r="AD78" s="1532"/>
      <c r="AE78" s="1532"/>
      <c r="AF78" s="1532"/>
      <c r="AG78" s="1532">
        <f>'PEMBELIAN KREDIT'!G26</f>
        <v>283500</v>
      </c>
      <c r="AH78" s="1581">
        <f>'PEMBELIAN KREDIT'!E26</f>
        <v>36</v>
      </c>
      <c r="AI78" s="1683">
        <f t="shared" si="10"/>
        <v>283500</v>
      </c>
      <c r="AJ78" s="1605">
        <f t="shared" si="11"/>
        <v>36</v>
      </c>
      <c r="AK78" s="1561">
        <f>'WEEKLY FC'!F121</f>
        <v>283500</v>
      </c>
      <c r="AL78" s="1606">
        <f>'WEEKLY FC'!D121</f>
        <v>36</v>
      </c>
      <c r="AM78" s="1683">
        <f t="shared" si="12"/>
        <v>0</v>
      </c>
      <c r="AN78" s="1580">
        <f t="shared" si="13"/>
        <v>0</v>
      </c>
    </row>
    <row r="79" spans="2:42" ht="30" customHeight="1">
      <c r="B79" s="1542"/>
      <c r="C79" s="1533">
        <v>29</v>
      </c>
      <c r="D79" s="1558">
        <f>'WEEKLY FC'!B122</f>
        <v>0</v>
      </c>
      <c r="E79" s="1530">
        <v>0</v>
      </c>
      <c r="F79" s="1531">
        <v>0</v>
      </c>
      <c r="G79" s="1532">
        <v>0</v>
      </c>
      <c r="H79" s="1531">
        <v>0</v>
      </c>
      <c r="I79" s="1532"/>
      <c r="J79" s="1532"/>
      <c r="K79" s="1532"/>
      <c r="L79" s="1532"/>
      <c r="M79" s="1532"/>
      <c r="N79" s="1532"/>
      <c r="O79" s="1532"/>
      <c r="P79" s="1532"/>
      <c r="Q79" s="1532"/>
      <c r="R79" s="1532"/>
      <c r="S79" s="1532"/>
      <c r="T79" s="1532"/>
      <c r="U79" s="1532"/>
      <c r="V79" s="1532"/>
      <c r="W79" s="1532"/>
      <c r="X79" s="1532"/>
      <c r="Y79" s="1532"/>
      <c r="Z79" s="1532"/>
      <c r="AA79" s="1532"/>
      <c r="AB79" s="1532"/>
      <c r="AC79" s="1570"/>
      <c r="AD79" s="1532"/>
      <c r="AE79" s="1532"/>
      <c r="AF79" s="1532"/>
      <c r="AG79" s="1532"/>
      <c r="AH79" s="1581"/>
      <c r="AI79" s="1683">
        <f t="shared" si="10"/>
        <v>0</v>
      </c>
      <c r="AJ79" s="1605">
        <f t="shared" si="11"/>
        <v>0</v>
      </c>
      <c r="AK79" s="1561">
        <f>'WEEKLY FC'!F122</f>
        <v>0</v>
      </c>
      <c r="AL79" s="1606">
        <f>'WEEKLY FC'!D122</f>
        <v>0</v>
      </c>
      <c r="AM79" s="1683">
        <f t="shared" si="12"/>
        <v>0</v>
      </c>
      <c r="AN79" s="1580">
        <f t="shared" si="13"/>
        <v>0</v>
      </c>
    </row>
    <row r="80" spans="2:42" ht="30" customHeight="1">
      <c r="B80" s="1542"/>
      <c r="C80" s="1517">
        <v>30</v>
      </c>
      <c r="D80" s="1558">
        <f>'WEEKLY FC'!B123</f>
        <v>0</v>
      </c>
      <c r="E80" s="1530">
        <v>0</v>
      </c>
      <c r="F80" s="1531">
        <v>0</v>
      </c>
      <c r="G80" s="1532">
        <v>0</v>
      </c>
      <c r="H80" s="1531">
        <v>0</v>
      </c>
      <c r="I80" s="1532"/>
      <c r="J80" s="1532"/>
      <c r="K80" s="1532"/>
      <c r="L80" s="1532"/>
      <c r="M80" s="1532"/>
      <c r="N80" s="1532"/>
      <c r="O80" s="1532"/>
      <c r="P80" s="1532"/>
      <c r="Q80" s="1532"/>
      <c r="R80" s="1532"/>
      <c r="S80" s="1532"/>
      <c r="T80" s="1532"/>
      <c r="U80" s="1532"/>
      <c r="V80" s="1532"/>
      <c r="W80" s="1532"/>
      <c r="X80" s="1532"/>
      <c r="Y80" s="1532"/>
      <c r="Z80" s="1532"/>
      <c r="AA80" s="1532"/>
      <c r="AB80" s="1532"/>
      <c r="AC80" s="1570"/>
      <c r="AD80" s="1532"/>
      <c r="AE80" s="1532"/>
      <c r="AF80" s="1532"/>
      <c r="AG80" s="1532"/>
      <c r="AH80" s="1581"/>
      <c r="AI80" s="1683">
        <f t="shared" si="10"/>
        <v>0</v>
      </c>
      <c r="AJ80" s="1605">
        <f t="shared" si="11"/>
        <v>0</v>
      </c>
      <c r="AK80" s="1561">
        <f>'WEEKLY FC'!F123</f>
        <v>0</v>
      </c>
      <c r="AL80" s="1606">
        <f>'WEEKLY FC'!D123</f>
        <v>0</v>
      </c>
      <c r="AM80" s="1683">
        <f t="shared" si="12"/>
        <v>0</v>
      </c>
      <c r="AN80" s="1580">
        <f t="shared" si="13"/>
        <v>0</v>
      </c>
    </row>
    <row r="81" spans="2:40" ht="30" customHeight="1">
      <c r="B81" s="1542"/>
      <c r="C81" s="1533">
        <v>31</v>
      </c>
      <c r="D81" s="1558">
        <f>'WEEKLY FC'!B124</f>
        <v>0</v>
      </c>
      <c r="E81" s="1530">
        <v>0</v>
      </c>
      <c r="F81" s="1531">
        <v>0</v>
      </c>
      <c r="G81" s="1532">
        <v>0</v>
      </c>
      <c r="H81" s="1531">
        <v>0</v>
      </c>
      <c r="I81" s="1532"/>
      <c r="J81" s="1532"/>
      <c r="K81" s="1532"/>
      <c r="L81" s="1532"/>
      <c r="M81" s="1532"/>
      <c r="N81" s="1532"/>
      <c r="O81" s="1532"/>
      <c r="P81" s="1532"/>
      <c r="Q81" s="1532"/>
      <c r="R81" s="1532"/>
      <c r="S81" s="1532"/>
      <c r="T81" s="1532"/>
      <c r="U81" s="1532"/>
      <c r="V81" s="1532"/>
      <c r="W81" s="1532"/>
      <c r="X81" s="1532"/>
      <c r="Y81" s="1532"/>
      <c r="Z81" s="1532"/>
      <c r="AA81" s="1532"/>
      <c r="AB81" s="1532"/>
      <c r="AC81" s="1570"/>
      <c r="AD81" s="1532"/>
      <c r="AE81" s="1532"/>
      <c r="AF81" s="1532"/>
      <c r="AG81" s="1532"/>
      <c r="AH81" s="1581"/>
      <c r="AI81" s="1683">
        <f t="shared" si="10"/>
        <v>0</v>
      </c>
      <c r="AJ81" s="1605">
        <f t="shared" si="11"/>
        <v>0</v>
      </c>
      <c r="AK81" s="1561">
        <f>'WEEKLY FC'!F124</f>
        <v>0</v>
      </c>
      <c r="AL81" s="1606">
        <f>'WEEKLY FC'!D124</f>
        <v>0</v>
      </c>
      <c r="AM81" s="1683">
        <f t="shared" si="12"/>
        <v>0</v>
      </c>
      <c r="AN81" s="1580">
        <f t="shared" si="13"/>
        <v>0</v>
      </c>
    </row>
    <row r="82" spans="2:40" ht="30" customHeight="1">
      <c r="B82" s="1661"/>
      <c r="C82" s="1662"/>
      <c r="D82" s="1662" t="s">
        <v>146</v>
      </c>
      <c r="E82" s="2290">
        <f>SUM(E10:E81)</f>
        <v>14241567.1064821</v>
      </c>
      <c r="F82" s="2291"/>
      <c r="G82" s="2292">
        <f>SUM(G10:G81)</f>
        <v>10088305.3118087</v>
      </c>
      <c r="H82" s="2291"/>
      <c r="I82" s="2292">
        <f>SUM(I10:I81)</f>
        <v>21000</v>
      </c>
      <c r="J82" s="2291"/>
      <c r="K82" s="2292">
        <f>SUM(K10:K81)</f>
        <v>80900</v>
      </c>
      <c r="L82" s="2291"/>
      <c r="M82" s="2292">
        <f>SUM(M10:M81)</f>
        <v>91000</v>
      </c>
      <c r="N82" s="2291"/>
      <c r="O82" s="2292">
        <f>SUM(O10:O81)</f>
        <v>126300</v>
      </c>
      <c r="P82" s="2291"/>
      <c r="Q82" s="2292">
        <f>SUM(Q10:Q81)</f>
        <v>27000</v>
      </c>
      <c r="R82" s="2291"/>
      <c r="S82" s="2292">
        <f>SUM(S10:S81)</f>
        <v>84480</v>
      </c>
      <c r="T82" s="2291"/>
      <c r="U82" s="2292">
        <f>SUM(U10:U81)</f>
        <v>21000</v>
      </c>
      <c r="V82" s="2291"/>
      <c r="W82" s="2292">
        <f>SUM(W10:W81)</f>
        <v>0</v>
      </c>
      <c r="X82" s="2291"/>
      <c r="Y82" s="2292">
        <f>SUM(Y10:Y81)</f>
        <v>0</v>
      </c>
      <c r="Z82" s="2291"/>
      <c r="AA82" s="2292">
        <f>SUM(AA10:AA81)</f>
        <v>0</v>
      </c>
      <c r="AB82" s="2291"/>
      <c r="AC82" s="2293">
        <f>SUM(AC10:AC81)</f>
        <v>27655.983841614099</v>
      </c>
      <c r="AD82" s="2294"/>
      <c r="AE82" s="2292">
        <f>SUM(AE10:AE81)</f>
        <v>0</v>
      </c>
      <c r="AF82" s="2291"/>
      <c r="AG82" s="2292">
        <f>SUM(AG10:AG81)</f>
        <v>9812503</v>
      </c>
      <c r="AH82" s="2291"/>
      <c r="AI82" s="2295">
        <f t="shared" si="10"/>
        <v>10291838.9838416</v>
      </c>
      <c r="AJ82" s="2296"/>
      <c r="AK82" s="2292">
        <f>SUM(AK10:AK81)</f>
        <v>10366577.4787315</v>
      </c>
      <c r="AL82" s="2291"/>
      <c r="AM82" s="2295">
        <f>SUM(AM10:AM81)</f>
        <v>10013566.8169189</v>
      </c>
      <c r="AN82" s="2297"/>
    </row>
    <row r="83" spans="2:40" ht="9.75" customHeight="1">
      <c r="B83" s="1507"/>
      <c r="C83" s="1507"/>
      <c r="D83" s="1507"/>
      <c r="E83" s="1663"/>
      <c r="F83" s="1664"/>
      <c r="G83" s="1663"/>
      <c r="H83" s="1664"/>
      <c r="I83" s="1663"/>
      <c r="J83" s="1664"/>
      <c r="K83" s="1663"/>
      <c r="L83" s="1664"/>
      <c r="M83" s="1663"/>
      <c r="N83" s="1664"/>
      <c r="O83" s="1663"/>
      <c r="P83" s="1664"/>
      <c r="Q83" s="1663"/>
      <c r="R83" s="1664"/>
      <c r="S83" s="1663"/>
      <c r="T83" s="1664"/>
      <c r="U83" s="1663"/>
      <c r="V83" s="1664"/>
      <c r="W83" s="1663"/>
      <c r="X83" s="1664"/>
      <c r="Y83" s="1663"/>
      <c r="Z83" s="1664"/>
      <c r="AA83" s="1663"/>
      <c r="AB83" s="1664"/>
      <c r="AC83" s="1679"/>
      <c r="AD83" s="1680"/>
      <c r="AE83" s="1663"/>
      <c r="AF83" s="1664"/>
      <c r="AG83" s="1663"/>
      <c r="AH83" s="1664"/>
      <c r="AI83" s="1684"/>
      <c r="AJ83" s="1685"/>
      <c r="AK83" s="1663"/>
      <c r="AL83" s="1664"/>
      <c r="AM83" s="1684"/>
      <c r="AN83" s="1685"/>
    </row>
    <row r="84" spans="2:40" ht="20.25" customHeight="1">
      <c r="B84" s="2298" t="s">
        <v>500</v>
      </c>
      <c r="C84" s="2298"/>
      <c r="D84" s="2298"/>
      <c r="E84" s="2298"/>
      <c r="F84" s="2298"/>
      <c r="G84" s="2298"/>
      <c r="H84" s="2298"/>
      <c r="I84" s="2298"/>
      <c r="J84" s="2298"/>
      <c r="K84" s="2298"/>
      <c r="L84" s="2298"/>
      <c r="M84" s="2298"/>
      <c r="N84" s="2298"/>
      <c r="O84" s="2298"/>
      <c r="P84" s="2298"/>
      <c r="Q84" s="2298"/>
      <c r="R84" s="2298"/>
      <c r="S84" s="2298"/>
      <c r="T84" s="2298"/>
      <c r="U84" s="2298"/>
      <c r="V84" s="2298"/>
      <c r="W84" s="2298"/>
      <c r="X84" s="2298"/>
      <c r="Y84" s="2298"/>
      <c r="Z84" s="2298"/>
      <c r="AA84" s="2298"/>
      <c r="AB84" s="2298"/>
      <c r="AC84" s="2298"/>
      <c r="AD84" s="2298"/>
      <c r="AE84" s="2298"/>
      <c r="AF84" s="2298"/>
      <c r="AG84" s="2298"/>
      <c r="AH84" s="2298"/>
      <c r="AI84" s="2298"/>
      <c r="AJ84" s="2298"/>
      <c r="AK84" s="2298"/>
      <c r="AL84" s="2298"/>
      <c r="AM84" s="2298"/>
      <c r="AN84" s="2298"/>
    </row>
    <row r="85" spans="2:40" ht="18" customHeight="1">
      <c r="B85" s="2298" t="s">
        <v>501</v>
      </c>
      <c r="C85" s="2298"/>
      <c r="D85" s="2298"/>
      <c r="E85" s="2298"/>
      <c r="F85" s="2298"/>
      <c r="G85" s="2298"/>
      <c r="H85" s="2298"/>
      <c r="I85" s="2298"/>
      <c r="J85" s="2298"/>
      <c r="K85" s="2298"/>
      <c r="L85" s="2298"/>
      <c r="M85" s="2298"/>
      <c r="N85" s="2298"/>
      <c r="O85" s="2298"/>
      <c r="P85" s="2298"/>
      <c r="Q85" s="2298"/>
      <c r="R85" s="2298"/>
      <c r="S85" s="2298"/>
      <c r="T85" s="2298"/>
      <c r="U85" s="2298"/>
      <c r="V85" s="2298"/>
      <c r="W85" s="2298"/>
      <c r="X85" s="2298"/>
      <c r="Y85" s="2298"/>
      <c r="Z85" s="2298"/>
      <c r="AA85" s="2298"/>
      <c r="AB85" s="2298"/>
      <c r="AC85" s="2298"/>
      <c r="AD85" s="2298"/>
      <c r="AE85" s="2298"/>
      <c r="AF85" s="2298"/>
      <c r="AG85" s="2298"/>
      <c r="AH85" s="2298"/>
      <c r="AI85" s="2298"/>
      <c r="AJ85" s="2298"/>
      <c r="AK85" s="2298"/>
      <c r="AL85" s="2298"/>
      <c r="AM85" s="2298"/>
      <c r="AN85" s="2298"/>
    </row>
    <row r="86" spans="2:40" ht="13.5" customHeight="1">
      <c r="B86" s="1161"/>
      <c r="C86" s="1665"/>
      <c r="D86" s="1666"/>
      <c r="E86" s="1667"/>
    </row>
    <row r="87" spans="2:40" ht="25.15" customHeight="1">
      <c r="B87" s="2264" t="s">
        <v>456</v>
      </c>
      <c r="C87" s="2264"/>
      <c r="D87" s="2264"/>
      <c r="E87" s="2264"/>
      <c r="F87" s="2264"/>
      <c r="G87" s="2264"/>
      <c r="H87" s="2264"/>
      <c r="I87" s="2264"/>
      <c r="J87" s="2264"/>
      <c r="K87" s="2264"/>
      <c r="L87" s="2264"/>
      <c r="M87" s="2264"/>
      <c r="N87" s="2264"/>
      <c r="O87" s="2264"/>
      <c r="P87" s="2264"/>
      <c r="Q87" s="2264"/>
      <c r="R87" s="2264"/>
      <c r="S87" s="2264"/>
      <c r="T87" s="2264"/>
      <c r="U87" s="2264"/>
      <c r="V87" s="2264"/>
      <c r="W87" s="2264"/>
      <c r="X87" s="2264"/>
      <c r="Y87" s="2264"/>
      <c r="Z87" s="2264"/>
      <c r="AA87" s="2264"/>
      <c r="AB87" s="2264"/>
      <c r="AC87" s="2264"/>
      <c r="AD87" s="2264"/>
      <c r="AE87" s="2264"/>
      <c r="AF87" s="2264"/>
      <c r="AG87" s="2264"/>
      <c r="AH87" s="2264"/>
      <c r="AI87" s="2264"/>
      <c r="AJ87" s="2264"/>
      <c r="AK87" s="2264"/>
      <c r="AL87" s="2264"/>
      <c r="AM87" s="2264"/>
      <c r="AN87" s="2264"/>
    </row>
    <row r="88" spans="2:40" ht="14.25" customHeight="1">
      <c r="AI88" s="1509" t="s">
        <v>358</v>
      </c>
      <c r="AJ88" s="2299" t="str">
        <f>AJ2</f>
        <v>RC SAMATA GOWA</v>
      </c>
      <c r="AK88" s="2299"/>
      <c r="AL88" s="2299"/>
      <c r="AM88" s="2299"/>
    </row>
    <row r="89" spans="2:40" ht="23.25" customHeight="1">
      <c r="AI89" s="1509" t="s">
        <v>360</v>
      </c>
      <c r="AJ89" s="2266" t="str">
        <f>AJ3</f>
        <v>8-14 JANUARI 2025</v>
      </c>
      <c r="AK89" s="2265"/>
      <c r="AL89" s="2265"/>
      <c r="AM89" s="2265"/>
    </row>
    <row r="90" spans="2:40" ht="30" customHeight="1">
      <c r="B90" s="2388" t="s">
        <v>458</v>
      </c>
      <c r="C90" s="2271" t="s">
        <v>65</v>
      </c>
      <c r="D90" s="1513"/>
      <c r="E90" s="2269" t="s">
        <v>459</v>
      </c>
      <c r="F90" s="2300"/>
      <c r="G90" s="2300" t="s">
        <v>460</v>
      </c>
      <c r="H90" s="2300"/>
      <c r="I90" s="2302">
        <f>I5</f>
        <v>46030</v>
      </c>
      <c r="J90" s="2302"/>
      <c r="K90" s="2302">
        <f>K5</f>
        <v>46031</v>
      </c>
      <c r="L90" s="2302"/>
      <c r="M90" s="2302">
        <f>M5</f>
        <v>46032</v>
      </c>
      <c r="N90" s="2302"/>
      <c r="O90" s="2302">
        <f>O5</f>
        <v>46033</v>
      </c>
      <c r="P90" s="2302"/>
      <c r="Q90" s="2302">
        <f>Q5</f>
        <v>46034</v>
      </c>
      <c r="R90" s="2302"/>
      <c r="S90" s="2302">
        <f>S5</f>
        <v>46035</v>
      </c>
      <c r="T90" s="2302"/>
      <c r="U90" s="2302">
        <f>U5</f>
        <v>46036</v>
      </c>
      <c r="V90" s="2302"/>
      <c r="W90" s="2302">
        <f>W5</f>
        <v>0</v>
      </c>
      <c r="X90" s="2302"/>
      <c r="Y90" s="2302">
        <f>Y5</f>
        <v>0</v>
      </c>
      <c r="Z90" s="2302"/>
      <c r="AA90" s="2302">
        <f>AA5</f>
        <v>0</v>
      </c>
      <c r="AB90" s="2302"/>
      <c r="AC90" s="2270" t="s">
        <v>502</v>
      </c>
      <c r="AD90" s="2269"/>
      <c r="AE90" s="2276" t="s">
        <v>462</v>
      </c>
      <c r="AF90" s="2277"/>
      <c r="AG90" s="2276" t="s">
        <v>463</v>
      </c>
      <c r="AH90" s="2277"/>
      <c r="AI90" s="2300" t="s">
        <v>310</v>
      </c>
      <c r="AJ90" s="2300"/>
      <c r="AK90" s="2300" t="s">
        <v>460</v>
      </c>
      <c r="AL90" s="2300"/>
      <c r="AM90" s="2300" t="s">
        <v>459</v>
      </c>
      <c r="AN90" s="2301"/>
    </row>
    <row r="91" spans="2:40" ht="30" customHeight="1">
      <c r="B91" s="2389"/>
      <c r="C91" s="2287"/>
      <c r="D91" s="2406" t="s">
        <v>464</v>
      </c>
      <c r="E91" s="2283" t="s">
        <v>465</v>
      </c>
      <c r="F91" s="2304"/>
      <c r="G91" s="2304" t="s">
        <v>466</v>
      </c>
      <c r="H91" s="2304"/>
      <c r="I91" s="2303"/>
      <c r="J91" s="2303"/>
      <c r="K91" s="2303"/>
      <c r="L91" s="2303"/>
      <c r="M91" s="2303"/>
      <c r="N91" s="2303"/>
      <c r="O91" s="2303"/>
      <c r="P91" s="2303"/>
      <c r="Q91" s="2303"/>
      <c r="R91" s="2303"/>
      <c r="S91" s="2303"/>
      <c r="T91" s="2303"/>
      <c r="U91" s="2303"/>
      <c r="V91" s="2303"/>
      <c r="W91" s="2303"/>
      <c r="X91" s="2303"/>
      <c r="Y91" s="2303"/>
      <c r="Z91" s="2303"/>
      <c r="AA91" s="2303"/>
      <c r="AB91" s="2303"/>
      <c r="AC91" s="2305" t="s">
        <v>503</v>
      </c>
      <c r="AD91" s="2306"/>
      <c r="AE91" s="2280"/>
      <c r="AF91" s="2281"/>
      <c r="AG91" s="2278"/>
      <c r="AH91" s="2279"/>
      <c r="AI91" s="2304" t="s">
        <v>468</v>
      </c>
      <c r="AJ91" s="2304"/>
      <c r="AK91" s="2304" t="s">
        <v>469</v>
      </c>
      <c r="AL91" s="2304"/>
      <c r="AM91" s="2304" t="s">
        <v>470</v>
      </c>
      <c r="AN91" s="2307"/>
    </row>
    <row r="92" spans="2:40" ht="30" customHeight="1">
      <c r="B92" s="1517" t="s">
        <v>471</v>
      </c>
      <c r="C92" s="2287"/>
      <c r="D92" s="2406"/>
      <c r="E92" s="2283" t="s">
        <v>472</v>
      </c>
      <c r="F92" s="2304"/>
      <c r="G92" s="2304" t="s">
        <v>472</v>
      </c>
      <c r="H92" s="2304"/>
      <c r="I92" s="2308" t="str">
        <f>I7</f>
        <v>KAMIS</v>
      </c>
      <c r="J92" s="2308"/>
      <c r="K92" s="2308" t="str">
        <f>K7</f>
        <v>JUMAT</v>
      </c>
      <c r="L92" s="2308"/>
      <c r="M92" s="2308" t="str">
        <f>M7</f>
        <v>SABTU</v>
      </c>
      <c r="N92" s="2308"/>
      <c r="O92" s="2308" t="str">
        <f>O7</f>
        <v>MINGGU</v>
      </c>
      <c r="P92" s="2308"/>
      <c r="Q92" s="2308" t="str">
        <f>Q7</f>
        <v>SENIN</v>
      </c>
      <c r="R92" s="2308"/>
      <c r="S92" s="2308" t="str">
        <f>S7</f>
        <v>SELASA</v>
      </c>
      <c r="T92" s="2308"/>
      <c r="U92" s="2308" t="str">
        <f>U7</f>
        <v>RABU</v>
      </c>
      <c r="V92" s="2308"/>
      <c r="W92" s="2308">
        <f>W7</f>
        <v>0</v>
      </c>
      <c r="X92" s="2308"/>
      <c r="Y92" s="2308">
        <f>Y7</f>
        <v>0</v>
      </c>
      <c r="Z92" s="2308"/>
      <c r="AA92" s="2309">
        <f>AA7</f>
        <v>0</v>
      </c>
      <c r="AB92" s="2310"/>
      <c r="AC92" s="2304" t="s">
        <v>480</v>
      </c>
      <c r="AD92" s="2304"/>
      <c r="AE92" s="2278"/>
      <c r="AF92" s="2279"/>
      <c r="AG92" s="2284" t="s">
        <v>481</v>
      </c>
      <c r="AH92" s="2283"/>
      <c r="AI92" s="2304" t="s">
        <v>472</v>
      </c>
      <c r="AJ92" s="2304"/>
      <c r="AK92" s="2304" t="s">
        <v>472</v>
      </c>
      <c r="AL92" s="2304"/>
      <c r="AM92" s="2304" t="s">
        <v>472</v>
      </c>
      <c r="AN92" s="2307"/>
    </row>
    <row r="93" spans="2:40" ht="30" customHeight="1">
      <c r="B93" s="1518"/>
      <c r="C93" s="2401"/>
      <c r="D93" s="1520"/>
      <c r="E93" s="1521" t="s">
        <v>483</v>
      </c>
      <c r="F93" s="1522" t="s">
        <v>484</v>
      </c>
      <c r="G93" s="1521" t="s">
        <v>483</v>
      </c>
      <c r="H93" s="1522" t="s">
        <v>484</v>
      </c>
      <c r="I93" s="1521" t="s">
        <v>483</v>
      </c>
      <c r="J93" s="1522" t="s">
        <v>484</v>
      </c>
      <c r="K93" s="1521" t="s">
        <v>483</v>
      </c>
      <c r="L93" s="1522" t="s">
        <v>484</v>
      </c>
      <c r="M93" s="1521" t="s">
        <v>483</v>
      </c>
      <c r="N93" s="1522" t="s">
        <v>484</v>
      </c>
      <c r="O93" s="1521" t="s">
        <v>483</v>
      </c>
      <c r="P93" s="1522" t="s">
        <v>484</v>
      </c>
      <c r="Q93" s="1521" t="s">
        <v>483</v>
      </c>
      <c r="R93" s="1522" t="s">
        <v>484</v>
      </c>
      <c r="S93" s="1521" t="s">
        <v>483</v>
      </c>
      <c r="T93" s="1522" t="s">
        <v>484</v>
      </c>
      <c r="U93" s="1521" t="s">
        <v>483</v>
      </c>
      <c r="V93" s="1522" t="s">
        <v>484</v>
      </c>
      <c r="W93" s="1521" t="s">
        <v>483</v>
      </c>
      <c r="X93" s="1522" t="s">
        <v>484</v>
      </c>
      <c r="Y93" s="1521" t="s">
        <v>483</v>
      </c>
      <c r="Z93" s="1522" t="s">
        <v>484</v>
      </c>
      <c r="AA93" s="1521" t="s">
        <v>483</v>
      </c>
      <c r="AB93" s="1522" t="s">
        <v>484</v>
      </c>
      <c r="AC93" s="1521" t="s">
        <v>483</v>
      </c>
      <c r="AD93" s="1522" t="s">
        <v>484</v>
      </c>
      <c r="AE93" s="1521" t="s">
        <v>483</v>
      </c>
      <c r="AF93" s="1522" t="s">
        <v>484</v>
      </c>
      <c r="AG93" s="1521" t="s">
        <v>483</v>
      </c>
      <c r="AH93" s="1522" t="s">
        <v>484</v>
      </c>
      <c r="AI93" s="1560" t="s">
        <v>483</v>
      </c>
      <c r="AJ93" s="1522" t="s">
        <v>484</v>
      </c>
      <c r="AK93" s="1560" t="s">
        <v>483</v>
      </c>
      <c r="AL93" s="1522" t="s">
        <v>484</v>
      </c>
      <c r="AM93" s="1560" t="s">
        <v>483</v>
      </c>
      <c r="AN93" s="1573" t="s">
        <v>484</v>
      </c>
    </row>
    <row r="94" spans="2:40" ht="25.15" customHeight="1">
      <c r="B94" s="1542"/>
      <c r="C94" s="1523">
        <v>1</v>
      </c>
      <c r="D94" s="1558" t="str">
        <f>'WEEKLY FC'!B127</f>
        <v>PLASTIK JAGUNG</v>
      </c>
      <c r="E94" s="1669">
        <v>-9100</v>
      </c>
      <c r="F94" s="1670">
        <v>-1.3</v>
      </c>
      <c r="G94" s="1527">
        <v>14000</v>
      </c>
      <c r="H94" s="1567">
        <v>2</v>
      </c>
      <c r="I94" s="1527"/>
      <c r="J94" s="1676"/>
      <c r="K94" s="1527"/>
      <c r="L94" s="1676"/>
      <c r="M94" s="1527"/>
      <c r="N94" s="1676"/>
      <c r="O94" s="1527"/>
      <c r="P94" s="1676"/>
      <c r="Q94" s="1527"/>
      <c r="R94" s="1676"/>
      <c r="S94" s="1527"/>
      <c r="T94" s="1676"/>
      <c r="U94" s="1527"/>
      <c r="V94" s="1676"/>
      <c r="W94" s="1527"/>
      <c r="X94" s="1676"/>
      <c r="Y94" s="1527"/>
      <c r="Z94" s="1676"/>
      <c r="AA94" s="1527"/>
      <c r="AB94" s="1676"/>
      <c r="AC94" s="1677"/>
      <c r="AD94" s="1681"/>
      <c r="AE94" s="1527"/>
      <c r="AF94" s="1676"/>
      <c r="AG94" s="1527"/>
      <c r="AH94" s="1676"/>
      <c r="AI94" s="1561">
        <f t="shared" ref="AI94:AI131" si="14">SUM(I94,K94,M94,O94,Q94,S94,U94,W94,Y94,AA94,AC94,AE94,AG94)</f>
        <v>0</v>
      </c>
      <c r="AJ94" s="1586">
        <f t="shared" ref="AJ94:AJ131" si="15">SUM(J94,L94,N94,P94,R94,T94,V94,X94,Z94,AB94,AD94,AF94,AH94)</f>
        <v>0</v>
      </c>
      <c r="AK94" s="1561">
        <f>'WEEKLY FC'!F127</f>
        <v>0</v>
      </c>
      <c r="AL94" s="1586">
        <f>'WEEKLY FC'!D127</f>
        <v>0</v>
      </c>
      <c r="AM94" s="1561">
        <f t="shared" ref="AM94:AM123" si="16">G94+AI94-AK94</f>
        <v>14000</v>
      </c>
      <c r="AN94" s="1686">
        <f t="shared" ref="AN94:AN131" si="17">H94+AJ94-AL94</f>
        <v>2</v>
      </c>
    </row>
    <row r="95" spans="2:40" ht="25.15" customHeight="1">
      <c r="B95" s="1542"/>
      <c r="C95" s="1517">
        <v>2</v>
      </c>
      <c r="D95" s="1558" t="str">
        <f>'WEEKLY FC'!B128</f>
        <v>PLASTIK SEDANG</v>
      </c>
      <c r="E95" s="1669">
        <v>108864</v>
      </c>
      <c r="F95" s="1671">
        <v>567</v>
      </c>
      <c r="G95" s="1532">
        <v>696960</v>
      </c>
      <c r="H95" s="1581">
        <v>3630</v>
      </c>
      <c r="I95" s="1527"/>
      <c r="J95" s="1527"/>
      <c r="K95" s="1527"/>
      <c r="L95" s="1677"/>
      <c r="M95" s="1527"/>
      <c r="N95" s="1527"/>
      <c r="O95" s="1527"/>
      <c r="P95" s="1527"/>
      <c r="Q95" s="1527"/>
      <c r="R95" s="1527"/>
      <c r="S95" s="1527"/>
      <c r="T95" s="1527"/>
      <c r="U95" s="1527"/>
      <c r="V95" s="1527"/>
      <c r="W95" s="1527"/>
      <c r="X95" s="1527"/>
      <c r="Y95" s="1527"/>
      <c r="Z95" s="1527"/>
      <c r="AA95" s="1527"/>
      <c r="AB95" s="1527"/>
      <c r="AC95" s="1677"/>
      <c r="AD95" s="1681"/>
      <c r="AE95" s="1678"/>
      <c r="AF95" s="1527"/>
      <c r="AG95" s="1527"/>
      <c r="AH95" s="1527"/>
      <c r="AI95" s="1561">
        <f t="shared" si="14"/>
        <v>0</v>
      </c>
      <c r="AJ95" s="1687">
        <f t="shared" si="15"/>
        <v>0</v>
      </c>
      <c r="AK95" s="1561">
        <f>'WEEKLY FC'!F128</f>
        <v>613056</v>
      </c>
      <c r="AL95" s="1591">
        <f>'WEEKLY FC'!D128</f>
        <v>3193</v>
      </c>
      <c r="AM95" s="1561">
        <f t="shared" si="16"/>
        <v>83904</v>
      </c>
      <c r="AN95" s="1604">
        <f t="shared" si="17"/>
        <v>437</v>
      </c>
    </row>
    <row r="96" spans="2:40" ht="25.15" customHeight="1">
      <c r="B96" s="1515"/>
      <c r="C96" s="1517">
        <v>3</v>
      </c>
      <c r="D96" s="1558" t="str">
        <f>'WEEKLY FC'!B129</f>
        <v>PLASTIK KECIL</v>
      </c>
      <c r="E96" s="1672">
        <v>39281.5</v>
      </c>
      <c r="F96" s="1673">
        <v>251</v>
      </c>
      <c r="G96" s="1532">
        <v>451659</v>
      </c>
      <c r="H96" s="1581">
        <v>2886</v>
      </c>
      <c r="I96" s="1527"/>
      <c r="J96" s="1527"/>
      <c r="K96" s="1527"/>
      <c r="L96" s="1527"/>
      <c r="M96" s="1527"/>
      <c r="N96" s="1527"/>
      <c r="O96" s="1527"/>
      <c r="P96" s="1527"/>
      <c r="Q96" s="1527"/>
      <c r="R96" s="1527"/>
      <c r="S96" s="1527"/>
      <c r="T96" s="1527"/>
      <c r="U96" s="1527"/>
      <c r="V96" s="1527"/>
      <c r="W96" s="1527"/>
      <c r="X96" s="1527"/>
      <c r="Y96" s="1527"/>
      <c r="Z96" s="1527"/>
      <c r="AA96" s="1527"/>
      <c r="AB96" s="1527"/>
      <c r="AC96" s="1677"/>
      <c r="AD96" s="1681"/>
      <c r="AE96" s="1678"/>
      <c r="AF96" s="1527"/>
      <c r="AG96" s="1527"/>
      <c r="AH96" s="1527"/>
      <c r="AI96" s="1575">
        <f t="shared" si="14"/>
        <v>0</v>
      </c>
      <c r="AJ96" s="1579">
        <f t="shared" si="15"/>
        <v>0</v>
      </c>
      <c r="AK96" s="1575">
        <f>'WEEKLY FC'!F129</f>
        <v>408778</v>
      </c>
      <c r="AL96" s="1578">
        <f>'WEEKLY FC'!D129</f>
        <v>2612</v>
      </c>
      <c r="AM96" s="1575">
        <f t="shared" si="16"/>
        <v>42881</v>
      </c>
      <c r="AN96" s="1580">
        <f t="shared" si="17"/>
        <v>274</v>
      </c>
    </row>
    <row r="97" spans="2:40" ht="25.15" customHeight="1">
      <c r="B97" s="1537"/>
      <c r="C97" s="1557">
        <v>4</v>
      </c>
      <c r="D97" s="1558" t="str">
        <f>'WEEKLY FC'!B130</f>
        <v>PLASTIK JUMBO</v>
      </c>
      <c r="E97" s="1669">
        <v>28638</v>
      </c>
      <c r="F97" s="1671">
        <v>43</v>
      </c>
      <c r="G97" s="1527">
        <v>266400</v>
      </c>
      <c r="H97" s="1567">
        <v>400</v>
      </c>
      <c r="I97" s="1527"/>
      <c r="J97" s="1527"/>
      <c r="K97" s="1527"/>
      <c r="L97" s="1527"/>
      <c r="M97" s="1527"/>
      <c r="N97" s="1527"/>
      <c r="O97" s="1527"/>
      <c r="P97" s="1527"/>
      <c r="Q97" s="1527"/>
      <c r="R97" s="1527"/>
      <c r="S97" s="1527"/>
      <c r="T97" s="1527"/>
      <c r="U97" s="1527"/>
      <c r="V97" s="1527"/>
      <c r="W97" s="1527"/>
      <c r="X97" s="1527"/>
      <c r="Y97" s="1527"/>
      <c r="Z97" s="1527"/>
      <c r="AA97" s="1527"/>
      <c r="AB97" s="1527"/>
      <c r="AC97" s="1677"/>
      <c r="AD97" s="1681"/>
      <c r="AE97" s="1678"/>
      <c r="AF97" s="1527"/>
      <c r="AG97" s="1527"/>
      <c r="AH97" s="1527"/>
      <c r="AI97" s="1561">
        <f t="shared" si="14"/>
        <v>0</v>
      </c>
      <c r="AJ97" s="1687">
        <f t="shared" si="15"/>
        <v>0</v>
      </c>
      <c r="AK97" s="1561">
        <f>'WEEKLY FC'!F130</f>
        <v>241092</v>
      </c>
      <c r="AL97" s="1591">
        <f>'WEEKLY FC'!D130</f>
        <v>362</v>
      </c>
      <c r="AM97" s="1561">
        <f t="shared" si="16"/>
        <v>25308</v>
      </c>
      <c r="AN97" s="1604">
        <f t="shared" si="17"/>
        <v>38</v>
      </c>
    </row>
    <row r="98" spans="2:40" ht="25.15" customHeight="1">
      <c r="B98" s="1529"/>
      <c r="C98" s="1517">
        <v>5</v>
      </c>
      <c r="D98" s="1558" t="str">
        <f>'WEEKLY FC'!B131</f>
        <v>SEDOTAN PLASTIK</v>
      </c>
      <c r="E98" s="1669">
        <v>11750</v>
      </c>
      <c r="F98" s="1670">
        <v>0.5</v>
      </c>
      <c r="G98" s="1532">
        <v>258500</v>
      </c>
      <c r="H98" s="1581">
        <v>11</v>
      </c>
      <c r="I98" s="1527"/>
      <c r="J98" s="1565"/>
      <c r="K98" s="1527"/>
      <c r="L98" s="1565"/>
      <c r="M98" s="1527"/>
      <c r="N98" s="1565"/>
      <c r="O98" s="1527"/>
      <c r="P98" s="1565"/>
      <c r="Q98" s="1527"/>
      <c r="R98" s="1565"/>
      <c r="S98" s="1527"/>
      <c r="T98" s="1565"/>
      <c r="U98" s="1527"/>
      <c r="V98" s="1565"/>
      <c r="W98" s="1527"/>
      <c r="X98" s="1565"/>
      <c r="Y98" s="1527"/>
      <c r="Z98" s="1565"/>
      <c r="AA98" s="1527"/>
      <c r="AB98" s="1565"/>
      <c r="AC98" s="1677"/>
      <c r="AD98" s="1681"/>
      <c r="AE98" s="1527"/>
      <c r="AF98" s="1565"/>
      <c r="AG98" s="1527"/>
      <c r="AH98" s="1565"/>
      <c r="AI98" s="1561">
        <f t="shared" si="14"/>
        <v>0</v>
      </c>
      <c r="AJ98" s="1586">
        <f t="shared" si="15"/>
        <v>0</v>
      </c>
      <c r="AK98" s="1561">
        <f>'WEEKLY FC'!F131</f>
        <v>235000</v>
      </c>
      <c r="AL98" s="1586">
        <f>'WEEKLY FC'!D131</f>
        <v>10</v>
      </c>
      <c r="AM98" s="1561">
        <f t="shared" si="16"/>
        <v>23500</v>
      </c>
      <c r="AN98" s="1686">
        <f t="shared" si="17"/>
        <v>1</v>
      </c>
    </row>
    <row r="99" spans="2:40" ht="25.15" customHeight="1">
      <c r="B99" s="1537"/>
      <c r="C99" s="1517">
        <v>6</v>
      </c>
      <c r="D99" s="1558" t="str">
        <f>'WEEKLY FC'!B132</f>
        <v>ALAS BOX NASI</v>
      </c>
      <c r="E99" s="1669">
        <v>23400</v>
      </c>
      <c r="F99" s="1671">
        <v>600</v>
      </c>
      <c r="G99" s="1532">
        <v>177060</v>
      </c>
      <c r="H99" s="1581">
        <v>4540</v>
      </c>
      <c r="I99" s="1527"/>
      <c r="J99" s="1527"/>
      <c r="K99" s="1527"/>
      <c r="L99" s="1527"/>
      <c r="M99" s="1527"/>
      <c r="N99" s="1527"/>
      <c r="O99" s="1527"/>
      <c r="P99" s="1527"/>
      <c r="Q99" s="1527"/>
      <c r="R99" s="1527"/>
      <c r="S99" s="1527"/>
      <c r="T99" s="1527"/>
      <c r="U99" s="1527"/>
      <c r="V99" s="1527"/>
      <c r="W99" s="1527"/>
      <c r="X99" s="1527"/>
      <c r="Y99" s="1527"/>
      <c r="Z99" s="1527"/>
      <c r="AA99" s="1527"/>
      <c r="AB99" s="1527"/>
      <c r="AC99" s="1677"/>
      <c r="AD99" s="1681"/>
      <c r="AE99" s="1678"/>
      <c r="AF99" s="1527"/>
      <c r="AG99" s="1527"/>
      <c r="AH99" s="1527"/>
      <c r="AI99" s="1561">
        <f t="shared" si="14"/>
        <v>0</v>
      </c>
      <c r="AJ99" s="1687">
        <f t="shared" si="15"/>
        <v>0</v>
      </c>
      <c r="AK99" s="1561">
        <f>'WEEKLY FC'!F132</f>
        <v>139230</v>
      </c>
      <c r="AL99" s="1591">
        <f>'WEEKLY FC'!D132</f>
        <v>3570</v>
      </c>
      <c r="AM99" s="1561">
        <f t="shared" si="16"/>
        <v>37830</v>
      </c>
      <c r="AN99" s="1604">
        <f t="shared" si="17"/>
        <v>970</v>
      </c>
    </row>
    <row r="100" spans="2:40" ht="25.15" customHeight="1">
      <c r="B100" s="1537"/>
      <c r="C100" s="1517">
        <v>7</v>
      </c>
      <c r="D100" s="1558" t="str">
        <f>'WEEKLY FC'!B133</f>
        <v>BOX NASI ROCKET</v>
      </c>
      <c r="E100" s="1669">
        <v>727849.19999999902</v>
      </c>
      <c r="F100" s="1671">
        <v>970</v>
      </c>
      <c r="G100" s="1532">
        <v>4382102.4000000004</v>
      </c>
      <c r="H100" s="1581">
        <v>5840</v>
      </c>
      <c r="I100" s="1527"/>
      <c r="J100" s="1527"/>
      <c r="K100" s="1527"/>
      <c r="L100" s="1527"/>
      <c r="M100" s="1527"/>
      <c r="N100" s="1527"/>
      <c r="O100" s="1527"/>
      <c r="P100" s="1527"/>
      <c r="Q100" s="1527"/>
      <c r="R100" s="1527"/>
      <c r="S100" s="1527"/>
      <c r="T100" s="1527"/>
      <c r="U100" s="1527"/>
      <c r="V100" s="1527"/>
      <c r="W100" s="1527"/>
      <c r="X100" s="1527"/>
      <c r="Y100" s="1527"/>
      <c r="Z100" s="1527"/>
      <c r="AA100" s="1527"/>
      <c r="AB100" s="1527"/>
      <c r="AC100" s="1677"/>
      <c r="AD100" s="1681"/>
      <c r="AE100" s="1678"/>
      <c r="AF100" s="1527"/>
      <c r="AG100" s="1527"/>
      <c r="AH100" s="1527"/>
      <c r="AI100" s="1561">
        <f t="shared" si="14"/>
        <v>0</v>
      </c>
      <c r="AJ100" s="1687">
        <f t="shared" si="15"/>
        <v>0</v>
      </c>
      <c r="AK100" s="1561">
        <f>'WEEKLY FC'!F133</f>
        <v>3804325.2</v>
      </c>
      <c r="AL100" s="1591">
        <f>'WEEKLY FC'!D133</f>
        <v>5070</v>
      </c>
      <c r="AM100" s="1561">
        <f t="shared" si="16"/>
        <v>577777.19999999995</v>
      </c>
      <c r="AN100" s="1604">
        <f t="shared" si="17"/>
        <v>770</v>
      </c>
    </row>
    <row r="101" spans="2:40" ht="25.15" customHeight="1">
      <c r="B101" s="1537"/>
      <c r="C101" s="1517">
        <v>8</v>
      </c>
      <c r="D101" s="1558" t="str">
        <f>'WEEKLY FC'!B134</f>
        <v>BOX CATERING (KARDUS)</v>
      </c>
      <c r="E101" s="1669">
        <v>7104</v>
      </c>
      <c r="F101" s="1671">
        <v>1</v>
      </c>
      <c r="G101" s="1532">
        <v>99456</v>
      </c>
      <c r="H101" s="1581">
        <v>14</v>
      </c>
      <c r="I101" s="1527"/>
      <c r="J101" s="1527"/>
      <c r="K101" s="1527"/>
      <c r="L101" s="1527"/>
      <c r="M101" s="1527"/>
      <c r="N101" s="1527"/>
      <c r="O101" s="1527"/>
      <c r="P101" s="1527"/>
      <c r="Q101" s="1527"/>
      <c r="R101" s="1527"/>
      <c r="S101" s="1527"/>
      <c r="T101" s="1527"/>
      <c r="U101" s="1527"/>
      <c r="V101" s="1527"/>
      <c r="W101" s="1527"/>
      <c r="X101" s="1527"/>
      <c r="Y101" s="1527"/>
      <c r="Z101" s="1527"/>
      <c r="AA101" s="1527"/>
      <c r="AB101" s="1527"/>
      <c r="AC101" s="1677"/>
      <c r="AD101" s="1681"/>
      <c r="AE101" s="1678"/>
      <c r="AF101" s="1527"/>
      <c r="AG101" s="1527"/>
      <c r="AH101" s="1527"/>
      <c r="AI101" s="1561">
        <f t="shared" si="14"/>
        <v>0</v>
      </c>
      <c r="AJ101" s="1687">
        <f t="shared" si="15"/>
        <v>0</v>
      </c>
      <c r="AK101" s="1561">
        <f>'WEEKLY FC'!F134</f>
        <v>99456</v>
      </c>
      <c r="AL101" s="1591">
        <f>'WEEKLY FC'!D134</f>
        <v>14</v>
      </c>
      <c r="AM101" s="1561">
        <f t="shared" si="16"/>
        <v>0</v>
      </c>
      <c r="AN101" s="1604">
        <f t="shared" si="17"/>
        <v>0</v>
      </c>
    </row>
    <row r="102" spans="2:40" ht="25.15" customHeight="1">
      <c r="B102" s="1542" t="s">
        <v>491</v>
      </c>
      <c r="C102" s="1517">
        <v>9</v>
      </c>
      <c r="D102" s="1558" t="str">
        <f>'WEEKLY FC'!B135</f>
        <v>BOX MIE</v>
      </c>
      <c r="E102" s="1669">
        <v>0</v>
      </c>
      <c r="F102" s="1671">
        <v>0</v>
      </c>
      <c r="G102" s="1532">
        <v>0</v>
      </c>
      <c r="H102" s="1581">
        <v>0</v>
      </c>
      <c r="I102" s="1527"/>
      <c r="J102" s="1527"/>
      <c r="K102" s="1527"/>
      <c r="L102" s="1527"/>
      <c r="M102" s="1527"/>
      <c r="N102" s="1527"/>
      <c r="O102" s="1527"/>
      <c r="P102" s="1527"/>
      <c r="Q102" s="1527"/>
      <c r="R102" s="1527"/>
      <c r="S102" s="1527"/>
      <c r="T102" s="1527"/>
      <c r="U102" s="1527"/>
      <c r="V102" s="1527"/>
      <c r="W102" s="1527"/>
      <c r="X102" s="1527"/>
      <c r="Y102" s="1527"/>
      <c r="Z102" s="1527"/>
      <c r="AA102" s="1527"/>
      <c r="AB102" s="1527"/>
      <c r="AC102" s="1677"/>
      <c r="AD102" s="1681"/>
      <c r="AE102" s="1527"/>
      <c r="AF102" s="1527"/>
      <c r="AG102" s="1527"/>
      <c r="AH102" s="1527"/>
      <c r="AI102" s="1561">
        <f t="shared" si="14"/>
        <v>0</v>
      </c>
      <c r="AJ102" s="1687">
        <f t="shared" si="15"/>
        <v>0</v>
      </c>
      <c r="AK102" s="1561">
        <f>'WEEKLY FC'!F135</f>
        <v>0</v>
      </c>
      <c r="AL102" s="1591">
        <f>'WEEKLY FC'!D135</f>
        <v>0</v>
      </c>
      <c r="AM102" s="1561">
        <f t="shared" si="16"/>
        <v>0</v>
      </c>
      <c r="AN102" s="1604">
        <f t="shared" si="17"/>
        <v>0</v>
      </c>
    </row>
    <row r="103" spans="2:40" ht="25.15" customHeight="1">
      <c r="B103" s="1542" t="s">
        <v>492</v>
      </c>
      <c r="C103" s="1517">
        <v>10</v>
      </c>
      <c r="D103" s="1558" t="str">
        <f>'WEEKLY FC'!B136</f>
        <v>BOX STEAK / NASGOR</v>
      </c>
      <c r="E103" s="1669">
        <v>177045</v>
      </c>
      <c r="F103" s="1671">
        <v>290</v>
      </c>
      <c r="G103" s="1532">
        <v>259462.5</v>
      </c>
      <c r="H103" s="1581">
        <v>425</v>
      </c>
      <c r="I103" s="1527"/>
      <c r="J103" s="1527"/>
      <c r="K103" s="1527"/>
      <c r="L103" s="1527"/>
      <c r="M103" s="1527"/>
      <c r="N103" s="1527"/>
      <c r="O103" s="1527"/>
      <c r="P103" s="1527"/>
      <c r="Q103" s="1527"/>
      <c r="R103" s="1527"/>
      <c r="S103" s="1527"/>
      <c r="T103" s="1527"/>
      <c r="U103" s="1527"/>
      <c r="V103" s="1527"/>
      <c r="W103" s="1527"/>
      <c r="X103" s="1527"/>
      <c r="Y103" s="1527"/>
      <c r="Z103" s="1527"/>
      <c r="AA103" s="1527"/>
      <c r="AB103" s="1527"/>
      <c r="AC103" s="1677"/>
      <c r="AD103" s="1681"/>
      <c r="AE103" s="1678"/>
      <c r="AF103" s="1527"/>
      <c r="AG103" s="1527"/>
      <c r="AH103" s="1527"/>
      <c r="AI103" s="1561">
        <f t="shared" si="14"/>
        <v>0</v>
      </c>
      <c r="AJ103" s="1687">
        <f t="shared" si="15"/>
        <v>0</v>
      </c>
      <c r="AK103" s="1561">
        <f>'WEEKLY FC'!F136</f>
        <v>228937.5</v>
      </c>
      <c r="AL103" s="1591">
        <f>'WEEKLY FC'!D136</f>
        <v>375</v>
      </c>
      <c r="AM103" s="1561">
        <f t="shared" si="16"/>
        <v>30525</v>
      </c>
      <c r="AN103" s="1604">
        <f t="shared" si="17"/>
        <v>50</v>
      </c>
    </row>
    <row r="104" spans="2:40" ht="25.15" customHeight="1">
      <c r="B104" s="1542" t="s">
        <v>489</v>
      </c>
      <c r="C104" s="1517">
        <v>11</v>
      </c>
      <c r="D104" s="1558" t="str">
        <f>'WEEKLY FC'!B137</f>
        <v>COVER NASI BRANDING</v>
      </c>
      <c r="E104" s="1669">
        <v>164626</v>
      </c>
      <c r="F104" s="1671">
        <v>1069</v>
      </c>
      <c r="G104" s="1532">
        <v>1067374</v>
      </c>
      <c r="H104" s="1581">
        <v>6931</v>
      </c>
      <c r="I104" s="1527"/>
      <c r="J104" s="1527"/>
      <c r="K104" s="1527"/>
      <c r="L104" s="1527"/>
      <c r="M104" s="1527"/>
      <c r="N104" s="1527"/>
      <c r="O104" s="1527"/>
      <c r="P104" s="1527"/>
      <c r="Q104" s="1527"/>
      <c r="R104" s="1527"/>
      <c r="S104" s="1527"/>
      <c r="T104" s="1527"/>
      <c r="U104" s="1527"/>
      <c r="V104" s="1527"/>
      <c r="W104" s="1527"/>
      <c r="X104" s="1527"/>
      <c r="Y104" s="1527"/>
      <c r="Z104" s="1527"/>
      <c r="AA104" s="1527"/>
      <c r="AB104" s="1527"/>
      <c r="AC104" s="1677"/>
      <c r="AD104" s="1681"/>
      <c r="AE104" s="1678"/>
      <c r="AF104" s="1527"/>
      <c r="AG104" s="1527"/>
      <c r="AH104" s="1527"/>
      <c r="AI104" s="1561">
        <f t="shared" si="14"/>
        <v>0</v>
      </c>
      <c r="AJ104" s="1687">
        <f t="shared" si="15"/>
        <v>0</v>
      </c>
      <c r="AK104" s="1561">
        <f>'WEEKLY FC'!F137</f>
        <v>998844</v>
      </c>
      <c r="AL104" s="1591">
        <f>'WEEKLY FC'!D137</f>
        <v>6486</v>
      </c>
      <c r="AM104" s="1561">
        <f t="shared" si="16"/>
        <v>68530</v>
      </c>
      <c r="AN104" s="1604">
        <f t="shared" si="17"/>
        <v>445</v>
      </c>
    </row>
    <row r="105" spans="2:40" ht="25.15" customHeight="1">
      <c r="B105" s="1542" t="s">
        <v>504</v>
      </c>
      <c r="C105" s="1517">
        <v>12</v>
      </c>
      <c r="D105" s="1558" t="str">
        <f>'WEEKLY FC'!B138</f>
        <v>COVER BURGER</v>
      </c>
      <c r="E105" s="1669">
        <v>7252</v>
      </c>
      <c r="F105" s="1671">
        <v>28</v>
      </c>
      <c r="G105" s="1532">
        <v>63973</v>
      </c>
      <c r="H105" s="1581">
        <v>247</v>
      </c>
      <c r="I105" s="1527"/>
      <c r="J105" s="1527"/>
      <c r="K105" s="1527"/>
      <c r="L105" s="1527"/>
      <c r="M105" s="1527"/>
      <c r="N105" s="1527"/>
      <c r="O105" s="1527"/>
      <c r="P105" s="1527"/>
      <c r="Q105" s="1527"/>
      <c r="R105" s="1527"/>
      <c r="S105" s="1527"/>
      <c r="T105" s="1527"/>
      <c r="U105" s="1527"/>
      <c r="V105" s="1527"/>
      <c r="W105" s="1527"/>
      <c r="X105" s="1527"/>
      <c r="Y105" s="1527"/>
      <c r="Z105" s="1527"/>
      <c r="AA105" s="1527"/>
      <c r="AB105" s="1527"/>
      <c r="AC105" s="1677"/>
      <c r="AD105" s="1681"/>
      <c r="AE105" s="1678"/>
      <c r="AF105" s="1527"/>
      <c r="AG105" s="1527"/>
      <c r="AH105" s="1527"/>
      <c r="AI105" s="1561">
        <f t="shared" si="14"/>
        <v>0</v>
      </c>
      <c r="AJ105" s="1687">
        <f t="shared" si="15"/>
        <v>0</v>
      </c>
      <c r="AK105" s="1561">
        <f>'WEEKLY FC'!F138</f>
        <v>36001</v>
      </c>
      <c r="AL105" s="1591">
        <f>'WEEKLY FC'!D138</f>
        <v>139</v>
      </c>
      <c r="AM105" s="1561">
        <f t="shared" si="16"/>
        <v>27972</v>
      </c>
      <c r="AN105" s="1604">
        <f t="shared" si="17"/>
        <v>108</v>
      </c>
    </row>
    <row r="106" spans="2:40" ht="25.15" customHeight="1">
      <c r="B106" s="1542" t="s">
        <v>499</v>
      </c>
      <c r="C106" s="1517">
        <v>13</v>
      </c>
      <c r="D106" s="1558" t="str">
        <f>'WEEKLY FC'!B139</f>
        <v>COVER NASGOR</v>
      </c>
      <c r="E106" s="1669">
        <v>26082</v>
      </c>
      <c r="F106" s="1671">
        <v>138</v>
      </c>
      <c r="G106" s="1532">
        <v>145719</v>
      </c>
      <c r="H106" s="1581">
        <v>771</v>
      </c>
      <c r="I106" s="1527"/>
      <c r="J106" s="1527"/>
      <c r="K106" s="1527"/>
      <c r="L106" s="1527"/>
      <c r="M106" s="1527"/>
      <c r="N106" s="1527"/>
      <c r="O106" s="1527"/>
      <c r="P106" s="1527"/>
      <c r="Q106" s="1527"/>
      <c r="R106" s="1527"/>
      <c r="S106" s="1527"/>
      <c r="T106" s="1527"/>
      <c r="U106" s="1527"/>
      <c r="V106" s="1527"/>
      <c r="W106" s="1527"/>
      <c r="X106" s="1527"/>
      <c r="Y106" s="1527"/>
      <c r="Z106" s="1527"/>
      <c r="AA106" s="1527"/>
      <c r="AB106" s="1527"/>
      <c r="AC106" s="1677"/>
      <c r="AD106" s="1681"/>
      <c r="AE106" s="1678"/>
      <c r="AF106" s="1527"/>
      <c r="AG106" s="1527"/>
      <c r="AH106" s="1527"/>
      <c r="AI106" s="1561">
        <f t="shared" si="14"/>
        <v>0</v>
      </c>
      <c r="AJ106" s="1687">
        <f t="shared" si="15"/>
        <v>0</v>
      </c>
      <c r="AK106" s="1561">
        <f>'WEEKLY FC'!F139</f>
        <v>138348</v>
      </c>
      <c r="AL106" s="1591">
        <f>'WEEKLY FC'!D139</f>
        <v>732</v>
      </c>
      <c r="AM106" s="1561">
        <f t="shared" si="16"/>
        <v>7371</v>
      </c>
      <c r="AN106" s="1604">
        <f t="shared" si="17"/>
        <v>39</v>
      </c>
    </row>
    <row r="107" spans="2:40" ht="25.15" customHeight="1">
      <c r="B107" s="1542" t="s">
        <v>494</v>
      </c>
      <c r="C107" s="1517">
        <v>14</v>
      </c>
      <c r="D107" s="1558" t="str">
        <f>'WEEKLY FC'!B140</f>
        <v>CUP SEALER</v>
      </c>
      <c r="E107" s="1669">
        <v>-36075</v>
      </c>
      <c r="F107" s="1670">
        <v>-0.5</v>
      </c>
      <c r="G107" s="1532">
        <v>541125</v>
      </c>
      <c r="H107" s="1581">
        <v>7.5</v>
      </c>
      <c r="I107" s="1527"/>
      <c r="J107" s="1565"/>
      <c r="K107" s="1527"/>
      <c r="L107" s="1565"/>
      <c r="M107" s="1527"/>
      <c r="N107" s="1565"/>
      <c r="O107" s="1527"/>
      <c r="P107" s="1565"/>
      <c r="Q107" s="1527"/>
      <c r="R107" s="1565"/>
      <c r="S107" s="1527"/>
      <c r="T107" s="1565"/>
      <c r="U107" s="1527"/>
      <c r="V107" s="1565"/>
      <c r="W107" s="1527"/>
      <c r="X107" s="1565"/>
      <c r="Y107" s="1527"/>
      <c r="Z107" s="1565"/>
      <c r="AA107" s="1527"/>
      <c r="AB107" s="1565"/>
      <c r="AC107" s="1677"/>
      <c r="AD107" s="1681"/>
      <c r="AE107" s="1527"/>
      <c r="AF107" s="1565"/>
      <c r="AG107" s="1527"/>
      <c r="AH107" s="1565"/>
      <c r="AI107" s="1561">
        <f t="shared" si="14"/>
        <v>0</v>
      </c>
      <c r="AJ107" s="1586">
        <f t="shared" si="15"/>
        <v>0</v>
      </c>
      <c r="AK107" s="1561">
        <f>'WEEKLY FC'!F140</f>
        <v>505050</v>
      </c>
      <c r="AL107" s="1586">
        <f>'WEEKLY FC'!D140</f>
        <v>7</v>
      </c>
      <c r="AM107" s="1561">
        <f t="shared" si="16"/>
        <v>36075</v>
      </c>
      <c r="AN107" s="1686">
        <f t="shared" si="17"/>
        <v>0.5</v>
      </c>
    </row>
    <row r="108" spans="2:40" ht="25.15" customHeight="1">
      <c r="B108" s="1542" t="s">
        <v>495</v>
      </c>
      <c r="C108" s="1517">
        <v>15</v>
      </c>
      <c r="D108" s="1558" t="str">
        <f>'WEEKLY FC'!B141</f>
        <v>SENDOK PLASTIK</v>
      </c>
      <c r="E108" s="1669">
        <v>20178</v>
      </c>
      <c r="F108" s="1671">
        <v>114</v>
      </c>
      <c r="G108" s="1532">
        <v>0</v>
      </c>
      <c r="H108" s="1581">
        <v>0</v>
      </c>
      <c r="I108" s="1527"/>
      <c r="J108" s="1527"/>
      <c r="K108" s="1527"/>
      <c r="L108" s="1527"/>
      <c r="M108" s="1527"/>
      <c r="N108" s="1527"/>
      <c r="O108" s="1527"/>
      <c r="P108" s="1527"/>
      <c r="Q108" s="1527"/>
      <c r="R108" s="1527"/>
      <c r="S108" s="1527"/>
      <c r="T108" s="1527"/>
      <c r="U108" s="1527"/>
      <c r="V108" s="1527"/>
      <c r="W108" s="1527"/>
      <c r="X108" s="1527"/>
      <c r="Y108" s="1527"/>
      <c r="Z108" s="1527"/>
      <c r="AA108" s="1527"/>
      <c r="AB108" s="1527"/>
      <c r="AC108" s="1677"/>
      <c r="AD108" s="1681"/>
      <c r="AE108" s="1527"/>
      <c r="AF108" s="1527"/>
      <c r="AG108" s="1527"/>
      <c r="AH108" s="1527"/>
      <c r="AI108" s="1561">
        <f t="shared" si="14"/>
        <v>0</v>
      </c>
      <c r="AJ108" s="1687">
        <f t="shared" si="15"/>
        <v>0</v>
      </c>
      <c r="AK108" s="1561">
        <f>'WEEKLY FC'!F141</f>
        <v>18054</v>
      </c>
      <c r="AL108" s="1591">
        <f>'WEEKLY FC'!D141</f>
        <v>102</v>
      </c>
      <c r="AM108" s="1561">
        <f t="shared" si="16"/>
        <v>-18054</v>
      </c>
      <c r="AN108" s="1604">
        <f t="shared" si="17"/>
        <v>-102</v>
      </c>
    </row>
    <row r="109" spans="2:40" ht="25.15" customHeight="1">
      <c r="B109" s="1542" t="s">
        <v>496</v>
      </c>
      <c r="C109" s="1517">
        <v>16</v>
      </c>
      <c r="D109" s="1558" t="str">
        <f>'WEEKLY FC'!B142</f>
        <v>TISSUE</v>
      </c>
      <c r="E109" s="1669">
        <v>-3435.9</v>
      </c>
      <c r="F109" s="1671">
        <v>-1</v>
      </c>
      <c r="G109" s="1532">
        <v>13743.6</v>
      </c>
      <c r="H109" s="1581">
        <v>4</v>
      </c>
      <c r="I109" s="1527"/>
      <c r="J109" s="1527"/>
      <c r="K109" s="1527"/>
      <c r="L109" s="1527"/>
      <c r="M109" s="1527"/>
      <c r="N109" s="1527"/>
      <c r="O109" s="1527"/>
      <c r="P109" s="1527"/>
      <c r="Q109" s="1527"/>
      <c r="R109" s="1527"/>
      <c r="S109" s="1527">
        <v>11900</v>
      </c>
      <c r="T109" s="1527"/>
      <c r="U109" s="1527"/>
      <c r="V109" s="1527"/>
      <c r="W109" s="1527"/>
      <c r="X109" s="1527"/>
      <c r="Y109" s="1527"/>
      <c r="Z109" s="1527"/>
      <c r="AA109" s="1527"/>
      <c r="AB109" s="1527"/>
      <c r="AC109" s="1677"/>
      <c r="AD109" s="1681"/>
      <c r="AE109" s="1682"/>
      <c r="AF109" s="1527"/>
      <c r="AG109" s="1527"/>
      <c r="AH109" s="1527"/>
      <c r="AI109" s="1561">
        <f t="shared" si="14"/>
        <v>11900</v>
      </c>
      <c r="AJ109" s="1687">
        <f t="shared" si="15"/>
        <v>0</v>
      </c>
      <c r="AK109" s="1561">
        <f>'WEEKLY FC'!F142</f>
        <v>6871.8</v>
      </c>
      <c r="AL109" s="1591">
        <f>'WEEKLY FC'!D142</f>
        <v>2</v>
      </c>
      <c r="AM109" s="1561">
        <f t="shared" si="16"/>
        <v>18771.8</v>
      </c>
      <c r="AN109" s="1604">
        <f t="shared" si="17"/>
        <v>2</v>
      </c>
    </row>
    <row r="110" spans="2:40" ht="25.15" customHeight="1">
      <c r="B110" s="1542" t="s">
        <v>499</v>
      </c>
      <c r="C110" s="1517">
        <v>17</v>
      </c>
      <c r="D110" s="1558" t="str">
        <f>'WEEKLY FC'!B143</f>
        <v>KANTONG KERTAS ROCKET</v>
      </c>
      <c r="E110" s="1669">
        <v>123802</v>
      </c>
      <c r="F110" s="1671">
        <v>478</v>
      </c>
      <c r="G110" s="1536">
        <v>378399</v>
      </c>
      <c r="H110" s="1590">
        <v>1461</v>
      </c>
      <c r="I110" s="1527"/>
      <c r="J110" s="1527"/>
      <c r="K110" s="1527"/>
      <c r="L110" s="1527"/>
      <c r="M110" s="1527"/>
      <c r="N110" s="1527"/>
      <c r="O110" s="1527"/>
      <c r="P110" s="1527"/>
      <c r="Q110" s="1527"/>
      <c r="R110" s="1527"/>
      <c r="S110" s="1527"/>
      <c r="T110" s="1527"/>
      <c r="U110" s="1527"/>
      <c r="V110" s="1527"/>
      <c r="W110" s="1527"/>
      <c r="X110" s="1527"/>
      <c r="Y110" s="1527"/>
      <c r="Z110" s="1527"/>
      <c r="AA110" s="1527"/>
      <c r="AB110" s="1527"/>
      <c r="AC110" s="1677"/>
      <c r="AD110" s="1681"/>
      <c r="AE110" s="1678"/>
      <c r="AF110" s="1527"/>
      <c r="AG110" s="1527"/>
      <c r="AH110" s="1527"/>
      <c r="AI110" s="1561">
        <f t="shared" si="14"/>
        <v>0</v>
      </c>
      <c r="AJ110" s="1687">
        <f t="shared" si="15"/>
        <v>0</v>
      </c>
      <c r="AK110" s="1561">
        <f>'WEEKLY FC'!F143</f>
        <v>318570</v>
      </c>
      <c r="AL110" s="1591">
        <f>'WEEKLY FC'!D143</f>
        <v>1230</v>
      </c>
      <c r="AM110" s="1561">
        <f t="shared" si="16"/>
        <v>59829</v>
      </c>
      <c r="AN110" s="1604">
        <f t="shared" si="17"/>
        <v>231</v>
      </c>
    </row>
    <row r="111" spans="2:40" ht="25.15" customHeight="1">
      <c r="B111" s="1542" t="s">
        <v>505</v>
      </c>
      <c r="C111" s="1517">
        <v>18</v>
      </c>
      <c r="D111" s="1558" t="str">
        <f>'WEEKLY FC'!B144</f>
        <v>CUP MINUM ROCKET</v>
      </c>
      <c r="E111" s="1669">
        <v>39165</v>
      </c>
      <c r="F111" s="1671">
        <v>105</v>
      </c>
      <c r="G111" s="1536">
        <v>1137650</v>
      </c>
      <c r="H111" s="1590">
        <v>3050</v>
      </c>
      <c r="I111" s="1527"/>
      <c r="J111" s="1527"/>
      <c r="K111" s="1527"/>
      <c r="L111" s="1527"/>
      <c r="M111" s="1527"/>
      <c r="N111" s="1527"/>
      <c r="O111" s="1527"/>
      <c r="P111" s="1527"/>
      <c r="Q111" s="1527"/>
      <c r="R111" s="1527"/>
      <c r="S111" s="1527"/>
      <c r="T111" s="1527"/>
      <c r="U111" s="1527"/>
      <c r="V111" s="1527"/>
      <c r="W111" s="1527"/>
      <c r="X111" s="1527"/>
      <c r="Y111" s="1527"/>
      <c r="Z111" s="1527"/>
      <c r="AA111" s="1527"/>
      <c r="AB111" s="1527"/>
      <c r="AC111" s="1677"/>
      <c r="AD111" s="1681"/>
      <c r="AE111" s="1678"/>
      <c r="AF111" s="1527"/>
      <c r="AG111" s="1527"/>
      <c r="AH111" s="1527"/>
      <c r="AI111" s="1561">
        <f t="shared" si="14"/>
        <v>0</v>
      </c>
      <c r="AJ111" s="1687">
        <f t="shared" si="15"/>
        <v>0</v>
      </c>
      <c r="AK111" s="1561">
        <f>'WEEKLY FC'!F144</f>
        <v>1063423</v>
      </c>
      <c r="AL111" s="1591">
        <f>'WEEKLY FC'!D144</f>
        <v>2851</v>
      </c>
      <c r="AM111" s="1561">
        <f t="shared" si="16"/>
        <v>74227</v>
      </c>
      <c r="AN111" s="1604">
        <f t="shared" si="17"/>
        <v>199</v>
      </c>
    </row>
    <row r="112" spans="2:40" ht="25.15" customHeight="1">
      <c r="B112" s="1542"/>
      <c r="C112" s="1517">
        <v>19</v>
      </c>
      <c r="D112" s="1558" t="str">
        <f>'WEEKLY FC'!B145</f>
        <v>PAPER PLATE</v>
      </c>
      <c r="E112" s="1669">
        <v>0</v>
      </c>
      <c r="F112" s="1671">
        <v>0</v>
      </c>
      <c r="G112" s="1536">
        <v>245781.75</v>
      </c>
      <c r="H112" s="1590">
        <v>521</v>
      </c>
      <c r="I112" s="1527"/>
      <c r="J112" s="1527"/>
      <c r="K112" s="1527"/>
      <c r="L112" s="1527"/>
      <c r="M112" s="1527"/>
      <c r="N112" s="1527"/>
      <c r="O112" s="1527"/>
      <c r="P112" s="1527"/>
      <c r="Q112" s="1527"/>
      <c r="R112" s="1527"/>
      <c r="S112" s="1527"/>
      <c r="T112" s="1527"/>
      <c r="U112" s="1527"/>
      <c r="V112" s="1527"/>
      <c r="W112" s="1527"/>
      <c r="X112" s="1527"/>
      <c r="Y112" s="1527"/>
      <c r="Z112" s="1527"/>
      <c r="AA112" s="1527"/>
      <c r="AB112" s="1527"/>
      <c r="AC112" s="1677"/>
      <c r="AD112" s="1681"/>
      <c r="AE112" s="1527"/>
      <c r="AF112" s="1527"/>
      <c r="AG112" s="1527"/>
      <c r="AH112" s="1527"/>
      <c r="AI112" s="1561">
        <f t="shared" si="14"/>
        <v>0</v>
      </c>
      <c r="AJ112" s="1687">
        <f t="shared" si="15"/>
        <v>0</v>
      </c>
      <c r="AK112" s="1561">
        <f>'WEEKLY FC'!F145</f>
        <v>245781.75</v>
      </c>
      <c r="AL112" s="1591">
        <f>'WEEKLY FC'!D145</f>
        <v>521</v>
      </c>
      <c r="AM112" s="1561">
        <f t="shared" si="16"/>
        <v>0</v>
      </c>
      <c r="AN112" s="1604">
        <f t="shared" si="17"/>
        <v>0</v>
      </c>
    </row>
    <row r="113" spans="2:40" ht="25.15" customHeight="1">
      <c r="B113" s="1542"/>
      <c r="C113" s="1517">
        <v>20</v>
      </c>
      <c r="D113" s="1558" t="str">
        <f>'WEEKLY FC'!B146</f>
        <v>PAPER FRENCH FRIES</v>
      </c>
      <c r="E113" s="1669">
        <v>25200</v>
      </c>
      <c r="F113" s="1671">
        <v>175</v>
      </c>
      <c r="G113" s="1536">
        <v>36000</v>
      </c>
      <c r="H113" s="1590">
        <v>250</v>
      </c>
      <c r="I113" s="1527"/>
      <c r="J113" s="1527"/>
      <c r="K113" s="1527"/>
      <c r="L113" s="1527"/>
      <c r="M113" s="1527"/>
      <c r="N113" s="1527"/>
      <c r="O113" s="1527"/>
      <c r="P113" s="1527"/>
      <c r="Q113" s="1527"/>
      <c r="R113" s="1527"/>
      <c r="S113" s="1527"/>
      <c r="T113" s="1527"/>
      <c r="U113" s="1527"/>
      <c r="V113" s="1527"/>
      <c r="W113" s="1527"/>
      <c r="X113" s="1527"/>
      <c r="Y113" s="1527"/>
      <c r="Z113" s="1527"/>
      <c r="AA113" s="1527"/>
      <c r="AB113" s="1527"/>
      <c r="AC113" s="1677"/>
      <c r="AD113" s="1681"/>
      <c r="AE113" s="1527"/>
      <c r="AF113" s="1527"/>
      <c r="AG113" s="1527"/>
      <c r="AH113" s="1527"/>
      <c r="AI113" s="1561">
        <f t="shared" si="14"/>
        <v>0</v>
      </c>
      <c r="AJ113" s="1687">
        <f t="shared" si="15"/>
        <v>0</v>
      </c>
      <c r="AK113" s="1561">
        <f>'WEEKLY FC'!F146</f>
        <v>58320</v>
      </c>
      <c r="AL113" s="1591">
        <f>'WEEKLY FC'!D146</f>
        <v>405</v>
      </c>
      <c r="AM113" s="1561">
        <f t="shared" si="16"/>
        <v>-22320</v>
      </c>
      <c r="AN113" s="1604">
        <f t="shared" si="17"/>
        <v>-155</v>
      </c>
    </row>
    <row r="114" spans="2:40" ht="25.15" customHeight="1">
      <c r="B114" s="1542"/>
      <c r="C114" s="1517">
        <v>21</v>
      </c>
      <c r="D114" s="1558" t="str">
        <f>'WEEKLY FC'!B147</f>
        <v>PLASTIK KLIP BESAR (SAYUR)</v>
      </c>
      <c r="E114" s="1669">
        <v>0</v>
      </c>
      <c r="F114" s="1670">
        <v>0</v>
      </c>
      <c r="G114" s="1536">
        <v>0</v>
      </c>
      <c r="H114" s="1590">
        <v>0</v>
      </c>
      <c r="I114" s="1527"/>
      <c r="J114" s="1565"/>
      <c r="K114" s="1527"/>
      <c r="L114" s="1565"/>
      <c r="M114" s="1527"/>
      <c r="N114" s="1565"/>
      <c r="O114" s="1527"/>
      <c r="P114" s="1565"/>
      <c r="Q114" s="1527"/>
      <c r="R114" s="1565"/>
      <c r="S114" s="1527"/>
      <c r="T114" s="1565"/>
      <c r="U114" s="1527"/>
      <c r="V114" s="1565"/>
      <c r="W114" s="1527"/>
      <c r="X114" s="1565"/>
      <c r="Y114" s="1527"/>
      <c r="Z114" s="1565"/>
      <c r="AA114" s="1527"/>
      <c r="AB114" s="1565"/>
      <c r="AC114" s="1677"/>
      <c r="AD114" s="1681"/>
      <c r="AE114" s="1527"/>
      <c r="AF114" s="1565"/>
      <c r="AG114" s="1527"/>
      <c r="AH114" s="1565"/>
      <c r="AI114" s="1561">
        <f t="shared" si="14"/>
        <v>0</v>
      </c>
      <c r="AJ114" s="1586">
        <f t="shared" si="15"/>
        <v>0</v>
      </c>
      <c r="AK114" s="1561">
        <f>'WEEKLY FC'!F147</f>
        <v>0</v>
      </c>
      <c r="AL114" s="1586">
        <f>'WEEKLY FC'!D147</f>
        <v>0</v>
      </c>
      <c r="AM114" s="1561">
        <f t="shared" si="16"/>
        <v>0</v>
      </c>
      <c r="AN114" s="1686">
        <f t="shared" si="17"/>
        <v>0</v>
      </c>
    </row>
    <row r="115" spans="2:40" ht="25.15" customHeight="1">
      <c r="B115" s="1542"/>
      <c r="C115" s="1517">
        <v>22</v>
      </c>
      <c r="D115" s="1558" t="str">
        <f>'WEEKLY FC'!B148</f>
        <v>PLASTIK KLIP KECIL (TIMUN/MIX VEG)</v>
      </c>
      <c r="E115" s="1669">
        <v>0</v>
      </c>
      <c r="F115" s="1670">
        <v>0</v>
      </c>
      <c r="G115" s="1536">
        <v>0</v>
      </c>
      <c r="H115" s="1590">
        <v>0</v>
      </c>
      <c r="I115" s="1527"/>
      <c r="J115" s="1565"/>
      <c r="K115" s="1527"/>
      <c r="L115" s="1565"/>
      <c r="M115" s="1527"/>
      <c r="N115" s="1565"/>
      <c r="O115" s="1527"/>
      <c r="P115" s="1565"/>
      <c r="Q115" s="1527"/>
      <c r="R115" s="1565"/>
      <c r="S115" s="1527"/>
      <c r="T115" s="1565"/>
      <c r="U115" s="1527"/>
      <c r="V115" s="1565"/>
      <c r="W115" s="1527"/>
      <c r="X115" s="1565"/>
      <c r="Y115" s="1527"/>
      <c r="Z115" s="1565"/>
      <c r="AA115" s="1527"/>
      <c r="AB115" s="1565"/>
      <c r="AC115" s="1677"/>
      <c r="AD115" s="1681"/>
      <c r="AE115" s="1527"/>
      <c r="AF115" s="1565"/>
      <c r="AG115" s="1527"/>
      <c r="AH115" s="1565"/>
      <c r="AI115" s="1561">
        <f t="shared" si="14"/>
        <v>0</v>
      </c>
      <c r="AJ115" s="1586">
        <f t="shared" si="15"/>
        <v>0</v>
      </c>
      <c r="AK115" s="1561">
        <f>'WEEKLY FC'!F148</f>
        <v>0</v>
      </c>
      <c r="AL115" s="1586">
        <f>'WEEKLY FC'!D148</f>
        <v>0</v>
      </c>
      <c r="AM115" s="1561">
        <f t="shared" si="16"/>
        <v>0</v>
      </c>
      <c r="AN115" s="1686">
        <f t="shared" si="17"/>
        <v>0</v>
      </c>
    </row>
    <row r="116" spans="2:40" ht="25.15" customHeight="1">
      <c r="B116" s="1542"/>
      <c r="C116" s="1517">
        <v>23</v>
      </c>
      <c r="D116" s="1674" t="str">
        <f>'WEEKLY FC'!B149</f>
        <v>PLASTIK KLIP SEDANG (SAOS STEAK )</v>
      </c>
      <c r="E116" s="1669">
        <v>0</v>
      </c>
      <c r="F116" s="1670">
        <v>0</v>
      </c>
      <c r="G116" s="1536">
        <v>0</v>
      </c>
      <c r="H116" s="1590">
        <v>0</v>
      </c>
      <c r="I116" s="1527"/>
      <c r="J116" s="1565"/>
      <c r="K116" s="1527"/>
      <c r="L116" s="1565"/>
      <c r="M116" s="1527"/>
      <c r="N116" s="1565"/>
      <c r="O116" s="1527"/>
      <c r="P116" s="1565"/>
      <c r="Q116" s="1527"/>
      <c r="R116" s="1565"/>
      <c r="S116" s="1527"/>
      <c r="T116" s="1565"/>
      <c r="U116" s="1527"/>
      <c r="V116" s="1565"/>
      <c r="W116" s="1527"/>
      <c r="X116" s="1565"/>
      <c r="Y116" s="1527"/>
      <c r="Z116" s="1565"/>
      <c r="AA116" s="1527"/>
      <c r="AB116" s="1565"/>
      <c r="AC116" s="1677"/>
      <c r="AD116" s="1681"/>
      <c r="AE116" s="1527"/>
      <c r="AF116" s="1565"/>
      <c r="AG116" s="1527"/>
      <c r="AH116" s="1565"/>
      <c r="AI116" s="1561">
        <f t="shared" si="14"/>
        <v>0</v>
      </c>
      <c r="AJ116" s="1586">
        <f t="shared" si="15"/>
        <v>0</v>
      </c>
      <c r="AK116" s="1561">
        <f>'WEEKLY FC'!F149</f>
        <v>0</v>
      </c>
      <c r="AL116" s="1586">
        <f>'WEEKLY FC'!D149</f>
        <v>0</v>
      </c>
      <c r="AM116" s="1561">
        <f t="shared" si="16"/>
        <v>0</v>
      </c>
      <c r="AN116" s="1686">
        <f t="shared" si="17"/>
        <v>0</v>
      </c>
    </row>
    <row r="117" spans="2:40" ht="25.15" customHeight="1">
      <c r="B117" s="1542"/>
      <c r="C117" s="1517">
        <v>24</v>
      </c>
      <c r="D117" s="1558" t="str">
        <f>'WEEKLY FC'!B150</f>
        <v>PLASTIK JUMBO POLOS AYAM UTUH</v>
      </c>
      <c r="E117" s="1669">
        <v>0</v>
      </c>
      <c r="F117" s="1671">
        <v>0</v>
      </c>
      <c r="G117" s="1536">
        <v>0</v>
      </c>
      <c r="H117" s="1590">
        <v>0</v>
      </c>
      <c r="I117" s="1527"/>
      <c r="J117" s="1527"/>
      <c r="K117" s="1527"/>
      <c r="L117" s="1527"/>
      <c r="M117" s="1527"/>
      <c r="N117" s="1527"/>
      <c r="O117" s="1527"/>
      <c r="P117" s="1527"/>
      <c r="Q117" s="1527"/>
      <c r="R117" s="1527"/>
      <c r="S117" s="1527"/>
      <c r="T117" s="1527"/>
      <c r="U117" s="1527"/>
      <c r="V117" s="1527"/>
      <c r="W117" s="1527"/>
      <c r="X117" s="1527"/>
      <c r="Y117" s="1527"/>
      <c r="Z117" s="1527"/>
      <c r="AA117" s="1527"/>
      <c r="AB117" s="1527"/>
      <c r="AC117" s="1677"/>
      <c r="AD117" s="1681"/>
      <c r="AE117" s="1527"/>
      <c r="AF117" s="1527"/>
      <c r="AG117" s="1527"/>
      <c r="AH117" s="1527"/>
      <c r="AI117" s="1561">
        <f t="shared" si="14"/>
        <v>0</v>
      </c>
      <c r="AJ117" s="1687">
        <f t="shared" si="15"/>
        <v>0</v>
      </c>
      <c r="AK117" s="1561">
        <f>'WEEKLY FC'!F150</f>
        <v>0</v>
      </c>
      <c r="AL117" s="1591">
        <f>'WEEKLY FC'!D150</f>
        <v>0</v>
      </c>
      <c r="AM117" s="1561">
        <f t="shared" si="16"/>
        <v>0</v>
      </c>
      <c r="AN117" s="1604">
        <f t="shared" si="17"/>
        <v>0</v>
      </c>
    </row>
    <row r="118" spans="2:40" ht="25.15" customHeight="1">
      <c r="B118" s="1542"/>
      <c r="C118" s="1517">
        <v>25</v>
      </c>
      <c r="D118" s="1558" t="str">
        <f>'WEEKLY FC'!B151</f>
        <v>CUP SAMBAL</v>
      </c>
      <c r="E118" s="1669">
        <v>20800</v>
      </c>
      <c r="F118" s="1671">
        <v>100</v>
      </c>
      <c r="G118" s="1536">
        <v>78400</v>
      </c>
      <c r="H118" s="1590">
        <v>350</v>
      </c>
      <c r="I118" s="1527"/>
      <c r="J118" s="1527"/>
      <c r="K118" s="1527"/>
      <c r="L118" s="1527"/>
      <c r="M118" s="1527"/>
      <c r="N118" s="1527"/>
      <c r="O118" s="1527"/>
      <c r="P118" s="1527"/>
      <c r="Q118" s="1527"/>
      <c r="R118" s="1527"/>
      <c r="S118" s="1527"/>
      <c r="T118" s="1527"/>
      <c r="U118" s="1527">
        <v>43000</v>
      </c>
      <c r="V118" s="1527">
        <v>200</v>
      </c>
      <c r="W118" s="1527"/>
      <c r="X118" s="1527"/>
      <c r="Y118" s="1527"/>
      <c r="Z118" s="1527"/>
      <c r="AA118" s="1527"/>
      <c r="AB118" s="1527"/>
      <c r="AC118" s="1677"/>
      <c r="AD118" s="1681"/>
      <c r="AE118" s="1678"/>
      <c r="AF118" s="1527"/>
      <c r="AG118" s="1527"/>
      <c r="AH118" s="1527"/>
      <c r="AI118" s="1561">
        <f t="shared" si="14"/>
        <v>43000</v>
      </c>
      <c r="AJ118" s="1687">
        <f t="shared" si="15"/>
        <v>200</v>
      </c>
      <c r="AK118" s="1561">
        <f>'WEEKLY FC'!F151</f>
        <v>33600</v>
      </c>
      <c r="AL118" s="1591">
        <f>'WEEKLY FC'!D151</f>
        <v>150</v>
      </c>
      <c r="AM118" s="1561">
        <f t="shared" si="16"/>
        <v>87800</v>
      </c>
      <c r="AN118" s="1604">
        <f t="shared" si="17"/>
        <v>400</v>
      </c>
    </row>
    <row r="119" spans="2:40" ht="25.15" customHeight="1">
      <c r="B119" s="1542"/>
      <c r="C119" s="1517">
        <v>26</v>
      </c>
      <c r="D119" s="1558" t="str">
        <f>'WEEKLY FC'!B152</f>
        <v>CUP PUDING 100 ML (STEAK )</v>
      </c>
      <c r="E119" s="1669">
        <v>9280</v>
      </c>
      <c r="F119" s="1671">
        <v>32</v>
      </c>
      <c r="G119" s="1536">
        <v>138040</v>
      </c>
      <c r="H119" s="1590">
        <v>476</v>
      </c>
      <c r="I119" s="1527"/>
      <c r="J119" s="1527"/>
      <c r="K119" s="1527"/>
      <c r="L119" s="1527"/>
      <c r="M119" s="1527"/>
      <c r="N119" s="1527"/>
      <c r="O119" s="1527"/>
      <c r="P119" s="1527"/>
      <c r="Q119" s="1527"/>
      <c r="R119" s="1527"/>
      <c r="S119" s="1527"/>
      <c r="T119" s="1527"/>
      <c r="U119" s="1527"/>
      <c r="V119" s="1527"/>
      <c r="W119" s="1527"/>
      <c r="X119" s="1527"/>
      <c r="Y119" s="1527"/>
      <c r="Z119" s="1527"/>
      <c r="AA119" s="1527"/>
      <c r="AB119" s="1527"/>
      <c r="AC119" s="1677"/>
      <c r="AD119" s="1681"/>
      <c r="AE119" s="1527"/>
      <c r="AF119" s="1527"/>
      <c r="AG119" s="1527"/>
      <c r="AH119" s="1527"/>
      <c r="AI119" s="1561">
        <f t="shared" si="14"/>
        <v>0</v>
      </c>
      <c r="AJ119" s="1687">
        <f t="shared" si="15"/>
        <v>0</v>
      </c>
      <c r="AK119" s="1561">
        <f>'WEEKLY FC'!F152</f>
        <v>101500</v>
      </c>
      <c r="AL119" s="1591">
        <f>'WEEKLY FC'!D152</f>
        <v>350</v>
      </c>
      <c r="AM119" s="1561">
        <f t="shared" si="16"/>
        <v>36540</v>
      </c>
      <c r="AN119" s="1604">
        <f t="shared" si="17"/>
        <v>126</v>
      </c>
    </row>
    <row r="120" spans="2:40" ht="25.15" customHeight="1">
      <c r="B120" s="1542"/>
      <c r="C120" s="1517">
        <v>27</v>
      </c>
      <c r="D120" s="1558" t="str">
        <f>'WEEKLY FC'!B153</f>
        <v>CUP PUDING 150 ML (AYAM UTUH)</v>
      </c>
      <c r="E120" s="1669">
        <v>0</v>
      </c>
      <c r="F120" s="1671">
        <v>0</v>
      </c>
      <c r="G120" s="1536">
        <v>0</v>
      </c>
      <c r="H120" s="1590">
        <v>0</v>
      </c>
      <c r="I120" s="1527"/>
      <c r="J120" s="1527"/>
      <c r="K120" s="1527"/>
      <c r="L120" s="1527"/>
      <c r="M120" s="1527"/>
      <c r="N120" s="1527"/>
      <c r="O120" s="1527"/>
      <c r="P120" s="1527"/>
      <c r="Q120" s="1527"/>
      <c r="R120" s="1527"/>
      <c r="S120" s="1527"/>
      <c r="T120" s="1527"/>
      <c r="U120" s="1527"/>
      <c r="V120" s="1527"/>
      <c r="W120" s="1527"/>
      <c r="X120" s="1527"/>
      <c r="Y120" s="1527"/>
      <c r="Z120" s="1527"/>
      <c r="AA120" s="1527"/>
      <c r="AB120" s="1527"/>
      <c r="AC120" s="1677"/>
      <c r="AD120" s="1681"/>
      <c r="AE120" s="1527"/>
      <c r="AF120" s="1527"/>
      <c r="AG120" s="1527"/>
      <c r="AH120" s="1527"/>
      <c r="AI120" s="1561">
        <f t="shared" si="14"/>
        <v>0</v>
      </c>
      <c r="AJ120" s="1687">
        <f t="shared" si="15"/>
        <v>0</v>
      </c>
      <c r="AK120" s="1561">
        <f>'WEEKLY FC'!F153</f>
        <v>0</v>
      </c>
      <c r="AL120" s="1591">
        <f>'WEEKLY FC'!D153</f>
        <v>0</v>
      </c>
      <c r="AM120" s="1561">
        <f t="shared" si="16"/>
        <v>0</v>
      </c>
      <c r="AN120" s="1604">
        <f t="shared" si="17"/>
        <v>0</v>
      </c>
    </row>
    <row r="121" spans="2:40" ht="25.15" customHeight="1">
      <c r="B121" s="1542"/>
      <c r="C121" s="1517">
        <v>28</v>
      </c>
      <c r="D121" s="1558" t="str">
        <f>'WEEKLY FC'!B154</f>
        <v>BOX AYAM UTUH</v>
      </c>
      <c r="E121" s="1669">
        <v>76560</v>
      </c>
      <c r="F121" s="1671">
        <v>22</v>
      </c>
      <c r="G121" s="1536">
        <v>1026600</v>
      </c>
      <c r="H121" s="1590">
        <v>295</v>
      </c>
      <c r="I121" s="1527"/>
      <c r="J121" s="1527"/>
      <c r="K121" s="1527"/>
      <c r="L121" s="1527"/>
      <c r="M121" s="1527"/>
      <c r="N121" s="1527"/>
      <c r="O121" s="1527"/>
      <c r="P121" s="1527"/>
      <c r="Q121" s="1527"/>
      <c r="R121" s="1527"/>
      <c r="S121" s="1527"/>
      <c r="T121" s="1527"/>
      <c r="U121" s="1527"/>
      <c r="V121" s="1527"/>
      <c r="W121" s="1527"/>
      <c r="X121" s="1527"/>
      <c r="Y121" s="1527"/>
      <c r="Z121" s="1527"/>
      <c r="AA121" s="1527"/>
      <c r="AB121" s="1527"/>
      <c r="AC121" s="1677"/>
      <c r="AD121" s="1681"/>
      <c r="AE121" s="1678"/>
      <c r="AF121" s="1527"/>
      <c r="AG121" s="1527"/>
      <c r="AH121" s="1527"/>
      <c r="AI121" s="1561">
        <f t="shared" si="14"/>
        <v>0</v>
      </c>
      <c r="AJ121" s="1687">
        <f t="shared" si="15"/>
        <v>0</v>
      </c>
      <c r="AK121" s="1561">
        <f>'WEEKLY FC'!F154</f>
        <v>1012680</v>
      </c>
      <c r="AL121" s="1591">
        <f>'WEEKLY FC'!D154</f>
        <v>291</v>
      </c>
      <c r="AM121" s="1561">
        <f t="shared" si="16"/>
        <v>13920</v>
      </c>
      <c r="AN121" s="1604">
        <f t="shared" si="17"/>
        <v>4</v>
      </c>
    </row>
    <row r="122" spans="2:40" ht="25.15" customHeight="1">
      <c r="B122" s="1542"/>
      <c r="C122" s="1517">
        <v>29</v>
      </c>
      <c r="D122" s="1675" t="str">
        <f>'WEEKLY FC'!B155</f>
        <v>BOX BERKAH</v>
      </c>
      <c r="E122" s="1669">
        <v>0</v>
      </c>
      <c r="F122" s="1671">
        <v>0</v>
      </c>
      <c r="G122" s="1536">
        <v>0</v>
      </c>
      <c r="H122" s="1590">
        <v>0</v>
      </c>
      <c r="I122" s="1527"/>
      <c r="J122" s="1527"/>
      <c r="K122" s="1527"/>
      <c r="L122" s="1527"/>
      <c r="M122" s="1527"/>
      <c r="N122" s="1527"/>
      <c r="O122" s="1527"/>
      <c r="P122" s="1527"/>
      <c r="Q122" s="1527"/>
      <c r="R122" s="1527"/>
      <c r="S122" s="1527"/>
      <c r="T122" s="1527"/>
      <c r="U122" s="1527"/>
      <c r="V122" s="1527"/>
      <c r="W122" s="1527"/>
      <c r="X122" s="1527"/>
      <c r="Y122" s="1527"/>
      <c r="Z122" s="1527"/>
      <c r="AA122" s="1527"/>
      <c r="AB122" s="1527"/>
      <c r="AC122" s="1677"/>
      <c r="AD122" s="1681"/>
      <c r="AE122" s="1527"/>
      <c r="AF122" s="1527"/>
      <c r="AG122" s="1527"/>
      <c r="AH122" s="1527"/>
      <c r="AI122" s="1561">
        <f t="shared" si="14"/>
        <v>0</v>
      </c>
      <c r="AJ122" s="1687">
        <f t="shared" si="15"/>
        <v>0</v>
      </c>
      <c r="AK122" s="1561">
        <f>'WEEKLY FC'!F155</f>
        <v>0</v>
      </c>
      <c r="AL122" s="1591">
        <f>'WEEKLY FC'!D155</f>
        <v>0</v>
      </c>
      <c r="AM122" s="1561">
        <f t="shared" si="16"/>
        <v>0</v>
      </c>
      <c r="AN122" s="1604">
        <f t="shared" si="17"/>
        <v>0</v>
      </c>
    </row>
    <row r="123" spans="2:40" ht="25.15" customHeight="1">
      <c r="B123" s="1542"/>
      <c r="C123" s="1533">
        <v>30</v>
      </c>
      <c r="D123" s="1544" t="str">
        <f>'WEEKLY FC'!B156</f>
        <v>BOX BUCKET</v>
      </c>
      <c r="E123" s="1669">
        <v>32000</v>
      </c>
      <c r="F123" s="1671">
        <v>4</v>
      </c>
      <c r="G123" s="1536">
        <v>240000</v>
      </c>
      <c r="H123" s="1590">
        <v>30</v>
      </c>
      <c r="I123" s="1527"/>
      <c r="J123" s="1527"/>
      <c r="K123" s="1527"/>
      <c r="L123" s="1527"/>
      <c r="M123" s="1527"/>
      <c r="N123" s="1527"/>
      <c r="O123" s="1527"/>
      <c r="P123" s="1527"/>
      <c r="Q123" s="1527"/>
      <c r="R123" s="1527"/>
      <c r="S123" s="1527"/>
      <c r="T123" s="1527"/>
      <c r="U123" s="1527"/>
      <c r="V123" s="1527"/>
      <c r="W123" s="1527"/>
      <c r="X123" s="1527"/>
      <c r="Y123" s="1527"/>
      <c r="Z123" s="1527"/>
      <c r="AA123" s="1527"/>
      <c r="AB123" s="1527"/>
      <c r="AC123" s="1677"/>
      <c r="AD123" s="1681"/>
      <c r="AE123" s="1527"/>
      <c r="AF123" s="1527"/>
      <c r="AG123" s="1527"/>
      <c r="AH123" s="1527"/>
      <c r="AI123" s="1561">
        <f t="shared" si="14"/>
        <v>0</v>
      </c>
      <c r="AJ123" s="1687">
        <f t="shared" si="15"/>
        <v>0</v>
      </c>
      <c r="AK123" s="1561">
        <f>'WEEKLY FC'!F156</f>
        <v>192000</v>
      </c>
      <c r="AL123" s="1591">
        <f>'WEEKLY FC'!D156</f>
        <v>24</v>
      </c>
      <c r="AM123" s="1561">
        <f t="shared" si="16"/>
        <v>48000</v>
      </c>
      <c r="AN123" s="1604">
        <f t="shared" si="17"/>
        <v>6</v>
      </c>
    </row>
    <row r="124" spans="2:40" ht="25.15" customHeight="1">
      <c r="B124" s="1515"/>
      <c r="C124" s="1517">
        <v>31</v>
      </c>
      <c r="D124" s="1544" t="str">
        <f>'WEEKLY FC'!B157</f>
        <v>TUSUK GIGI</v>
      </c>
      <c r="E124" s="1669">
        <v>-7500</v>
      </c>
      <c r="F124" s="1670">
        <v>-0.5</v>
      </c>
      <c r="G124" s="1532">
        <v>7500</v>
      </c>
      <c r="H124" s="1581">
        <v>0.5</v>
      </c>
      <c r="I124" s="1527"/>
      <c r="J124" s="1565"/>
      <c r="K124" s="1527"/>
      <c r="L124" s="1565"/>
      <c r="M124" s="1527"/>
      <c r="N124" s="1565"/>
      <c r="O124" s="1527"/>
      <c r="P124" s="1565"/>
      <c r="Q124" s="1527"/>
      <c r="R124" s="1565"/>
      <c r="S124" s="1527"/>
      <c r="T124" s="1565"/>
      <c r="U124" s="1527"/>
      <c r="V124" s="1565"/>
      <c r="W124" s="1527"/>
      <c r="X124" s="1565"/>
      <c r="Y124" s="1527"/>
      <c r="Z124" s="1565"/>
      <c r="AA124" s="1527"/>
      <c r="AB124" s="1565"/>
      <c r="AC124" s="1677"/>
      <c r="AD124" s="1681"/>
      <c r="AE124" s="1527"/>
      <c r="AF124" s="1565"/>
      <c r="AG124" s="1527"/>
      <c r="AH124" s="1565"/>
      <c r="AI124" s="1561">
        <f t="shared" si="14"/>
        <v>0</v>
      </c>
      <c r="AJ124" s="1586">
        <f t="shared" si="15"/>
        <v>0</v>
      </c>
      <c r="AK124" s="1561">
        <f>'WEEKLY FC'!F157</f>
        <v>7500</v>
      </c>
      <c r="AL124" s="1586">
        <f>'WEEKLY FC'!D157</f>
        <v>0.5</v>
      </c>
      <c r="AM124" s="1561">
        <f t="shared" ref="AM124:AM131" si="18">G124+AI124-AK124</f>
        <v>0</v>
      </c>
      <c r="AN124" s="1686">
        <f t="shared" si="17"/>
        <v>0</v>
      </c>
    </row>
    <row r="125" spans="2:40" ht="25.15" customHeight="1">
      <c r="B125" s="1515"/>
      <c r="C125" s="1533">
        <v>32</v>
      </c>
      <c r="D125" s="1544" t="str">
        <f>'WEEKLY FC'!B158</f>
        <v>PLASTIK WRAPPING</v>
      </c>
      <c r="E125" s="1669">
        <v>0</v>
      </c>
      <c r="F125" s="1670">
        <v>0</v>
      </c>
      <c r="G125" s="1532">
        <v>0</v>
      </c>
      <c r="H125" s="1581">
        <v>0</v>
      </c>
      <c r="I125" s="1527"/>
      <c r="J125" s="1565"/>
      <c r="K125" s="1527"/>
      <c r="L125" s="1565"/>
      <c r="M125" s="1527"/>
      <c r="N125" s="1565"/>
      <c r="O125" s="1527"/>
      <c r="P125" s="1565"/>
      <c r="Q125" s="1527"/>
      <c r="R125" s="1565"/>
      <c r="S125" s="1527"/>
      <c r="T125" s="1565"/>
      <c r="U125" s="1527"/>
      <c r="V125" s="1565"/>
      <c r="W125" s="1527"/>
      <c r="X125" s="1565"/>
      <c r="Y125" s="1527"/>
      <c r="Z125" s="1565"/>
      <c r="AA125" s="1527"/>
      <c r="AB125" s="1565"/>
      <c r="AC125" s="1677"/>
      <c r="AD125" s="1681"/>
      <c r="AE125" s="1527"/>
      <c r="AF125" s="1565"/>
      <c r="AG125" s="1527"/>
      <c r="AH125" s="1565"/>
      <c r="AI125" s="1561">
        <f t="shared" si="14"/>
        <v>0</v>
      </c>
      <c r="AJ125" s="1586">
        <f t="shared" si="15"/>
        <v>0</v>
      </c>
      <c r="AK125" s="1561">
        <f>'WEEKLY FC'!F158</f>
        <v>0</v>
      </c>
      <c r="AL125" s="1586">
        <f>'WEEKLY FC'!D158</f>
        <v>0</v>
      </c>
      <c r="AM125" s="1561">
        <f t="shared" si="18"/>
        <v>0</v>
      </c>
      <c r="AN125" s="1686">
        <f t="shared" si="17"/>
        <v>0</v>
      </c>
    </row>
    <row r="126" spans="2:40" ht="25.15" customHeight="1">
      <c r="B126" s="1515"/>
      <c r="C126" s="1517">
        <v>33</v>
      </c>
      <c r="D126" s="1544" t="str">
        <f>'WEEKLY FC'!B159</f>
        <v>SENDOK ES CREAM</v>
      </c>
      <c r="E126" s="1669">
        <v>0</v>
      </c>
      <c r="F126" s="1671">
        <v>0</v>
      </c>
      <c r="G126" s="1532">
        <v>0</v>
      </c>
      <c r="H126" s="1581">
        <v>0</v>
      </c>
      <c r="I126" s="1527"/>
      <c r="J126" s="1527"/>
      <c r="K126" s="1527"/>
      <c r="L126" s="1527"/>
      <c r="M126" s="1527"/>
      <c r="N126" s="1527"/>
      <c r="O126" s="1527"/>
      <c r="P126" s="1527"/>
      <c r="Q126" s="1527"/>
      <c r="R126" s="1527"/>
      <c r="S126" s="1527"/>
      <c r="T126" s="1527"/>
      <c r="U126" s="1527"/>
      <c r="V126" s="1527"/>
      <c r="W126" s="1527"/>
      <c r="X126" s="1527"/>
      <c r="Y126" s="1527"/>
      <c r="Z126" s="1527"/>
      <c r="AA126" s="1527"/>
      <c r="AB126" s="1527"/>
      <c r="AC126" s="1677"/>
      <c r="AD126" s="1681"/>
      <c r="AE126" s="1527"/>
      <c r="AF126" s="1527"/>
      <c r="AG126" s="1527"/>
      <c r="AH126" s="1527"/>
      <c r="AI126" s="1561">
        <f t="shared" si="14"/>
        <v>0</v>
      </c>
      <c r="AJ126" s="1687">
        <f t="shared" si="15"/>
        <v>0</v>
      </c>
      <c r="AK126" s="1561">
        <f>'WEEKLY FC'!F159</f>
        <v>0</v>
      </c>
      <c r="AL126" s="1591">
        <f>'WEEKLY FC'!D159</f>
        <v>0</v>
      </c>
      <c r="AM126" s="1561">
        <f t="shared" si="18"/>
        <v>0</v>
      </c>
      <c r="AN126" s="1604">
        <f t="shared" si="17"/>
        <v>0</v>
      </c>
    </row>
    <row r="127" spans="2:40" ht="25.15" customHeight="1">
      <c r="B127" s="1515"/>
      <c r="C127" s="1533">
        <v>34</v>
      </c>
      <c r="D127" s="1544" t="str">
        <f>'WEEKLY FC'!B160</f>
        <v>HAND GLOVES</v>
      </c>
      <c r="E127" s="1669">
        <v>0</v>
      </c>
      <c r="F127" s="1671">
        <v>0</v>
      </c>
      <c r="G127" s="1532">
        <v>0</v>
      </c>
      <c r="H127" s="1581">
        <v>0</v>
      </c>
      <c r="I127" s="1527"/>
      <c r="J127" s="1527"/>
      <c r="K127" s="1527"/>
      <c r="L127" s="1527"/>
      <c r="M127" s="1527"/>
      <c r="N127" s="1527"/>
      <c r="O127" s="1527"/>
      <c r="P127" s="1527"/>
      <c r="Q127" s="1527"/>
      <c r="R127" s="1527"/>
      <c r="S127" s="1527"/>
      <c r="T127" s="1527"/>
      <c r="U127" s="1527"/>
      <c r="V127" s="1527"/>
      <c r="W127" s="1527"/>
      <c r="X127" s="1527"/>
      <c r="Y127" s="1527"/>
      <c r="Z127" s="1527"/>
      <c r="AA127" s="1527"/>
      <c r="AB127" s="1527"/>
      <c r="AC127" s="1677"/>
      <c r="AD127" s="1681"/>
      <c r="AE127" s="1527"/>
      <c r="AF127" s="1527"/>
      <c r="AG127" s="1527"/>
      <c r="AH127" s="1527"/>
      <c r="AI127" s="1561">
        <f t="shared" si="14"/>
        <v>0</v>
      </c>
      <c r="AJ127" s="1687">
        <f t="shared" si="15"/>
        <v>0</v>
      </c>
      <c r="AK127" s="1561">
        <f>'WEEKLY FC'!F160</f>
        <v>0</v>
      </c>
      <c r="AL127" s="1591">
        <f>'WEEKLY FC'!D160</f>
        <v>0</v>
      </c>
      <c r="AM127" s="1561">
        <f t="shared" si="18"/>
        <v>0</v>
      </c>
      <c r="AN127" s="1604">
        <f t="shared" si="17"/>
        <v>0</v>
      </c>
    </row>
    <row r="128" spans="2:40" ht="25.15" customHeight="1">
      <c r="B128" s="1515"/>
      <c r="C128" s="1517">
        <v>35</v>
      </c>
      <c r="D128" s="1544" t="str">
        <f>'WEEKLY FC'!B161</f>
        <v>CABLE TIES</v>
      </c>
      <c r="E128" s="1669">
        <v>0</v>
      </c>
      <c r="F128" s="1671">
        <v>0</v>
      </c>
      <c r="G128" s="1532">
        <v>0</v>
      </c>
      <c r="H128" s="1581">
        <v>0</v>
      </c>
      <c r="I128" s="1527"/>
      <c r="J128" s="1527"/>
      <c r="K128" s="1527"/>
      <c r="L128" s="1527"/>
      <c r="M128" s="1527"/>
      <c r="N128" s="1527"/>
      <c r="O128" s="1527"/>
      <c r="P128" s="1527"/>
      <c r="Q128" s="1527"/>
      <c r="R128" s="1527"/>
      <c r="S128" s="1527"/>
      <c r="T128" s="1527"/>
      <c r="U128" s="1527">
        <v>21000</v>
      </c>
      <c r="V128" s="1527"/>
      <c r="W128" s="1527"/>
      <c r="X128" s="1527"/>
      <c r="Y128" s="1527"/>
      <c r="Z128" s="1527"/>
      <c r="AA128" s="1527"/>
      <c r="AB128" s="1527"/>
      <c r="AC128" s="1677"/>
      <c r="AD128" s="1681"/>
      <c r="AE128" s="1527"/>
      <c r="AF128" s="1527"/>
      <c r="AG128" s="1527"/>
      <c r="AH128" s="1527"/>
      <c r="AI128" s="1561">
        <f t="shared" si="14"/>
        <v>21000</v>
      </c>
      <c r="AJ128" s="1687">
        <f t="shared" si="15"/>
        <v>0</v>
      </c>
      <c r="AK128" s="1561">
        <f>'WEEKLY FC'!F161</f>
        <v>21000</v>
      </c>
      <c r="AL128" s="1591">
        <f>'WEEKLY FC'!D161</f>
        <v>3</v>
      </c>
      <c r="AM128" s="1561">
        <f t="shared" si="18"/>
        <v>0</v>
      </c>
      <c r="AN128" s="1604">
        <f t="shared" si="17"/>
        <v>-3</v>
      </c>
    </row>
    <row r="129" spans="2:43" ht="25.15" customHeight="1">
      <c r="B129" s="1515"/>
      <c r="C129" s="1533">
        <v>36</v>
      </c>
      <c r="D129" s="1544" t="str">
        <f>'WEEKLY FC'!B162</f>
        <v>CUP FF</v>
      </c>
      <c r="E129" s="1669">
        <v>0</v>
      </c>
      <c r="F129" s="1671">
        <v>0</v>
      </c>
      <c r="G129" s="1532">
        <v>0</v>
      </c>
      <c r="H129" s="1581">
        <v>0</v>
      </c>
      <c r="I129" s="1527"/>
      <c r="J129" s="1527"/>
      <c r="K129" s="1527"/>
      <c r="L129" s="1527"/>
      <c r="M129" s="1527"/>
      <c r="N129" s="1527"/>
      <c r="O129" s="1527"/>
      <c r="P129" s="1527"/>
      <c r="Q129" s="1527"/>
      <c r="R129" s="1527"/>
      <c r="S129" s="1527"/>
      <c r="T129" s="1527"/>
      <c r="U129" s="1527"/>
      <c r="V129" s="1527"/>
      <c r="W129" s="1527"/>
      <c r="X129" s="1527"/>
      <c r="Y129" s="1527"/>
      <c r="Z129" s="1527"/>
      <c r="AA129" s="1527"/>
      <c r="AB129" s="1527"/>
      <c r="AC129" s="1677"/>
      <c r="AD129" s="1681"/>
      <c r="AE129" s="1527"/>
      <c r="AF129" s="1527"/>
      <c r="AG129" s="1527"/>
      <c r="AH129" s="1527"/>
      <c r="AI129" s="1561">
        <f t="shared" si="14"/>
        <v>0</v>
      </c>
      <c r="AJ129" s="1687">
        <f t="shared" si="15"/>
        <v>0</v>
      </c>
      <c r="AK129" s="1561">
        <f>'WEEKLY FC'!F162</f>
        <v>0</v>
      </c>
      <c r="AL129" s="1591">
        <f>'WEEKLY FC'!D162</f>
        <v>0</v>
      </c>
      <c r="AM129" s="1561">
        <f t="shared" si="18"/>
        <v>0</v>
      </c>
      <c r="AN129" s="1604">
        <f t="shared" si="17"/>
        <v>0</v>
      </c>
    </row>
    <row r="130" spans="2:43" ht="25.15" customHeight="1">
      <c r="B130" s="1515"/>
      <c r="C130" s="1517">
        <v>37</v>
      </c>
      <c r="D130" s="1544" t="str">
        <f>'WEEKLY FC'!B163</f>
        <v>IPPER BAG</v>
      </c>
      <c r="E130" s="1669">
        <v>0</v>
      </c>
      <c r="F130" s="1671">
        <v>0</v>
      </c>
      <c r="G130" s="1532">
        <v>0</v>
      </c>
      <c r="H130" s="1581">
        <v>0</v>
      </c>
      <c r="I130" s="1527"/>
      <c r="J130" s="1527"/>
      <c r="K130" s="1527"/>
      <c r="L130" s="1527"/>
      <c r="M130" s="1527"/>
      <c r="N130" s="1527"/>
      <c r="O130" s="1527"/>
      <c r="P130" s="1527"/>
      <c r="Q130" s="1527"/>
      <c r="R130" s="1527"/>
      <c r="S130" s="1527"/>
      <c r="T130" s="1527"/>
      <c r="U130" s="1527"/>
      <c r="V130" s="1527"/>
      <c r="W130" s="1527"/>
      <c r="X130" s="1527"/>
      <c r="Y130" s="1527"/>
      <c r="Z130" s="1527"/>
      <c r="AA130" s="1527"/>
      <c r="AB130" s="1527"/>
      <c r="AC130" s="1677"/>
      <c r="AD130" s="1681"/>
      <c r="AE130" s="1527"/>
      <c r="AF130" s="1527"/>
      <c r="AG130" s="1527"/>
      <c r="AH130" s="1527"/>
      <c r="AI130" s="1561">
        <f t="shared" si="14"/>
        <v>0</v>
      </c>
      <c r="AJ130" s="1687">
        <f t="shared" si="15"/>
        <v>0</v>
      </c>
      <c r="AK130" s="1561">
        <f>'WEEKLY FC'!F163</f>
        <v>0</v>
      </c>
      <c r="AL130" s="1591">
        <f>'WEEKLY FC'!D163</f>
        <v>0</v>
      </c>
      <c r="AM130" s="1561">
        <f t="shared" si="18"/>
        <v>0</v>
      </c>
      <c r="AN130" s="1604">
        <f t="shared" si="17"/>
        <v>0</v>
      </c>
    </row>
    <row r="131" spans="2:43" ht="25.15" customHeight="1">
      <c r="B131" s="1519"/>
      <c r="C131" s="1556">
        <v>38</v>
      </c>
      <c r="D131" s="1551" t="str">
        <f>'WEEKLY FC'!B164</f>
        <v>CUP MILKY</v>
      </c>
      <c r="E131" s="1669"/>
      <c r="F131" s="1671"/>
      <c r="G131" s="1669">
        <v>83850</v>
      </c>
      <c r="H131" s="1671">
        <v>215</v>
      </c>
      <c r="I131" s="1527"/>
      <c r="J131" s="1527"/>
      <c r="K131" s="1527"/>
      <c r="L131" s="1527"/>
      <c r="M131" s="1527"/>
      <c r="N131" s="1527"/>
      <c r="O131" s="1527"/>
      <c r="P131" s="1527"/>
      <c r="Q131" s="1527"/>
      <c r="R131" s="1527"/>
      <c r="S131" s="1527"/>
      <c r="T131" s="1527"/>
      <c r="U131" s="1527"/>
      <c r="V131" s="1527"/>
      <c r="W131" s="1527"/>
      <c r="X131" s="1527"/>
      <c r="Y131" s="1527"/>
      <c r="Z131" s="1527"/>
      <c r="AA131" s="1527"/>
      <c r="AB131" s="1527"/>
      <c r="AC131" s="1677"/>
      <c r="AD131" s="1681"/>
      <c r="AE131" s="1527"/>
      <c r="AF131" s="1527"/>
      <c r="AG131" s="1527"/>
      <c r="AH131" s="1527"/>
      <c r="AI131" s="1561">
        <f t="shared" si="14"/>
        <v>0</v>
      </c>
      <c r="AJ131" s="1687">
        <f t="shared" si="15"/>
        <v>0</v>
      </c>
      <c r="AK131" s="1561">
        <f>'WEEKLY FC'!F164</f>
        <v>79170</v>
      </c>
      <c r="AL131" s="1591">
        <f>'WEEKLY FC'!D164</f>
        <v>203</v>
      </c>
      <c r="AM131" s="1561">
        <f t="shared" si="18"/>
        <v>4680</v>
      </c>
      <c r="AN131" s="1604">
        <f t="shared" si="17"/>
        <v>12</v>
      </c>
      <c r="AO131" s="1505">
        <f>SUM(AM94:AM131)</f>
        <v>1279067</v>
      </c>
    </row>
    <row r="132" spans="2:43" ht="25.15" customHeight="1">
      <c r="B132" s="1662"/>
      <c r="C132" s="1688"/>
      <c r="D132" s="1662" t="s">
        <v>506</v>
      </c>
      <c r="E132" s="2311">
        <f>SUM(E94:E131)</f>
        <v>1612765.8</v>
      </c>
      <c r="F132" s="2312"/>
      <c r="G132" s="2311">
        <f>SUM(G94:G131)</f>
        <v>11809755.25</v>
      </c>
      <c r="H132" s="2312"/>
      <c r="I132" s="2311">
        <f>SUM(I94:I131)</f>
        <v>0</v>
      </c>
      <c r="J132" s="2312"/>
      <c r="K132" s="2311">
        <f>SUM(K94:K131)</f>
        <v>0</v>
      </c>
      <c r="L132" s="2312"/>
      <c r="M132" s="2311">
        <f>SUM(M94:M131)</f>
        <v>0</v>
      </c>
      <c r="N132" s="2312"/>
      <c r="O132" s="2311">
        <f>SUM(O94:O131)</f>
        <v>0</v>
      </c>
      <c r="P132" s="2312"/>
      <c r="Q132" s="2311">
        <f>SUM(Q94:Q131)</f>
        <v>0</v>
      </c>
      <c r="R132" s="2312"/>
      <c r="S132" s="2311">
        <f>SUM(S94:S131)</f>
        <v>11900</v>
      </c>
      <c r="T132" s="2312"/>
      <c r="U132" s="2311">
        <f>SUM(U94:U131)</f>
        <v>64000</v>
      </c>
      <c r="V132" s="2312"/>
      <c r="W132" s="2311">
        <f>SUM(W94:W131)</f>
        <v>0</v>
      </c>
      <c r="X132" s="2312"/>
      <c r="Y132" s="2311">
        <f>SUM(Y94:Y131)</f>
        <v>0</v>
      </c>
      <c r="Z132" s="2312"/>
      <c r="AA132" s="2311">
        <f>SUM(AA94:AA131)</f>
        <v>0</v>
      </c>
      <c r="AB132" s="2312"/>
      <c r="AC132" s="2311">
        <f>SUM(AC94:AC131)</f>
        <v>0</v>
      </c>
      <c r="AD132" s="2312"/>
      <c r="AE132" s="2311">
        <f>SUM(AE94:AE131)</f>
        <v>0</v>
      </c>
      <c r="AF132" s="2312"/>
      <c r="AG132" s="2311">
        <f>SUM(AG94:AG131)</f>
        <v>0</v>
      </c>
      <c r="AH132" s="2312"/>
      <c r="AI132" s="2311">
        <f>SUM(AI94:AI131)</f>
        <v>75900</v>
      </c>
      <c r="AJ132" s="2312"/>
      <c r="AK132" s="2311">
        <f>SUM(AK94:AK131)</f>
        <v>10606588.25</v>
      </c>
      <c r="AL132" s="2312"/>
      <c r="AM132" s="2311">
        <f>SUM(AM94:AM131)</f>
        <v>1279067</v>
      </c>
      <c r="AN132" s="2312"/>
    </row>
    <row r="133" spans="2:43" ht="30" customHeight="1">
      <c r="B133" s="2393" t="s">
        <v>400</v>
      </c>
      <c r="C133" s="1689">
        <v>1</v>
      </c>
      <c r="D133" s="1538" t="str">
        <f>'WEEKLY FC'!B168</f>
        <v>MINYAK GORENG</v>
      </c>
      <c r="E133" s="1690">
        <v>1131775.0062500001</v>
      </c>
      <c r="F133" s="1691">
        <v>56.55</v>
      </c>
      <c r="G133" s="1692">
        <v>1869128.4937499999</v>
      </c>
      <c r="H133" s="1693">
        <v>93.45</v>
      </c>
      <c r="I133" s="1527"/>
      <c r="J133" s="1565"/>
      <c r="K133" s="1527"/>
      <c r="L133" s="1565"/>
      <c r="M133" s="1527"/>
      <c r="N133" s="1565"/>
      <c r="O133" s="1527">
        <v>40700</v>
      </c>
      <c r="P133" s="1565">
        <v>2</v>
      </c>
      <c r="Q133" s="1527"/>
      <c r="R133" s="1565"/>
      <c r="S133" s="1527">
        <v>21290</v>
      </c>
      <c r="T133" s="1565"/>
      <c r="U133" s="1527"/>
      <c r="V133" s="1565"/>
      <c r="W133" s="1527"/>
      <c r="X133" s="1565"/>
      <c r="Y133" s="1527"/>
      <c r="Z133" s="1565"/>
      <c r="AA133" s="1527"/>
      <c r="AB133" s="1565"/>
      <c r="AC133" s="1677"/>
      <c r="AD133" s="1715"/>
      <c r="AE133" s="1527"/>
      <c r="AF133" s="1565"/>
      <c r="AG133" s="1527"/>
      <c r="AH133" s="1565"/>
      <c r="AI133" s="1598">
        <f t="shared" ref="AI133:AI174" si="19">SUM(I133,K133,M133,O133,Q133,S133,U133,W133,Y133,AA133,AC133,AE133,AG133)</f>
        <v>61990</v>
      </c>
      <c r="AJ133" s="1723">
        <f t="shared" ref="AJ133:AJ174" si="20">SUM(J133,L133,N133,P133,R133,T133,V133,X133,Z133,AB133,AD133,AF133,AH133)</f>
        <v>2</v>
      </c>
      <c r="AK133" s="1599">
        <f>'WEEKLY FC'!F168</f>
        <v>922063.38749999995</v>
      </c>
      <c r="AL133" s="1723">
        <f>'WEEKLY FC'!D168</f>
        <v>46.1</v>
      </c>
      <c r="AM133" s="1599">
        <f t="shared" ref="AM133:AM158" si="21">G133+AI133-AK133</f>
        <v>1009055.10625</v>
      </c>
      <c r="AN133" s="1587">
        <f t="shared" ref="AN133:AN158" si="22">H133+AJ133-AL133</f>
        <v>49.35</v>
      </c>
      <c r="AO133" s="1733">
        <f>AM133</f>
        <v>1009055.10625</v>
      </c>
    </row>
    <row r="134" spans="2:43" ht="30" customHeight="1">
      <c r="B134" s="2394"/>
      <c r="C134" s="1668">
        <v>2</v>
      </c>
      <c r="D134" s="1694" t="str">
        <f>'WEEKLY FC'!B169</f>
        <v>MINYAK KALENG</v>
      </c>
      <c r="E134" s="1695">
        <v>0</v>
      </c>
      <c r="F134" s="1602">
        <v>0</v>
      </c>
      <c r="G134" s="1554">
        <v>0</v>
      </c>
      <c r="H134" s="1602">
        <v>0</v>
      </c>
      <c r="I134" s="1547"/>
      <c r="J134" s="1588"/>
      <c r="K134" s="1547"/>
      <c r="L134" s="1713"/>
      <c r="M134" s="1547"/>
      <c r="N134" s="1588"/>
      <c r="O134" s="1554"/>
      <c r="P134" s="1588"/>
      <c r="Q134" s="1547"/>
      <c r="R134" s="1588"/>
      <c r="S134" s="1554"/>
      <c r="T134" s="1713"/>
      <c r="U134" s="1547"/>
      <c r="V134" s="1713"/>
      <c r="W134" s="1547"/>
      <c r="X134" s="1588"/>
      <c r="Y134" s="1547"/>
      <c r="Z134" s="1713"/>
      <c r="AA134" s="1547"/>
      <c r="AB134" s="1588"/>
      <c r="AC134" s="1716"/>
      <c r="AD134" s="1717"/>
      <c r="AE134" s="1547"/>
      <c r="AF134" s="1713"/>
      <c r="AG134" s="1547"/>
      <c r="AH134" s="1713"/>
      <c r="AI134" s="1582">
        <f t="shared" si="19"/>
        <v>0</v>
      </c>
      <c r="AJ134" s="1724">
        <f t="shared" si="20"/>
        <v>0</v>
      </c>
      <c r="AK134" s="1595">
        <f>'WEEKLY FC'!F169</f>
        <v>0</v>
      </c>
      <c r="AL134" s="1725">
        <f>'WEEKLY FC'!D169</f>
        <v>0</v>
      </c>
      <c r="AM134" s="1583">
        <f t="shared" si="21"/>
        <v>0</v>
      </c>
      <c r="AN134" s="1726">
        <f t="shared" si="22"/>
        <v>0</v>
      </c>
    </row>
    <row r="135" spans="2:43" ht="30" customHeight="1">
      <c r="B135" s="1696"/>
      <c r="C135" s="1697">
        <v>1</v>
      </c>
      <c r="D135" s="1698" t="s">
        <v>242</v>
      </c>
      <c r="E135" s="1699">
        <v>119545</v>
      </c>
      <c r="F135" s="1567">
        <v>0</v>
      </c>
      <c r="G135" s="1700">
        <v>44200</v>
      </c>
      <c r="H135" s="1567"/>
      <c r="I135" s="1541">
        <v>38000</v>
      </c>
      <c r="J135" s="1541"/>
      <c r="K135" s="1541"/>
      <c r="L135" s="1527"/>
      <c r="M135" s="1541"/>
      <c r="N135" s="1541"/>
      <c r="O135" s="1527"/>
      <c r="P135" s="1541"/>
      <c r="Q135" s="1541">
        <v>59000</v>
      </c>
      <c r="R135" s="1541"/>
      <c r="S135" s="1527"/>
      <c r="T135" s="1527"/>
      <c r="U135" s="1527">
        <v>26000</v>
      </c>
      <c r="V135" s="1527"/>
      <c r="W135" s="1541"/>
      <c r="X135" s="1541"/>
      <c r="Y135" s="1541"/>
      <c r="Z135" s="1527"/>
      <c r="AA135" s="1541"/>
      <c r="AB135" s="1541"/>
      <c r="AC135" s="1718">
        <f>-'TO - TI'!D10-'TO - TI'!D11-'TO - TI'!D13</f>
        <v>-34000</v>
      </c>
      <c r="AD135" s="1719"/>
      <c r="AE135" s="1541"/>
      <c r="AF135" s="1527"/>
      <c r="AG135" s="1718"/>
      <c r="AH135" s="1567"/>
      <c r="AI135" s="1561">
        <f t="shared" si="19"/>
        <v>89000</v>
      </c>
      <c r="AJ135" s="1599">
        <f t="shared" si="20"/>
        <v>0</v>
      </c>
      <c r="AK135" s="1599">
        <f>'WEEKLY FC'!I304</f>
        <v>66125</v>
      </c>
      <c r="AL135" s="1526"/>
      <c r="AM135" s="1687">
        <f t="shared" si="21"/>
        <v>67075</v>
      </c>
      <c r="AN135" s="1604">
        <f t="shared" si="22"/>
        <v>0</v>
      </c>
      <c r="AQ135" s="1734"/>
    </row>
    <row r="136" spans="2:43" ht="30" customHeight="1">
      <c r="B136" s="1696"/>
      <c r="C136" s="1697">
        <v>2</v>
      </c>
      <c r="D136" s="1549" t="s">
        <v>507</v>
      </c>
      <c r="E136" s="1701">
        <v>65090</v>
      </c>
      <c r="F136" s="1581">
        <v>0</v>
      </c>
      <c r="G136" s="1702">
        <v>40510</v>
      </c>
      <c r="H136" s="1581"/>
      <c r="I136" s="1527">
        <v>8000</v>
      </c>
      <c r="J136" s="1527"/>
      <c r="K136" s="1527">
        <v>19000</v>
      </c>
      <c r="L136" s="1527"/>
      <c r="M136" s="1527"/>
      <c r="N136" s="1527"/>
      <c r="O136" s="1527"/>
      <c r="P136" s="1527"/>
      <c r="Q136" s="1527">
        <v>18000</v>
      </c>
      <c r="R136" s="1527"/>
      <c r="S136" s="1527"/>
      <c r="T136" s="1527"/>
      <c r="U136" s="1527">
        <v>21000</v>
      </c>
      <c r="V136" s="1527"/>
      <c r="W136" s="1527"/>
      <c r="X136" s="1527"/>
      <c r="Y136" s="1527"/>
      <c r="Z136" s="1527"/>
      <c r="AA136" s="1527"/>
      <c r="AB136" s="1527"/>
      <c r="AC136" s="1677"/>
      <c r="AD136" s="1681"/>
      <c r="AE136" s="1527"/>
      <c r="AF136" s="1527"/>
      <c r="AG136" s="1677"/>
      <c r="AH136" s="1567"/>
      <c r="AI136" s="1561">
        <f t="shared" si="19"/>
        <v>66000</v>
      </c>
      <c r="AJ136" s="1687">
        <f t="shared" si="20"/>
        <v>0</v>
      </c>
      <c r="AK136" s="1579">
        <f>'WEEKLY FC'!I318</f>
        <v>50400</v>
      </c>
      <c r="AL136" s="1531"/>
      <c r="AM136" s="1687">
        <f t="shared" si="21"/>
        <v>56110</v>
      </c>
      <c r="AN136" s="1604">
        <f t="shared" si="22"/>
        <v>0</v>
      </c>
      <c r="AQ136" s="1735"/>
    </row>
    <row r="137" spans="2:43" ht="30" customHeight="1">
      <c r="B137" s="1696"/>
      <c r="C137" s="1697">
        <v>3</v>
      </c>
      <c r="D137" s="1544" t="str">
        <f>'WEEKLY FC'!B320</f>
        <v>TELUR</v>
      </c>
      <c r="E137" s="1701">
        <v>148596</v>
      </c>
      <c r="F137" s="1581">
        <v>78</v>
      </c>
      <c r="G137" s="1702">
        <v>11202</v>
      </c>
      <c r="H137" s="1581">
        <v>6</v>
      </c>
      <c r="I137" s="1527">
        <v>57000</v>
      </c>
      <c r="J137" s="1527">
        <v>30</v>
      </c>
      <c r="K137" s="1527">
        <v>57000</v>
      </c>
      <c r="L137" s="1527">
        <v>30</v>
      </c>
      <c r="M137" s="1527"/>
      <c r="N137" s="1527"/>
      <c r="O137" s="1527"/>
      <c r="P137" s="1527"/>
      <c r="Q137" s="1527">
        <v>114000</v>
      </c>
      <c r="R137" s="1527">
        <v>60</v>
      </c>
      <c r="S137" s="1527"/>
      <c r="T137" s="1527"/>
      <c r="U137" s="1527"/>
      <c r="V137" s="1527"/>
      <c r="W137" s="1527"/>
      <c r="X137" s="1527"/>
      <c r="Y137" s="1527"/>
      <c r="Z137" s="1527"/>
      <c r="AA137" s="1527"/>
      <c r="AB137" s="1527"/>
      <c r="AC137" s="1677">
        <f>-'TO - TI'!S15-'TO - TI'!D14</f>
        <v>-52276</v>
      </c>
      <c r="AD137" s="1681">
        <f>-'TO - TI'!Q15-'TO - TI'!B14</f>
        <v>-28</v>
      </c>
      <c r="AE137" s="1527"/>
      <c r="AF137" s="1527"/>
      <c r="AG137" s="1677"/>
      <c r="AH137" s="1567"/>
      <c r="AI137" s="1561">
        <f t="shared" si="19"/>
        <v>175724</v>
      </c>
      <c r="AJ137" s="1687">
        <f t="shared" si="20"/>
        <v>92</v>
      </c>
      <c r="AK137" s="1579">
        <f>'WEEKLY FC'!F320</f>
        <v>65345</v>
      </c>
      <c r="AL137" s="1579">
        <f>'WEEKLY FC'!D320</f>
        <v>35</v>
      </c>
      <c r="AM137" s="1687">
        <f t="shared" si="21"/>
        <v>121581</v>
      </c>
      <c r="AN137" s="1604">
        <f t="shared" si="22"/>
        <v>63</v>
      </c>
      <c r="AO137" s="1733">
        <f>SUM(AM135:AM171)</f>
        <v>2354410.41391304</v>
      </c>
    </row>
    <row r="138" spans="2:43" ht="30" customHeight="1">
      <c r="B138" s="1696"/>
      <c r="C138" s="1697">
        <v>4</v>
      </c>
      <c r="D138" s="1544" t="str">
        <f>'WEEKLY FC'!B321</f>
        <v>CABE RAWIT MERAH PETIK</v>
      </c>
      <c r="E138" s="1701">
        <v>206000</v>
      </c>
      <c r="F138" s="1581">
        <v>4.05</v>
      </c>
      <c r="G138" s="1702">
        <v>15000</v>
      </c>
      <c r="H138" s="1581">
        <v>0.25</v>
      </c>
      <c r="I138" s="1527">
        <v>40000</v>
      </c>
      <c r="J138" s="1714">
        <v>1</v>
      </c>
      <c r="K138" s="1527">
        <v>40000</v>
      </c>
      <c r="L138" s="1714">
        <v>1</v>
      </c>
      <c r="M138" s="1527"/>
      <c r="N138" s="1714"/>
      <c r="O138" s="1527"/>
      <c r="P138" s="1714"/>
      <c r="Q138" s="1527">
        <v>38000</v>
      </c>
      <c r="R138" s="1714">
        <v>1</v>
      </c>
      <c r="S138" s="1527"/>
      <c r="T138" s="1714"/>
      <c r="U138" s="1527">
        <v>20000</v>
      </c>
      <c r="V138" s="1714">
        <v>0.4</v>
      </c>
      <c r="W138" s="1527"/>
      <c r="X138" s="1714"/>
      <c r="Y138" s="1527"/>
      <c r="Z138" s="1714"/>
      <c r="AA138" s="1527"/>
      <c r="AB138" s="1714"/>
      <c r="AC138" s="1677"/>
      <c r="AD138" s="1681"/>
      <c r="AE138" s="1527"/>
      <c r="AF138" s="1714"/>
      <c r="AG138" s="1677"/>
      <c r="AH138" s="1567"/>
      <c r="AI138" s="1561">
        <f t="shared" si="19"/>
        <v>138000</v>
      </c>
      <c r="AJ138" s="1586">
        <f t="shared" si="20"/>
        <v>3.4</v>
      </c>
      <c r="AK138" s="1579">
        <f>'WEEKLY FC'!F321</f>
        <v>15000</v>
      </c>
      <c r="AL138" s="1576">
        <f>'WEEKLY FC'!D321</f>
        <v>0.25</v>
      </c>
      <c r="AM138" s="1687">
        <f t="shared" si="21"/>
        <v>138000</v>
      </c>
      <c r="AN138" s="1686">
        <f t="shared" si="22"/>
        <v>3.4</v>
      </c>
    </row>
    <row r="139" spans="2:43" ht="30" customHeight="1">
      <c r="B139" s="1696"/>
      <c r="C139" s="1697">
        <v>5</v>
      </c>
      <c r="D139" s="1544" t="str">
        <f>'WEEKLY FC'!B322</f>
        <v>CABE RAWIT HIJAU PETIK</v>
      </c>
      <c r="E139" s="1701">
        <v>0</v>
      </c>
      <c r="F139" s="1581">
        <v>0</v>
      </c>
      <c r="G139" s="1702">
        <v>0</v>
      </c>
      <c r="H139" s="1581">
        <v>0</v>
      </c>
      <c r="I139" s="1527"/>
      <c r="J139" s="1714"/>
      <c r="K139" s="1527"/>
      <c r="L139" s="1714"/>
      <c r="M139" s="1527"/>
      <c r="N139" s="1714"/>
      <c r="O139" s="1527"/>
      <c r="P139" s="1714"/>
      <c r="Q139" s="1527"/>
      <c r="R139" s="1714"/>
      <c r="S139" s="1527"/>
      <c r="T139" s="1714"/>
      <c r="U139" s="1527"/>
      <c r="V139" s="1714"/>
      <c r="W139" s="1527"/>
      <c r="X139" s="1714"/>
      <c r="Y139" s="1527"/>
      <c r="Z139" s="1714"/>
      <c r="AA139" s="1527"/>
      <c r="AB139" s="1714"/>
      <c r="AC139" s="1677"/>
      <c r="AD139" s="1681"/>
      <c r="AE139" s="1527"/>
      <c r="AF139" s="1714"/>
      <c r="AG139" s="1677"/>
      <c r="AH139" s="1567"/>
      <c r="AI139" s="1561">
        <f t="shared" si="19"/>
        <v>0</v>
      </c>
      <c r="AJ139" s="1586">
        <f t="shared" si="20"/>
        <v>0</v>
      </c>
      <c r="AK139" s="1579">
        <f>'WEEKLY FC'!F322</f>
        <v>0</v>
      </c>
      <c r="AL139" s="1576">
        <f>'WEEKLY FC'!D322</f>
        <v>0</v>
      </c>
      <c r="AM139" s="1687">
        <f t="shared" si="21"/>
        <v>0</v>
      </c>
      <c r="AN139" s="1686">
        <f t="shared" si="22"/>
        <v>0</v>
      </c>
      <c r="AO139" s="1505">
        <f>SUM(AO131:AO137)</f>
        <v>4642532.5201630397</v>
      </c>
    </row>
    <row r="140" spans="2:43" ht="30" customHeight="1">
      <c r="B140" s="1696"/>
      <c r="C140" s="1697">
        <v>6</v>
      </c>
      <c r="D140" s="1544" t="str">
        <f>'WEEKLY FC'!B324</f>
        <v>MARINADE 1000 GR</v>
      </c>
      <c r="E140" s="1701">
        <v>390742.03913043498</v>
      </c>
      <c r="F140" s="1581">
        <v>4.7442028985507196</v>
      </c>
      <c r="G140" s="1702">
        <v>247086</v>
      </c>
      <c r="H140" s="1581">
        <v>3</v>
      </c>
      <c r="I140" s="1527"/>
      <c r="J140" s="1714"/>
      <c r="K140" s="1527"/>
      <c r="L140" s="1714"/>
      <c r="M140" s="1527"/>
      <c r="N140" s="1714"/>
      <c r="O140" s="1527"/>
      <c r="P140" s="1714"/>
      <c r="Q140" s="1527"/>
      <c r="R140" s="1714"/>
      <c r="S140" s="1527"/>
      <c r="T140" s="1714"/>
      <c r="U140" s="1527"/>
      <c r="V140" s="1714"/>
      <c r="W140" s="1527"/>
      <c r="X140" s="1714"/>
      <c r="Y140" s="1527"/>
      <c r="Z140" s="1714"/>
      <c r="AA140" s="1527"/>
      <c r="AB140" s="1714"/>
      <c r="AC140" s="1677"/>
      <c r="AD140" s="1681"/>
      <c r="AE140" s="1527"/>
      <c r="AF140" s="1714"/>
      <c r="AG140" s="1677">
        <f>'PEMBELIAN KREDIT'!G41</f>
        <v>273943.17391304398</v>
      </c>
      <c r="AH140" s="1567">
        <f>'PEMBELIAN KREDIT'!E41</f>
        <v>3.3260869565217401</v>
      </c>
      <c r="AI140" s="1561">
        <f t="shared" si="19"/>
        <v>273943.17391304398</v>
      </c>
      <c r="AJ140" s="1586">
        <f t="shared" si="20"/>
        <v>3.3260869565217401</v>
      </c>
      <c r="AK140" s="1579">
        <f>'WEEKLY FC'!F324</f>
        <v>235555.32</v>
      </c>
      <c r="AL140" s="1576">
        <f>'WEEKLY FC'!D324</f>
        <v>2.86</v>
      </c>
      <c r="AM140" s="1687">
        <f t="shared" si="21"/>
        <v>285473.85391304397</v>
      </c>
      <c r="AN140" s="1686">
        <f t="shared" si="22"/>
        <v>3.4660869565217398</v>
      </c>
      <c r="AO140" s="1505">
        <f>AO139+AM82</f>
        <v>14656099.3370819</v>
      </c>
    </row>
    <row r="141" spans="2:43" ht="30" customHeight="1">
      <c r="B141" s="1696"/>
      <c r="C141" s="1697">
        <v>7</v>
      </c>
      <c r="D141" s="1544" t="str">
        <f>'WEEKLY FC'!B325</f>
        <v>TEPUNG BRIDER 500 GR</v>
      </c>
      <c r="E141" s="1701">
        <v>304330</v>
      </c>
      <c r="F141" s="1581">
        <v>13</v>
      </c>
      <c r="G141" s="1702">
        <v>1357780</v>
      </c>
      <c r="H141" s="1581">
        <v>58</v>
      </c>
      <c r="I141" s="1527"/>
      <c r="J141" s="1714"/>
      <c r="K141" s="1527"/>
      <c r="L141" s="1714"/>
      <c r="M141" s="1527"/>
      <c r="N141" s="1714"/>
      <c r="O141" s="1527"/>
      <c r="P141" s="1714"/>
      <c r="Q141" s="1527"/>
      <c r="R141" s="1714"/>
      <c r="S141" s="1527"/>
      <c r="T141" s="1714"/>
      <c r="U141" s="1527"/>
      <c r="V141" s="1714"/>
      <c r="W141" s="1527"/>
      <c r="X141" s="1714"/>
      <c r="Y141" s="1527"/>
      <c r="Z141" s="1714"/>
      <c r="AA141" s="1527"/>
      <c r="AB141" s="1714"/>
      <c r="AC141" s="1677"/>
      <c r="AD141" s="1681"/>
      <c r="AE141" s="1527"/>
      <c r="AF141" s="1714"/>
      <c r="AG141" s="1677"/>
      <c r="AH141" s="1567"/>
      <c r="AI141" s="1561">
        <f t="shared" si="19"/>
        <v>0</v>
      </c>
      <c r="AJ141" s="1586">
        <f t="shared" si="20"/>
        <v>0</v>
      </c>
      <c r="AK141" s="1579">
        <f>'WEEKLY FC'!F325</f>
        <v>1076860</v>
      </c>
      <c r="AL141" s="1576">
        <f>'WEEKLY FC'!D325</f>
        <v>46</v>
      </c>
      <c r="AM141" s="1687">
        <f t="shared" si="21"/>
        <v>280920</v>
      </c>
      <c r="AN141" s="1686">
        <f t="shared" si="22"/>
        <v>12</v>
      </c>
    </row>
    <row r="142" spans="2:43" ht="30" customHeight="1">
      <c r="B142" s="1696"/>
      <c r="C142" s="1697">
        <v>8</v>
      </c>
      <c r="D142" s="1544" t="str">
        <f>'WEEKLY FC'!B326</f>
        <v>BUTTER MIX</v>
      </c>
      <c r="E142" s="1701">
        <v>2564.1</v>
      </c>
      <c r="F142" s="1581">
        <v>0.3</v>
      </c>
      <c r="G142" s="1702">
        <v>42735</v>
      </c>
      <c r="H142" s="1581">
        <v>5</v>
      </c>
      <c r="I142" s="1527"/>
      <c r="J142" s="1714"/>
      <c r="K142" s="1527"/>
      <c r="L142" s="1714"/>
      <c r="M142" s="1527"/>
      <c r="N142" s="1714"/>
      <c r="O142" s="1527"/>
      <c r="P142" s="1714"/>
      <c r="Q142" s="1527"/>
      <c r="R142" s="1714"/>
      <c r="S142" s="1527"/>
      <c r="T142" s="1714"/>
      <c r="U142" s="1527"/>
      <c r="V142" s="1714"/>
      <c r="W142" s="1527"/>
      <c r="X142" s="1714"/>
      <c r="Y142" s="1527"/>
      <c r="Z142" s="1714"/>
      <c r="AA142" s="1527"/>
      <c r="AB142" s="1714"/>
      <c r="AC142" s="1677"/>
      <c r="AD142" s="1681"/>
      <c r="AE142" s="1527"/>
      <c r="AF142" s="1714"/>
      <c r="AG142" s="1677"/>
      <c r="AH142" s="1567"/>
      <c r="AI142" s="1561">
        <f t="shared" si="19"/>
        <v>0</v>
      </c>
      <c r="AJ142" s="1586">
        <f t="shared" si="20"/>
        <v>0</v>
      </c>
      <c r="AK142" s="1579">
        <f>'WEEKLY FC'!F326</f>
        <v>25641</v>
      </c>
      <c r="AL142" s="1576">
        <f>'WEEKLY FC'!D326</f>
        <v>3</v>
      </c>
      <c r="AM142" s="1687">
        <f t="shared" si="21"/>
        <v>17094</v>
      </c>
      <c r="AN142" s="1686">
        <f t="shared" si="22"/>
        <v>2</v>
      </c>
    </row>
    <row r="143" spans="2:43" ht="30" customHeight="1">
      <c r="B143" s="1696"/>
      <c r="C143" s="1697">
        <v>9</v>
      </c>
      <c r="D143" s="1544" t="str">
        <f>'WEEKLY FC'!B327</f>
        <v>P. STEAK</v>
      </c>
      <c r="E143" s="1701">
        <v>34188</v>
      </c>
      <c r="F143" s="1581">
        <v>2</v>
      </c>
      <c r="G143" s="1702">
        <v>666666</v>
      </c>
      <c r="H143" s="1581">
        <v>39</v>
      </c>
      <c r="I143" s="1527"/>
      <c r="J143" s="1714"/>
      <c r="K143" s="1527"/>
      <c r="L143" s="1714"/>
      <c r="M143" s="1527"/>
      <c r="N143" s="1714"/>
      <c r="O143" s="1527"/>
      <c r="P143" s="1714"/>
      <c r="Q143" s="1527"/>
      <c r="R143" s="1714"/>
      <c r="S143" s="1527"/>
      <c r="T143" s="1714"/>
      <c r="U143" s="1527"/>
      <c r="V143" s="1714"/>
      <c r="W143" s="1527"/>
      <c r="X143" s="1714"/>
      <c r="Y143" s="1527"/>
      <c r="Z143" s="1714"/>
      <c r="AA143" s="1527"/>
      <c r="AB143" s="1714"/>
      <c r="AC143" s="1677"/>
      <c r="AD143" s="1681"/>
      <c r="AE143" s="1527"/>
      <c r="AF143" s="1714"/>
      <c r="AG143" s="1677"/>
      <c r="AH143" s="1567"/>
      <c r="AI143" s="1561">
        <f t="shared" si="19"/>
        <v>0</v>
      </c>
      <c r="AJ143" s="1586">
        <f t="shared" si="20"/>
        <v>0</v>
      </c>
      <c r="AK143" s="1579">
        <f>'WEEKLY FC'!F327</f>
        <v>593161.80000000005</v>
      </c>
      <c r="AL143" s="1576">
        <f>'WEEKLY FC'!D327</f>
        <v>34.700000000000003</v>
      </c>
      <c r="AM143" s="1687">
        <f t="shared" si="21"/>
        <v>73504.2</v>
      </c>
      <c r="AN143" s="1686">
        <f t="shared" si="22"/>
        <v>4.3</v>
      </c>
    </row>
    <row r="144" spans="2:43" ht="30" customHeight="1">
      <c r="B144" s="1696"/>
      <c r="C144" s="1697">
        <v>10</v>
      </c>
      <c r="D144" s="1544" t="str">
        <f>'WEEKLY FC'!B328</f>
        <v>P. NASGOR</v>
      </c>
      <c r="E144" s="1701">
        <v>67784</v>
      </c>
      <c r="F144" s="1581">
        <v>37</v>
      </c>
      <c r="G144" s="1702">
        <v>91600</v>
      </c>
      <c r="H144" s="1581">
        <v>50</v>
      </c>
      <c r="I144" s="1527"/>
      <c r="J144" s="1527"/>
      <c r="K144" s="1527"/>
      <c r="L144" s="1527"/>
      <c r="M144" s="1527"/>
      <c r="N144" s="1527"/>
      <c r="O144" s="1527"/>
      <c r="P144" s="1527"/>
      <c r="Q144" s="1527"/>
      <c r="R144" s="1527"/>
      <c r="S144" s="1527"/>
      <c r="T144" s="1527"/>
      <c r="U144" s="1527"/>
      <c r="V144" s="1527"/>
      <c r="W144" s="1527"/>
      <c r="X144" s="1527"/>
      <c r="Y144" s="1527"/>
      <c r="Z144" s="1527"/>
      <c r="AA144" s="1527"/>
      <c r="AB144" s="1527"/>
      <c r="AC144" s="1677"/>
      <c r="AD144" s="1681"/>
      <c r="AE144" s="1527"/>
      <c r="AF144" s="1527"/>
      <c r="AG144" s="1677"/>
      <c r="AH144" s="1567"/>
      <c r="AI144" s="1561">
        <f t="shared" si="19"/>
        <v>0</v>
      </c>
      <c r="AJ144" s="1687">
        <f t="shared" si="20"/>
        <v>0</v>
      </c>
      <c r="AK144" s="1579">
        <f>'WEEKLY FC'!F328</f>
        <v>16488</v>
      </c>
      <c r="AL144" s="1579">
        <f>'WEEKLY FC'!D328</f>
        <v>9</v>
      </c>
      <c r="AM144" s="1687">
        <f t="shared" si="21"/>
        <v>75112</v>
      </c>
      <c r="AN144" s="1604">
        <f t="shared" si="22"/>
        <v>41</v>
      </c>
    </row>
    <row r="145" spans="2:42" ht="30" customHeight="1">
      <c r="B145" s="1696"/>
      <c r="C145" s="1697">
        <v>11</v>
      </c>
      <c r="D145" s="1544" t="str">
        <f>'WEEKLY FC'!B329</f>
        <v>MAYONAISE</v>
      </c>
      <c r="E145" s="1701">
        <v>31280</v>
      </c>
      <c r="F145" s="1581">
        <v>1</v>
      </c>
      <c r="G145" s="1702">
        <v>93840</v>
      </c>
      <c r="H145" s="1581">
        <v>3</v>
      </c>
      <c r="I145" s="1527"/>
      <c r="J145" s="1527"/>
      <c r="K145" s="1527"/>
      <c r="L145" s="1527"/>
      <c r="M145" s="1527"/>
      <c r="N145" s="1527"/>
      <c r="O145" s="1527"/>
      <c r="P145" s="1527"/>
      <c r="Q145" s="1527"/>
      <c r="R145" s="1527"/>
      <c r="S145" s="1527"/>
      <c r="T145" s="1527"/>
      <c r="U145" s="1527"/>
      <c r="V145" s="1527"/>
      <c r="W145" s="1527"/>
      <c r="X145" s="1527"/>
      <c r="Y145" s="1527"/>
      <c r="Z145" s="1527"/>
      <c r="AA145" s="1527"/>
      <c r="AB145" s="1527"/>
      <c r="AC145" s="1677"/>
      <c r="AD145" s="1681"/>
      <c r="AE145" s="1527"/>
      <c r="AF145" s="1527"/>
      <c r="AG145" s="1677"/>
      <c r="AH145" s="1567"/>
      <c r="AI145" s="1561">
        <f t="shared" si="19"/>
        <v>0</v>
      </c>
      <c r="AJ145" s="1687">
        <f t="shared" si="20"/>
        <v>0</v>
      </c>
      <c r="AK145" s="1579">
        <f>'WEEKLY FC'!F329</f>
        <v>31280</v>
      </c>
      <c r="AL145" s="1579">
        <f>'WEEKLY FC'!D329</f>
        <v>1</v>
      </c>
      <c r="AM145" s="1687">
        <f t="shared" si="21"/>
        <v>62560</v>
      </c>
      <c r="AN145" s="1604">
        <f t="shared" si="22"/>
        <v>2</v>
      </c>
    </row>
    <row r="146" spans="2:42" ht="30" customHeight="1">
      <c r="B146" s="1696" t="s">
        <v>495</v>
      </c>
      <c r="C146" s="1697">
        <v>12</v>
      </c>
      <c r="D146" s="1544" t="str">
        <f>'WEEKLY FC'!B330</f>
        <v>T. KENTANG</v>
      </c>
      <c r="E146" s="1701">
        <v>-76110.48</v>
      </c>
      <c r="F146" s="1581">
        <v>-1</v>
      </c>
      <c r="G146" s="1702">
        <v>266386.68</v>
      </c>
      <c r="H146" s="1581">
        <v>7</v>
      </c>
      <c r="I146" s="1527"/>
      <c r="J146" s="1714"/>
      <c r="K146" s="1527"/>
      <c r="L146" s="1714"/>
      <c r="M146" s="1527"/>
      <c r="N146" s="1714"/>
      <c r="O146" s="1527"/>
      <c r="P146" s="1714"/>
      <c r="Q146" s="1527"/>
      <c r="R146" s="1714"/>
      <c r="S146" s="1527"/>
      <c r="T146" s="1714"/>
      <c r="U146" s="1527"/>
      <c r="V146" s="1714"/>
      <c r="W146" s="1527"/>
      <c r="X146" s="1714"/>
      <c r="Y146" s="1527"/>
      <c r="Z146" s="1714"/>
      <c r="AA146" s="1527"/>
      <c r="AB146" s="1714"/>
      <c r="AC146" s="1677">
        <f>-'TO - TI'!D7</f>
        <v>-152220.96</v>
      </c>
      <c r="AD146" s="1681">
        <f>-4</f>
        <v>-4</v>
      </c>
      <c r="AE146" s="1678"/>
      <c r="AF146" s="1714"/>
      <c r="AG146" s="1677"/>
      <c r="AH146" s="1567"/>
      <c r="AI146" s="1561">
        <f t="shared" si="19"/>
        <v>-152220.96</v>
      </c>
      <c r="AJ146" s="1586">
        <f t="shared" si="20"/>
        <v>-4</v>
      </c>
      <c r="AK146" s="1579">
        <f>'WEEKLY FC'!F330</f>
        <v>38055.24</v>
      </c>
      <c r="AL146" s="1576">
        <f>'WEEKLY FC'!D330</f>
        <v>1</v>
      </c>
      <c r="AM146" s="1687">
        <f t="shared" si="21"/>
        <v>76110.48</v>
      </c>
      <c r="AN146" s="1686">
        <f t="shared" si="22"/>
        <v>2</v>
      </c>
    </row>
    <row r="147" spans="2:42" ht="30" customHeight="1">
      <c r="B147" s="1696" t="s">
        <v>508</v>
      </c>
      <c r="C147" s="1697">
        <v>13</v>
      </c>
      <c r="D147" s="1544" t="str">
        <f>'WEEKLY FC'!B331</f>
        <v>TEPUNG CAKRA</v>
      </c>
      <c r="E147" s="1701">
        <v>527305.92000000004</v>
      </c>
      <c r="F147" s="1581">
        <v>58</v>
      </c>
      <c r="G147" s="1702">
        <v>17846.080000000002</v>
      </c>
      <c r="H147" s="1581">
        <v>2</v>
      </c>
      <c r="I147" s="1527"/>
      <c r="J147" s="1714"/>
      <c r="K147" s="1527"/>
      <c r="L147" s="1714"/>
      <c r="M147" s="1527"/>
      <c r="N147" s="1714"/>
      <c r="O147" s="1527"/>
      <c r="P147" s="1714"/>
      <c r="Q147" s="1527"/>
      <c r="R147" s="1714"/>
      <c r="S147" s="1527"/>
      <c r="T147" s="1714"/>
      <c r="U147" s="1527"/>
      <c r="V147" s="1714"/>
      <c r="W147" s="1527"/>
      <c r="X147" s="1714"/>
      <c r="Y147" s="1527"/>
      <c r="Z147" s="1714"/>
      <c r="AA147" s="1527"/>
      <c r="AB147" s="1714"/>
      <c r="AC147" s="1677"/>
      <c r="AD147" s="1681"/>
      <c r="AE147" s="1527"/>
      <c r="AF147" s="1714"/>
      <c r="AG147" s="1677">
        <f>'PEMBELIAN KREDIT'!G63</f>
        <v>936264</v>
      </c>
      <c r="AH147" s="1567">
        <f>'PEMBELIAN KREDIT'!E63</f>
        <v>100</v>
      </c>
      <c r="AI147" s="1561">
        <f t="shared" si="19"/>
        <v>936264</v>
      </c>
      <c r="AJ147" s="1586">
        <f t="shared" si="20"/>
        <v>100</v>
      </c>
      <c r="AK147" s="1579">
        <f>'WEEKLY FC'!F331</f>
        <v>486876</v>
      </c>
      <c r="AL147" s="1576">
        <f>'WEEKLY FC'!D331</f>
        <v>52</v>
      </c>
      <c r="AM147" s="1687">
        <f t="shared" si="21"/>
        <v>467234.08</v>
      </c>
      <c r="AN147" s="1686">
        <f t="shared" si="22"/>
        <v>50</v>
      </c>
    </row>
    <row r="148" spans="2:42" ht="30" customHeight="1">
      <c r="B148" s="1696" t="s">
        <v>509</v>
      </c>
      <c r="C148" s="1697">
        <v>14</v>
      </c>
      <c r="D148" s="1544" t="str">
        <f>'WEEKLY FC'!B332</f>
        <v>SAMBAL JERIGEN</v>
      </c>
      <c r="E148" s="1701">
        <v>35669.699999999997</v>
      </c>
      <c r="F148" s="1581">
        <v>0.55000000000000004</v>
      </c>
      <c r="G148" s="1702">
        <v>110251.8</v>
      </c>
      <c r="H148" s="1581">
        <v>1.7</v>
      </c>
      <c r="I148" s="1527"/>
      <c r="J148" s="1714"/>
      <c r="K148" s="1527"/>
      <c r="L148" s="1714"/>
      <c r="M148" s="1527"/>
      <c r="N148" s="1714"/>
      <c r="O148" s="1527"/>
      <c r="P148" s="1714"/>
      <c r="Q148" s="1527"/>
      <c r="R148" s="1714"/>
      <c r="S148" s="1527"/>
      <c r="T148" s="1714"/>
      <c r="U148" s="1527"/>
      <c r="V148" s="1714"/>
      <c r="W148" s="1527"/>
      <c r="X148" s="1714"/>
      <c r="Y148" s="1527"/>
      <c r="Z148" s="1714"/>
      <c r="AA148" s="1527"/>
      <c r="AB148" s="1714"/>
      <c r="AC148" s="1677"/>
      <c r="AD148" s="1681"/>
      <c r="AE148" s="1527"/>
      <c r="AF148" s="1714"/>
      <c r="AG148" s="1677">
        <f>'PEMBELIAN KREDIT'!G56</f>
        <v>194562</v>
      </c>
      <c r="AH148" s="1567">
        <f>'PEMBELIAN KREDIT'!E56</f>
        <v>3</v>
      </c>
      <c r="AI148" s="1561">
        <f t="shared" si="19"/>
        <v>194562</v>
      </c>
      <c r="AJ148" s="1586">
        <f t="shared" si="20"/>
        <v>3</v>
      </c>
      <c r="AK148" s="1579">
        <f>'WEEKLY FC'!F332</f>
        <v>259416</v>
      </c>
      <c r="AL148" s="1576">
        <f>'WEEKLY FC'!D332</f>
        <v>4</v>
      </c>
      <c r="AM148" s="1687">
        <f t="shared" si="21"/>
        <v>45397.8</v>
      </c>
      <c r="AN148" s="1686">
        <f t="shared" si="22"/>
        <v>0.7</v>
      </c>
      <c r="AP148" s="929" t="s">
        <v>61</v>
      </c>
    </row>
    <row r="149" spans="2:42" ht="30" customHeight="1">
      <c r="B149" s="1696" t="s">
        <v>510</v>
      </c>
      <c r="C149" s="1697">
        <v>15</v>
      </c>
      <c r="D149" s="1544" t="str">
        <f>'WEEKLY FC'!B333</f>
        <v>TOMATO JERIGEN</v>
      </c>
      <c r="E149" s="1701">
        <v>-3298.4</v>
      </c>
      <c r="F149" s="1581">
        <v>-0.05</v>
      </c>
      <c r="G149" s="1702">
        <v>29685.599999999999</v>
      </c>
      <c r="H149" s="1581">
        <v>0.45</v>
      </c>
      <c r="I149" s="1527"/>
      <c r="J149" s="1714"/>
      <c r="K149" s="1527"/>
      <c r="L149" s="1714"/>
      <c r="M149" s="1527"/>
      <c r="N149" s="1714"/>
      <c r="O149" s="1527"/>
      <c r="P149" s="1714"/>
      <c r="Q149" s="1527"/>
      <c r="R149" s="1714"/>
      <c r="S149" s="1527"/>
      <c r="T149" s="1714"/>
      <c r="U149" s="1527"/>
      <c r="V149" s="1714"/>
      <c r="W149" s="1527"/>
      <c r="X149" s="1714"/>
      <c r="Y149" s="1527"/>
      <c r="Z149" s="1714"/>
      <c r="AA149" s="1527"/>
      <c r="AB149" s="1714"/>
      <c r="AC149" s="1677"/>
      <c r="AD149" s="1681"/>
      <c r="AE149" s="1527"/>
      <c r="AF149" s="1714"/>
      <c r="AG149" s="1677"/>
      <c r="AH149" s="1567"/>
      <c r="AI149" s="1561">
        <f t="shared" si="19"/>
        <v>0</v>
      </c>
      <c r="AJ149" s="1586">
        <f t="shared" si="20"/>
        <v>0</v>
      </c>
      <c r="AK149" s="1579">
        <f>'WEEKLY FC'!F333</f>
        <v>0</v>
      </c>
      <c r="AL149" s="1576">
        <f>'WEEKLY FC'!D333</f>
        <v>0</v>
      </c>
      <c r="AM149" s="1687">
        <f t="shared" si="21"/>
        <v>29685.599999999999</v>
      </c>
      <c r="AN149" s="1686">
        <f t="shared" si="22"/>
        <v>0.45</v>
      </c>
    </row>
    <row r="150" spans="2:42" ht="30" customHeight="1">
      <c r="B150" s="1696" t="s">
        <v>492</v>
      </c>
      <c r="C150" s="1697">
        <v>16</v>
      </c>
      <c r="D150" s="1544" t="str">
        <f>'WEEKLY FC'!B334</f>
        <v>SAMBAL SACHET</v>
      </c>
      <c r="E150" s="1701">
        <v>324987</v>
      </c>
      <c r="F150" s="1581">
        <v>1618</v>
      </c>
      <c r="G150" s="1702">
        <v>423708</v>
      </c>
      <c r="H150" s="1581">
        <v>2108</v>
      </c>
      <c r="I150" s="1527"/>
      <c r="J150" s="1527"/>
      <c r="K150" s="1527"/>
      <c r="L150" s="1527"/>
      <c r="M150" s="1527"/>
      <c r="N150" s="1527"/>
      <c r="O150" s="1527"/>
      <c r="P150" s="1527"/>
      <c r="Q150" s="1527"/>
      <c r="R150" s="1527"/>
      <c r="S150" s="1527"/>
      <c r="T150" s="1527"/>
      <c r="U150" s="1527"/>
      <c r="V150" s="1527"/>
      <c r="W150" s="1527"/>
      <c r="X150" s="1527"/>
      <c r="Y150" s="1527"/>
      <c r="Z150" s="1527"/>
      <c r="AA150" s="1527"/>
      <c r="AB150" s="1527"/>
      <c r="AC150" s="1677"/>
      <c r="AD150" s="1681"/>
      <c r="AE150" s="1527"/>
      <c r="AF150" s="1527"/>
      <c r="AG150" s="1677">
        <v>502269</v>
      </c>
      <c r="AH150" s="1567">
        <v>2500</v>
      </c>
      <c r="AI150" s="1561">
        <f t="shared" si="19"/>
        <v>502269</v>
      </c>
      <c r="AJ150" s="1687">
        <f t="shared" si="20"/>
        <v>2500</v>
      </c>
      <c r="AK150" s="1579">
        <f>'WEEKLY FC'!F334</f>
        <v>699681</v>
      </c>
      <c r="AL150" s="1579">
        <f>'WEEKLY FC'!D334</f>
        <v>3481</v>
      </c>
      <c r="AM150" s="1687">
        <f t="shared" si="21"/>
        <v>226296</v>
      </c>
      <c r="AN150" s="1604">
        <f t="shared" si="22"/>
        <v>1127</v>
      </c>
    </row>
    <row r="151" spans="2:42" ht="30" customHeight="1">
      <c r="B151" s="1696" t="s">
        <v>508</v>
      </c>
      <c r="C151" s="1697">
        <v>17</v>
      </c>
      <c r="D151" s="1544" t="str">
        <f>'WEEKLY FC'!B335</f>
        <v>TOMATO SACHET</v>
      </c>
      <c r="E151" s="1701">
        <v>314567</v>
      </c>
      <c r="F151" s="1581">
        <v>1527</v>
      </c>
      <c r="G151" s="1702">
        <v>466384</v>
      </c>
      <c r="H151" s="1581">
        <v>2264</v>
      </c>
      <c r="I151" s="1527"/>
      <c r="J151" s="1527"/>
      <c r="K151" s="1527"/>
      <c r="L151" s="1527"/>
      <c r="M151" s="1527"/>
      <c r="N151" s="1527"/>
      <c r="O151" s="1527"/>
      <c r="P151" s="1527"/>
      <c r="Q151" s="1527"/>
      <c r="R151" s="1527"/>
      <c r="S151" s="1527"/>
      <c r="T151" s="1527"/>
      <c r="U151" s="1527"/>
      <c r="V151" s="1527"/>
      <c r="W151" s="1527"/>
      <c r="X151" s="1527"/>
      <c r="Y151" s="1527"/>
      <c r="Z151" s="1527"/>
      <c r="AA151" s="1527"/>
      <c r="AB151" s="1527"/>
      <c r="AC151" s="1677"/>
      <c r="AD151" s="1681"/>
      <c r="AE151" s="1527"/>
      <c r="AF151" s="1527"/>
      <c r="AG151" s="1677">
        <v>515005</v>
      </c>
      <c r="AH151" s="1567">
        <v>2500</v>
      </c>
      <c r="AI151" s="1561">
        <f t="shared" si="19"/>
        <v>515005</v>
      </c>
      <c r="AJ151" s="1687">
        <f t="shared" si="20"/>
        <v>2500</v>
      </c>
      <c r="AK151" s="1579">
        <f>'WEEKLY FC'!F335</f>
        <v>765702</v>
      </c>
      <c r="AL151" s="1579">
        <f>'WEEKLY FC'!D335</f>
        <v>3717</v>
      </c>
      <c r="AM151" s="1687">
        <f t="shared" si="21"/>
        <v>215687</v>
      </c>
      <c r="AN151" s="1604">
        <f t="shared" si="22"/>
        <v>1047</v>
      </c>
    </row>
    <row r="152" spans="2:42" ht="30" customHeight="1">
      <c r="B152" s="1696" t="s">
        <v>71</v>
      </c>
      <c r="C152" s="1697">
        <v>18</v>
      </c>
      <c r="D152" s="1544" t="str">
        <f>'WEEKLY FC'!B336</f>
        <v>LEVEL 1</v>
      </c>
      <c r="E152" s="1701">
        <v>0</v>
      </c>
      <c r="F152" s="1581">
        <v>0</v>
      </c>
      <c r="G152" s="1702">
        <v>0</v>
      </c>
      <c r="H152" s="1581">
        <v>0</v>
      </c>
      <c r="I152" s="1527"/>
      <c r="J152" s="1714"/>
      <c r="K152" s="1527"/>
      <c r="L152" s="1714"/>
      <c r="M152" s="1527"/>
      <c r="N152" s="1714"/>
      <c r="O152" s="1527"/>
      <c r="P152" s="1714"/>
      <c r="Q152" s="1527"/>
      <c r="R152" s="1714"/>
      <c r="S152" s="1527"/>
      <c r="T152" s="1714"/>
      <c r="U152" s="1527"/>
      <c r="V152" s="1714"/>
      <c r="W152" s="1527"/>
      <c r="X152" s="1714"/>
      <c r="Y152" s="1527"/>
      <c r="Z152" s="1714"/>
      <c r="AA152" s="1527"/>
      <c r="AB152" s="1714"/>
      <c r="AC152" s="1677"/>
      <c r="AD152" s="1681"/>
      <c r="AE152" s="1527"/>
      <c r="AF152" s="1714"/>
      <c r="AG152" s="1677"/>
      <c r="AH152" s="1567"/>
      <c r="AI152" s="1561">
        <f t="shared" si="19"/>
        <v>0</v>
      </c>
      <c r="AJ152" s="1586">
        <f t="shared" si="20"/>
        <v>0</v>
      </c>
      <c r="AK152" s="1579">
        <f>'WEEKLY FC'!F336</f>
        <v>0</v>
      </c>
      <c r="AL152" s="1576">
        <f>'WEEKLY FC'!D336</f>
        <v>0</v>
      </c>
      <c r="AM152" s="1687">
        <f t="shared" si="21"/>
        <v>0</v>
      </c>
      <c r="AN152" s="1686">
        <f t="shared" si="22"/>
        <v>0</v>
      </c>
    </row>
    <row r="153" spans="2:42" ht="30" customHeight="1">
      <c r="B153" s="1696" t="s">
        <v>492</v>
      </c>
      <c r="C153" s="1697">
        <v>19</v>
      </c>
      <c r="D153" s="1544" t="str">
        <f>'WEEKLY FC'!B337</f>
        <v>LEVEL 2</v>
      </c>
      <c r="E153" s="1701">
        <v>48485</v>
      </c>
      <c r="F153" s="1581">
        <v>1.3</v>
      </c>
      <c r="G153" s="1581">
        <v>447552</v>
      </c>
      <c r="H153" s="1581">
        <v>12</v>
      </c>
      <c r="I153" s="1527"/>
      <c r="J153" s="1714"/>
      <c r="K153" s="1527"/>
      <c r="L153" s="1714"/>
      <c r="M153" s="1527"/>
      <c r="N153" s="1714"/>
      <c r="O153" s="1527"/>
      <c r="P153" s="1714"/>
      <c r="Q153" s="1527"/>
      <c r="R153" s="1714"/>
      <c r="S153" s="1527"/>
      <c r="T153" s="1714"/>
      <c r="U153" s="1527"/>
      <c r="V153" s="1714"/>
      <c r="W153" s="1527"/>
      <c r="X153" s="1714"/>
      <c r="Y153" s="1527"/>
      <c r="Z153" s="1714"/>
      <c r="AA153" s="1527"/>
      <c r="AB153" s="1714"/>
      <c r="AC153" s="1677"/>
      <c r="AD153" s="1681"/>
      <c r="AE153" s="1527"/>
      <c r="AF153" s="1714"/>
      <c r="AG153" s="1677"/>
      <c r="AH153" s="1567"/>
      <c r="AI153" s="1561">
        <f t="shared" si="19"/>
        <v>0</v>
      </c>
      <c r="AJ153" s="1586">
        <f t="shared" si="20"/>
        <v>0</v>
      </c>
      <c r="AK153" s="1579">
        <f>'WEEKLY FC'!F337</f>
        <v>428904</v>
      </c>
      <c r="AL153" s="1576">
        <f>'WEEKLY FC'!D337</f>
        <v>11.5</v>
      </c>
      <c r="AM153" s="1687">
        <f t="shared" si="21"/>
        <v>18648</v>
      </c>
      <c r="AN153" s="1686">
        <f t="shared" si="22"/>
        <v>0.5</v>
      </c>
    </row>
    <row r="154" spans="2:42" ht="30" customHeight="1">
      <c r="B154" s="1696" t="s">
        <v>505</v>
      </c>
      <c r="C154" s="1697">
        <v>20</v>
      </c>
      <c r="D154" s="1544" t="str">
        <f>'WEEKLY FC'!B338</f>
        <v>CHEESE MELT 100 GR</v>
      </c>
      <c r="E154" s="1701">
        <v>106083.5</v>
      </c>
      <c r="F154" s="1581">
        <v>3.2</v>
      </c>
      <c r="G154" s="1702">
        <v>394578.5</v>
      </c>
      <c r="H154" s="1581">
        <v>30.5</v>
      </c>
      <c r="I154" s="1527"/>
      <c r="J154" s="1714"/>
      <c r="K154" s="1527"/>
      <c r="L154" s="1714"/>
      <c r="M154" s="1527"/>
      <c r="N154" s="1714"/>
      <c r="O154" s="1527"/>
      <c r="P154" s="1714"/>
      <c r="Q154" s="1527"/>
      <c r="R154" s="1714"/>
      <c r="S154" s="1527"/>
      <c r="T154" s="1714"/>
      <c r="U154" s="1527"/>
      <c r="V154" s="1714"/>
      <c r="W154" s="1527"/>
      <c r="X154" s="1714"/>
      <c r="Y154" s="1527"/>
      <c r="Z154" s="1714"/>
      <c r="AA154" s="1527"/>
      <c r="AB154" s="1714"/>
      <c r="AC154" s="1677"/>
      <c r="AD154" s="1681"/>
      <c r="AE154" s="1527"/>
      <c r="AF154" s="1714"/>
      <c r="AG154" s="1677"/>
      <c r="AH154" s="1567"/>
      <c r="AI154" s="1561">
        <f t="shared" si="19"/>
        <v>0</v>
      </c>
      <c r="AJ154" s="1586">
        <f t="shared" si="20"/>
        <v>0</v>
      </c>
      <c r="AK154" s="1579">
        <f>'WEEKLY FC'!F338</f>
        <v>371291.9</v>
      </c>
      <c r="AL154" s="1576">
        <f>'WEEKLY FC'!D338</f>
        <v>28.7</v>
      </c>
      <c r="AM154" s="1687">
        <f t="shared" si="21"/>
        <v>23286.6</v>
      </c>
      <c r="AN154" s="1686">
        <f t="shared" si="22"/>
        <v>1.8</v>
      </c>
    </row>
    <row r="155" spans="2:42" ht="30" customHeight="1">
      <c r="B155" s="1696"/>
      <c r="C155" s="1697">
        <v>21</v>
      </c>
      <c r="D155" s="1544" t="str">
        <f>'WEEKLY FC'!B339</f>
        <v>PREMIK SAMBAL TERASI</v>
      </c>
      <c r="E155" s="1701">
        <v>45038</v>
      </c>
      <c r="F155" s="1581">
        <v>1.7</v>
      </c>
      <c r="G155" s="1702">
        <v>264880</v>
      </c>
      <c r="H155" s="1581">
        <v>10</v>
      </c>
      <c r="I155" s="1527"/>
      <c r="J155" s="1714"/>
      <c r="K155" s="1527"/>
      <c r="L155" s="1714"/>
      <c r="M155" s="1527"/>
      <c r="N155" s="1714"/>
      <c r="O155" s="1527"/>
      <c r="P155" s="1714"/>
      <c r="Q155" s="1527"/>
      <c r="R155" s="1714"/>
      <c r="S155" s="1527"/>
      <c r="T155" s="1714"/>
      <c r="U155" s="1527"/>
      <c r="V155" s="1714"/>
      <c r="W155" s="1527"/>
      <c r="X155" s="1714"/>
      <c r="Y155" s="1527"/>
      <c r="Z155" s="1714"/>
      <c r="AA155" s="1527"/>
      <c r="AB155" s="1714"/>
      <c r="AC155" s="1677"/>
      <c r="AD155" s="1681"/>
      <c r="AE155" s="1527"/>
      <c r="AF155" s="1714"/>
      <c r="AG155" s="1677"/>
      <c r="AH155" s="1567"/>
      <c r="AI155" s="1561">
        <f t="shared" si="19"/>
        <v>0</v>
      </c>
      <c r="AJ155" s="1586">
        <f t="shared" si="20"/>
        <v>0</v>
      </c>
      <c r="AK155" s="1579">
        <f>'WEEKLY FC'!F339</f>
        <v>238392</v>
      </c>
      <c r="AL155" s="1576">
        <f>'WEEKLY FC'!D339</f>
        <v>9</v>
      </c>
      <c r="AM155" s="1687">
        <f t="shared" si="21"/>
        <v>26488</v>
      </c>
      <c r="AN155" s="1686">
        <f t="shared" si="22"/>
        <v>1</v>
      </c>
    </row>
    <row r="156" spans="2:42" ht="30" customHeight="1">
      <c r="B156" s="1696"/>
      <c r="C156" s="1697">
        <v>22</v>
      </c>
      <c r="D156" s="1544" t="str">
        <f>'WEEKLY FC'!B340</f>
        <v>P. GEPREK</v>
      </c>
      <c r="E156" s="1701">
        <v>16605.599999999999</v>
      </c>
      <c r="F156" s="1581">
        <v>1.8</v>
      </c>
      <c r="G156" s="1702">
        <v>75857.399999999994</v>
      </c>
      <c r="H156" s="1581">
        <v>40.200000000000003</v>
      </c>
      <c r="I156" s="1527"/>
      <c r="J156" s="1714"/>
      <c r="K156" s="1527"/>
      <c r="L156" s="1714"/>
      <c r="M156" s="1527"/>
      <c r="N156" s="1714"/>
      <c r="O156" s="1527"/>
      <c r="P156" s="1714"/>
      <c r="Q156" s="1527"/>
      <c r="R156" s="1714"/>
      <c r="S156" s="1527"/>
      <c r="T156" s="1714"/>
      <c r="U156" s="1527"/>
      <c r="V156" s="1714"/>
      <c r="W156" s="1527"/>
      <c r="X156" s="1714"/>
      <c r="Y156" s="1527"/>
      <c r="Z156" s="1714"/>
      <c r="AA156" s="1527"/>
      <c r="AB156" s="1714"/>
      <c r="AC156" s="1677"/>
      <c r="AD156" s="1681"/>
      <c r="AE156" s="1678"/>
      <c r="AF156" s="1714"/>
      <c r="AG156" s="1677"/>
      <c r="AH156" s="1567"/>
      <c r="AI156" s="1561">
        <f t="shared" si="19"/>
        <v>0</v>
      </c>
      <c r="AJ156" s="1586">
        <f t="shared" si="20"/>
        <v>0</v>
      </c>
      <c r="AK156" s="1579">
        <f>'WEEKLY FC'!F340</f>
        <v>71706</v>
      </c>
      <c r="AL156" s="1576">
        <f>'WEEKLY FC'!D340</f>
        <v>38</v>
      </c>
      <c r="AM156" s="1687">
        <f t="shared" si="21"/>
        <v>4151.3999999999896</v>
      </c>
      <c r="AN156" s="1686">
        <f t="shared" si="22"/>
        <v>2.2000000000000002</v>
      </c>
      <c r="AP156" s="1657">
        <f>AC154+AC155+AC144+AC19+1962+12500+AG154</f>
        <v>14462</v>
      </c>
    </row>
    <row r="157" spans="2:42" ht="30" customHeight="1">
      <c r="B157" s="1696"/>
      <c r="C157" s="1697">
        <v>23</v>
      </c>
      <c r="D157" s="1544" t="str">
        <f>'WEEKLY FC'!B341</f>
        <v>P. SAMBAL MATAH</v>
      </c>
      <c r="E157" s="1701">
        <v>16899.75</v>
      </c>
      <c r="F157" s="1581">
        <v>3.5</v>
      </c>
      <c r="G157" s="1702">
        <v>74841.75</v>
      </c>
      <c r="H157" s="1581">
        <v>46.5</v>
      </c>
      <c r="I157" s="1527"/>
      <c r="J157" s="1714"/>
      <c r="K157" s="1527"/>
      <c r="L157" s="1714"/>
      <c r="M157" s="1527"/>
      <c r="N157" s="1714"/>
      <c r="O157" s="1527"/>
      <c r="P157" s="1714"/>
      <c r="Q157" s="1527"/>
      <c r="R157" s="1714"/>
      <c r="S157" s="1527"/>
      <c r="T157" s="1714"/>
      <c r="U157" s="1527"/>
      <c r="V157" s="1714"/>
      <c r="W157" s="1527"/>
      <c r="X157" s="1714"/>
      <c r="Y157" s="1527"/>
      <c r="Z157" s="1714"/>
      <c r="AA157" s="1527"/>
      <c r="AB157" s="1714"/>
      <c r="AC157" s="1677"/>
      <c r="AD157" s="1681"/>
      <c r="AE157" s="1678"/>
      <c r="AF157" s="1714"/>
      <c r="AG157" s="1677"/>
      <c r="AH157" s="1567"/>
      <c r="AI157" s="1561">
        <f t="shared" si="19"/>
        <v>0</v>
      </c>
      <c r="AJ157" s="1586">
        <f t="shared" si="20"/>
        <v>0</v>
      </c>
      <c r="AK157" s="1579">
        <f>'WEEKLY FC'!F341</f>
        <v>71622.75</v>
      </c>
      <c r="AL157" s="1576">
        <f>'WEEKLY FC'!D341</f>
        <v>44.5</v>
      </c>
      <c r="AM157" s="1687">
        <f t="shared" si="21"/>
        <v>3219</v>
      </c>
      <c r="AN157" s="1686">
        <f t="shared" si="22"/>
        <v>2</v>
      </c>
    </row>
    <row r="158" spans="2:42" ht="30" customHeight="1">
      <c r="B158" s="1696"/>
      <c r="C158" s="1697">
        <v>24</v>
      </c>
      <c r="D158" s="1544" t="str">
        <f>'WEEKLY FC'!B342</f>
        <v>P. PERKEDEL</v>
      </c>
      <c r="E158" s="1701">
        <v>0</v>
      </c>
      <c r="F158" s="1581">
        <v>0</v>
      </c>
      <c r="G158" s="1702">
        <v>43512</v>
      </c>
      <c r="H158" s="1581">
        <v>14</v>
      </c>
      <c r="I158" s="1527"/>
      <c r="J158" s="1714"/>
      <c r="K158" s="1527"/>
      <c r="L158" s="1714"/>
      <c r="M158" s="1527"/>
      <c r="N158" s="1714"/>
      <c r="O158" s="1527"/>
      <c r="P158" s="1714"/>
      <c r="Q158" s="1527"/>
      <c r="R158" s="1714"/>
      <c r="S158" s="1527"/>
      <c r="T158" s="1714"/>
      <c r="U158" s="1527"/>
      <c r="V158" s="1714"/>
      <c r="W158" s="1527"/>
      <c r="X158" s="1714"/>
      <c r="Y158" s="1527"/>
      <c r="Z158" s="1714"/>
      <c r="AA158" s="1527"/>
      <c r="AB158" s="1714"/>
      <c r="AC158" s="1677">
        <f>-'TO - TI'!D12</f>
        <v>-12432</v>
      </c>
      <c r="AD158" s="1681">
        <f>-'TO - TI'!B12</f>
        <v>-4</v>
      </c>
      <c r="AE158" s="1527"/>
      <c r="AF158" s="1714"/>
      <c r="AG158" s="1677"/>
      <c r="AH158" s="1567"/>
      <c r="AI158" s="1561">
        <f t="shared" si="19"/>
        <v>-12432</v>
      </c>
      <c r="AJ158" s="1586">
        <f t="shared" si="20"/>
        <v>-4</v>
      </c>
      <c r="AK158" s="1579">
        <f>'WEEKLY FC'!F342</f>
        <v>12432</v>
      </c>
      <c r="AL158" s="1576">
        <f>'WEEKLY FC'!D342</f>
        <v>4</v>
      </c>
      <c r="AM158" s="1687">
        <f t="shared" si="21"/>
        <v>18648</v>
      </c>
      <c r="AN158" s="1686">
        <f t="shared" si="22"/>
        <v>6</v>
      </c>
    </row>
    <row r="159" spans="2:42" ht="30" customHeight="1">
      <c r="B159" s="1696"/>
      <c r="C159" s="1697">
        <v>25</v>
      </c>
      <c r="D159" s="1544" t="str">
        <f>'WEEKLY FC'!B343</f>
        <v>P. PATTY</v>
      </c>
      <c r="E159" s="1701">
        <v>0</v>
      </c>
      <c r="F159" s="1581">
        <v>0</v>
      </c>
      <c r="G159" s="1702">
        <v>46620</v>
      </c>
      <c r="H159" s="1581">
        <v>7</v>
      </c>
      <c r="I159" s="1527"/>
      <c r="J159" s="1714"/>
      <c r="K159" s="1527"/>
      <c r="L159" s="1714"/>
      <c r="M159" s="1527"/>
      <c r="N159" s="1714"/>
      <c r="O159" s="1527"/>
      <c r="P159" s="1714"/>
      <c r="Q159" s="1527"/>
      <c r="R159" s="1714"/>
      <c r="S159" s="1527"/>
      <c r="T159" s="1714"/>
      <c r="U159" s="1527"/>
      <c r="V159" s="1714"/>
      <c r="W159" s="1527"/>
      <c r="X159" s="1714"/>
      <c r="Y159" s="1527"/>
      <c r="Z159" s="1714"/>
      <c r="AA159" s="1527"/>
      <c r="AB159" s="1714"/>
      <c r="AC159" s="1677">
        <f>-'TO - TI'!S14</f>
        <v>-6660</v>
      </c>
      <c r="AD159" s="1681">
        <f>-'TO - TI'!Q14</f>
        <v>-1</v>
      </c>
      <c r="AE159" s="1678"/>
      <c r="AF159" s="1714"/>
      <c r="AG159" s="1677"/>
      <c r="AH159" s="1567"/>
      <c r="AI159" s="1561">
        <f t="shared" si="19"/>
        <v>-6660</v>
      </c>
      <c r="AJ159" s="1586">
        <f t="shared" si="20"/>
        <v>-1</v>
      </c>
      <c r="AK159" s="1579">
        <f>'WEEKLY FC'!F343</f>
        <v>39960</v>
      </c>
      <c r="AL159" s="1576">
        <f>'WEEKLY FC'!D343</f>
        <v>6</v>
      </c>
      <c r="AM159" s="1687">
        <f t="shared" ref="AM159:AN162" si="23">G159+AI159-AK159</f>
        <v>0</v>
      </c>
      <c r="AN159" s="1686">
        <f t="shared" si="23"/>
        <v>0</v>
      </c>
    </row>
    <row r="160" spans="2:42" ht="30" customHeight="1">
      <c r="B160" s="1696"/>
      <c r="C160" s="1697">
        <v>26</v>
      </c>
      <c r="D160" s="1544" t="str">
        <f>'WEEKLY FC'!B344</f>
        <v>BUMBU KRIUK (BIANG BREADER)</v>
      </c>
      <c r="E160" s="1703">
        <v>0</v>
      </c>
      <c r="F160" s="1590">
        <v>0</v>
      </c>
      <c r="G160" s="1704">
        <v>41890</v>
      </c>
      <c r="H160" s="1590">
        <v>10</v>
      </c>
      <c r="I160" s="1527"/>
      <c r="J160" s="1714"/>
      <c r="K160" s="1527"/>
      <c r="L160" s="1714"/>
      <c r="M160" s="1527"/>
      <c r="N160" s="1714"/>
      <c r="O160" s="1527"/>
      <c r="P160" s="1714"/>
      <c r="Q160" s="1527"/>
      <c r="R160" s="1714"/>
      <c r="S160" s="1527"/>
      <c r="T160" s="1714"/>
      <c r="U160" s="1527"/>
      <c r="V160" s="1714"/>
      <c r="W160" s="1527"/>
      <c r="X160" s="1714"/>
      <c r="Y160" s="1527"/>
      <c r="Z160" s="1714"/>
      <c r="AA160" s="1527"/>
      <c r="AB160" s="1714"/>
      <c r="AC160" s="1677"/>
      <c r="AD160" s="1681"/>
      <c r="AE160" s="1678"/>
      <c r="AF160" s="1714"/>
      <c r="AG160" s="1677"/>
      <c r="AH160" s="1567"/>
      <c r="AI160" s="1561">
        <f t="shared" si="19"/>
        <v>0</v>
      </c>
      <c r="AJ160" s="1586">
        <f t="shared" si="20"/>
        <v>0</v>
      </c>
      <c r="AK160" s="1579">
        <f>'WEEKLY FC'!F344</f>
        <v>25134</v>
      </c>
      <c r="AL160" s="1576">
        <f>'WEEKLY FC'!D344</f>
        <v>6</v>
      </c>
      <c r="AM160" s="1687">
        <f t="shared" si="23"/>
        <v>16756</v>
      </c>
      <c r="AN160" s="1686">
        <f t="shared" si="23"/>
        <v>4</v>
      </c>
    </row>
    <row r="161" spans="2:40" ht="30" customHeight="1">
      <c r="B161" s="1696"/>
      <c r="C161" s="1697">
        <v>27</v>
      </c>
      <c r="D161" s="1544" t="str">
        <f>'WEEKLY FC'!B345</f>
        <v>TOMAT POUCH</v>
      </c>
      <c r="E161" s="1703">
        <v>0</v>
      </c>
      <c r="F161" s="1590">
        <v>0</v>
      </c>
      <c r="G161" s="1704">
        <v>0</v>
      </c>
      <c r="H161" s="1590">
        <v>0</v>
      </c>
      <c r="I161" s="1527"/>
      <c r="J161" s="1714"/>
      <c r="K161" s="1527"/>
      <c r="L161" s="1714"/>
      <c r="M161" s="1527"/>
      <c r="N161" s="1714"/>
      <c r="O161" s="1527"/>
      <c r="P161" s="1714"/>
      <c r="Q161" s="1527"/>
      <c r="R161" s="1714"/>
      <c r="S161" s="1527">
        <v>36570</v>
      </c>
      <c r="T161" s="1714">
        <v>3</v>
      </c>
      <c r="U161" s="1527"/>
      <c r="V161" s="1714"/>
      <c r="W161" s="1527"/>
      <c r="X161" s="1714"/>
      <c r="Y161" s="1527"/>
      <c r="Z161" s="1714"/>
      <c r="AA161" s="1527"/>
      <c r="AB161" s="1714"/>
      <c r="AC161" s="1677"/>
      <c r="AD161" s="1681"/>
      <c r="AE161" s="1527"/>
      <c r="AF161" s="1714"/>
      <c r="AG161" s="1677"/>
      <c r="AH161" s="1567"/>
      <c r="AI161" s="1561">
        <f t="shared" si="19"/>
        <v>36570</v>
      </c>
      <c r="AJ161" s="1586">
        <f t="shared" si="20"/>
        <v>3</v>
      </c>
      <c r="AK161" s="1579">
        <f>'WEEKLY FC'!F345</f>
        <v>36570</v>
      </c>
      <c r="AL161" s="1576">
        <f>'WEEKLY FC'!D345</f>
        <v>3</v>
      </c>
      <c r="AM161" s="1687">
        <f t="shared" si="23"/>
        <v>0</v>
      </c>
      <c r="AN161" s="1686">
        <f t="shared" si="23"/>
        <v>0</v>
      </c>
    </row>
    <row r="162" spans="2:40" ht="30" customHeight="1">
      <c r="B162" s="1696"/>
      <c r="C162" s="1697">
        <v>28</v>
      </c>
      <c r="D162" s="1544" t="str">
        <f>'WEEKLY FC'!B346</f>
        <v>SAMBAL POUCH</v>
      </c>
      <c r="E162" s="1703">
        <v>0</v>
      </c>
      <c r="F162" s="1590">
        <v>0</v>
      </c>
      <c r="G162" s="1704">
        <v>0</v>
      </c>
      <c r="H162" s="1590">
        <v>0</v>
      </c>
      <c r="I162" s="1527"/>
      <c r="J162" s="1714"/>
      <c r="K162" s="1527"/>
      <c r="L162" s="1714"/>
      <c r="M162" s="1527"/>
      <c r="N162" s="1714"/>
      <c r="O162" s="1527"/>
      <c r="P162" s="1714"/>
      <c r="Q162" s="1527"/>
      <c r="R162" s="1714"/>
      <c r="S162" s="1527"/>
      <c r="T162" s="1714"/>
      <c r="U162" s="1527"/>
      <c r="V162" s="1714"/>
      <c r="W162" s="1527"/>
      <c r="X162" s="1714"/>
      <c r="Y162" s="1527"/>
      <c r="Z162" s="1714"/>
      <c r="AA162" s="1527"/>
      <c r="AB162" s="1714"/>
      <c r="AC162" s="1677"/>
      <c r="AD162" s="1681"/>
      <c r="AE162" s="1527"/>
      <c r="AF162" s="1714"/>
      <c r="AG162" s="1677"/>
      <c r="AH162" s="1567"/>
      <c r="AI162" s="1561">
        <f t="shared" si="19"/>
        <v>0</v>
      </c>
      <c r="AJ162" s="1586">
        <f t="shared" si="20"/>
        <v>0</v>
      </c>
      <c r="AK162" s="1579">
        <f>'WEEKLY FC'!F346</f>
        <v>0</v>
      </c>
      <c r="AL162" s="1576">
        <f>'WEEKLY FC'!D346</f>
        <v>0</v>
      </c>
      <c r="AM162" s="1687">
        <f t="shared" si="23"/>
        <v>0</v>
      </c>
      <c r="AN162" s="1686">
        <f t="shared" si="23"/>
        <v>0</v>
      </c>
    </row>
    <row r="163" spans="2:40" ht="30" customHeight="1">
      <c r="B163" s="1696"/>
      <c r="C163" s="1697">
        <v>29</v>
      </c>
      <c r="D163" s="1544" t="str">
        <f>'WEEKLY FC'!B347</f>
        <v>MAIZENA</v>
      </c>
      <c r="E163" s="1703">
        <v>0</v>
      </c>
      <c r="F163" s="1590">
        <v>0</v>
      </c>
      <c r="G163" s="1704">
        <v>0</v>
      </c>
      <c r="H163" s="1590">
        <v>0</v>
      </c>
      <c r="I163" s="1527"/>
      <c r="J163" s="1714"/>
      <c r="K163" s="1527"/>
      <c r="L163" s="1714"/>
      <c r="M163" s="1527"/>
      <c r="N163" s="1714"/>
      <c r="O163" s="1527"/>
      <c r="P163" s="1714"/>
      <c r="Q163" s="1527"/>
      <c r="R163" s="1714"/>
      <c r="S163" s="1527"/>
      <c r="T163" s="1714"/>
      <c r="U163" s="1527"/>
      <c r="V163" s="1714"/>
      <c r="W163" s="1527"/>
      <c r="X163" s="1714"/>
      <c r="Y163" s="1527"/>
      <c r="Z163" s="1714"/>
      <c r="AA163" s="1527"/>
      <c r="AB163" s="1714"/>
      <c r="AC163" s="1677"/>
      <c r="AD163" s="1681"/>
      <c r="AE163" s="1527"/>
      <c r="AF163" s="1714"/>
      <c r="AG163" s="1677"/>
      <c r="AH163" s="1567"/>
      <c r="AI163" s="1561">
        <f t="shared" si="19"/>
        <v>0</v>
      </c>
      <c r="AJ163" s="1586">
        <f t="shared" si="20"/>
        <v>0</v>
      </c>
      <c r="AK163" s="1579">
        <f>'WEEKLY FC'!F347</f>
        <v>0</v>
      </c>
      <c r="AL163" s="1576">
        <f>'WEEKLY FC'!D347</f>
        <v>0</v>
      </c>
      <c r="AM163" s="1687">
        <f t="shared" ref="AM163:AM174" si="24">G163+AI163-AK163</f>
        <v>0</v>
      </c>
      <c r="AN163" s="1686">
        <f t="shared" ref="AN163:AN174" si="25">H163+AJ163-AL163</f>
        <v>0</v>
      </c>
    </row>
    <row r="164" spans="2:40" ht="30" customHeight="1">
      <c r="B164" s="1696"/>
      <c r="C164" s="1697">
        <v>30</v>
      </c>
      <c r="D164" s="1544" t="str">
        <f>'WEEKLY FC'!B348</f>
        <v>CHILLI POWDER</v>
      </c>
      <c r="E164" s="1703">
        <v>53724</v>
      </c>
      <c r="F164" s="1590">
        <v>1</v>
      </c>
      <c r="G164" s="1704">
        <v>69841.2</v>
      </c>
      <c r="H164" s="1590">
        <v>1.3</v>
      </c>
      <c r="I164" s="1527"/>
      <c r="J164" s="1714"/>
      <c r="K164" s="1527"/>
      <c r="L164" s="1714"/>
      <c r="M164" s="1527"/>
      <c r="N164" s="1714"/>
      <c r="O164" s="1527"/>
      <c r="P164" s="1714"/>
      <c r="Q164" s="1527"/>
      <c r="R164" s="1714"/>
      <c r="S164" s="1527"/>
      <c r="T164" s="1714"/>
      <c r="U164" s="1527"/>
      <c r="V164" s="1714"/>
      <c r="W164" s="1527"/>
      <c r="X164" s="1714"/>
      <c r="Y164" s="1527"/>
      <c r="Z164" s="1714"/>
      <c r="AA164" s="1527"/>
      <c r="AB164" s="1714"/>
      <c r="AC164" s="1677"/>
      <c r="AD164" s="1681"/>
      <c r="AE164" s="1527"/>
      <c r="AF164" s="1714"/>
      <c r="AG164" s="1677"/>
      <c r="AH164" s="1567"/>
      <c r="AI164" s="1561">
        <f t="shared" si="19"/>
        <v>0</v>
      </c>
      <c r="AJ164" s="1586">
        <f t="shared" si="20"/>
        <v>0</v>
      </c>
      <c r="AK164" s="1579">
        <f>'WEEKLY FC'!F348</f>
        <v>64468.800000000003</v>
      </c>
      <c r="AL164" s="1576">
        <f>'WEEKLY FC'!D348</f>
        <v>1.2</v>
      </c>
      <c r="AM164" s="1687">
        <f t="shared" si="24"/>
        <v>5372.4</v>
      </c>
      <c r="AN164" s="1686">
        <f t="shared" si="25"/>
        <v>0.1</v>
      </c>
    </row>
    <row r="165" spans="2:40" ht="30" customHeight="1">
      <c r="B165" s="1696"/>
      <c r="C165" s="1697">
        <v>31</v>
      </c>
      <c r="D165" s="1544" t="str">
        <f>'WEEKLY FC'!B349</f>
        <v>DAUN BAYAM</v>
      </c>
      <c r="E165" s="1703">
        <v>0</v>
      </c>
      <c r="F165" s="1590">
        <v>0</v>
      </c>
      <c r="G165" s="1704">
        <v>0</v>
      </c>
      <c r="H165" s="1590">
        <v>0</v>
      </c>
      <c r="I165" s="1527"/>
      <c r="J165" s="1714"/>
      <c r="K165" s="1527"/>
      <c r="L165" s="1714"/>
      <c r="M165" s="1527"/>
      <c r="N165" s="1714"/>
      <c r="O165" s="1527"/>
      <c r="P165" s="1714"/>
      <c r="Q165" s="1527"/>
      <c r="R165" s="1714"/>
      <c r="S165" s="1527"/>
      <c r="T165" s="1714"/>
      <c r="U165" s="1527"/>
      <c r="V165" s="1714"/>
      <c r="W165" s="1527"/>
      <c r="X165" s="1714"/>
      <c r="Y165" s="1527"/>
      <c r="Z165" s="1714"/>
      <c r="AA165" s="1527"/>
      <c r="AB165" s="1714"/>
      <c r="AC165" s="1677"/>
      <c r="AD165" s="1681"/>
      <c r="AE165" s="1527"/>
      <c r="AF165" s="1714"/>
      <c r="AG165" s="1677"/>
      <c r="AH165" s="1567"/>
      <c r="AI165" s="1561">
        <f t="shared" si="19"/>
        <v>0</v>
      </c>
      <c r="AJ165" s="1586">
        <f t="shared" si="20"/>
        <v>0</v>
      </c>
      <c r="AK165" s="1579">
        <f>'WEEKLY FC'!F349</f>
        <v>0</v>
      </c>
      <c r="AL165" s="1576">
        <f>'WEEKLY FC'!D349</f>
        <v>0</v>
      </c>
      <c r="AM165" s="1687">
        <f t="shared" si="24"/>
        <v>0</v>
      </c>
      <c r="AN165" s="1686">
        <f t="shared" si="25"/>
        <v>0</v>
      </c>
    </row>
    <row r="166" spans="2:40" ht="30" customHeight="1">
      <c r="B166" s="1696"/>
      <c r="C166" s="1697">
        <v>32</v>
      </c>
      <c r="D166" s="1544" t="str">
        <f>'WEEKLY FC'!B350</f>
        <v>P. GREEN CRISPY</v>
      </c>
      <c r="E166" s="1703">
        <v>0</v>
      </c>
      <c r="F166" s="1590">
        <v>0</v>
      </c>
      <c r="G166" s="1704">
        <v>0</v>
      </c>
      <c r="H166" s="1590">
        <v>0</v>
      </c>
      <c r="I166" s="1527"/>
      <c r="J166" s="1714"/>
      <c r="K166" s="1527"/>
      <c r="L166" s="1714"/>
      <c r="M166" s="1527"/>
      <c r="N166" s="1714"/>
      <c r="O166" s="1527"/>
      <c r="P166" s="1714"/>
      <c r="Q166" s="1527"/>
      <c r="R166" s="1714"/>
      <c r="S166" s="1527"/>
      <c r="T166" s="1714"/>
      <c r="U166" s="1527"/>
      <c r="V166" s="1714"/>
      <c r="W166" s="1527"/>
      <c r="X166" s="1714"/>
      <c r="Y166" s="1527"/>
      <c r="Z166" s="1714"/>
      <c r="AA166" s="1527"/>
      <c r="AB166" s="1714"/>
      <c r="AC166" s="1677"/>
      <c r="AD166" s="1681"/>
      <c r="AE166" s="1527"/>
      <c r="AF166" s="1714"/>
      <c r="AG166" s="1677"/>
      <c r="AH166" s="1567"/>
      <c r="AI166" s="1561">
        <f t="shared" si="19"/>
        <v>0</v>
      </c>
      <c r="AJ166" s="1586">
        <f t="shared" si="20"/>
        <v>0</v>
      </c>
      <c r="AK166" s="1579">
        <f>'WEEKLY FC'!F350</f>
        <v>0</v>
      </c>
      <c r="AL166" s="1576">
        <f>'WEEKLY FC'!D350</f>
        <v>0</v>
      </c>
      <c r="AM166" s="1687">
        <f t="shared" si="24"/>
        <v>0</v>
      </c>
      <c r="AN166" s="1686">
        <f t="shared" si="25"/>
        <v>0</v>
      </c>
    </row>
    <row r="167" spans="2:40" ht="30" customHeight="1">
      <c r="B167" s="1696"/>
      <c r="C167" s="1697">
        <v>33</v>
      </c>
      <c r="D167" s="1544" t="str">
        <f>'WEEKLY FC'!B351</f>
        <v>BRIDER HOT SPICY</v>
      </c>
      <c r="E167" s="1703">
        <v>225274.5</v>
      </c>
      <c r="F167" s="1590">
        <v>1.5</v>
      </c>
      <c r="G167" s="1704">
        <v>0</v>
      </c>
      <c r="H167" s="1590">
        <v>0</v>
      </c>
      <c r="I167" s="1527"/>
      <c r="J167" s="1714"/>
      <c r="K167" s="1527"/>
      <c r="L167" s="1714"/>
      <c r="M167" s="1527"/>
      <c r="N167" s="1714"/>
      <c r="O167" s="1527"/>
      <c r="P167" s="1714"/>
      <c r="Q167" s="1527"/>
      <c r="R167" s="1714"/>
      <c r="S167" s="1527"/>
      <c r="T167" s="1714"/>
      <c r="U167" s="1527"/>
      <c r="V167" s="1714"/>
      <c r="W167" s="1527"/>
      <c r="X167" s="1714"/>
      <c r="Y167" s="1527"/>
      <c r="Z167" s="1714"/>
      <c r="AA167" s="1527"/>
      <c r="AB167" s="1714"/>
      <c r="AC167" s="1677"/>
      <c r="AD167" s="1681"/>
      <c r="AE167" s="1527"/>
      <c r="AF167" s="1714"/>
      <c r="AG167" s="1677"/>
      <c r="AH167" s="1567"/>
      <c r="AI167" s="1561">
        <f t="shared" si="19"/>
        <v>0</v>
      </c>
      <c r="AJ167" s="1586">
        <f t="shared" si="20"/>
        <v>0</v>
      </c>
      <c r="AK167" s="1579">
        <f>'WEEKLY FC'!F351</f>
        <v>0</v>
      </c>
      <c r="AL167" s="1576">
        <f>'WEEKLY FC'!D351</f>
        <v>0</v>
      </c>
      <c r="AM167" s="1687">
        <f t="shared" si="24"/>
        <v>0</v>
      </c>
      <c r="AN167" s="1686">
        <f t="shared" si="25"/>
        <v>0</v>
      </c>
    </row>
    <row r="168" spans="2:40" ht="30" customHeight="1">
      <c r="B168" s="1696"/>
      <c r="C168" s="1697">
        <v>34</v>
      </c>
      <c r="D168" s="1544">
        <f>'WEEKLY FC'!B352</f>
        <v>0</v>
      </c>
      <c r="E168" s="1534">
        <v>0</v>
      </c>
      <c r="F168" s="1590">
        <v>0</v>
      </c>
      <c r="G168" s="1536">
        <v>0</v>
      </c>
      <c r="H168" s="1590">
        <v>0</v>
      </c>
      <c r="I168" s="1527"/>
      <c r="J168" s="1527"/>
      <c r="K168" s="1527"/>
      <c r="L168" s="1527"/>
      <c r="M168" s="1527"/>
      <c r="N168" s="1527"/>
      <c r="O168" s="1527"/>
      <c r="P168" s="1527"/>
      <c r="Q168" s="1527"/>
      <c r="R168" s="1527"/>
      <c r="S168" s="1527"/>
      <c r="T168" s="1527"/>
      <c r="U168" s="1527"/>
      <c r="V168" s="1527"/>
      <c r="W168" s="1527"/>
      <c r="X168" s="1527"/>
      <c r="Y168" s="1527"/>
      <c r="Z168" s="1527"/>
      <c r="AA168" s="1527"/>
      <c r="AB168" s="1527"/>
      <c r="AC168" s="1677"/>
      <c r="AD168" s="1681"/>
      <c r="AE168" s="1527"/>
      <c r="AF168" s="1527"/>
      <c r="AG168" s="1677"/>
      <c r="AH168" s="1567"/>
      <c r="AI168" s="1561">
        <f t="shared" si="19"/>
        <v>0</v>
      </c>
      <c r="AJ168" s="1687">
        <f t="shared" si="20"/>
        <v>0</v>
      </c>
      <c r="AK168" s="1579">
        <f>'WEEKLY FC'!F352</f>
        <v>0</v>
      </c>
      <c r="AL168" s="1579">
        <f>'WEEKLY FC'!D352</f>
        <v>0</v>
      </c>
      <c r="AM168" s="1687">
        <f t="shared" ref="AM168:AM171" si="26">G168+AI168-AK168</f>
        <v>0</v>
      </c>
      <c r="AN168" s="1604">
        <f t="shared" ref="AN168:AN171" si="27">H168+AJ168-AL168</f>
        <v>0</v>
      </c>
    </row>
    <row r="169" spans="2:40" ht="30" customHeight="1">
      <c r="B169" s="1696"/>
      <c r="C169" s="1697">
        <v>35</v>
      </c>
      <c r="D169" s="1544">
        <f>'WEEKLY FC'!B353</f>
        <v>0</v>
      </c>
      <c r="E169" s="1534">
        <v>0</v>
      </c>
      <c r="F169" s="1590">
        <v>0</v>
      </c>
      <c r="G169" s="1536">
        <v>0</v>
      </c>
      <c r="H169" s="1590">
        <v>0</v>
      </c>
      <c r="I169" s="1527"/>
      <c r="J169" s="1527"/>
      <c r="K169" s="1527"/>
      <c r="L169" s="1527"/>
      <c r="M169" s="1527"/>
      <c r="N169" s="1527"/>
      <c r="O169" s="1527"/>
      <c r="P169" s="1527"/>
      <c r="Q169" s="1527"/>
      <c r="R169" s="1527"/>
      <c r="S169" s="1527"/>
      <c r="T169" s="1527"/>
      <c r="U169" s="1527"/>
      <c r="V169" s="1527"/>
      <c r="W169" s="1527"/>
      <c r="X169" s="1527"/>
      <c r="Y169" s="1527"/>
      <c r="Z169" s="1527"/>
      <c r="AA169" s="1527"/>
      <c r="AB169" s="1527"/>
      <c r="AC169" s="1677"/>
      <c r="AD169" s="1681"/>
      <c r="AE169" s="1527"/>
      <c r="AF169" s="1527"/>
      <c r="AG169" s="1677"/>
      <c r="AH169" s="1567"/>
      <c r="AI169" s="1561">
        <f t="shared" ref="AI169:AI171" si="28">SUM(I169,K169,M169,O169,Q169,S169,U169,W169,Y169,AA169,AC169,AE169,AG169)</f>
        <v>0</v>
      </c>
      <c r="AJ169" s="1687">
        <f t="shared" ref="AJ169:AJ171" si="29">SUM(J169,L169,N169,P169,R169,T169,V169,X169,Z169,AB169,AD169,AF169,AH169)</f>
        <v>0</v>
      </c>
      <c r="AK169" s="1579">
        <f>'WEEKLY FC'!F353</f>
        <v>0</v>
      </c>
      <c r="AL169" s="1579">
        <f>'WEEKLY FC'!D353</f>
        <v>0</v>
      </c>
      <c r="AM169" s="1687">
        <f t="shared" si="26"/>
        <v>0</v>
      </c>
      <c r="AN169" s="1604">
        <f t="shared" si="27"/>
        <v>0</v>
      </c>
    </row>
    <row r="170" spans="2:40" ht="30" customHeight="1">
      <c r="B170" s="1696"/>
      <c r="C170" s="1697">
        <v>36</v>
      </c>
      <c r="D170" s="1544">
        <f>'WEEKLY FC'!B354</f>
        <v>0</v>
      </c>
      <c r="E170" s="1534">
        <v>0</v>
      </c>
      <c r="F170" s="1590">
        <v>0</v>
      </c>
      <c r="G170" s="1536">
        <v>0</v>
      </c>
      <c r="H170" s="1590">
        <v>0</v>
      </c>
      <c r="I170" s="1527"/>
      <c r="J170" s="1527"/>
      <c r="K170" s="1527"/>
      <c r="L170" s="1527"/>
      <c r="M170" s="1527"/>
      <c r="N170" s="1527"/>
      <c r="O170" s="1527"/>
      <c r="P170" s="1527"/>
      <c r="Q170" s="1527"/>
      <c r="R170" s="1527"/>
      <c r="S170" s="1527"/>
      <c r="T170" s="1527"/>
      <c r="U170" s="1527"/>
      <c r="V170" s="1527"/>
      <c r="W170" s="1527"/>
      <c r="X170" s="1527"/>
      <c r="Y170" s="1527"/>
      <c r="Z170" s="1527"/>
      <c r="AA170" s="1527"/>
      <c r="AB170" s="1527"/>
      <c r="AC170" s="1677"/>
      <c r="AD170" s="1681"/>
      <c r="AE170" s="1527"/>
      <c r="AF170" s="1527"/>
      <c r="AG170" s="1677"/>
      <c r="AH170" s="1567"/>
      <c r="AI170" s="1561">
        <f t="shared" si="28"/>
        <v>0</v>
      </c>
      <c r="AJ170" s="1687">
        <f t="shared" si="29"/>
        <v>0</v>
      </c>
      <c r="AK170" s="1579">
        <f>'WEEKLY FC'!F354</f>
        <v>0</v>
      </c>
      <c r="AL170" s="1579">
        <f>'WEEKLY FC'!D354</f>
        <v>0</v>
      </c>
      <c r="AM170" s="1687">
        <f t="shared" si="26"/>
        <v>0</v>
      </c>
      <c r="AN170" s="1604">
        <f t="shared" si="27"/>
        <v>0</v>
      </c>
    </row>
    <row r="171" spans="2:40" ht="30" customHeight="1">
      <c r="B171" s="1696"/>
      <c r="C171" s="1697">
        <v>37</v>
      </c>
      <c r="D171" s="1544">
        <f>'WEEKLY FC'!B355</f>
        <v>0</v>
      </c>
      <c r="E171" s="1534">
        <v>0</v>
      </c>
      <c r="F171" s="1590">
        <v>0</v>
      </c>
      <c r="G171" s="1536">
        <v>0</v>
      </c>
      <c r="H171" s="1590">
        <v>0</v>
      </c>
      <c r="I171" s="1527"/>
      <c r="J171" s="1527"/>
      <c r="K171" s="1527"/>
      <c r="L171" s="1527"/>
      <c r="M171" s="1527"/>
      <c r="N171" s="1527"/>
      <c r="O171" s="1527"/>
      <c r="P171" s="1527"/>
      <c r="Q171" s="1527"/>
      <c r="R171" s="1527"/>
      <c r="S171" s="1527"/>
      <c r="T171" s="1527"/>
      <c r="U171" s="1527"/>
      <c r="V171" s="1527"/>
      <c r="W171" s="1527"/>
      <c r="X171" s="1527"/>
      <c r="Y171" s="1527"/>
      <c r="Z171" s="1527"/>
      <c r="AA171" s="1527"/>
      <c r="AB171" s="1527"/>
      <c r="AC171" s="1677"/>
      <c r="AD171" s="1681"/>
      <c r="AE171" s="1527"/>
      <c r="AF171" s="1527"/>
      <c r="AG171" s="1677"/>
      <c r="AH171" s="1567"/>
      <c r="AI171" s="1561">
        <f t="shared" si="28"/>
        <v>0</v>
      </c>
      <c r="AJ171" s="1687">
        <f t="shared" si="29"/>
        <v>0</v>
      </c>
      <c r="AK171" s="1579">
        <f>'WEEKLY FC'!F355</f>
        <v>0</v>
      </c>
      <c r="AL171" s="1579">
        <f>'WEEKLY FC'!D355</f>
        <v>0</v>
      </c>
      <c r="AM171" s="1687">
        <f t="shared" si="26"/>
        <v>0</v>
      </c>
      <c r="AN171" s="1604">
        <f t="shared" si="27"/>
        <v>0</v>
      </c>
    </row>
    <row r="172" spans="2:40" ht="30" customHeight="1">
      <c r="B172" s="1696"/>
      <c r="C172" s="1697">
        <v>38</v>
      </c>
      <c r="D172" s="1544">
        <f>'WEEKLY FC'!B356</f>
        <v>0</v>
      </c>
      <c r="E172" s="1534">
        <v>0</v>
      </c>
      <c r="F172" s="1590">
        <v>0</v>
      </c>
      <c r="G172" s="1536">
        <v>0</v>
      </c>
      <c r="H172" s="1590">
        <v>0</v>
      </c>
      <c r="I172" s="1527"/>
      <c r="J172" s="1527"/>
      <c r="K172" s="1527"/>
      <c r="L172" s="1527"/>
      <c r="M172" s="1527"/>
      <c r="N172" s="1527"/>
      <c r="O172" s="1527"/>
      <c r="P172" s="1527"/>
      <c r="Q172" s="1527"/>
      <c r="R172" s="1527"/>
      <c r="S172" s="1527"/>
      <c r="T172" s="1527"/>
      <c r="U172" s="1527"/>
      <c r="V172" s="1527"/>
      <c r="W172" s="1527"/>
      <c r="X172" s="1527"/>
      <c r="Y172" s="1527"/>
      <c r="Z172" s="1527"/>
      <c r="AA172" s="1527"/>
      <c r="AB172" s="1527"/>
      <c r="AC172" s="1677"/>
      <c r="AD172" s="1681"/>
      <c r="AE172" s="1527"/>
      <c r="AF172" s="1527"/>
      <c r="AG172" s="1677"/>
      <c r="AH172" s="1567"/>
      <c r="AI172" s="1561">
        <f t="shared" si="19"/>
        <v>0</v>
      </c>
      <c r="AJ172" s="1687">
        <f t="shared" si="20"/>
        <v>0</v>
      </c>
      <c r="AK172" s="1579">
        <f>'WEEKLY FC'!F356</f>
        <v>0</v>
      </c>
      <c r="AL172" s="1579">
        <f>'WEEKLY FC'!D356</f>
        <v>0</v>
      </c>
      <c r="AM172" s="1687">
        <f t="shared" si="24"/>
        <v>0</v>
      </c>
      <c r="AN172" s="1604">
        <f t="shared" si="25"/>
        <v>0</v>
      </c>
    </row>
    <row r="173" spans="2:40" ht="30" customHeight="1">
      <c r="B173" s="1696"/>
      <c r="C173" s="1697">
        <v>39</v>
      </c>
      <c r="D173" s="1544">
        <f>'WEEKLY FC'!B357</f>
        <v>0</v>
      </c>
      <c r="E173" s="1534">
        <v>0</v>
      </c>
      <c r="F173" s="1590">
        <v>0</v>
      </c>
      <c r="G173" s="1536">
        <v>0</v>
      </c>
      <c r="H173" s="1590">
        <v>0</v>
      </c>
      <c r="I173" s="1527"/>
      <c r="J173" s="1527"/>
      <c r="K173" s="1527"/>
      <c r="L173" s="1527"/>
      <c r="M173" s="1527"/>
      <c r="N173" s="1527"/>
      <c r="O173" s="1527"/>
      <c r="P173" s="1527"/>
      <c r="Q173" s="1527"/>
      <c r="R173" s="1527"/>
      <c r="S173" s="1527"/>
      <c r="T173" s="1527"/>
      <c r="U173" s="1527"/>
      <c r="V173" s="1527"/>
      <c r="W173" s="1527"/>
      <c r="X173" s="1527"/>
      <c r="Y173" s="1527"/>
      <c r="Z173" s="1527"/>
      <c r="AA173" s="1527"/>
      <c r="AB173" s="1527"/>
      <c r="AC173" s="1677"/>
      <c r="AD173" s="1681"/>
      <c r="AE173" s="1527"/>
      <c r="AF173" s="1527"/>
      <c r="AG173" s="1677"/>
      <c r="AH173" s="1567"/>
      <c r="AI173" s="1561">
        <f t="shared" si="19"/>
        <v>0</v>
      </c>
      <c r="AJ173" s="1687">
        <f t="shared" si="20"/>
        <v>0</v>
      </c>
      <c r="AK173" s="1579">
        <f>'WEEKLY FC'!F357</f>
        <v>0</v>
      </c>
      <c r="AL173" s="1579">
        <f>'WEEKLY FC'!D357</f>
        <v>0</v>
      </c>
      <c r="AM173" s="1687">
        <f t="shared" si="24"/>
        <v>0</v>
      </c>
      <c r="AN173" s="1604">
        <f t="shared" si="25"/>
        <v>0</v>
      </c>
    </row>
    <row r="174" spans="2:40" ht="30" customHeight="1">
      <c r="B174" s="1696"/>
      <c r="C174" s="1697">
        <v>40</v>
      </c>
      <c r="D174" s="1544">
        <f>'WEEKLY FC'!B358</f>
        <v>0</v>
      </c>
      <c r="E174" s="1534">
        <v>0</v>
      </c>
      <c r="F174" s="1590">
        <v>0</v>
      </c>
      <c r="G174" s="1536">
        <v>0</v>
      </c>
      <c r="H174" s="1590">
        <v>0</v>
      </c>
      <c r="I174" s="1547"/>
      <c r="J174" s="1547"/>
      <c r="K174" s="1547"/>
      <c r="L174" s="1547"/>
      <c r="M174" s="1547"/>
      <c r="N174" s="1547"/>
      <c r="O174" s="1547"/>
      <c r="P174" s="1547"/>
      <c r="Q174" s="1547"/>
      <c r="R174" s="1547"/>
      <c r="S174" s="1547"/>
      <c r="T174" s="1547"/>
      <c r="U174" s="1547"/>
      <c r="V174" s="1547"/>
      <c r="W174" s="1547"/>
      <c r="X174" s="1547"/>
      <c r="Y174" s="1547"/>
      <c r="Z174" s="1547"/>
      <c r="AA174" s="1547"/>
      <c r="AB174" s="1547"/>
      <c r="AC174" s="1716"/>
      <c r="AD174" s="1720"/>
      <c r="AE174" s="1547"/>
      <c r="AF174" s="1547"/>
      <c r="AG174" s="1716"/>
      <c r="AH174" s="1593"/>
      <c r="AI174" s="1594">
        <f t="shared" si="19"/>
        <v>0</v>
      </c>
      <c r="AJ174" s="1727">
        <f t="shared" si="20"/>
        <v>0</v>
      </c>
      <c r="AK174" s="1595">
        <f>'WEEKLY FC'!F358</f>
        <v>0</v>
      </c>
      <c r="AL174" s="1595">
        <f>'WEEKLY FC'!D358</f>
        <v>0</v>
      </c>
      <c r="AM174" s="1727">
        <f t="shared" si="24"/>
        <v>0</v>
      </c>
      <c r="AN174" s="1728">
        <f t="shared" si="25"/>
        <v>0</v>
      </c>
    </row>
    <row r="175" spans="2:40" ht="30" customHeight="1">
      <c r="B175" s="1705"/>
      <c r="C175" s="2399"/>
      <c r="D175" s="1706" t="s">
        <v>511</v>
      </c>
      <c r="E175" s="2313">
        <f>SUM(E94:E131)+SUM(E133:E174)</f>
        <v>5749891.0353804296</v>
      </c>
      <c r="F175" s="2314"/>
      <c r="G175" s="2314">
        <f>SUM(G94:G131)+SUM(G133:G174)</f>
        <v>19063337.75375</v>
      </c>
      <c r="H175" s="2314"/>
      <c r="I175" s="2314">
        <f>SUM(I94:I131)+SUM(I133:I174)</f>
        <v>143000</v>
      </c>
      <c r="J175" s="2314"/>
      <c r="K175" s="2314">
        <f>SUM(K94:K131)+SUM(K133:K174)</f>
        <v>116000</v>
      </c>
      <c r="L175" s="2314"/>
      <c r="M175" s="2314">
        <f>SUM(M94:M131)+SUM(M133:M174)</f>
        <v>0</v>
      </c>
      <c r="N175" s="2314"/>
      <c r="O175" s="2314">
        <f>SUM(O94:O131)+SUM(O133:O174)</f>
        <v>40700</v>
      </c>
      <c r="P175" s="2314"/>
      <c r="Q175" s="2314">
        <f>SUM(Q94:Q131)+SUM(Q133:Q174)</f>
        <v>229000</v>
      </c>
      <c r="R175" s="2314"/>
      <c r="S175" s="2314">
        <f>SUM(S94:S131)+SUM(S133:S174)</f>
        <v>69760</v>
      </c>
      <c r="T175" s="2314"/>
      <c r="U175" s="2314">
        <f>SUM(U94:U131)+SUM(U133:U174)</f>
        <v>131000</v>
      </c>
      <c r="V175" s="2314"/>
      <c r="W175" s="2314">
        <f>SUM(W94:W131)+SUM(W133:W174)</f>
        <v>0</v>
      </c>
      <c r="X175" s="2314"/>
      <c r="Y175" s="2314">
        <f>SUM(Y94:Y131)+SUM(Y133:Y174)</f>
        <v>0</v>
      </c>
      <c r="Z175" s="2314"/>
      <c r="AA175" s="2314">
        <f>SUM(AA94:AA131)+SUM(AA133:AA174)</f>
        <v>0</v>
      </c>
      <c r="AB175" s="2314"/>
      <c r="AC175" s="2314">
        <f>SUM(AC94:AC131)+SUM(AC133:AC174)</f>
        <v>-257588.96</v>
      </c>
      <c r="AD175" s="2314"/>
      <c r="AE175" s="2314">
        <f>SUM(AE94:AE131)+SUM(AE133:AE174)</f>
        <v>0</v>
      </c>
      <c r="AF175" s="2314"/>
      <c r="AG175" s="2314">
        <f>SUM(AG94:AG131)+SUM(AG133:AG174)</f>
        <v>2422043.1739130402</v>
      </c>
      <c r="AH175" s="2314"/>
      <c r="AI175" s="2314">
        <f>SUM(AI94:AI131)+SUM(AI133:AI174)</f>
        <v>2893914.2139130398</v>
      </c>
      <c r="AJ175" s="2314"/>
      <c r="AK175" s="2314">
        <f>SUM(AK94:AK131)+SUM(AK133:AK174)</f>
        <v>17314719.447500002</v>
      </c>
      <c r="AL175" s="2314"/>
      <c r="AM175" s="2314">
        <f>SUM(AM94:AM131)+SUM(AM133:AM174)</f>
        <v>4642532.5201630397</v>
      </c>
      <c r="AN175" s="2315"/>
    </row>
    <row r="176" spans="2:40" ht="30" customHeight="1">
      <c r="B176" s="1705"/>
      <c r="C176" s="2399"/>
      <c r="D176" s="1706" t="s">
        <v>512</v>
      </c>
      <c r="E176" s="2316">
        <f>E82+E175</f>
        <v>19991458.1418625</v>
      </c>
      <c r="F176" s="2317"/>
      <c r="G176" s="2317">
        <f>G82+G175</f>
        <v>29151643.065558702</v>
      </c>
      <c r="H176" s="2317"/>
      <c r="I176" s="2317">
        <f>I82+I175</f>
        <v>164000</v>
      </c>
      <c r="J176" s="2317"/>
      <c r="K176" s="2317">
        <f>K82+K175</f>
        <v>196900</v>
      </c>
      <c r="L176" s="2317"/>
      <c r="M176" s="2317">
        <f>M82+M175</f>
        <v>91000</v>
      </c>
      <c r="N176" s="2317"/>
      <c r="O176" s="2317">
        <f>O82+O175</f>
        <v>167000</v>
      </c>
      <c r="P176" s="2317"/>
      <c r="Q176" s="2317">
        <f>Q82+Q175</f>
        <v>256000</v>
      </c>
      <c r="R176" s="2317"/>
      <c r="S176" s="2317">
        <f>S82+S175</f>
        <v>154240</v>
      </c>
      <c r="T176" s="2317"/>
      <c r="U176" s="2317">
        <f>U82+U175</f>
        <v>152000</v>
      </c>
      <c r="V176" s="2317"/>
      <c r="W176" s="2317">
        <f>W82+W175</f>
        <v>0</v>
      </c>
      <c r="X176" s="2317"/>
      <c r="Y176" s="2317">
        <f>Y82+Y175</f>
        <v>0</v>
      </c>
      <c r="Z176" s="2317"/>
      <c r="AA176" s="2317">
        <f>AA82+AA175</f>
        <v>0</v>
      </c>
      <c r="AB176" s="2317"/>
      <c r="AC176" s="2318">
        <f>AC82+AC175</f>
        <v>-229932.97615838601</v>
      </c>
      <c r="AD176" s="2318"/>
      <c r="AE176" s="2317">
        <f>AE82+AE175</f>
        <v>0</v>
      </c>
      <c r="AF176" s="2317"/>
      <c r="AG176" s="2317">
        <f>AG82+AG175</f>
        <v>12234546.173913</v>
      </c>
      <c r="AH176" s="2317"/>
      <c r="AI176" s="2317">
        <f>AI82+AI175</f>
        <v>13185753.1977547</v>
      </c>
      <c r="AJ176" s="2317"/>
      <c r="AK176" s="2319">
        <f>AK82+AK175</f>
        <v>27681296.9262315</v>
      </c>
      <c r="AL176" s="2319"/>
      <c r="AM176" s="2320"/>
      <c r="AN176" s="2321"/>
    </row>
    <row r="177" spans="2:40" ht="30" customHeight="1">
      <c r="B177" s="1705"/>
      <c r="C177" s="2399"/>
      <c r="D177" s="1707" t="s">
        <v>513</v>
      </c>
      <c r="E177" s="2322"/>
      <c r="F177" s="2323"/>
      <c r="G177" s="2324"/>
      <c r="H177" s="2323"/>
      <c r="I177" s="2324"/>
      <c r="J177" s="2323"/>
      <c r="K177" s="2324"/>
      <c r="L177" s="2323"/>
      <c r="M177" s="2324"/>
      <c r="N177" s="2323"/>
      <c r="O177" s="2324"/>
      <c r="P177" s="2323"/>
      <c r="Q177" s="2324"/>
      <c r="R177" s="2323"/>
      <c r="S177" s="2324"/>
      <c r="T177" s="2323"/>
      <c r="U177" s="2324"/>
      <c r="V177" s="2323"/>
      <c r="W177" s="2324"/>
      <c r="X177" s="2323"/>
      <c r="Y177" s="2324"/>
      <c r="Z177" s="2323"/>
      <c r="AA177" s="2324"/>
      <c r="AB177" s="2323"/>
      <c r="AC177" s="2324"/>
      <c r="AD177" s="2323"/>
      <c r="AE177" s="2324"/>
      <c r="AF177" s="2323"/>
      <c r="AG177" s="2325" t="s">
        <v>514</v>
      </c>
      <c r="AH177" s="2326"/>
      <c r="AI177" s="2327">
        <f>SUM(AE10:AE81)+SUM(AG10:AG81)+SUM(AE133:AE174)+SUM(AG133:AG174)</f>
        <v>12234546.173913</v>
      </c>
      <c r="AJ177" s="2327"/>
      <c r="AK177" s="2328"/>
      <c r="AL177" s="2329" t="s">
        <v>515</v>
      </c>
      <c r="AM177" s="2329"/>
      <c r="AN177" s="2329"/>
    </row>
    <row r="178" spans="2:40" ht="30" customHeight="1">
      <c r="B178" s="1705"/>
      <c r="C178" s="2399"/>
      <c r="D178" s="1518" t="s">
        <v>516</v>
      </c>
      <c r="E178" s="2330"/>
      <c r="F178" s="2331"/>
      <c r="G178" s="2332"/>
      <c r="H178" s="2331"/>
      <c r="I178" s="2332"/>
      <c r="J178" s="2331"/>
      <c r="K178" s="2332"/>
      <c r="L178" s="2331"/>
      <c r="M178" s="2332"/>
      <c r="N178" s="2331"/>
      <c r="O178" s="2332"/>
      <c r="P178" s="2331"/>
      <c r="Q178" s="2332"/>
      <c r="R178" s="2331"/>
      <c r="S178" s="2332"/>
      <c r="T178" s="2331"/>
      <c r="U178" s="2332"/>
      <c r="V178" s="2331"/>
      <c r="W178" s="2332"/>
      <c r="X178" s="2331"/>
      <c r="Y178" s="2332"/>
      <c r="Z178" s="2331"/>
      <c r="AA178" s="2332"/>
      <c r="AB178" s="2331"/>
      <c r="AC178" s="2332"/>
      <c r="AD178" s="2331"/>
      <c r="AE178" s="2332"/>
      <c r="AF178" s="2331"/>
      <c r="AG178" s="1729" t="s">
        <v>517</v>
      </c>
      <c r="AH178" s="1730"/>
      <c r="AI178" s="2333">
        <f>SUM(AE94:AE131)+SUM(AG94:AG131)</f>
        <v>0</v>
      </c>
      <c r="AJ178" s="2334"/>
      <c r="AK178" s="2335"/>
      <c r="AL178" s="2336"/>
      <c r="AM178" s="2336"/>
      <c r="AN178" s="2336"/>
    </row>
    <row r="179" spans="2:40" ht="30" customHeight="1">
      <c r="B179" s="1705"/>
      <c r="C179" s="2399"/>
      <c r="D179" s="1708" t="s">
        <v>518</v>
      </c>
      <c r="E179" s="2337"/>
      <c r="F179" s="2338"/>
      <c r="G179" s="2339">
        <f>SUM(G10:G81)+SUM(G133:G174)</f>
        <v>17341887.815558702</v>
      </c>
      <c r="H179" s="2340"/>
      <c r="I179" s="2339">
        <f>SUM(I10:I81)+SUM(I133:I174)</f>
        <v>164000</v>
      </c>
      <c r="J179" s="2340"/>
      <c r="K179" s="2339">
        <f>SUM(K10:K81)+SUM(K133:K174)</f>
        <v>196900</v>
      </c>
      <c r="L179" s="2340"/>
      <c r="M179" s="2339">
        <f>SUM(M10:M81)+SUM(M133:M174)</f>
        <v>91000</v>
      </c>
      <c r="N179" s="2340"/>
      <c r="O179" s="2339">
        <f>SUM(O10:O81)+SUM(O133:O174)</f>
        <v>167000</v>
      </c>
      <c r="P179" s="2340"/>
      <c r="Q179" s="2339">
        <f>SUM(Q10:Q81)+SUM(Q133:Q174)</f>
        <v>256000</v>
      </c>
      <c r="R179" s="2340"/>
      <c r="S179" s="2339">
        <f>SUM(S10:S81)+SUM(S133:S174)</f>
        <v>142340</v>
      </c>
      <c r="T179" s="2340"/>
      <c r="U179" s="2339">
        <f>SUM(U10:U81)+SUM(U133:U174)</f>
        <v>88000</v>
      </c>
      <c r="V179" s="2340"/>
      <c r="W179" s="2339">
        <f>SUM(W10:W81)+SUM(W133:W174)</f>
        <v>0</v>
      </c>
      <c r="X179" s="2340"/>
      <c r="Y179" s="2339">
        <f>SUM(Y10:Y81)+SUM(Y133:Y174)</f>
        <v>0</v>
      </c>
      <c r="Z179" s="2340"/>
      <c r="AA179" s="2339">
        <f>SUM(AA10:AA81)+SUM(AA133:AA174)</f>
        <v>0</v>
      </c>
      <c r="AB179" s="2340"/>
      <c r="AC179" s="2341"/>
      <c r="AD179" s="2338"/>
      <c r="AE179" s="2341"/>
      <c r="AF179" s="2338"/>
      <c r="AG179" s="2342" t="s">
        <v>519</v>
      </c>
      <c r="AH179" s="2343"/>
      <c r="AI179" s="2339">
        <f>SUM(I179:AB179)</f>
        <v>1105240</v>
      </c>
      <c r="AJ179" s="2344"/>
      <c r="AK179" s="2340"/>
      <c r="AL179" s="2339">
        <f>AM82+AM175</f>
        <v>14656099.3370819</v>
      </c>
      <c r="AM179" s="2344"/>
      <c r="AN179" s="2345"/>
    </row>
    <row r="180" spans="2:40" ht="30" customHeight="1">
      <c r="B180" s="1705"/>
      <c r="C180" s="2399"/>
      <c r="D180" s="1518" t="s">
        <v>520</v>
      </c>
      <c r="E180" s="2346"/>
      <c r="F180" s="2347"/>
      <c r="G180" s="2333">
        <f>SUM(G94:G131)</f>
        <v>11809755.25</v>
      </c>
      <c r="H180" s="2335"/>
      <c r="I180" s="2333">
        <f>SUM(I94:I131)</f>
        <v>0</v>
      </c>
      <c r="J180" s="2335"/>
      <c r="K180" s="2333">
        <f>SUM(K94:K131)</f>
        <v>0</v>
      </c>
      <c r="L180" s="2335"/>
      <c r="M180" s="2333">
        <f>SUM(M94:M131)</f>
        <v>0</v>
      </c>
      <c r="N180" s="2335"/>
      <c r="O180" s="2333">
        <f>SUM(O94:O131)</f>
        <v>0</v>
      </c>
      <c r="P180" s="2335"/>
      <c r="Q180" s="2333">
        <f>SUM(Q94:Q131)</f>
        <v>0</v>
      </c>
      <c r="R180" s="2335"/>
      <c r="S180" s="2333">
        <f>SUM(S94:S131)</f>
        <v>11900</v>
      </c>
      <c r="T180" s="2335"/>
      <c r="U180" s="2333">
        <f>SUM(U94:U131)</f>
        <v>64000</v>
      </c>
      <c r="V180" s="2335"/>
      <c r="W180" s="2333">
        <f>SUM(W94:W131)</f>
        <v>0</v>
      </c>
      <c r="X180" s="2335"/>
      <c r="Y180" s="2333">
        <f>SUM(Y94:Y131)</f>
        <v>0</v>
      </c>
      <c r="Z180" s="2335"/>
      <c r="AA180" s="2333">
        <f>SUM(AA94:AA131)</f>
        <v>0</v>
      </c>
      <c r="AB180" s="2335"/>
      <c r="AC180" s="2348"/>
      <c r="AD180" s="2347"/>
      <c r="AE180" s="2348"/>
      <c r="AF180" s="2347"/>
      <c r="AG180" s="2349" t="s">
        <v>521</v>
      </c>
      <c r="AH180" s="2350"/>
      <c r="AI180" s="2319">
        <f>SUM(I180:AB180)</f>
        <v>75900</v>
      </c>
      <c r="AJ180" s="2319"/>
      <c r="AK180" s="2319"/>
      <c r="AL180" s="2348"/>
      <c r="AM180" s="2346"/>
      <c r="AN180" s="2351"/>
    </row>
    <row r="181" spans="2:40" ht="30" customHeight="1">
      <c r="B181" s="1709"/>
      <c r="C181" s="2400"/>
      <c r="D181" s="1710" t="s">
        <v>522</v>
      </c>
      <c r="E181" s="2352"/>
      <c r="F181" s="2353"/>
      <c r="G181" s="2354"/>
      <c r="H181" s="2353"/>
      <c r="I181" s="2354"/>
      <c r="J181" s="2353"/>
      <c r="K181" s="2354"/>
      <c r="L181" s="2353"/>
      <c r="M181" s="2354"/>
      <c r="N181" s="2353"/>
      <c r="O181" s="2354"/>
      <c r="P181" s="2353"/>
      <c r="Q181" s="2354"/>
      <c r="R181" s="2353"/>
      <c r="S181" s="2355"/>
      <c r="T181" s="2356"/>
      <c r="U181" s="2354"/>
      <c r="V181" s="2353"/>
      <c r="W181" s="2354"/>
      <c r="X181" s="2353"/>
      <c r="Y181" s="2354"/>
      <c r="Z181" s="2353"/>
      <c r="AA181" s="2354"/>
      <c r="AB181" s="2353"/>
      <c r="AC181" s="2354"/>
      <c r="AD181" s="2353"/>
      <c r="AE181" s="2354"/>
      <c r="AF181" s="2353"/>
      <c r="AG181" s="2354"/>
      <c r="AH181" s="2353"/>
      <c r="AI181" s="2354"/>
      <c r="AJ181" s="2352"/>
      <c r="AK181" s="2353"/>
      <c r="AL181" s="2355"/>
      <c r="AM181" s="2357"/>
      <c r="AN181" s="2358"/>
    </row>
    <row r="182" spans="2:40" ht="24" customHeight="1">
      <c r="B182" s="1711"/>
      <c r="C182" s="1665"/>
      <c r="D182" s="1666"/>
      <c r="E182" s="1712"/>
      <c r="AE182" s="1721"/>
      <c r="AF182" s="1722"/>
      <c r="AG182" s="1721"/>
      <c r="AH182" s="1722"/>
      <c r="AI182" s="1721" t="s">
        <v>523</v>
      </c>
      <c r="AJ182" s="1722">
        <f>'IKHTISAR FOOD COST'!B33</f>
        <v>732211.191219114</v>
      </c>
      <c r="AK182" s="1721" t="s">
        <v>524</v>
      </c>
      <c r="AL182" s="1722">
        <f>'IKHTISAR FOOD COST'!B17</f>
        <v>502278.21506072901</v>
      </c>
      <c r="AM182" s="1721"/>
      <c r="AN182" s="1722">
        <f>AI82+AI175-AI180-AI179-AI178-AI177-AL182+AJ182</f>
        <v>1.6298145055770901E-9</v>
      </c>
    </row>
    <row r="183" spans="2:40" ht="20.25" customHeight="1">
      <c r="B183" s="2264" t="s">
        <v>456</v>
      </c>
      <c r="C183" s="2264"/>
      <c r="D183" s="2264"/>
      <c r="E183" s="2264"/>
      <c r="F183" s="2264"/>
      <c r="G183" s="2264"/>
      <c r="H183" s="2264"/>
      <c r="I183" s="2264"/>
      <c r="J183" s="2264"/>
      <c r="K183" s="2264"/>
      <c r="L183" s="2264"/>
      <c r="M183" s="2264"/>
      <c r="N183" s="2264"/>
      <c r="O183" s="2264"/>
      <c r="P183" s="2264"/>
      <c r="Q183" s="2264"/>
      <c r="R183" s="2264"/>
      <c r="S183" s="2264"/>
      <c r="T183" s="2264"/>
      <c r="U183" s="2264"/>
      <c r="V183" s="2264"/>
      <c r="W183" s="2264"/>
      <c r="X183" s="2264"/>
      <c r="Y183" s="2264"/>
      <c r="Z183" s="2264"/>
      <c r="AA183" s="2264"/>
      <c r="AB183" s="2264"/>
      <c r="AC183" s="2264"/>
      <c r="AD183" s="2264"/>
      <c r="AE183" s="2264"/>
      <c r="AF183" s="2264"/>
      <c r="AG183" s="2264"/>
      <c r="AH183" s="2264"/>
      <c r="AI183" s="2264"/>
      <c r="AJ183" s="2264"/>
      <c r="AK183" s="2264"/>
      <c r="AL183" s="2264"/>
      <c r="AM183" s="2264"/>
      <c r="AN183" s="2264"/>
    </row>
    <row r="184" spans="2:40" ht="22.5" customHeight="1">
      <c r="B184" s="1508"/>
      <c r="C184" s="1508"/>
      <c r="D184" s="1508"/>
      <c r="E184" s="1509"/>
      <c r="F184" s="1510"/>
      <c r="G184" s="1509"/>
      <c r="H184" s="1510"/>
      <c r="I184" s="1509"/>
      <c r="J184" s="1510"/>
      <c r="K184" s="1509"/>
      <c r="L184" s="1510"/>
      <c r="M184" s="1509"/>
      <c r="N184" s="1510"/>
      <c r="O184" s="1509"/>
      <c r="P184" s="1510"/>
      <c r="Q184" s="1509"/>
      <c r="R184" s="1510"/>
      <c r="S184" s="1509"/>
      <c r="T184" s="1510"/>
      <c r="U184" s="1509"/>
      <c r="V184" s="1510"/>
      <c r="W184" s="1509"/>
      <c r="X184" s="1510"/>
      <c r="Y184" s="1509"/>
      <c r="Z184" s="1510"/>
      <c r="AA184" s="1509"/>
      <c r="AB184" s="1510"/>
      <c r="AC184" s="1509"/>
      <c r="AD184" s="1508"/>
      <c r="AE184" s="1509"/>
      <c r="AF184" s="1510"/>
      <c r="AG184" s="1509"/>
      <c r="AH184" s="1510"/>
      <c r="AI184" s="1509" t="s">
        <v>358</v>
      </c>
      <c r="AJ184" s="2299" t="str">
        <f>AJ2</f>
        <v>RC SAMATA GOWA</v>
      </c>
      <c r="AK184" s="2299"/>
      <c r="AL184" s="2299"/>
      <c r="AM184" s="2299"/>
      <c r="AN184" s="1510"/>
    </row>
    <row r="185" spans="2:40" ht="20.25" customHeight="1">
      <c r="B185" s="1508"/>
      <c r="C185" s="1508"/>
      <c r="D185" s="1508"/>
      <c r="E185" s="1509"/>
      <c r="F185" s="1510"/>
      <c r="G185" s="1509"/>
      <c r="H185" s="1510"/>
      <c r="I185" s="1509"/>
      <c r="J185" s="1510"/>
      <c r="K185" s="1509"/>
      <c r="L185" s="1510"/>
      <c r="M185" s="1509"/>
      <c r="N185" s="1510"/>
      <c r="O185" s="1509"/>
      <c r="P185" s="1510"/>
      <c r="Q185" s="1509"/>
      <c r="R185" s="1510"/>
      <c r="S185" s="1509"/>
      <c r="T185" s="1510"/>
      <c r="U185" s="1509"/>
      <c r="V185" s="1510"/>
      <c r="W185" s="1509"/>
      <c r="X185" s="1510"/>
      <c r="Y185" s="1509"/>
      <c r="Z185" s="1510"/>
      <c r="AA185" s="1509"/>
      <c r="AB185" s="1510"/>
      <c r="AC185" s="1509"/>
      <c r="AD185" s="1508"/>
      <c r="AE185" s="1509"/>
      <c r="AF185" s="1510"/>
      <c r="AG185" s="1509"/>
      <c r="AH185" s="1510"/>
      <c r="AI185" s="1509" t="s">
        <v>360</v>
      </c>
      <c r="AJ185" s="2266" t="str">
        <f>AJ3</f>
        <v>8-14 JANUARI 2025</v>
      </c>
      <c r="AK185" s="2265"/>
      <c r="AL185" s="2265"/>
      <c r="AM185" s="2265"/>
      <c r="AN185" s="1510"/>
    </row>
    <row r="186" spans="2:40" ht="5.15" customHeight="1">
      <c r="B186" s="1508"/>
      <c r="C186" s="1508"/>
      <c r="D186" s="1508"/>
      <c r="E186" s="1509"/>
      <c r="F186" s="1510"/>
      <c r="G186" s="1509"/>
      <c r="H186" s="1510"/>
      <c r="I186" s="1509"/>
      <c r="J186" s="1510"/>
      <c r="K186" s="1509" t="s">
        <v>61</v>
      </c>
      <c r="L186" s="1510"/>
      <c r="M186" s="1509"/>
      <c r="N186" s="1510"/>
      <c r="O186" s="1509"/>
      <c r="P186" s="1510"/>
      <c r="Q186" s="1509"/>
      <c r="R186" s="1510"/>
      <c r="S186" s="1509"/>
      <c r="T186" s="1510"/>
      <c r="U186" s="1509"/>
      <c r="V186" s="1510"/>
      <c r="W186" s="1509"/>
      <c r="X186" s="1510"/>
      <c r="Y186" s="1509"/>
      <c r="Z186" s="1510"/>
      <c r="AA186" s="1509"/>
      <c r="AB186" s="1510"/>
      <c r="AC186" s="1509"/>
      <c r="AD186" s="1508"/>
      <c r="AE186" s="1509"/>
      <c r="AF186" s="1510"/>
      <c r="AG186" s="1509"/>
      <c r="AH186" s="1510"/>
      <c r="AI186" s="1509"/>
      <c r="AJ186" s="1510"/>
      <c r="AK186" s="1509"/>
      <c r="AL186" s="1510"/>
      <c r="AM186" s="1509"/>
      <c r="AN186" s="1510"/>
    </row>
    <row r="187" spans="2:40" ht="30" customHeight="1">
      <c r="B187" s="2388" t="s">
        <v>458</v>
      </c>
      <c r="C187" s="2402" t="s">
        <v>65</v>
      </c>
      <c r="D187" s="1513"/>
      <c r="E187" s="2269" t="s">
        <v>459</v>
      </c>
      <c r="F187" s="2300"/>
      <c r="G187" s="2300" t="s">
        <v>460</v>
      </c>
      <c r="H187" s="2300"/>
      <c r="I187" s="2359">
        <f>I5</f>
        <v>46030</v>
      </c>
      <c r="J187" s="2359"/>
      <c r="K187" s="2359">
        <f>K5</f>
        <v>46031</v>
      </c>
      <c r="L187" s="2359"/>
      <c r="M187" s="2359">
        <f>M5</f>
        <v>46032</v>
      </c>
      <c r="N187" s="2359"/>
      <c r="O187" s="2359">
        <f>O5</f>
        <v>46033</v>
      </c>
      <c r="P187" s="2359"/>
      <c r="Q187" s="2359">
        <f>Q5</f>
        <v>46034</v>
      </c>
      <c r="R187" s="2359"/>
      <c r="S187" s="2359">
        <f>S5</f>
        <v>46035</v>
      </c>
      <c r="T187" s="2359"/>
      <c r="U187" s="2359">
        <f>U5</f>
        <v>46036</v>
      </c>
      <c r="V187" s="2359"/>
      <c r="W187" s="2359">
        <f>W5</f>
        <v>0</v>
      </c>
      <c r="X187" s="2359"/>
      <c r="Y187" s="2359">
        <f>Y5</f>
        <v>0</v>
      </c>
      <c r="Z187" s="2359"/>
      <c r="AA187" s="2361">
        <f>AA5</f>
        <v>0</v>
      </c>
      <c r="AB187" s="2362"/>
      <c r="AC187" s="2365"/>
      <c r="AD187" s="2366"/>
      <c r="AE187" s="2369"/>
      <c r="AF187" s="2369"/>
      <c r="AG187" s="2369"/>
      <c r="AH187" s="2369"/>
      <c r="AI187" s="2300" t="s">
        <v>310</v>
      </c>
      <c r="AJ187" s="2300"/>
      <c r="AK187" s="2300" t="s">
        <v>460</v>
      </c>
      <c r="AL187" s="2300"/>
      <c r="AM187" s="2300" t="s">
        <v>459</v>
      </c>
      <c r="AN187" s="2301"/>
    </row>
    <row r="188" spans="2:40" ht="30" customHeight="1">
      <c r="B188" s="2389"/>
      <c r="C188" s="2403"/>
      <c r="D188" s="2406" t="s">
        <v>464</v>
      </c>
      <c r="E188" s="2283" t="s">
        <v>465</v>
      </c>
      <c r="F188" s="2304"/>
      <c r="G188" s="2304" t="s">
        <v>466</v>
      </c>
      <c r="H188" s="2304"/>
      <c r="I188" s="2360"/>
      <c r="J188" s="2360"/>
      <c r="K188" s="2360"/>
      <c r="L188" s="2360"/>
      <c r="M188" s="2360"/>
      <c r="N188" s="2360"/>
      <c r="O188" s="2360"/>
      <c r="P188" s="2360"/>
      <c r="Q188" s="2360"/>
      <c r="R188" s="2360"/>
      <c r="S188" s="2360"/>
      <c r="T188" s="2360"/>
      <c r="U188" s="2360"/>
      <c r="V188" s="2360"/>
      <c r="W188" s="2360"/>
      <c r="X188" s="2360"/>
      <c r="Y188" s="2360"/>
      <c r="Z188" s="2360"/>
      <c r="AA188" s="2363"/>
      <c r="AB188" s="2364"/>
      <c r="AC188" s="2367"/>
      <c r="AD188" s="2368"/>
      <c r="AE188" s="2370"/>
      <c r="AF188" s="2370"/>
      <c r="AG188" s="2370"/>
      <c r="AH188" s="2370"/>
      <c r="AI188" s="2304" t="s">
        <v>468</v>
      </c>
      <c r="AJ188" s="2304"/>
      <c r="AK188" s="2304" t="s">
        <v>469</v>
      </c>
      <c r="AL188" s="2304"/>
      <c r="AM188" s="2304" t="s">
        <v>470</v>
      </c>
      <c r="AN188" s="2307"/>
    </row>
    <row r="189" spans="2:40" ht="30" customHeight="1">
      <c r="B189" s="1517" t="s">
        <v>471</v>
      </c>
      <c r="C189" s="2403"/>
      <c r="D189" s="2406"/>
      <c r="E189" s="2283" t="s">
        <v>472</v>
      </c>
      <c r="F189" s="2304"/>
      <c r="G189" s="2304" t="s">
        <v>472</v>
      </c>
      <c r="H189" s="2304"/>
      <c r="I189" s="2371" t="str">
        <f>I7</f>
        <v>KAMIS</v>
      </c>
      <c r="J189" s="2371"/>
      <c r="K189" s="2371" t="str">
        <f>K7</f>
        <v>JUMAT</v>
      </c>
      <c r="L189" s="2371"/>
      <c r="M189" s="2371" t="str">
        <f>M7</f>
        <v>SABTU</v>
      </c>
      <c r="N189" s="2371"/>
      <c r="O189" s="2371" t="str">
        <f>O7</f>
        <v>MINGGU</v>
      </c>
      <c r="P189" s="2371"/>
      <c r="Q189" s="2371" t="str">
        <f>Q7</f>
        <v>SENIN</v>
      </c>
      <c r="R189" s="2371"/>
      <c r="S189" s="2371" t="str">
        <f>S7</f>
        <v>SELASA</v>
      </c>
      <c r="T189" s="2371"/>
      <c r="U189" s="2371" t="str">
        <f>U7</f>
        <v>RABU</v>
      </c>
      <c r="V189" s="2371"/>
      <c r="W189" s="2371">
        <f>W7</f>
        <v>0</v>
      </c>
      <c r="X189" s="2371"/>
      <c r="Y189" s="2371">
        <f>Y7</f>
        <v>0</v>
      </c>
      <c r="Z189" s="2371"/>
      <c r="AA189" s="2372">
        <f>AA7</f>
        <v>0</v>
      </c>
      <c r="AB189" s="2373"/>
      <c r="AC189" s="2284"/>
      <c r="AD189" s="2283"/>
      <c r="AE189" s="2284"/>
      <c r="AF189" s="2283"/>
      <c r="AG189" s="2304"/>
      <c r="AH189" s="2304"/>
      <c r="AI189" s="2304" t="s">
        <v>472</v>
      </c>
      <c r="AJ189" s="2304"/>
      <c r="AK189" s="2304" t="s">
        <v>472</v>
      </c>
      <c r="AL189" s="2304"/>
      <c r="AM189" s="2304" t="s">
        <v>472</v>
      </c>
      <c r="AN189" s="2307"/>
    </row>
    <row r="190" spans="2:40" ht="30" customHeight="1">
      <c r="B190" s="1518"/>
      <c r="C190" s="2404"/>
      <c r="D190" s="1520"/>
      <c r="E190" s="1521" t="s">
        <v>483</v>
      </c>
      <c r="F190" s="1522" t="s">
        <v>484</v>
      </c>
      <c r="G190" s="1521" t="s">
        <v>483</v>
      </c>
      <c r="H190" s="1522" t="s">
        <v>484</v>
      </c>
      <c r="I190" s="1521" t="s">
        <v>483</v>
      </c>
      <c r="J190" s="1522" t="s">
        <v>484</v>
      </c>
      <c r="K190" s="1521" t="s">
        <v>483</v>
      </c>
      <c r="L190" s="1522" t="s">
        <v>484</v>
      </c>
      <c r="M190" s="1521" t="s">
        <v>483</v>
      </c>
      <c r="N190" s="1522" t="s">
        <v>484</v>
      </c>
      <c r="O190" s="1521" t="s">
        <v>483</v>
      </c>
      <c r="P190" s="1522" t="s">
        <v>484</v>
      </c>
      <c r="Q190" s="1521" t="s">
        <v>483</v>
      </c>
      <c r="R190" s="1522" t="s">
        <v>484</v>
      </c>
      <c r="S190" s="1521" t="s">
        <v>483</v>
      </c>
      <c r="T190" s="1522" t="s">
        <v>484</v>
      </c>
      <c r="U190" s="1521" t="s">
        <v>483</v>
      </c>
      <c r="V190" s="1522" t="s">
        <v>484</v>
      </c>
      <c r="W190" s="1521" t="s">
        <v>483</v>
      </c>
      <c r="X190" s="1522" t="s">
        <v>484</v>
      </c>
      <c r="Y190" s="1521" t="s">
        <v>483</v>
      </c>
      <c r="Z190" s="1522" t="s">
        <v>484</v>
      </c>
      <c r="AA190" s="1521" t="s">
        <v>483</v>
      </c>
      <c r="AB190" s="1522" t="s">
        <v>484</v>
      </c>
      <c r="AC190" s="1521" t="s">
        <v>483</v>
      </c>
      <c r="AD190" s="1522" t="s">
        <v>484</v>
      </c>
      <c r="AE190" s="1521" t="s">
        <v>483</v>
      </c>
      <c r="AF190" s="1522" t="s">
        <v>484</v>
      </c>
      <c r="AG190" s="1521" t="s">
        <v>483</v>
      </c>
      <c r="AH190" s="1522" t="s">
        <v>484</v>
      </c>
      <c r="AI190" s="1560" t="s">
        <v>483</v>
      </c>
      <c r="AJ190" s="1522" t="s">
        <v>484</v>
      </c>
      <c r="AK190" s="1560" t="s">
        <v>483</v>
      </c>
      <c r="AL190" s="1522" t="s">
        <v>484</v>
      </c>
      <c r="AM190" s="1560" t="s">
        <v>483</v>
      </c>
      <c r="AN190" s="1573" t="s">
        <v>484</v>
      </c>
    </row>
    <row r="191" spans="2:40" ht="30" customHeight="1">
      <c r="B191" s="1537"/>
      <c r="C191" s="1523">
        <v>1</v>
      </c>
      <c r="D191" s="1544" t="s">
        <v>309</v>
      </c>
      <c r="E191" s="1699">
        <v>0</v>
      </c>
      <c r="F191" s="1700">
        <v>0</v>
      </c>
      <c r="G191" s="1700">
        <v>0</v>
      </c>
      <c r="H191" s="1700">
        <v>0</v>
      </c>
      <c r="I191" s="1527"/>
      <c r="J191" s="1527"/>
      <c r="K191" s="1527"/>
      <c r="L191" s="1527"/>
      <c r="M191" s="1527"/>
      <c r="N191" s="1527"/>
      <c r="O191" s="1527"/>
      <c r="P191" s="1527"/>
      <c r="Q191" s="1527"/>
      <c r="R191" s="1527"/>
      <c r="S191" s="1527"/>
      <c r="T191" s="1527"/>
      <c r="U191" s="1527"/>
      <c r="V191" s="1527"/>
      <c r="W191" s="1527"/>
      <c r="X191" s="1527"/>
      <c r="Y191" s="1527"/>
      <c r="Z191" s="1527"/>
      <c r="AA191" s="1527"/>
      <c r="AB191" s="1527"/>
      <c r="AC191" s="1527"/>
      <c r="AD191" s="1527"/>
      <c r="AE191" s="1527"/>
      <c r="AF191" s="1527"/>
      <c r="AG191" s="1527"/>
      <c r="AH191" s="1527"/>
      <c r="AI191" s="1561">
        <f>SUM(I191,K191,M191,O191,Q191,S191,U191,W191,Y191,AA191,AC191,AE191,AG191)</f>
        <v>0</v>
      </c>
      <c r="AJ191" s="1731">
        <f>SUM(J191,L191,N191,P191,R191,T191,V191,X191,Z191,AB191,AD191,AF191,AH191)</f>
        <v>0</v>
      </c>
      <c r="AK191" s="1561">
        <f>'WEEKLY FC'!F371</f>
        <v>0</v>
      </c>
      <c r="AL191" s="1731">
        <f>'WEEKLY FC'!D371</f>
        <v>0</v>
      </c>
      <c r="AM191" s="1561">
        <f t="shared" ref="AM191" si="30">G191+AI191-AK191</f>
        <v>0</v>
      </c>
      <c r="AN191" s="1732">
        <f t="shared" ref="AN191" si="31">H191+AJ191-AL191</f>
        <v>0</v>
      </c>
    </row>
    <row r="192" spans="2:40" ht="30" customHeight="1">
      <c r="B192" s="1542"/>
      <c r="C192" s="1697">
        <v>2</v>
      </c>
      <c r="D192" s="1544" t="s">
        <v>308</v>
      </c>
      <c r="E192" s="1699">
        <v>0</v>
      </c>
      <c r="F192" s="1700">
        <v>0</v>
      </c>
      <c r="G192" s="1700">
        <v>39738</v>
      </c>
      <c r="H192" s="1700">
        <v>100</v>
      </c>
      <c r="I192" s="1527"/>
      <c r="J192" s="1527"/>
      <c r="K192" s="1527"/>
      <c r="L192" s="1527"/>
      <c r="M192" s="1527"/>
      <c r="N192" s="1527"/>
      <c r="O192" s="1527"/>
      <c r="P192" s="1527"/>
      <c r="Q192" s="1527"/>
      <c r="R192" s="1527"/>
      <c r="S192" s="1527"/>
      <c r="T192" s="1527"/>
      <c r="U192" s="1527"/>
      <c r="V192" s="1527"/>
      <c r="W192" s="1527"/>
      <c r="X192" s="1527"/>
      <c r="Y192" s="1527"/>
      <c r="Z192" s="1527"/>
      <c r="AA192" s="1527"/>
      <c r="AB192" s="1527"/>
      <c r="AC192" s="1527"/>
      <c r="AD192" s="1527"/>
      <c r="AE192" s="1527"/>
      <c r="AF192" s="1527"/>
      <c r="AG192" s="1527"/>
      <c r="AH192" s="1527"/>
      <c r="AI192" s="1561">
        <f t="shared" ref="AI192:AI237" si="32">SUM(I192,K192,M192,O192,Q192,S192,U192,W192,Y192,AA192,AC192,AE192,AG192)</f>
        <v>0</v>
      </c>
      <c r="AJ192" s="1731">
        <f>SUM(J192,L192,N192,P192,R192,T192,V192,X192,Z192,AB192,AD192,AF192,AH192)</f>
        <v>0</v>
      </c>
      <c r="AK192" s="1561">
        <f>'WEEKLY FC'!F370</f>
        <v>39738</v>
      </c>
      <c r="AL192" s="1731">
        <f>'WEEKLY FC'!D370</f>
        <v>100</v>
      </c>
      <c r="AM192" s="1561">
        <f t="shared" ref="AM192:AM237" si="33">G192+AI192-AK192</f>
        <v>0</v>
      </c>
      <c r="AN192" s="1732">
        <f t="shared" ref="AN192:AN237" si="34">H192+AJ192-AL192</f>
        <v>0</v>
      </c>
    </row>
    <row r="193" spans="2:40" ht="30" customHeight="1">
      <c r="B193" s="1542"/>
      <c r="C193" s="1697">
        <v>3</v>
      </c>
      <c r="D193" s="1544" t="s">
        <v>525</v>
      </c>
      <c r="E193" s="1699">
        <v>0</v>
      </c>
      <c r="F193" s="1700">
        <v>0</v>
      </c>
      <c r="G193" s="1700">
        <v>141525</v>
      </c>
      <c r="H193" s="1700">
        <v>100</v>
      </c>
      <c r="I193" s="1527"/>
      <c r="J193" s="1527"/>
      <c r="K193" s="1527"/>
      <c r="L193" s="1527"/>
      <c r="M193" s="1527"/>
      <c r="N193" s="1527"/>
      <c r="O193" s="1527"/>
      <c r="P193" s="1527"/>
      <c r="Q193" s="1527"/>
      <c r="R193" s="1527"/>
      <c r="S193" s="1527"/>
      <c r="T193" s="1527"/>
      <c r="U193" s="1527"/>
      <c r="V193" s="1527"/>
      <c r="W193" s="1527"/>
      <c r="X193" s="1527"/>
      <c r="Y193" s="1527"/>
      <c r="Z193" s="1527"/>
      <c r="AA193" s="1527"/>
      <c r="AB193" s="1527"/>
      <c r="AC193" s="1527"/>
      <c r="AD193" s="1527"/>
      <c r="AE193" s="1527"/>
      <c r="AF193" s="1527"/>
      <c r="AG193" s="1527"/>
      <c r="AH193" s="1527"/>
      <c r="AI193" s="1561">
        <f t="shared" si="32"/>
        <v>0</v>
      </c>
      <c r="AJ193" s="1731">
        <f t="shared" ref="AJ193:AJ237" si="35">SUM(J193,L193,N193,P193,R193,T193,V193,X193,Z193,AB193,AD193,AF193,AH193)</f>
        <v>0</v>
      </c>
      <c r="AK193" s="1561">
        <f>'WEEKLY FC'!F367</f>
        <v>141525</v>
      </c>
      <c r="AL193" s="1731">
        <f>'WEEKLY FC'!D367</f>
        <v>100</v>
      </c>
      <c r="AM193" s="1561">
        <f t="shared" si="33"/>
        <v>0</v>
      </c>
      <c r="AN193" s="1732">
        <f t="shared" si="34"/>
        <v>0</v>
      </c>
    </row>
    <row r="194" spans="2:40" ht="30" customHeight="1">
      <c r="B194" s="1542"/>
      <c r="C194" s="1697">
        <v>4</v>
      </c>
      <c r="D194" s="1544" t="s">
        <v>526</v>
      </c>
      <c r="E194" s="1699">
        <v>0</v>
      </c>
      <c r="F194" s="1700">
        <v>0</v>
      </c>
      <c r="G194" s="1700">
        <v>39738</v>
      </c>
      <c r="H194" s="1700">
        <v>100</v>
      </c>
      <c r="I194" s="1527"/>
      <c r="J194" s="1527"/>
      <c r="K194" s="1527"/>
      <c r="L194" s="1527"/>
      <c r="M194" s="1527"/>
      <c r="N194" s="1527"/>
      <c r="O194" s="1527"/>
      <c r="P194" s="1527"/>
      <c r="Q194" s="1527"/>
      <c r="R194" s="1527"/>
      <c r="S194" s="1527"/>
      <c r="T194" s="1527"/>
      <c r="U194" s="1527"/>
      <c r="V194" s="1527"/>
      <c r="W194" s="1527"/>
      <c r="X194" s="1527"/>
      <c r="Y194" s="1527"/>
      <c r="Z194" s="1527"/>
      <c r="AA194" s="1527"/>
      <c r="AB194" s="1527"/>
      <c r="AC194" s="1527"/>
      <c r="AD194" s="1527"/>
      <c r="AE194" s="1527"/>
      <c r="AF194" s="1527"/>
      <c r="AG194" s="1527"/>
      <c r="AH194" s="1527"/>
      <c r="AI194" s="1561">
        <f t="shared" si="32"/>
        <v>0</v>
      </c>
      <c r="AJ194" s="1731">
        <f t="shared" si="35"/>
        <v>0</v>
      </c>
      <c r="AK194" s="1561">
        <f>'WEEKLY FC'!F368</f>
        <v>39738</v>
      </c>
      <c r="AL194" s="1731">
        <f>'WEEKLY FC'!D368</f>
        <v>100</v>
      </c>
      <c r="AM194" s="1561">
        <f t="shared" si="33"/>
        <v>0</v>
      </c>
      <c r="AN194" s="1732">
        <f t="shared" si="34"/>
        <v>0</v>
      </c>
    </row>
    <row r="195" spans="2:40" ht="30" customHeight="1">
      <c r="B195" s="1542"/>
      <c r="C195" s="1697">
        <v>5</v>
      </c>
      <c r="D195" s="1544" t="s">
        <v>315</v>
      </c>
      <c r="E195" s="1699"/>
      <c r="F195" s="1700"/>
      <c r="G195" s="1700">
        <v>0</v>
      </c>
      <c r="H195" s="1700">
        <v>0</v>
      </c>
      <c r="I195" s="1527"/>
      <c r="J195" s="1714"/>
      <c r="K195" s="1527"/>
      <c r="L195" s="1714"/>
      <c r="M195" s="1527"/>
      <c r="N195" s="1714"/>
      <c r="O195" s="1527"/>
      <c r="P195" s="1714"/>
      <c r="Q195" s="1527"/>
      <c r="R195" s="1714"/>
      <c r="S195" s="1527"/>
      <c r="T195" s="1714"/>
      <c r="U195" s="1527"/>
      <c r="V195" s="1714"/>
      <c r="W195" s="1527"/>
      <c r="X195" s="1714"/>
      <c r="Y195" s="1527"/>
      <c r="Z195" s="1714"/>
      <c r="AA195" s="1527"/>
      <c r="AB195" s="1714"/>
      <c r="AC195" s="1527"/>
      <c r="AD195" s="1714"/>
      <c r="AE195" s="1527"/>
      <c r="AF195" s="1714"/>
      <c r="AG195" s="1527"/>
      <c r="AH195" s="1714"/>
      <c r="AI195" s="1561">
        <f t="shared" si="32"/>
        <v>0</v>
      </c>
      <c r="AJ195" s="1586">
        <f t="shared" si="35"/>
        <v>0</v>
      </c>
      <c r="AK195" s="1561">
        <f>'WEEKLY FC'!F376</f>
        <v>0</v>
      </c>
      <c r="AL195" s="1586">
        <f>'WEEKLY FC'!D376</f>
        <v>0</v>
      </c>
      <c r="AM195" s="1561">
        <f t="shared" si="33"/>
        <v>0</v>
      </c>
      <c r="AN195" s="1686">
        <f t="shared" si="34"/>
        <v>0</v>
      </c>
    </row>
    <row r="196" spans="2:40" ht="30" customHeight="1">
      <c r="B196" s="1542"/>
      <c r="C196" s="1697">
        <v>6</v>
      </c>
      <c r="D196" s="1544" t="s">
        <v>313</v>
      </c>
      <c r="E196" s="1699">
        <v>1025000</v>
      </c>
      <c r="F196" s="1700">
        <v>2</v>
      </c>
      <c r="G196" s="1702">
        <v>615000</v>
      </c>
      <c r="H196" s="1736">
        <v>3</v>
      </c>
      <c r="I196" s="1527"/>
      <c r="J196" s="1714"/>
      <c r="K196" s="1527"/>
      <c r="L196" s="1714"/>
      <c r="M196" s="1527"/>
      <c r="N196" s="1714"/>
      <c r="O196" s="1527">
        <v>410000</v>
      </c>
      <c r="P196" s="1714">
        <v>2</v>
      </c>
      <c r="Q196" s="1527"/>
      <c r="R196" s="1714"/>
      <c r="S196" s="1527"/>
      <c r="T196" s="1714"/>
      <c r="U196" s="1527"/>
      <c r="V196" s="1714"/>
      <c r="W196" s="1527"/>
      <c r="X196" s="1714"/>
      <c r="Y196" s="1527"/>
      <c r="Z196" s="1714"/>
      <c r="AA196" s="1527"/>
      <c r="AB196" s="1714"/>
      <c r="AC196" s="1527"/>
      <c r="AD196" s="1714"/>
      <c r="AE196" s="1527"/>
      <c r="AF196" s="1714"/>
      <c r="AG196" s="1527"/>
      <c r="AH196" s="1714"/>
      <c r="AI196" s="1561">
        <f t="shared" si="32"/>
        <v>410000</v>
      </c>
      <c r="AJ196" s="1586">
        <f t="shared" si="35"/>
        <v>2</v>
      </c>
      <c r="AK196" s="1575">
        <f>'WEEKLY FC'!F375</f>
        <v>820000</v>
      </c>
      <c r="AL196" s="1576">
        <f>'WEEKLY FC'!D375</f>
        <v>4</v>
      </c>
      <c r="AM196" s="1561">
        <f t="shared" si="33"/>
        <v>205000</v>
      </c>
      <c r="AN196" s="1686">
        <f t="shared" si="34"/>
        <v>1</v>
      </c>
    </row>
    <row r="197" spans="2:40" ht="30" customHeight="1">
      <c r="B197" s="1542"/>
      <c r="C197" s="1697">
        <v>7</v>
      </c>
      <c r="D197" s="1544" t="s">
        <v>527</v>
      </c>
      <c r="E197" s="1701">
        <v>0</v>
      </c>
      <c r="F197" s="1702">
        <v>0</v>
      </c>
      <c r="G197" s="1702">
        <v>0</v>
      </c>
      <c r="H197" s="1702">
        <v>0</v>
      </c>
      <c r="I197" s="1527"/>
      <c r="J197" s="1527"/>
      <c r="K197" s="1527"/>
      <c r="L197" s="1527"/>
      <c r="M197" s="1527"/>
      <c r="N197" s="1527"/>
      <c r="O197" s="1527"/>
      <c r="P197" s="1527"/>
      <c r="Q197" s="1527"/>
      <c r="R197" s="1527"/>
      <c r="S197" s="1527"/>
      <c r="T197" s="1527"/>
      <c r="U197" s="1527"/>
      <c r="V197" s="1527"/>
      <c r="W197" s="1527"/>
      <c r="X197" s="1527"/>
      <c r="Y197" s="1527"/>
      <c r="Z197" s="1527"/>
      <c r="AA197" s="1527"/>
      <c r="AB197" s="1527"/>
      <c r="AC197" s="1527"/>
      <c r="AD197" s="1527"/>
      <c r="AE197" s="1527"/>
      <c r="AF197" s="1527"/>
      <c r="AG197" s="1527"/>
      <c r="AH197" s="1527"/>
      <c r="AI197" s="1561">
        <f t="shared" si="32"/>
        <v>0</v>
      </c>
      <c r="AJ197" s="1731">
        <f t="shared" si="35"/>
        <v>0</v>
      </c>
      <c r="AK197" s="1575">
        <f>'WEEKLY FC'!F369</f>
        <v>0</v>
      </c>
      <c r="AL197" s="1773">
        <f>'WEEKLY FC'!D369</f>
        <v>0</v>
      </c>
      <c r="AM197" s="1561">
        <f t="shared" si="33"/>
        <v>0</v>
      </c>
      <c r="AN197" s="1732">
        <f t="shared" si="34"/>
        <v>0</v>
      </c>
    </row>
    <row r="198" spans="2:40" ht="30" customHeight="1">
      <c r="B198" s="1542"/>
      <c r="C198" s="1697">
        <v>8</v>
      </c>
      <c r="D198" s="1544" t="s">
        <v>338</v>
      </c>
      <c r="E198" s="1701">
        <v>12000</v>
      </c>
      <c r="F198" s="1702">
        <v>4</v>
      </c>
      <c r="G198" s="1702">
        <v>17760</v>
      </c>
      <c r="H198" s="1702">
        <v>4</v>
      </c>
      <c r="I198" s="1527"/>
      <c r="J198" s="1527"/>
      <c r="K198" s="1527"/>
      <c r="L198" s="1527"/>
      <c r="M198" s="1527"/>
      <c r="N198" s="1527"/>
      <c r="O198" s="1527"/>
      <c r="P198" s="1527"/>
      <c r="Q198" s="1527"/>
      <c r="R198" s="1527"/>
      <c r="S198" s="1527"/>
      <c r="T198" s="1527"/>
      <c r="U198" s="1527"/>
      <c r="V198" s="1527"/>
      <c r="W198" s="1527"/>
      <c r="X198" s="1527"/>
      <c r="Y198" s="1527"/>
      <c r="Z198" s="1527"/>
      <c r="AA198" s="1527"/>
      <c r="AB198" s="1527"/>
      <c r="AC198" s="1527"/>
      <c r="AD198" s="1527"/>
      <c r="AE198" s="1678">
        <f>'PEMBELIAN KREDIT'!G111</f>
        <v>0</v>
      </c>
      <c r="AF198" s="1527">
        <f>'PEMBELIAN KREDIT'!E111</f>
        <v>0</v>
      </c>
      <c r="AG198" s="1527"/>
      <c r="AH198" s="1527"/>
      <c r="AI198" s="1561">
        <f t="shared" si="32"/>
        <v>0</v>
      </c>
      <c r="AJ198" s="1731">
        <f t="shared" si="35"/>
        <v>0</v>
      </c>
      <c r="AK198" s="1575">
        <f>'WEEKLY FC'!F402</f>
        <v>17760</v>
      </c>
      <c r="AL198" s="1773">
        <f>'WEEKLY FC'!D402</f>
        <v>4</v>
      </c>
      <c r="AM198" s="1561">
        <f t="shared" si="33"/>
        <v>0</v>
      </c>
      <c r="AN198" s="1732">
        <f t="shared" si="34"/>
        <v>0</v>
      </c>
    </row>
    <row r="199" spans="2:40" ht="30" customHeight="1">
      <c r="B199" s="1542"/>
      <c r="C199" s="1697">
        <v>9</v>
      </c>
      <c r="D199" s="1544" t="s">
        <v>337</v>
      </c>
      <c r="E199" s="1701">
        <v>0</v>
      </c>
      <c r="F199" s="1702">
        <v>0</v>
      </c>
      <c r="G199" s="1702">
        <v>36000</v>
      </c>
      <c r="H199" s="1702">
        <v>12</v>
      </c>
      <c r="I199" s="1527"/>
      <c r="J199" s="1527"/>
      <c r="K199" s="1527"/>
      <c r="L199" s="1527"/>
      <c r="M199" s="1527"/>
      <c r="N199" s="1527"/>
      <c r="O199" s="1527"/>
      <c r="P199" s="1527"/>
      <c r="Q199" s="1527"/>
      <c r="R199" s="1527"/>
      <c r="S199" s="1527"/>
      <c r="T199" s="1527"/>
      <c r="U199" s="1527"/>
      <c r="V199" s="1527"/>
      <c r="W199" s="1527"/>
      <c r="X199" s="1527"/>
      <c r="Y199" s="1527"/>
      <c r="Z199" s="1527"/>
      <c r="AA199" s="1527"/>
      <c r="AB199" s="1527"/>
      <c r="AC199" s="1527"/>
      <c r="AD199" s="1527"/>
      <c r="AE199" s="1527"/>
      <c r="AF199" s="1527"/>
      <c r="AG199" s="1527"/>
      <c r="AH199" s="1527"/>
      <c r="AI199" s="1561">
        <f t="shared" si="32"/>
        <v>0</v>
      </c>
      <c r="AJ199" s="1731">
        <f t="shared" si="35"/>
        <v>0</v>
      </c>
      <c r="AK199" s="1575">
        <f>'WEEKLY FC'!F401</f>
        <v>30000</v>
      </c>
      <c r="AL199" s="1773">
        <f>'WEEKLY FC'!D401</f>
        <v>10</v>
      </c>
      <c r="AM199" s="1561">
        <f t="shared" si="33"/>
        <v>6000</v>
      </c>
      <c r="AN199" s="1732">
        <f t="shared" si="34"/>
        <v>2</v>
      </c>
    </row>
    <row r="200" spans="2:40" ht="30" customHeight="1">
      <c r="B200" s="1542"/>
      <c r="C200" s="1542">
        <v>10</v>
      </c>
      <c r="D200" s="1544" t="s">
        <v>336</v>
      </c>
      <c r="E200" s="1737">
        <v>0</v>
      </c>
      <c r="F200" s="1702">
        <v>0</v>
      </c>
      <c r="G200" s="1702">
        <v>48840</v>
      </c>
      <c r="H200" s="1702">
        <v>4</v>
      </c>
      <c r="I200" s="1527"/>
      <c r="J200" s="1527"/>
      <c r="K200" s="1527"/>
      <c r="L200" s="1527"/>
      <c r="M200" s="1527"/>
      <c r="N200" s="1527"/>
      <c r="O200" s="1527"/>
      <c r="P200" s="1527"/>
      <c r="Q200" s="1527"/>
      <c r="R200" s="1527"/>
      <c r="S200" s="1527"/>
      <c r="T200" s="1527"/>
      <c r="U200" s="1527"/>
      <c r="V200" s="1527"/>
      <c r="W200" s="1527"/>
      <c r="X200" s="1527"/>
      <c r="Y200" s="1527"/>
      <c r="Z200" s="1527"/>
      <c r="AA200" s="1527"/>
      <c r="AB200" s="1527"/>
      <c r="AC200" s="1527"/>
      <c r="AD200" s="1527"/>
      <c r="AE200" s="1682"/>
      <c r="AF200" s="1527"/>
      <c r="AG200" s="1527"/>
      <c r="AH200" s="1527"/>
      <c r="AI200" s="1561">
        <f t="shared" si="32"/>
        <v>0</v>
      </c>
      <c r="AJ200" s="1731">
        <f t="shared" si="35"/>
        <v>0</v>
      </c>
      <c r="AK200" s="1575">
        <f>'WEEKLY FC'!F400</f>
        <v>48840</v>
      </c>
      <c r="AL200" s="1773">
        <f>'WEEKLY FC'!D400</f>
        <v>4</v>
      </c>
      <c r="AM200" s="1561">
        <f t="shared" si="33"/>
        <v>0</v>
      </c>
      <c r="AN200" s="1732">
        <f t="shared" si="34"/>
        <v>0</v>
      </c>
    </row>
    <row r="201" spans="2:40" ht="30" customHeight="1">
      <c r="B201" s="1738"/>
      <c r="C201" s="1739">
        <v>11</v>
      </c>
      <c r="D201" s="1740" t="s">
        <v>528</v>
      </c>
      <c r="E201" s="1741">
        <v>189716</v>
      </c>
      <c r="F201" s="1742">
        <v>0</v>
      </c>
      <c r="G201" s="1742">
        <v>4000</v>
      </c>
      <c r="H201" s="1743">
        <v>1</v>
      </c>
      <c r="I201" s="1554"/>
      <c r="J201" s="1554"/>
      <c r="K201" s="1554"/>
      <c r="L201" s="1554"/>
      <c r="M201" s="1554"/>
      <c r="N201" s="1554"/>
      <c r="O201" s="1554"/>
      <c r="P201" s="1554"/>
      <c r="Q201" s="1554"/>
      <c r="R201" s="1554"/>
      <c r="S201" s="1554"/>
      <c r="T201" s="1554"/>
      <c r="U201" s="1554"/>
      <c r="V201" s="1554"/>
      <c r="W201" s="1554"/>
      <c r="X201" s="1554"/>
      <c r="Y201" s="1554"/>
      <c r="Z201" s="1554"/>
      <c r="AA201" s="1554"/>
      <c r="AB201" s="1554"/>
      <c r="AC201" s="1554"/>
      <c r="AD201" s="1554"/>
      <c r="AE201" s="1554"/>
      <c r="AF201" s="1554"/>
      <c r="AG201" s="1554"/>
      <c r="AH201" s="1554"/>
      <c r="AI201" s="1774">
        <f t="shared" si="32"/>
        <v>0</v>
      </c>
      <c r="AJ201" s="1775">
        <f t="shared" si="35"/>
        <v>0</v>
      </c>
      <c r="AK201" s="1774">
        <f>'WEEKLY FC'!F403</f>
        <v>4000</v>
      </c>
      <c r="AL201" s="1775">
        <f>'WEEKLY FC'!D403</f>
        <v>1</v>
      </c>
      <c r="AM201" s="1582">
        <f t="shared" si="33"/>
        <v>0</v>
      </c>
      <c r="AN201" s="1776">
        <f t="shared" si="34"/>
        <v>0</v>
      </c>
    </row>
    <row r="202" spans="2:40" ht="30" customHeight="1">
      <c r="B202" s="2395" t="s">
        <v>529</v>
      </c>
      <c r="C202" s="1523">
        <v>1</v>
      </c>
      <c r="D202" s="1538" t="s">
        <v>530</v>
      </c>
      <c r="E202" s="1699">
        <v>176500</v>
      </c>
      <c r="F202" s="1700">
        <v>0</v>
      </c>
      <c r="G202" s="1700">
        <v>232678</v>
      </c>
      <c r="H202" s="1677"/>
      <c r="I202" s="1527"/>
      <c r="J202" s="1527"/>
      <c r="K202" s="1527"/>
      <c r="L202" s="1527"/>
      <c r="M202" s="1527"/>
      <c r="N202" s="1527"/>
      <c r="O202" s="1527">
        <v>62200</v>
      </c>
      <c r="P202" s="1527"/>
      <c r="Q202" s="1527"/>
      <c r="R202" s="1527"/>
      <c r="S202" s="1527"/>
      <c r="T202" s="1527"/>
      <c r="U202" s="1527"/>
      <c r="V202" s="1527"/>
      <c r="W202" s="1527"/>
      <c r="X202" s="1527"/>
      <c r="Y202" s="1527"/>
      <c r="Z202" s="1527"/>
      <c r="AA202" s="1527"/>
      <c r="AB202" s="1527"/>
      <c r="AC202" s="1527"/>
      <c r="AD202" s="1527"/>
      <c r="AE202" s="1678">
        <f>'PEMBELIAN KREDIT'!G110</f>
        <v>0</v>
      </c>
      <c r="AF202" s="1527"/>
      <c r="AG202" s="1527"/>
      <c r="AH202" s="1527"/>
      <c r="AI202" s="1561">
        <f t="shared" si="32"/>
        <v>62200</v>
      </c>
      <c r="AJ202" s="1731">
        <f t="shared" si="35"/>
        <v>0</v>
      </c>
      <c r="AK202" s="1561">
        <f>'WEEKLY FC'!F398</f>
        <v>220831</v>
      </c>
      <c r="AL202" s="1677"/>
      <c r="AM202" s="1561">
        <f t="shared" si="33"/>
        <v>74047</v>
      </c>
      <c r="AN202" s="1732">
        <f t="shared" si="34"/>
        <v>0</v>
      </c>
    </row>
    <row r="203" spans="2:40" ht="30" customHeight="1">
      <c r="B203" s="2396"/>
      <c r="C203" s="1517">
        <v>2</v>
      </c>
      <c r="D203" s="1544" t="s">
        <v>531</v>
      </c>
      <c r="E203" s="1701">
        <v>25000</v>
      </c>
      <c r="F203" s="1702">
        <v>0</v>
      </c>
      <c r="G203" s="1702"/>
      <c r="H203" s="1744"/>
      <c r="I203" s="1527"/>
      <c r="J203" s="1527"/>
      <c r="K203" s="1527">
        <v>20000</v>
      </c>
      <c r="L203" s="1527"/>
      <c r="M203" s="1527">
        <v>5000</v>
      </c>
      <c r="N203" s="1527"/>
      <c r="O203" s="1527"/>
      <c r="P203" s="1527"/>
      <c r="Q203" s="1527">
        <v>5000</v>
      </c>
      <c r="R203" s="1527"/>
      <c r="S203" s="1527"/>
      <c r="T203" s="1527"/>
      <c r="U203" s="1527">
        <v>12000</v>
      </c>
      <c r="V203" s="1527"/>
      <c r="W203" s="1527"/>
      <c r="X203" s="1527"/>
      <c r="Y203" s="1527"/>
      <c r="Z203" s="1527"/>
      <c r="AA203" s="1527"/>
      <c r="AB203" s="1527"/>
      <c r="AC203" s="1527"/>
      <c r="AD203" s="1527"/>
      <c r="AE203" s="1527"/>
      <c r="AF203" s="1527"/>
      <c r="AG203" s="1527"/>
      <c r="AH203" s="1527"/>
      <c r="AI203" s="1561">
        <f t="shared" si="32"/>
        <v>42000</v>
      </c>
      <c r="AJ203" s="1731">
        <f t="shared" si="35"/>
        <v>0</v>
      </c>
      <c r="AK203" s="1532"/>
      <c r="AL203" s="1744"/>
      <c r="AM203" s="1561">
        <f t="shared" si="33"/>
        <v>42000</v>
      </c>
      <c r="AN203" s="1732">
        <f t="shared" si="34"/>
        <v>0</v>
      </c>
    </row>
    <row r="204" spans="2:40" ht="30" customHeight="1">
      <c r="B204" s="2396"/>
      <c r="C204" s="1517">
        <v>3</v>
      </c>
      <c r="D204" s="1544" t="s">
        <v>402</v>
      </c>
      <c r="E204" s="1701">
        <v>0</v>
      </c>
      <c r="F204" s="1702">
        <v>0</v>
      </c>
      <c r="G204" s="1702"/>
      <c r="H204" s="1744"/>
      <c r="I204" s="1527"/>
      <c r="J204" s="1527"/>
      <c r="K204" s="1527"/>
      <c r="L204" s="1527"/>
      <c r="M204" s="1527"/>
      <c r="N204" s="1527"/>
      <c r="O204" s="1527"/>
      <c r="P204" s="1527"/>
      <c r="Q204" s="1527">
        <v>25000</v>
      </c>
      <c r="R204" s="1527"/>
      <c r="S204" s="1527"/>
      <c r="T204" s="1527"/>
      <c r="U204" s="1527">
        <v>40000</v>
      </c>
      <c r="V204" s="1527"/>
      <c r="W204" s="1527"/>
      <c r="X204" s="1527"/>
      <c r="Y204" s="1527"/>
      <c r="Z204" s="1527"/>
      <c r="AA204" s="1527"/>
      <c r="AB204" s="1527"/>
      <c r="AC204" s="1527"/>
      <c r="AD204" s="1527"/>
      <c r="AE204" s="1527"/>
      <c r="AF204" s="1527"/>
      <c r="AG204" s="1527"/>
      <c r="AH204" s="1527"/>
      <c r="AI204" s="1561">
        <f t="shared" si="32"/>
        <v>65000</v>
      </c>
      <c r="AJ204" s="1731">
        <f t="shared" si="35"/>
        <v>0</v>
      </c>
      <c r="AK204" s="1532"/>
      <c r="AL204" s="1744"/>
      <c r="AM204" s="1561">
        <f t="shared" si="33"/>
        <v>65000</v>
      </c>
      <c r="AN204" s="1732">
        <f t="shared" si="34"/>
        <v>0</v>
      </c>
    </row>
    <row r="205" spans="2:40" ht="30" customHeight="1">
      <c r="B205" s="2396"/>
      <c r="C205" s="1517">
        <v>4</v>
      </c>
      <c r="D205" s="1544" t="s">
        <v>532</v>
      </c>
      <c r="E205" s="1701">
        <v>0</v>
      </c>
      <c r="F205" s="1702">
        <v>0</v>
      </c>
      <c r="G205" s="1702"/>
      <c r="H205" s="1744"/>
      <c r="I205" s="1527"/>
      <c r="J205" s="1527"/>
      <c r="K205" s="1527"/>
      <c r="L205" s="1527"/>
      <c r="M205" s="1527"/>
      <c r="N205" s="1527"/>
      <c r="O205" s="1527"/>
      <c r="P205" s="1527"/>
      <c r="Q205" s="1527"/>
      <c r="R205" s="1527"/>
      <c r="S205" s="1527"/>
      <c r="T205" s="1527"/>
      <c r="U205" s="1527"/>
      <c r="V205" s="1527"/>
      <c r="W205" s="1527"/>
      <c r="X205" s="1527"/>
      <c r="Y205" s="1527"/>
      <c r="Z205" s="1527"/>
      <c r="AA205" s="1527"/>
      <c r="AB205" s="1527"/>
      <c r="AC205" s="1527"/>
      <c r="AD205" s="1527"/>
      <c r="AE205" s="1527"/>
      <c r="AF205" s="1527"/>
      <c r="AG205" s="1527"/>
      <c r="AH205" s="1527"/>
      <c r="AI205" s="1561">
        <f t="shared" ref="AI205" si="36">SUM(I205,K205,M205,O205,Q205,S205,U205,W205,Y205,AA205,AC205,AE205,AG205)</f>
        <v>0</v>
      </c>
      <c r="AJ205" s="1731">
        <f t="shared" ref="AJ205" si="37">SUM(J205,L205,N205,P205,R205,T205,V205,X205,Z205,AB205,AD205,AF205,AH205)</f>
        <v>0</v>
      </c>
      <c r="AK205" s="1532"/>
      <c r="AL205" s="1744"/>
      <c r="AM205" s="1561">
        <f t="shared" ref="AM205" si="38">G205+AI205-AK205</f>
        <v>0</v>
      </c>
      <c r="AN205" s="1732">
        <f t="shared" ref="AN205" si="39">H205+AJ205-AL205</f>
        <v>0</v>
      </c>
    </row>
    <row r="206" spans="2:40" ht="30" customHeight="1">
      <c r="B206" s="2396"/>
      <c r="C206" s="1517">
        <v>5</v>
      </c>
      <c r="D206" s="1544" t="s">
        <v>533</v>
      </c>
      <c r="E206" s="1701">
        <v>0</v>
      </c>
      <c r="F206" s="1702">
        <v>0</v>
      </c>
      <c r="G206" s="1702"/>
      <c r="H206" s="1744"/>
      <c r="I206" s="1527"/>
      <c r="J206" s="1527"/>
      <c r="K206" s="1527"/>
      <c r="L206" s="1527"/>
      <c r="M206" s="1527"/>
      <c r="N206" s="1527"/>
      <c r="O206" s="1527"/>
      <c r="P206" s="1527"/>
      <c r="Q206" s="1527"/>
      <c r="R206" s="1527"/>
      <c r="S206" s="1527"/>
      <c r="T206" s="1527"/>
      <c r="U206" s="1527"/>
      <c r="V206" s="1527"/>
      <c r="W206" s="1527"/>
      <c r="X206" s="1527"/>
      <c r="Y206" s="1527"/>
      <c r="Z206" s="1527"/>
      <c r="AA206" s="1527"/>
      <c r="AB206" s="1527"/>
      <c r="AC206" s="1527"/>
      <c r="AD206" s="1527"/>
      <c r="AE206" s="1527"/>
      <c r="AF206" s="1527"/>
      <c r="AG206" s="1527"/>
      <c r="AH206" s="1527"/>
      <c r="AI206" s="1561">
        <f t="shared" si="32"/>
        <v>0</v>
      </c>
      <c r="AJ206" s="1731">
        <f t="shared" si="35"/>
        <v>0</v>
      </c>
      <c r="AK206" s="1532"/>
      <c r="AL206" s="1744"/>
      <c r="AM206" s="1561">
        <f t="shared" si="33"/>
        <v>0</v>
      </c>
      <c r="AN206" s="1732">
        <f t="shared" si="34"/>
        <v>0</v>
      </c>
    </row>
    <row r="207" spans="2:40" ht="30" customHeight="1">
      <c r="B207" s="2396"/>
      <c r="C207" s="1517">
        <v>6</v>
      </c>
      <c r="D207" s="1544" t="s">
        <v>534</v>
      </c>
      <c r="E207" s="1701">
        <v>13988428</v>
      </c>
      <c r="F207" s="1702">
        <v>0</v>
      </c>
      <c r="G207" s="1702"/>
      <c r="H207" s="1744"/>
      <c r="I207" s="1527"/>
      <c r="J207" s="1527"/>
      <c r="K207" s="1527"/>
      <c r="L207" s="1527"/>
      <c r="M207" s="1527"/>
      <c r="N207" s="1527"/>
      <c r="O207" s="1527"/>
      <c r="P207" s="1527"/>
      <c r="Q207" s="1527"/>
      <c r="R207" s="1527"/>
      <c r="S207" s="1527"/>
      <c r="T207" s="1527"/>
      <c r="U207" s="1527"/>
      <c r="V207" s="1527"/>
      <c r="W207" s="1527"/>
      <c r="X207" s="1527"/>
      <c r="Y207" s="1527"/>
      <c r="Z207" s="1527"/>
      <c r="AA207" s="1527"/>
      <c r="AB207" s="1527"/>
      <c r="AC207" s="1527" t="s">
        <v>60</v>
      </c>
      <c r="AD207" s="1527"/>
      <c r="AE207" s="1527"/>
      <c r="AF207" s="1527"/>
      <c r="AG207" s="1527"/>
      <c r="AH207" s="1527"/>
      <c r="AI207" s="1561">
        <f t="shared" si="32"/>
        <v>0</v>
      </c>
      <c r="AJ207" s="1731">
        <f t="shared" si="35"/>
        <v>0</v>
      </c>
      <c r="AK207" s="1532"/>
      <c r="AL207" s="1744"/>
      <c r="AM207" s="1561">
        <f t="shared" si="33"/>
        <v>0</v>
      </c>
      <c r="AN207" s="1732">
        <f t="shared" si="34"/>
        <v>0</v>
      </c>
    </row>
    <row r="208" spans="2:40" ht="30" customHeight="1">
      <c r="B208" s="2396"/>
      <c r="C208" s="1517">
        <v>7</v>
      </c>
      <c r="D208" s="1544" t="s">
        <v>535</v>
      </c>
      <c r="E208" s="1701">
        <v>1999981</v>
      </c>
      <c r="F208" s="1702">
        <v>0</v>
      </c>
      <c r="G208" s="1702"/>
      <c r="H208" s="1744"/>
      <c r="I208" s="1527">
        <v>4621304</v>
      </c>
      <c r="J208" s="1527"/>
      <c r="K208" s="1527"/>
      <c r="L208" s="1527"/>
      <c r="M208" s="1527"/>
      <c r="N208" s="1527"/>
      <c r="O208" s="1527"/>
      <c r="P208" s="1527"/>
      <c r="Q208" s="1527"/>
      <c r="R208" s="1527"/>
      <c r="S208" s="1527"/>
      <c r="T208" s="1527"/>
      <c r="U208" s="1527">
        <v>5100000</v>
      </c>
      <c r="V208" s="1527"/>
      <c r="W208" s="1527"/>
      <c r="X208" s="1527"/>
      <c r="Y208" s="1527"/>
      <c r="Z208" s="1527"/>
      <c r="AA208" s="1527"/>
      <c r="AB208" s="1527"/>
      <c r="AC208" s="1527"/>
      <c r="AD208" s="1527"/>
      <c r="AE208" s="1527"/>
      <c r="AF208" s="1527"/>
      <c r="AG208" s="1527"/>
      <c r="AH208" s="1527"/>
      <c r="AI208" s="1561">
        <f t="shared" si="32"/>
        <v>9721304</v>
      </c>
      <c r="AJ208" s="1731">
        <f t="shared" si="35"/>
        <v>0</v>
      </c>
      <c r="AK208" s="1532"/>
      <c r="AL208" s="1744"/>
      <c r="AM208" s="1561">
        <f t="shared" si="33"/>
        <v>9721304</v>
      </c>
      <c r="AN208" s="1732">
        <f t="shared" si="34"/>
        <v>0</v>
      </c>
    </row>
    <row r="209" spans="2:41" ht="30" customHeight="1">
      <c r="B209" s="2396"/>
      <c r="C209" s="1517">
        <v>8</v>
      </c>
      <c r="D209" s="1544" t="s">
        <v>536</v>
      </c>
      <c r="E209" s="1701">
        <v>5126858</v>
      </c>
      <c r="F209" s="1702">
        <v>0</v>
      </c>
      <c r="G209" s="1702"/>
      <c r="H209" s="1744"/>
      <c r="I209" s="1527">
        <f>LPKK!N22</f>
        <v>221018</v>
      </c>
      <c r="J209" s="1527"/>
      <c r="K209" s="1527">
        <f>LPKK!N55</f>
        <v>226409</v>
      </c>
      <c r="L209" s="1527"/>
      <c r="M209" s="1527">
        <f>LPKK!N95</f>
        <v>81209</v>
      </c>
      <c r="N209" s="1527"/>
      <c r="O209" s="1527">
        <f>LPKK!N115</f>
        <v>165791</v>
      </c>
      <c r="P209" s="1527"/>
      <c r="Q209" s="1527">
        <f>LPKK!N134</f>
        <v>193945</v>
      </c>
      <c r="R209" s="1527"/>
      <c r="S209" s="1527">
        <f>LPKK!N162</f>
        <v>138931</v>
      </c>
      <c r="T209" s="1527"/>
      <c r="U209" s="1527">
        <f>LPKK!N196</f>
        <v>112586</v>
      </c>
      <c r="V209" s="1527"/>
      <c r="W209" s="1527"/>
      <c r="X209" s="1527"/>
      <c r="Y209" s="1527"/>
      <c r="Z209" s="1527"/>
      <c r="AA209" s="1527">
        <f>LPKK!N291</f>
        <v>0</v>
      </c>
      <c r="AB209" s="1527"/>
      <c r="AC209" s="1527"/>
      <c r="AD209" s="1527"/>
      <c r="AE209" s="1527"/>
      <c r="AF209" s="1527"/>
      <c r="AG209" s="1527"/>
      <c r="AH209" s="1527"/>
      <c r="AI209" s="1561">
        <f t="shared" si="32"/>
        <v>1139889</v>
      </c>
      <c r="AJ209" s="1731">
        <f t="shared" ref="AJ209:AJ212" si="40">SUM(J209,L209,N209,P209,R209,T209,V209,X209,Z209,AB209,AD209,AF209,AH209)</f>
        <v>0</v>
      </c>
      <c r="AK209" s="1532"/>
      <c r="AL209" s="1744"/>
      <c r="AM209" s="1561">
        <f t="shared" ref="AM209:AM212" si="41">G209+AI209-AK209</f>
        <v>1139889</v>
      </c>
      <c r="AN209" s="1732">
        <f t="shared" ref="AN209:AN212" si="42">H209+AJ209-AL209</f>
        <v>0</v>
      </c>
    </row>
    <row r="210" spans="2:41" ht="30" customHeight="1">
      <c r="B210" s="2396"/>
      <c r="C210" s="1517">
        <v>9</v>
      </c>
      <c r="D210" s="1544" t="s">
        <v>537</v>
      </c>
      <c r="E210" s="1701">
        <v>918073</v>
      </c>
      <c r="F210" s="1702">
        <v>0</v>
      </c>
      <c r="G210" s="1532"/>
      <c r="H210" s="1744"/>
      <c r="I210" s="1527">
        <f>LPKK!N23</f>
        <v>379318</v>
      </c>
      <c r="J210" s="1527"/>
      <c r="K210" s="1527">
        <f>LPKK!N56</f>
        <v>541038</v>
      </c>
      <c r="L210" s="1527"/>
      <c r="M210" s="1527">
        <f>LPKK!N96</f>
        <v>634741</v>
      </c>
      <c r="N210" s="1527"/>
      <c r="O210" s="1527">
        <f>LPKK!N116</f>
        <v>678466</v>
      </c>
      <c r="P210" s="1527"/>
      <c r="Q210" s="1527">
        <f>LPKK!N135</f>
        <v>489505</v>
      </c>
      <c r="R210" s="1527"/>
      <c r="S210" s="1527">
        <f>LPKK!N163</f>
        <v>267530</v>
      </c>
      <c r="T210" s="1527"/>
      <c r="U210" s="1527">
        <f>LPKK!N197</f>
        <v>458640</v>
      </c>
      <c r="V210" s="1527"/>
      <c r="W210" s="1527"/>
      <c r="X210" s="1527"/>
      <c r="Y210" s="1527"/>
      <c r="Z210" s="1527"/>
      <c r="AA210" s="1527">
        <f>LPKK!N292</f>
        <v>0</v>
      </c>
      <c r="AB210" s="1527"/>
      <c r="AC210" s="1527"/>
      <c r="AD210" s="1527"/>
      <c r="AE210" s="1527"/>
      <c r="AF210" s="1527"/>
      <c r="AG210" s="1527"/>
      <c r="AH210" s="1527"/>
      <c r="AI210" s="1561">
        <f t="shared" ref="AI210:AI212" si="43">SUM(I210,K210,M210,O210,Q210,S210,U210,W210,Y210,AA210,AC210,AE210,AG210)</f>
        <v>3449238</v>
      </c>
      <c r="AJ210" s="1731">
        <f t="shared" si="40"/>
        <v>0</v>
      </c>
      <c r="AK210" s="1532"/>
      <c r="AL210" s="1744"/>
      <c r="AM210" s="1561">
        <f t="shared" si="41"/>
        <v>3449238</v>
      </c>
      <c r="AN210" s="1732">
        <f t="shared" si="42"/>
        <v>0</v>
      </c>
      <c r="AO210" s="1505">
        <f>SUM(AM208:AM212)</f>
        <v>26298338</v>
      </c>
    </row>
    <row r="211" spans="2:41" ht="30" customHeight="1">
      <c r="B211" s="2396"/>
      <c r="C211" s="1517">
        <v>10</v>
      </c>
      <c r="D211" s="1544" t="s">
        <v>538</v>
      </c>
      <c r="E211" s="1701">
        <v>12496410</v>
      </c>
      <c r="F211" s="1702">
        <v>0</v>
      </c>
      <c r="G211" s="1532"/>
      <c r="H211" s="1744"/>
      <c r="I211" s="1527">
        <f>LPKK!N24</f>
        <v>349496</v>
      </c>
      <c r="J211" s="1527"/>
      <c r="K211" s="1527">
        <f>LPKK!N57</f>
        <v>77854</v>
      </c>
      <c r="L211" s="1527"/>
      <c r="M211" s="1527">
        <f>LPKK!N97</f>
        <v>122797</v>
      </c>
      <c r="N211" s="1527"/>
      <c r="O211" s="1527">
        <f>LPKK!N117</f>
        <v>86928</v>
      </c>
      <c r="P211" s="1527"/>
      <c r="Q211" s="1527">
        <f>LPKK!N136</f>
        <v>115759</v>
      </c>
      <c r="R211" s="1527"/>
      <c r="S211" s="1527">
        <f>LPKK!N164</f>
        <v>113790</v>
      </c>
      <c r="T211" s="1527"/>
      <c r="U211" s="1527">
        <f>LPKK!N198</f>
        <v>122317</v>
      </c>
      <c r="V211" s="1527"/>
      <c r="W211" s="1527"/>
      <c r="X211" s="1527"/>
      <c r="Y211" s="1527"/>
      <c r="Z211" s="1527"/>
      <c r="AA211" s="1527">
        <f>LPKK!N293</f>
        <v>0</v>
      </c>
      <c r="AB211" s="1527"/>
      <c r="AC211" s="1527"/>
      <c r="AD211" s="1527"/>
      <c r="AE211" s="1527"/>
      <c r="AF211" s="1527"/>
      <c r="AG211" s="1527"/>
      <c r="AH211" s="1527"/>
      <c r="AI211" s="1561">
        <f t="shared" si="43"/>
        <v>988941</v>
      </c>
      <c r="AJ211" s="1731">
        <f t="shared" si="40"/>
        <v>0</v>
      </c>
      <c r="AK211" s="1532"/>
      <c r="AL211" s="1744"/>
      <c r="AM211" s="1561">
        <f t="shared" si="41"/>
        <v>988941</v>
      </c>
      <c r="AN211" s="1732">
        <f t="shared" si="42"/>
        <v>0</v>
      </c>
      <c r="AO211" s="1505">
        <f>SUM(AM209:AM212)</f>
        <v>16577034</v>
      </c>
    </row>
    <row r="212" spans="2:41" ht="30" customHeight="1">
      <c r="B212" s="2396"/>
      <c r="C212" s="1517">
        <v>11</v>
      </c>
      <c r="D212" s="1544" t="s">
        <v>539</v>
      </c>
      <c r="E212" s="1701">
        <v>88093</v>
      </c>
      <c r="F212" s="1702">
        <v>0</v>
      </c>
      <c r="G212" s="1532"/>
      <c r="H212" s="1744"/>
      <c r="I212" s="1527">
        <f>LPKK!N25</f>
        <v>942854</v>
      </c>
      <c r="J212" s="1527"/>
      <c r="K212" s="1527">
        <f>LPKK!N63</f>
        <v>1894644</v>
      </c>
      <c r="L212" s="1527"/>
      <c r="M212" s="1527">
        <f>LPKK!N98</f>
        <v>1622562</v>
      </c>
      <c r="N212" s="1527"/>
      <c r="O212" s="1527">
        <f>LPKK!N118</f>
        <v>1730799</v>
      </c>
      <c r="P212" s="1527"/>
      <c r="Q212" s="1527">
        <f>LPKK!N137</f>
        <v>1387718</v>
      </c>
      <c r="R212" s="1527"/>
      <c r="S212" s="1527">
        <f>LPKK!N165</f>
        <v>1287425</v>
      </c>
      <c r="T212" s="1527"/>
      <c r="U212" s="1527">
        <f>LPKK!N199</f>
        <v>2132964</v>
      </c>
      <c r="V212" s="1527"/>
      <c r="W212" s="1527"/>
      <c r="X212" s="1527"/>
      <c r="Y212" s="1527"/>
      <c r="Z212" s="1527"/>
      <c r="AA212" s="1527">
        <f>LPKK!N294</f>
        <v>0</v>
      </c>
      <c r="AB212" s="1527"/>
      <c r="AC212" s="1527"/>
      <c r="AD212" s="1527"/>
      <c r="AE212" s="1527"/>
      <c r="AF212" s="1527"/>
      <c r="AG212" s="1527"/>
      <c r="AH212" s="1527"/>
      <c r="AI212" s="1561">
        <f t="shared" si="43"/>
        <v>10998966</v>
      </c>
      <c r="AJ212" s="1731">
        <f t="shared" si="40"/>
        <v>0</v>
      </c>
      <c r="AK212" s="1532"/>
      <c r="AL212" s="1744"/>
      <c r="AM212" s="1561">
        <f t="shared" si="41"/>
        <v>10998966</v>
      </c>
      <c r="AN212" s="1732">
        <f t="shared" si="42"/>
        <v>0</v>
      </c>
    </row>
    <row r="213" spans="2:41" ht="30" customHeight="1">
      <c r="B213" s="2396"/>
      <c r="C213" s="1517">
        <v>12</v>
      </c>
      <c r="D213" s="1544" t="s">
        <v>540</v>
      </c>
      <c r="E213" s="1701">
        <v>0</v>
      </c>
      <c r="F213" s="1702">
        <v>0</v>
      </c>
      <c r="G213" s="1532"/>
      <c r="H213" s="1744"/>
      <c r="I213" s="1527">
        <f>LPKK!N26</f>
        <v>6647</v>
      </c>
      <c r="J213" s="1527"/>
      <c r="K213" s="1527">
        <f>LPKK!N64</f>
        <v>13356</v>
      </c>
      <c r="L213" s="1527"/>
      <c r="M213" s="1527">
        <f>LPKK!N99</f>
        <v>11438</v>
      </c>
      <c r="N213" s="1527"/>
      <c r="O213" s="1527">
        <f>LPKK!N119</f>
        <v>12201</v>
      </c>
      <c r="P213" s="1527"/>
      <c r="Q213" s="1527">
        <f>LPKK!N138</f>
        <v>9783</v>
      </c>
      <c r="R213" s="1527"/>
      <c r="S213" s="1527">
        <f>LPKK!N166</f>
        <v>9076</v>
      </c>
      <c r="T213" s="1527"/>
      <c r="U213" s="1527">
        <f>LPKK!N200</f>
        <v>14931</v>
      </c>
      <c r="V213" s="1527"/>
      <c r="W213" s="1527"/>
      <c r="X213" s="1527"/>
      <c r="Y213" s="1527"/>
      <c r="Z213" s="1527"/>
      <c r="AA213" s="1527">
        <f>LPKK!N295</f>
        <v>0</v>
      </c>
      <c r="AB213" s="1527"/>
      <c r="AC213" s="1527"/>
      <c r="AD213" s="1527"/>
      <c r="AE213" s="1527"/>
      <c r="AF213" s="1527"/>
      <c r="AG213" s="1527"/>
      <c r="AH213" s="1527"/>
      <c r="AI213" s="1561">
        <f t="shared" ref="AI213" si="44">SUM(I213,K213,M213,O213,Q213,S213,U213,W213,Y213,AA213,AC213,AE213,AG213)</f>
        <v>77432</v>
      </c>
      <c r="AJ213" s="1731">
        <f t="shared" ref="AJ213" si="45">SUM(J213,L213,N213,P213,R213,T213,V213,X213,Z213,AB213,AD213,AF213,AH213)</f>
        <v>0</v>
      </c>
      <c r="AK213" s="1532"/>
      <c r="AL213" s="1744"/>
      <c r="AM213" s="1561">
        <f t="shared" ref="AM213" si="46">G213+AI213-AK213</f>
        <v>77432</v>
      </c>
      <c r="AN213" s="1732">
        <f t="shared" ref="AN213" si="47">H213+AJ213-AL213</f>
        <v>0</v>
      </c>
    </row>
    <row r="214" spans="2:41" ht="30" customHeight="1">
      <c r="B214" s="2396"/>
      <c r="C214" s="1517">
        <v>13</v>
      </c>
      <c r="D214" s="1544" t="s">
        <v>541</v>
      </c>
      <c r="E214" s="1701">
        <v>0</v>
      </c>
      <c r="F214" s="1702">
        <v>0</v>
      </c>
      <c r="G214" s="1532"/>
      <c r="H214" s="1744"/>
      <c r="I214" s="1527"/>
      <c r="J214" s="1527"/>
      <c r="K214" s="1527"/>
      <c r="L214" s="1527"/>
      <c r="M214" s="1527"/>
      <c r="N214" s="1527"/>
      <c r="O214" s="1527"/>
      <c r="P214" s="1527"/>
      <c r="Q214" s="1527"/>
      <c r="R214" s="1527"/>
      <c r="S214" s="1527"/>
      <c r="T214" s="1527"/>
      <c r="U214" s="1527"/>
      <c r="V214" s="1527"/>
      <c r="W214" s="1527"/>
      <c r="X214" s="1527"/>
      <c r="Y214" s="1527"/>
      <c r="Z214" s="1527"/>
      <c r="AA214" s="1527"/>
      <c r="AB214" s="1527"/>
      <c r="AC214" s="1527"/>
      <c r="AD214" s="1527"/>
      <c r="AE214" s="1527"/>
      <c r="AF214" s="1527"/>
      <c r="AG214" s="1527"/>
      <c r="AH214" s="1527"/>
      <c r="AI214" s="1561">
        <f t="shared" si="32"/>
        <v>0</v>
      </c>
      <c r="AJ214" s="1731">
        <f t="shared" si="35"/>
        <v>0</v>
      </c>
      <c r="AK214" s="1532"/>
      <c r="AL214" s="1744"/>
      <c r="AM214" s="1561">
        <f t="shared" si="33"/>
        <v>0</v>
      </c>
      <c r="AN214" s="1732">
        <f t="shared" si="34"/>
        <v>0</v>
      </c>
    </row>
    <row r="215" spans="2:41" ht="30" customHeight="1">
      <c r="B215" s="2396"/>
      <c r="C215" s="1517">
        <v>14</v>
      </c>
      <c r="D215" s="1544" t="s">
        <v>542</v>
      </c>
      <c r="E215" s="1701">
        <v>0</v>
      </c>
      <c r="F215" s="1702">
        <v>0</v>
      </c>
      <c r="G215" s="1532"/>
      <c r="H215" s="1744"/>
      <c r="I215" s="1527"/>
      <c r="J215" s="1527"/>
      <c r="K215" s="1527"/>
      <c r="L215" s="1527"/>
      <c r="M215" s="1527"/>
      <c r="N215" s="1527"/>
      <c r="O215" s="1527"/>
      <c r="P215" s="1527"/>
      <c r="Q215" s="1527"/>
      <c r="R215" s="1527"/>
      <c r="S215" s="1527"/>
      <c r="T215" s="1527"/>
      <c r="U215" s="1527"/>
      <c r="V215" s="1527"/>
      <c r="W215" s="1527"/>
      <c r="X215" s="1527"/>
      <c r="Y215" s="1527"/>
      <c r="Z215" s="1527"/>
      <c r="AA215" s="1527"/>
      <c r="AB215" s="1527"/>
      <c r="AC215" s="1527"/>
      <c r="AD215" s="1527"/>
      <c r="AE215" s="1527"/>
      <c r="AF215" s="1527"/>
      <c r="AG215" s="1527"/>
      <c r="AH215" s="1527"/>
      <c r="AI215" s="1561">
        <f t="shared" si="32"/>
        <v>0</v>
      </c>
      <c r="AJ215" s="1731">
        <f t="shared" si="35"/>
        <v>0</v>
      </c>
      <c r="AK215" s="1532"/>
      <c r="AL215" s="1744"/>
      <c r="AM215" s="1561">
        <f t="shared" si="33"/>
        <v>0</v>
      </c>
      <c r="AN215" s="1732">
        <f t="shared" si="34"/>
        <v>0</v>
      </c>
    </row>
    <row r="216" spans="2:41" ht="30" customHeight="1">
      <c r="B216" s="2396"/>
      <c r="C216" s="1517">
        <v>15</v>
      </c>
      <c r="D216" s="1544" t="s">
        <v>543</v>
      </c>
      <c r="E216" s="1701">
        <v>0</v>
      </c>
      <c r="F216" s="1702">
        <v>0</v>
      </c>
      <c r="G216" s="1532"/>
      <c r="H216" s="1744"/>
      <c r="I216" s="1527"/>
      <c r="J216" s="1527"/>
      <c r="K216" s="1527"/>
      <c r="L216" s="1527"/>
      <c r="M216" s="1527"/>
      <c r="N216" s="1527"/>
      <c r="O216" s="1527"/>
      <c r="P216" s="1527"/>
      <c r="Q216" s="1527"/>
      <c r="R216" s="1527"/>
      <c r="S216" s="1527"/>
      <c r="T216" s="1527"/>
      <c r="U216" s="1527"/>
      <c r="V216" s="1527"/>
      <c r="W216" s="1527"/>
      <c r="X216" s="1527"/>
      <c r="Y216" s="1527"/>
      <c r="Z216" s="1527"/>
      <c r="AA216" s="1527"/>
      <c r="AB216" s="1527"/>
      <c r="AC216" s="1527"/>
      <c r="AD216" s="1527"/>
      <c r="AE216" s="1527"/>
      <c r="AF216" s="1527"/>
      <c r="AG216" s="1527"/>
      <c r="AH216" s="1527"/>
      <c r="AI216" s="1561">
        <f t="shared" si="32"/>
        <v>0</v>
      </c>
      <c r="AJ216" s="1731">
        <f t="shared" si="35"/>
        <v>0</v>
      </c>
      <c r="AK216" s="1532"/>
      <c r="AL216" s="1744"/>
      <c r="AM216" s="1561">
        <f t="shared" si="33"/>
        <v>0</v>
      </c>
      <c r="AN216" s="1732">
        <f t="shared" si="34"/>
        <v>0</v>
      </c>
    </row>
    <row r="217" spans="2:41" ht="30" customHeight="1">
      <c r="B217" s="2396"/>
      <c r="C217" s="1517">
        <v>16</v>
      </c>
      <c r="D217" s="1544" t="s">
        <v>544</v>
      </c>
      <c r="E217" s="1701">
        <v>0</v>
      </c>
      <c r="F217" s="1702">
        <v>0</v>
      </c>
      <c r="G217" s="1532"/>
      <c r="H217" s="1744"/>
      <c r="I217" s="1527"/>
      <c r="J217" s="1527"/>
      <c r="K217" s="1527"/>
      <c r="L217" s="1527"/>
      <c r="M217" s="1527"/>
      <c r="N217" s="1527"/>
      <c r="O217" s="1527"/>
      <c r="P217" s="1527"/>
      <c r="Q217" s="1527"/>
      <c r="R217" s="1527"/>
      <c r="S217" s="1527"/>
      <c r="T217" s="1527"/>
      <c r="U217" s="1527"/>
      <c r="V217" s="1527"/>
      <c r="W217" s="1527"/>
      <c r="X217" s="1527"/>
      <c r="Y217" s="1527"/>
      <c r="Z217" s="1527"/>
      <c r="AA217" s="1527"/>
      <c r="AB217" s="1527"/>
      <c r="AC217" s="1527"/>
      <c r="AD217" s="1527"/>
      <c r="AE217" s="1527"/>
      <c r="AF217" s="1527"/>
      <c r="AG217" s="1527"/>
      <c r="AH217" s="1527"/>
      <c r="AI217" s="1561">
        <f t="shared" si="32"/>
        <v>0</v>
      </c>
      <c r="AJ217" s="1731">
        <f t="shared" si="35"/>
        <v>0</v>
      </c>
      <c r="AK217" s="1532"/>
      <c r="AL217" s="1744"/>
      <c r="AM217" s="1561">
        <f t="shared" si="33"/>
        <v>0</v>
      </c>
      <c r="AN217" s="1732">
        <f t="shared" si="34"/>
        <v>0</v>
      </c>
    </row>
    <row r="218" spans="2:41" ht="30" customHeight="1">
      <c r="B218" s="2396"/>
      <c r="C218" s="1517">
        <v>17</v>
      </c>
      <c r="D218" s="1544" t="s">
        <v>545</v>
      </c>
      <c r="E218" s="1701">
        <v>0</v>
      </c>
      <c r="F218" s="1702">
        <v>0</v>
      </c>
      <c r="G218" s="1532"/>
      <c r="H218" s="1744"/>
      <c r="I218" s="1527"/>
      <c r="J218" s="1527"/>
      <c r="K218" s="1527"/>
      <c r="L218" s="1527"/>
      <c r="M218" s="1527">
        <v>68500</v>
      </c>
      <c r="N218" s="1527"/>
      <c r="O218" s="1527"/>
      <c r="P218" s="1527"/>
      <c r="Q218" s="1527"/>
      <c r="R218" s="1527"/>
      <c r="S218" s="1527"/>
      <c r="T218" s="1527"/>
      <c r="U218" s="1527"/>
      <c r="V218" s="1527"/>
      <c r="W218" s="1527"/>
      <c r="X218" s="1527"/>
      <c r="Y218" s="1527"/>
      <c r="Z218" s="1527"/>
      <c r="AA218" s="1527"/>
      <c r="AB218" s="1527"/>
      <c r="AC218" s="1527"/>
      <c r="AD218" s="1527"/>
      <c r="AE218" s="1527"/>
      <c r="AF218" s="1527"/>
      <c r="AG218" s="1527"/>
      <c r="AH218" s="1527"/>
      <c r="AI218" s="1561">
        <f t="shared" si="32"/>
        <v>68500</v>
      </c>
      <c r="AJ218" s="1731">
        <f t="shared" si="35"/>
        <v>0</v>
      </c>
      <c r="AK218" s="1532"/>
      <c r="AL218" s="1744"/>
      <c r="AM218" s="1561">
        <f t="shared" si="33"/>
        <v>68500</v>
      </c>
      <c r="AN218" s="1732">
        <f t="shared" si="34"/>
        <v>0</v>
      </c>
    </row>
    <row r="219" spans="2:41" ht="30" customHeight="1">
      <c r="B219" s="2396"/>
      <c r="C219" s="1517">
        <v>18</v>
      </c>
      <c r="D219" s="1544" t="s">
        <v>546</v>
      </c>
      <c r="E219" s="1701">
        <v>35500</v>
      </c>
      <c r="F219" s="1702">
        <v>0</v>
      </c>
      <c r="G219" s="1532"/>
      <c r="H219" s="1744"/>
      <c r="I219" s="1527"/>
      <c r="J219" s="1527"/>
      <c r="K219" s="1527"/>
      <c r="L219" s="1527"/>
      <c r="M219" s="1527"/>
      <c r="N219" s="1527"/>
      <c r="O219" s="1527"/>
      <c r="P219" s="1527"/>
      <c r="Q219" s="1527"/>
      <c r="R219" s="1527"/>
      <c r="S219" s="1527"/>
      <c r="T219" s="1527"/>
      <c r="U219" s="1527"/>
      <c r="V219" s="1527"/>
      <c r="W219" s="1527"/>
      <c r="X219" s="1527"/>
      <c r="Y219" s="1527"/>
      <c r="Z219" s="1527"/>
      <c r="AA219" s="1527"/>
      <c r="AB219" s="1527"/>
      <c r="AC219" s="1527"/>
      <c r="AD219" s="1527"/>
      <c r="AE219" s="1527">
        <f>'PEMBELIAN KREDIT'!G66</f>
        <v>0</v>
      </c>
      <c r="AF219" s="1527">
        <f>'PEMBELIAN KREDIT'!E66</f>
        <v>0</v>
      </c>
      <c r="AG219" s="1527"/>
      <c r="AH219" s="1527"/>
      <c r="AI219" s="1561">
        <f t="shared" si="32"/>
        <v>0</v>
      </c>
      <c r="AJ219" s="1731">
        <f t="shared" si="35"/>
        <v>0</v>
      </c>
      <c r="AK219" s="1532"/>
      <c r="AL219" s="1744"/>
      <c r="AM219" s="1561">
        <f t="shared" si="33"/>
        <v>0</v>
      </c>
      <c r="AN219" s="1732">
        <f t="shared" si="34"/>
        <v>0</v>
      </c>
    </row>
    <row r="220" spans="2:41" ht="30" customHeight="1">
      <c r="B220" s="2396"/>
      <c r="C220" s="1517">
        <v>19</v>
      </c>
      <c r="D220" s="1544" t="s">
        <v>547</v>
      </c>
      <c r="E220" s="1701">
        <v>19345866</v>
      </c>
      <c r="F220" s="1702">
        <v>0</v>
      </c>
      <c r="G220" s="1532"/>
      <c r="H220" s="1744"/>
      <c r="I220" s="1527"/>
      <c r="J220" s="1527"/>
      <c r="K220" s="1527"/>
      <c r="L220" s="1527"/>
      <c r="M220" s="1527"/>
      <c r="N220" s="1527"/>
      <c r="O220" s="1527"/>
      <c r="P220" s="1527"/>
      <c r="Q220" s="1527"/>
      <c r="R220" s="1527"/>
      <c r="S220" s="1527"/>
      <c r="T220" s="1527"/>
      <c r="U220" s="1527"/>
      <c r="V220" s="1527"/>
      <c r="W220" s="1527"/>
      <c r="X220" s="1527"/>
      <c r="Y220" s="1527"/>
      <c r="Z220" s="1527"/>
      <c r="AA220" s="1527"/>
      <c r="AB220" s="1527"/>
      <c r="AC220" s="1527"/>
      <c r="AD220" s="1527"/>
      <c r="AE220" s="1527"/>
      <c r="AF220" s="1527"/>
      <c r="AG220" s="1527"/>
      <c r="AH220" s="1527"/>
      <c r="AI220" s="1561">
        <f t="shared" si="32"/>
        <v>0</v>
      </c>
      <c r="AJ220" s="1731">
        <f t="shared" si="35"/>
        <v>0</v>
      </c>
      <c r="AK220" s="1532"/>
      <c r="AL220" s="1744"/>
      <c r="AM220" s="1561">
        <f t="shared" si="33"/>
        <v>0</v>
      </c>
      <c r="AN220" s="1732">
        <f t="shared" si="34"/>
        <v>0</v>
      </c>
    </row>
    <row r="221" spans="2:41" ht="30" customHeight="1">
      <c r="B221" s="2396"/>
      <c r="C221" s="1517">
        <v>20</v>
      </c>
      <c r="D221" s="1544" t="s">
        <v>548</v>
      </c>
      <c r="E221" s="1701">
        <v>0</v>
      </c>
      <c r="F221" s="1702">
        <v>0</v>
      </c>
      <c r="G221" s="1532"/>
      <c r="H221" s="1744"/>
      <c r="I221" s="1527"/>
      <c r="J221" s="1527"/>
      <c r="K221" s="1527"/>
      <c r="L221" s="1527"/>
      <c r="M221" s="1527"/>
      <c r="N221" s="1527"/>
      <c r="O221" s="1527"/>
      <c r="P221" s="1527"/>
      <c r="Q221" s="1527"/>
      <c r="R221" s="1527"/>
      <c r="S221" s="1527"/>
      <c r="T221" s="1527"/>
      <c r="U221" s="1527"/>
      <c r="V221" s="1527"/>
      <c r="W221" s="1527"/>
      <c r="X221" s="1527"/>
      <c r="Y221" s="1527"/>
      <c r="Z221" s="1527"/>
      <c r="AA221" s="1527"/>
      <c r="AB221" s="1527"/>
      <c r="AC221" s="1527"/>
      <c r="AD221" s="1527"/>
      <c r="AE221" s="1527"/>
      <c r="AF221" s="1527"/>
      <c r="AG221" s="1527"/>
      <c r="AH221" s="1527"/>
      <c r="AI221" s="1561">
        <f t="shared" si="32"/>
        <v>0</v>
      </c>
      <c r="AJ221" s="1731">
        <f t="shared" si="35"/>
        <v>0</v>
      </c>
      <c r="AK221" s="1532"/>
      <c r="AL221" s="1744"/>
      <c r="AM221" s="1561">
        <f t="shared" si="33"/>
        <v>0</v>
      </c>
      <c r="AN221" s="1732">
        <f t="shared" si="34"/>
        <v>0</v>
      </c>
    </row>
    <row r="222" spans="2:41" ht="30" customHeight="1">
      <c r="B222" s="2396"/>
      <c r="C222" s="1517">
        <v>21</v>
      </c>
      <c r="D222" s="1544" t="s">
        <v>549</v>
      </c>
      <c r="E222" s="1701">
        <v>0</v>
      </c>
      <c r="F222" s="1702">
        <v>0</v>
      </c>
      <c r="G222" s="1532"/>
      <c r="H222" s="1744"/>
      <c r="I222" s="1527"/>
      <c r="J222" s="1527"/>
      <c r="K222" s="1527"/>
      <c r="L222" s="1527"/>
      <c r="M222" s="1527"/>
      <c r="N222" s="1527"/>
      <c r="O222" s="1527"/>
      <c r="P222" s="1527"/>
      <c r="Q222" s="1527"/>
      <c r="R222" s="1527"/>
      <c r="S222" s="1527"/>
      <c r="T222" s="1527"/>
      <c r="U222" s="1527"/>
      <c r="V222" s="1527"/>
      <c r="W222" s="1527"/>
      <c r="X222" s="1527"/>
      <c r="Y222" s="1527"/>
      <c r="Z222" s="1527"/>
      <c r="AA222" s="1527"/>
      <c r="AB222" s="1527"/>
      <c r="AC222" s="1527"/>
      <c r="AD222" s="1527"/>
      <c r="AE222" s="1527"/>
      <c r="AF222" s="1527"/>
      <c r="AG222" s="1527"/>
      <c r="AH222" s="1527"/>
      <c r="AI222" s="1561">
        <f t="shared" si="32"/>
        <v>0</v>
      </c>
      <c r="AJ222" s="1731">
        <f t="shared" si="35"/>
        <v>0</v>
      </c>
      <c r="AK222" s="1532"/>
      <c r="AL222" s="1744"/>
      <c r="AM222" s="1561">
        <f t="shared" si="33"/>
        <v>0</v>
      </c>
      <c r="AN222" s="1732">
        <f t="shared" si="34"/>
        <v>0</v>
      </c>
    </row>
    <row r="223" spans="2:41" ht="30" customHeight="1">
      <c r="B223" s="2396"/>
      <c r="C223" s="1517">
        <v>22</v>
      </c>
      <c r="D223" s="1544" t="s">
        <v>304</v>
      </c>
      <c r="E223" s="1703">
        <v>23880650</v>
      </c>
      <c r="F223" s="1704">
        <v>0</v>
      </c>
      <c r="G223" s="1536"/>
      <c r="H223" s="1745"/>
      <c r="I223" s="1527"/>
      <c r="J223" s="1527"/>
      <c r="K223" s="1527"/>
      <c r="L223" s="1527"/>
      <c r="M223" s="1527"/>
      <c r="N223" s="1527"/>
      <c r="O223" s="1527"/>
      <c r="P223" s="1527"/>
      <c r="Q223" s="1527"/>
      <c r="R223" s="1527"/>
      <c r="S223" s="1527"/>
      <c r="T223" s="1527"/>
      <c r="U223" s="1527"/>
      <c r="V223" s="1527"/>
      <c r="W223" s="1527"/>
      <c r="X223" s="1527"/>
      <c r="Y223" s="1527"/>
      <c r="Z223" s="1527"/>
      <c r="AA223" s="1527"/>
      <c r="AB223" s="1527"/>
      <c r="AC223" s="1527"/>
      <c r="AD223" s="1527"/>
      <c r="AE223" s="1527"/>
      <c r="AF223" s="1527"/>
      <c r="AG223" s="1527"/>
      <c r="AH223" s="1527"/>
      <c r="AI223" s="1561">
        <f t="shared" si="32"/>
        <v>0</v>
      </c>
      <c r="AJ223" s="1731">
        <f t="shared" si="35"/>
        <v>0</v>
      </c>
      <c r="AK223" s="1536"/>
      <c r="AL223" s="1745"/>
      <c r="AM223" s="1561">
        <f t="shared" si="33"/>
        <v>0</v>
      </c>
      <c r="AN223" s="1732">
        <f t="shared" si="34"/>
        <v>0</v>
      </c>
    </row>
    <row r="224" spans="2:41" ht="30" customHeight="1">
      <c r="B224" s="2396"/>
      <c r="C224" s="1517">
        <v>23</v>
      </c>
      <c r="D224" s="1544" t="s">
        <v>550</v>
      </c>
      <c r="E224" s="1703">
        <v>0</v>
      </c>
      <c r="F224" s="1704">
        <v>0</v>
      </c>
      <c r="G224" s="1536"/>
      <c r="H224" s="1745"/>
      <c r="I224" s="1527"/>
      <c r="J224" s="1527"/>
      <c r="K224" s="1527"/>
      <c r="L224" s="1527"/>
      <c r="M224" s="1527"/>
      <c r="N224" s="1527"/>
      <c r="O224" s="1527"/>
      <c r="P224" s="1527"/>
      <c r="Q224" s="1527"/>
      <c r="R224" s="1527"/>
      <c r="S224" s="1527"/>
      <c r="T224" s="1527"/>
      <c r="U224" s="1527"/>
      <c r="V224" s="1527"/>
      <c r="W224" s="1527"/>
      <c r="X224" s="1527"/>
      <c r="Y224" s="1527"/>
      <c r="Z224" s="1527"/>
      <c r="AA224" s="1527"/>
      <c r="AB224" s="1527"/>
      <c r="AC224" s="1527"/>
      <c r="AD224" s="1527"/>
      <c r="AE224" s="1527"/>
      <c r="AF224" s="1527"/>
      <c r="AG224" s="1527"/>
      <c r="AH224" s="1527"/>
      <c r="AI224" s="1561">
        <f t="shared" si="32"/>
        <v>0</v>
      </c>
      <c r="AJ224" s="1731">
        <f t="shared" si="35"/>
        <v>0</v>
      </c>
      <c r="AK224" s="1536"/>
      <c r="AL224" s="1745"/>
      <c r="AM224" s="1561">
        <f t="shared" si="33"/>
        <v>0</v>
      </c>
      <c r="AN224" s="1732">
        <f t="shared" si="34"/>
        <v>0</v>
      </c>
    </row>
    <row r="225" spans="2:40" ht="30" customHeight="1">
      <c r="B225" s="2396"/>
      <c r="C225" s="1517">
        <v>24</v>
      </c>
      <c r="D225" s="1544" t="s">
        <v>551</v>
      </c>
      <c r="E225" s="1703">
        <v>0</v>
      </c>
      <c r="F225" s="1704">
        <v>0</v>
      </c>
      <c r="G225" s="1536"/>
      <c r="H225" s="1745"/>
      <c r="I225" s="1527"/>
      <c r="J225" s="1527"/>
      <c r="K225" s="1527"/>
      <c r="L225" s="1527"/>
      <c r="M225" s="1527"/>
      <c r="N225" s="1527"/>
      <c r="O225" s="1527"/>
      <c r="P225" s="1527"/>
      <c r="Q225" s="1527"/>
      <c r="R225" s="1527"/>
      <c r="S225" s="1527"/>
      <c r="T225" s="1527"/>
      <c r="U225" s="1527"/>
      <c r="V225" s="1527"/>
      <c r="W225" s="1527"/>
      <c r="X225" s="1527"/>
      <c r="Y225" s="1527"/>
      <c r="Z225" s="1527"/>
      <c r="AA225" s="1527"/>
      <c r="AB225" s="1527"/>
      <c r="AC225" s="1527"/>
      <c r="AD225" s="1527"/>
      <c r="AE225" s="1527"/>
      <c r="AF225" s="1527"/>
      <c r="AG225" s="1527"/>
      <c r="AH225" s="1527"/>
      <c r="AI225" s="1561">
        <f t="shared" si="32"/>
        <v>0</v>
      </c>
      <c r="AJ225" s="1731">
        <f t="shared" si="35"/>
        <v>0</v>
      </c>
      <c r="AK225" s="1536"/>
      <c r="AL225" s="1745"/>
      <c r="AM225" s="1561">
        <f t="shared" si="33"/>
        <v>0</v>
      </c>
      <c r="AN225" s="1732">
        <f t="shared" si="34"/>
        <v>0</v>
      </c>
    </row>
    <row r="226" spans="2:40" ht="30" customHeight="1">
      <c r="B226" s="2396"/>
      <c r="C226" s="1517">
        <v>25</v>
      </c>
      <c r="D226" s="1544" t="s">
        <v>552</v>
      </c>
      <c r="E226" s="1703">
        <v>0</v>
      </c>
      <c r="F226" s="1704">
        <v>0</v>
      </c>
      <c r="G226" s="1536"/>
      <c r="H226" s="1745"/>
      <c r="I226" s="1527"/>
      <c r="J226" s="1527"/>
      <c r="K226" s="1527"/>
      <c r="L226" s="1527"/>
      <c r="M226" s="1527"/>
      <c r="N226" s="1527"/>
      <c r="O226" s="1527"/>
      <c r="P226" s="1527"/>
      <c r="Q226" s="1527"/>
      <c r="R226" s="1527"/>
      <c r="S226" s="1527">
        <v>2311452</v>
      </c>
      <c r="T226" s="1527"/>
      <c r="U226" s="1527"/>
      <c r="V226" s="1527"/>
      <c r="W226" s="1527"/>
      <c r="X226" s="1527"/>
      <c r="Y226" s="1527"/>
      <c r="Z226" s="1527"/>
      <c r="AA226" s="1527"/>
      <c r="AB226" s="1527"/>
      <c r="AC226" s="1527"/>
      <c r="AD226" s="1527"/>
      <c r="AE226" s="1527"/>
      <c r="AF226" s="1527"/>
      <c r="AG226" s="1527"/>
      <c r="AH226" s="1527"/>
      <c r="AI226" s="1561">
        <f t="shared" si="32"/>
        <v>2311452</v>
      </c>
      <c r="AJ226" s="1731">
        <f t="shared" si="35"/>
        <v>0</v>
      </c>
      <c r="AK226" s="1536"/>
      <c r="AL226" s="1745"/>
      <c r="AM226" s="1561">
        <f t="shared" si="33"/>
        <v>2311452</v>
      </c>
      <c r="AN226" s="1732">
        <f t="shared" si="34"/>
        <v>0</v>
      </c>
    </row>
    <row r="227" spans="2:40" ht="30" customHeight="1">
      <c r="B227" s="2396"/>
      <c r="C227" s="1517">
        <v>26</v>
      </c>
      <c r="D227" s="1544" t="s">
        <v>553</v>
      </c>
      <c r="E227" s="1703">
        <v>0</v>
      </c>
      <c r="F227" s="1704">
        <v>0</v>
      </c>
      <c r="G227" s="1536"/>
      <c r="H227" s="1745"/>
      <c r="I227" s="1527"/>
      <c r="J227" s="1527"/>
      <c r="K227" s="1527"/>
      <c r="L227" s="1527"/>
      <c r="M227" s="1527"/>
      <c r="N227" s="1527"/>
      <c r="O227" s="1527"/>
      <c r="P227" s="1527"/>
      <c r="Q227" s="1527"/>
      <c r="R227" s="1527"/>
      <c r="S227" s="1527"/>
      <c r="T227" s="1527"/>
      <c r="U227" s="1527"/>
      <c r="V227" s="1527"/>
      <c r="W227" s="1527"/>
      <c r="X227" s="1527"/>
      <c r="Y227" s="1527"/>
      <c r="Z227" s="1527"/>
      <c r="AA227" s="1527"/>
      <c r="AB227" s="1527"/>
      <c r="AC227" s="1527"/>
      <c r="AD227" s="1527"/>
      <c r="AE227" s="1527"/>
      <c r="AF227" s="1527"/>
      <c r="AG227" s="1527"/>
      <c r="AH227" s="1527"/>
      <c r="AI227" s="1561">
        <f t="shared" si="32"/>
        <v>0</v>
      </c>
      <c r="AJ227" s="1731">
        <f t="shared" si="35"/>
        <v>0</v>
      </c>
      <c r="AK227" s="1536"/>
      <c r="AL227" s="1745"/>
      <c r="AM227" s="1561">
        <f t="shared" si="33"/>
        <v>0</v>
      </c>
      <c r="AN227" s="1732">
        <f t="shared" si="34"/>
        <v>0</v>
      </c>
    </row>
    <row r="228" spans="2:40" ht="30" customHeight="1">
      <c r="B228" s="2396"/>
      <c r="C228" s="1517">
        <v>27</v>
      </c>
      <c r="D228" s="1544" t="s">
        <v>554</v>
      </c>
      <c r="E228" s="1703">
        <v>0</v>
      </c>
      <c r="F228" s="1704">
        <v>0</v>
      </c>
      <c r="G228" s="1536"/>
      <c r="H228" s="1745"/>
      <c r="I228" s="1527"/>
      <c r="J228" s="1527"/>
      <c r="K228" s="1527"/>
      <c r="L228" s="1527"/>
      <c r="M228" s="1527"/>
      <c r="N228" s="1527"/>
      <c r="O228" s="1527"/>
      <c r="P228" s="1527"/>
      <c r="Q228" s="1527"/>
      <c r="R228" s="1527"/>
      <c r="S228" s="1527"/>
      <c r="T228" s="1527"/>
      <c r="U228" s="1527"/>
      <c r="V228" s="1527"/>
      <c r="W228" s="1527"/>
      <c r="X228" s="1527"/>
      <c r="Y228" s="1527"/>
      <c r="Z228" s="1527"/>
      <c r="AA228" s="1527"/>
      <c r="AB228" s="1527"/>
      <c r="AC228" s="1527"/>
      <c r="AD228" s="1527"/>
      <c r="AE228" s="1527"/>
      <c r="AF228" s="1527"/>
      <c r="AG228" s="1527"/>
      <c r="AH228" s="1527"/>
      <c r="AI228" s="1561">
        <f t="shared" si="32"/>
        <v>0</v>
      </c>
      <c r="AJ228" s="1731">
        <f t="shared" si="35"/>
        <v>0</v>
      </c>
      <c r="AK228" s="1536"/>
      <c r="AL228" s="1745"/>
      <c r="AM228" s="1561">
        <f t="shared" si="33"/>
        <v>0</v>
      </c>
      <c r="AN228" s="1732">
        <f t="shared" si="34"/>
        <v>0</v>
      </c>
    </row>
    <row r="229" spans="2:40" ht="30" customHeight="1">
      <c r="B229" s="2396"/>
      <c r="C229" s="1517">
        <v>28</v>
      </c>
      <c r="D229" s="1544" t="s">
        <v>555</v>
      </c>
      <c r="E229" s="1703">
        <v>0</v>
      </c>
      <c r="F229" s="1704">
        <v>0</v>
      </c>
      <c r="G229" s="1536"/>
      <c r="H229" s="1745"/>
      <c r="I229" s="1527"/>
      <c r="J229" s="1527"/>
      <c r="K229" s="1527"/>
      <c r="L229" s="1527"/>
      <c r="M229" s="1527"/>
      <c r="N229" s="1527"/>
      <c r="O229" s="1527"/>
      <c r="P229" s="1527"/>
      <c r="Q229" s="1527"/>
      <c r="R229" s="1527"/>
      <c r="S229" s="1527"/>
      <c r="T229" s="1527"/>
      <c r="U229" s="1527"/>
      <c r="V229" s="1527"/>
      <c r="W229" s="1527"/>
      <c r="X229" s="1527"/>
      <c r="Y229" s="1527"/>
      <c r="Z229" s="1527"/>
      <c r="AA229" s="1527"/>
      <c r="AB229" s="1527"/>
      <c r="AC229" s="1527"/>
      <c r="AD229" s="1527"/>
      <c r="AE229" s="1527"/>
      <c r="AF229" s="1527"/>
      <c r="AG229" s="1527"/>
      <c r="AH229" s="1527"/>
      <c r="AI229" s="1561">
        <f t="shared" si="32"/>
        <v>0</v>
      </c>
      <c r="AJ229" s="1731">
        <f t="shared" si="35"/>
        <v>0</v>
      </c>
      <c r="AK229" s="1536"/>
      <c r="AL229" s="1745"/>
      <c r="AM229" s="1561">
        <f t="shared" si="33"/>
        <v>0</v>
      </c>
      <c r="AN229" s="1732">
        <f t="shared" si="34"/>
        <v>0</v>
      </c>
    </row>
    <row r="230" spans="2:40" ht="30" customHeight="1">
      <c r="B230" s="2396"/>
      <c r="C230" s="1517">
        <v>29</v>
      </c>
      <c r="D230" s="1544" t="s">
        <v>556</v>
      </c>
      <c r="E230" s="1534">
        <v>405000</v>
      </c>
      <c r="F230" s="1745">
        <v>0</v>
      </c>
      <c r="G230" s="1536"/>
      <c r="H230" s="1745"/>
      <c r="I230" s="1527"/>
      <c r="J230" s="1527"/>
      <c r="K230" s="1527"/>
      <c r="L230" s="1527"/>
      <c r="M230" s="1527"/>
      <c r="N230" s="1527"/>
      <c r="O230" s="1527"/>
      <c r="P230" s="1527"/>
      <c r="Q230" s="1527"/>
      <c r="R230" s="1527"/>
      <c r="S230" s="1527"/>
      <c r="T230" s="1527"/>
      <c r="U230" s="1527"/>
      <c r="V230" s="1527"/>
      <c r="W230" s="1527"/>
      <c r="X230" s="1527"/>
      <c r="Y230" s="1527"/>
      <c r="Z230" s="1527"/>
      <c r="AA230" s="1527"/>
      <c r="AB230" s="1527"/>
      <c r="AC230" s="1527"/>
      <c r="AD230" s="1527"/>
      <c r="AE230" s="1527"/>
      <c r="AF230" s="1527"/>
      <c r="AG230" s="1527"/>
      <c r="AH230" s="1527"/>
      <c r="AI230" s="1561">
        <f t="shared" si="32"/>
        <v>0</v>
      </c>
      <c r="AJ230" s="1731">
        <f t="shared" si="35"/>
        <v>0</v>
      </c>
      <c r="AK230" s="1536"/>
      <c r="AL230" s="1745"/>
      <c r="AM230" s="1561">
        <f t="shared" si="33"/>
        <v>0</v>
      </c>
      <c r="AN230" s="1732">
        <f t="shared" si="34"/>
        <v>0</v>
      </c>
    </row>
    <row r="231" spans="2:40" ht="30" customHeight="1">
      <c r="B231" s="2396"/>
      <c r="C231" s="1517">
        <v>30</v>
      </c>
      <c r="D231" s="1544" t="s">
        <v>436</v>
      </c>
      <c r="E231" s="1534">
        <v>0</v>
      </c>
      <c r="F231" s="1745">
        <v>0</v>
      </c>
      <c r="G231" s="1536"/>
      <c r="H231" s="1745"/>
      <c r="I231" s="1527">
        <v>203000</v>
      </c>
      <c r="J231" s="1527"/>
      <c r="K231" s="1527"/>
      <c r="L231" s="1527"/>
      <c r="M231" s="1527"/>
      <c r="N231" s="1527"/>
      <c r="O231" s="1527">
        <v>203000</v>
      </c>
      <c r="P231" s="1527"/>
      <c r="Q231" s="1527"/>
      <c r="R231" s="1527"/>
      <c r="S231" s="1527"/>
      <c r="T231" s="1527"/>
      <c r="U231" s="1527"/>
      <c r="V231" s="1527"/>
      <c r="W231" s="1527"/>
      <c r="X231" s="1527"/>
      <c r="Y231" s="1527"/>
      <c r="Z231" s="1527"/>
      <c r="AA231" s="1527"/>
      <c r="AB231" s="1527"/>
      <c r="AC231" s="1527"/>
      <c r="AD231" s="1527"/>
      <c r="AE231" s="1527"/>
      <c r="AF231" s="1527"/>
      <c r="AG231" s="1527"/>
      <c r="AH231" s="1527"/>
      <c r="AI231" s="1561">
        <f t="shared" si="32"/>
        <v>406000</v>
      </c>
      <c r="AJ231" s="1731">
        <f t="shared" si="35"/>
        <v>0</v>
      </c>
      <c r="AK231" s="1536"/>
      <c r="AL231" s="1745"/>
      <c r="AM231" s="1561">
        <f t="shared" si="33"/>
        <v>406000</v>
      </c>
      <c r="AN231" s="1732">
        <f t="shared" si="34"/>
        <v>0</v>
      </c>
    </row>
    <row r="232" spans="2:40" ht="30" customHeight="1">
      <c r="B232" s="2396"/>
      <c r="C232" s="1517">
        <v>31</v>
      </c>
      <c r="D232" s="1544" t="s">
        <v>557</v>
      </c>
      <c r="E232" s="1534">
        <v>0</v>
      </c>
      <c r="F232" s="1745">
        <v>0</v>
      </c>
      <c r="G232" s="1536"/>
      <c r="H232" s="1745"/>
      <c r="I232" s="1527">
        <v>461600</v>
      </c>
      <c r="J232" s="1527"/>
      <c r="K232" s="1527"/>
      <c r="L232" s="1527"/>
      <c r="M232" s="1527"/>
      <c r="N232" s="1527"/>
      <c r="O232" s="1527"/>
      <c r="P232" s="1527"/>
      <c r="Q232" s="1527"/>
      <c r="R232" s="1527"/>
      <c r="S232" s="1527"/>
      <c r="T232" s="1527"/>
      <c r="U232" s="1527"/>
      <c r="V232" s="1527"/>
      <c r="W232" s="1527"/>
      <c r="X232" s="1527"/>
      <c r="Y232" s="1527"/>
      <c r="Z232" s="1527"/>
      <c r="AA232" s="1527"/>
      <c r="AB232" s="1527"/>
      <c r="AC232" s="1527"/>
      <c r="AD232" s="1527"/>
      <c r="AE232" s="1527"/>
      <c r="AF232" s="1527"/>
      <c r="AG232" s="1527"/>
      <c r="AH232" s="1527"/>
      <c r="AI232" s="1561">
        <f t="shared" si="32"/>
        <v>461600</v>
      </c>
      <c r="AJ232" s="1731">
        <f t="shared" si="35"/>
        <v>0</v>
      </c>
      <c r="AK232" s="1536"/>
      <c r="AL232" s="1745"/>
      <c r="AM232" s="1561">
        <f t="shared" si="33"/>
        <v>461600</v>
      </c>
      <c r="AN232" s="1732">
        <f t="shared" si="34"/>
        <v>0</v>
      </c>
    </row>
    <row r="233" spans="2:40" ht="30" customHeight="1">
      <c r="B233" s="2396"/>
      <c r="C233" s="1517">
        <v>32</v>
      </c>
      <c r="D233" s="1544" t="s">
        <v>405</v>
      </c>
      <c r="E233" s="1534">
        <v>30100</v>
      </c>
      <c r="F233" s="1745">
        <v>0</v>
      </c>
      <c r="G233" s="1536"/>
      <c r="H233" s="1745"/>
      <c r="I233" s="1527"/>
      <c r="J233" s="1527"/>
      <c r="K233" s="1527">
        <v>200</v>
      </c>
      <c r="L233" s="1527"/>
      <c r="M233" s="1527">
        <v>108000</v>
      </c>
      <c r="N233" s="1527"/>
      <c r="O233" s="1527"/>
      <c r="P233" s="1527"/>
      <c r="Q233" s="1527"/>
      <c r="R233" s="1527"/>
      <c r="S233" s="1527"/>
      <c r="T233" s="1527"/>
      <c r="U233" s="1527">
        <v>71400</v>
      </c>
      <c r="V233" s="1527"/>
      <c r="W233" s="1527"/>
      <c r="X233" s="1527"/>
      <c r="Y233" s="1527"/>
      <c r="Z233" s="1527"/>
      <c r="AA233" s="1527"/>
      <c r="AB233" s="1527"/>
      <c r="AC233" s="1527"/>
      <c r="AD233" s="1527"/>
      <c r="AE233" s="1527"/>
      <c r="AF233" s="1527"/>
      <c r="AG233" s="1527"/>
      <c r="AH233" s="1527"/>
      <c r="AI233" s="1561">
        <f t="shared" si="32"/>
        <v>179600</v>
      </c>
      <c r="AJ233" s="1731">
        <f t="shared" si="35"/>
        <v>0</v>
      </c>
      <c r="AK233" s="1536"/>
      <c r="AL233" s="1745"/>
      <c r="AM233" s="1561">
        <f t="shared" si="33"/>
        <v>179600</v>
      </c>
      <c r="AN233" s="1732">
        <f t="shared" si="34"/>
        <v>0</v>
      </c>
    </row>
    <row r="234" spans="2:40" ht="30" customHeight="1">
      <c r="B234" s="2396"/>
      <c r="C234" s="1517">
        <v>33</v>
      </c>
      <c r="D234" s="1549" t="s">
        <v>435</v>
      </c>
      <c r="E234" s="1534">
        <v>0</v>
      </c>
      <c r="F234" s="1745">
        <v>0</v>
      </c>
      <c r="G234" s="1536"/>
      <c r="H234" s="1745"/>
      <c r="I234" s="1527"/>
      <c r="J234" s="1527"/>
      <c r="K234" s="1527"/>
      <c r="L234" s="1527"/>
      <c r="M234" s="1527"/>
      <c r="N234" s="1527"/>
      <c r="O234" s="1527">
        <v>30100</v>
      </c>
      <c r="P234" s="1527"/>
      <c r="Q234" s="1527"/>
      <c r="R234" s="1527"/>
      <c r="S234" s="1527"/>
      <c r="T234" s="1527"/>
      <c r="U234" s="1527"/>
      <c r="V234" s="1527"/>
      <c r="W234" s="1527"/>
      <c r="X234" s="1527"/>
      <c r="Y234" s="1527"/>
      <c r="Z234" s="1527"/>
      <c r="AA234" s="1527"/>
      <c r="AB234" s="1527"/>
      <c r="AC234" s="1527"/>
      <c r="AD234" s="1527"/>
      <c r="AE234" s="1527"/>
      <c r="AF234" s="1527"/>
      <c r="AG234" s="1527"/>
      <c r="AH234" s="1527"/>
      <c r="AI234" s="1561">
        <f t="shared" ref="AI234:AI235" si="48">SUM(I234,K234,M234,O234,Q234,S234,U234,W234,Y234,AA234,AC234,AE234,AG234)</f>
        <v>30100</v>
      </c>
      <c r="AJ234" s="1731">
        <f t="shared" ref="AJ234:AJ235" si="49">SUM(J234,L234,N234,P234,R234,T234,V234,X234,Z234,AB234,AD234,AF234,AH234)</f>
        <v>0</v>
      </c>
      <c r="AK234" s="1536"/>
      <c r="AL234" s="1745"/>
      <c r="AM234" s="1561">
        <f t="shared" ref="AM234:AM235" si="50">G234+AI234-AK234</f>
        <v>30100</v>
      </c>
      <c r="AN234" s="1732">
        <f t="shared" ref="AN234:AN235" si="51">H234+AJ234-AL234</f>
        <v>0</v>
      </c>
    </row>
    <row r="235" spans="2:40" ht="30" customHeight="1">
      <c r="B235" s="2396"/>
      <c r="C235" s="1517">
        <v>34</v>
      </c>
      <c r="D235" s="1549" t="s">
        <v>558</v>
      </c>
      <c r="E235" s="1534">
        <v>200000</v>
      </c>
      <c r="F235" s="1745">
        <v>0</v>
      </c>
      <c r="G235" s="1536"/>
      <c r="H235" s="1745"/>
      <c r="I235" s="1527"/>
      <c r="J235" s="1527"/>
      <c r="K235" s="1527"/>
      <c r="L235" s="1527"/>
      <c r="M235" s="1527"/>
      <c r="N235" s="1527"/>
      <c r="O235" s="1527"/>
      <c r="P235" s="1527"/>
      <c r="Q235" s="1527"/>
      <c r="R235" s="1527"/>
      <c r="S235" s="1527"/>
      <c r="T235" s="1527"/>
      <c r="U235" s="1527"/>
      <c r="V235" s="1527"/>
      <c r="W235" s="1527"/>
      <c r="X235" s="1527"/>
      <c r="Y235" s="1527"/>
      <c r="Z235" s="1527"/>
      <c r="AA235" s="1527"/>
      <c r="AB235" s="1527"/>
      <c r="AC235" s="1527"/>
      <c r="AD235" s="1527"/>
      <c r="AE235" s="1527"/>
      <c r="AF235" s="1527"/>
      <c r="AG235" s="1527"/>
      <c r="AH235" s="1527"/>
      <c r="AI235" s="1561">
        <f t="shared" si="48"/>
        <v>0</v>
      </c>
      <c r="AJ235" s="1731">
        <f t="shared" si="49"/>
        <v>0</v>
      </c>
      <c r="AK235" s="1536"/>
      <c r="AL235" s="1745"/>
      <c r="AM235" s="1561">
        <f t="shared" si="50"/>
        <v>0</v>
      </c>
      <c r="AN235" s="1732">
        <f t="shared" si="51"/>
        <v>0</v>
      </c>
    </row>
    <row r="236" spans="2:40" ht="30" customHeight="1">
      <c r="B236" s="2396"/>
      <c r="C236" s="1517">
        <v>35</v>
      </c>
      <c r="D236" s="1549" t="s">
        <v>559</v>
      </c>
      <c r="E236" s="1534">
        <v>0</v>
      </c>
      <c r="F236" s="1745">
        <v>0</v>
      </c>
      <c r="G236" s="1536"/>
      <c r="H236" s="1745"/>
      <c r="I236" s="1527"/>
      <c r="J236" s="1527"/>
      <c r="K236" s="1527"/>
      <c r="L236" s="1527"/>
      <c r="M236" s="1527">
        <v>130000</v>
      </c>
      <c r="N236" s="1527"/>
      <c r="O236" s="1527"/>
      <c r="P236" s="1527"/>
      <c r="Q236" s="1527"/>
      <c r="R236" s="1527"/>
      <c r="S236" s="1527"/>
      <c r="T236" s="1527"/>
      <c r="U236" s="1527"/>
      <c r="V236" s="1527"/>
      <c r="W236" s="1527"/>
      <c r="X236" s="1527"/>
      <c r="Y236" s="1527"/>
      <c r="Z236" s="1527"/>
      <c r="AA236" s="1527"/>
      <c r="AB236" s="1527"/>
      <c r="AC236" s="1527"/>
      <c r="AD236" s="1527"/>
      <c r="AE236" s="1527"/>
      <c r="AF236" s="1527"/>
      <c r="AG236" s="1527"/>
      <c r="AH236" s="1527"/>
      <c r="AI236" s="1561">
        <f t="shared" si="32"/>
        <v>130000</v>
      </c>
      <c r="AJ236" s="1731">
        <f t="shared" si="35"/>
        <v>0</v>
      </c>
      <c r="AK236" s="1536"/>
      <c r="AL236" s="1745"/>
      <c r="AM236" s="1561">
        <f t="shared" si="33"/>
        <v>130000</v>
      </c>
      <c r="AN236" s="1732">
        <f t="shared" si="34"/>
        <v>0</v>
      </c>
    </row>
    <row r="237" spans="2:40" ht="30" customHeight="1">
      <c r="B237" s="2397"/>
      <c r="C237" s="1517">
        <v>36</v>
      </c>
      <c r="D237" s="1549" t="s">
        <v>560</v>
      </c>
      <c r="E237" s="1695">
        <v>165000</v>
      </c>
      <c r="F237" s="1746">
        <v>0</v>
      </c>
      <c r="G237" s="1554"/>
      <c r="H237" s="1746"/>
      <c r="I237" s="1770"/>
      <c r="J237" s="1770"/>
      <c r="K237" s="1770"/>
      <c r="L237" s="1770"/>
      <c r="M237" s="1770"/>
      <c r="N237" s="1770"/>
      <c r="O237" s="1770"/>
      <c r="P237" s="1770"/>
      <c r="Q237" s="1770"/>
      <c r="R237" s="1770"/>
      <c r="S237" s="1770">
        <v>90000</v>
      </c>
      <c r="T237" s="1770"/>
      <c r="U237" s="1770"/>
      <c r="V237" s="1770"/>
      <c r="W237" s="1770"/>
      <c r="X237" s="1770"/>
      <c r="Y237" s="1770"/>
      <c r="Z237" s="1770"/>
      <c r="AA237" s="1770"/>
      <c r="AB237" s="1770"/>
      <c r="AC237" s="1770"/>
      <c r="AD237" s="1770"/>
      <c r="AE237" s="1770"/>
      <c r="AF237" s="1770"/>
      <c r="AG237" s="1770"/>
      <c r="AH237" s="1770"/>
      <c r="AI237" s="1774">
        <f t="shared" si="32"/>
        <v>90000</v>
      </c>
      <c r="AJ237" s="1775">
        <f t="shared" si="35"/>
        <v>0</v>
      </c>
      <c r="AK237" s="1554"/>
      <c r="AL237" s="1746"/>
      <c r="AM237" s="1774">
        <f t="shared" si="33"/>
        <v>90000</v>
      </c>
      <c r="AN237" s="1777">
        <f t="shared" si="34"/>
        <v>0</v>
      </c>
    </row>
    <row r="238" spans="2:40" ht="30" customHeight="1">
      <c r="B238" s="2374" t="s">
        <v>561</v>
      </c>
      <c r="C238" s="2375"/>
      <c r="D238" s="2376"/>
      <c r="E238" s="2377">
        <f>SUM(E191:E237)</f>
        <v>80108175</v>
      </c>
      <c r="F238" s="2378"/>
      <c r="G238" s="2295">
        <f>SUM(G191:G237)</f>
        <v>1175279</v>
      </c>
      <c r="H238" s="2296"/>
      <c r="I238" s="2295">
        <f>SUM(I191:I237)</f>
        <v>7185237</v>
      </c>
      <c r="J238" s="2296"/>
      <c r="K238" s="2295">
        <f>SUM(K191:K237)</f>
        <v>2773501</v>
      </c>
      <c r="L238" s="2296"/>
      <c r="M238" s="2295">
        <f>SUM(M191:M237)</f>
        <v>2784247</v>
      </c>
      <c r="N238" s="2296"/>
      <c r="O238" s="2295">
        <f>SUM(O191:O237)</f>
        <v>3379485</v>
      </c>
      <c r="P238" s="2296"/>
      <c r="Q238" s="2295">
        <f>SUM(Q191:Q237)</f>
        <v>2226710</v>
      </c>
      <c r="R238" s="2296"/>
      <c r="S238" s="2295">
        <f>SUM(S191:S237)</f>
        <v>4218204</v>
      </c>
      <c r="T238" s="2296"/>
      <c r="U238" s="2295">
        <f>SUM(U191:U237)</f>
        <v>8064838</v>
      </c>
      <c r="V238" s="2296"/>
      <c r="W238" s="2295">
        <f>SUM(W191:W237)</f>
        <v>0</v>
      </c>
      <c r="X238" s="2296"/>
      <c r="Y238" s="2295">
        <f>SUM(Y191:Y237)</f>
        <v>0</v>
      </c>
      <c r="Z238" s="2296"/>
      <c r="AA238" s="2295">
        <f>SUM(AA191:AA237)</f>
        <v>0</v>
      </c>
      <c r="AB238" s="2296"/>
      <c r="AC238" s="2295">
        <f>SUM(AC191:AC237)</f>
        <v>0</v>
      </c>
      <c r="AD238" s="2296"/>
      <c r="AE238" s="2295">
        <f>SUM(AE191:AE237)</f>
        <v>0</v>
      </c>
      <c r="AF238" s="2296"/>
      <c r="AG238" s="2295">
        <f>SUM(AG191:AG237)</f>
        <v>0</v>
      </c>
      <c r="AH238" s="2296"/>
      <c r="AI238" s="2295">
        <f>SUM(AI191:AI237)</f>
        <v>30632222</v>
      </c>
      <c r="AJ238" s="2296"/>
      <c r="AK238" s="2295">
        <f>SUM(AK191:AK237)</f>
        <v>1362432</v>
      </c>
      <c r="AL238" s="2296"/>
      <c r="AM238" s="2295">
        <f>SUM(AM191:AM237)</f>
        <v>30445069</v>
      </c>
      <c r="AN238" s="2297"/>
    </row>
    <row r="239" spans="2:40" ht="25.15" customHeight="1">
      <c r="B239" s="1748"/>
      <c r="C239" s="1749" t="s">
        <v>562</v>
      </c>
      <c r="D239" s="1750" t="s">
        <v>563</v>
      </c>
      <c r="E239" s="1525"/>
      <c r="F239" s="1677"/>
      <c r="G239" s="1527"/>
      <c r="H239" s="1677"/>
      <c r="I239" s="1527"/>
      <c r="J239" s="1677"/>
      <c r="K239" s="1527"/>
      <c r="L239" s="1677"/>
      <c r="M239" s="1527"/>
      <c r="N239" s="1677"/>
      <c r="O239" s="1527"/>
      <c r="P239" s="1677"/>
      <c r="Q239" s="1527"/>
      <c r="R239" s="1677"/>
      <c r="S239" s="1527"/>
      <c r="T239" s="1677"/>
      <c r="U239" s="1527"/>
      <c r="V239" s="1677"/>
      <c r="W239" s="1527"/>
      <c r="X239" s="1677"/>
      <c r="Y239" s="1527"/>
      <c r="Z239" s="1677"/>
      <c r="AA239" s="1527"/>
      <c r="AB239" s="1677"/>
      <c r="AC239" s="1527"/>
      <c r="AD239" s="1677"/>
      <c r="AE239" s="1527"/>
      <c r="AF239" s="1677"/>
      <c r="AG239" s="1527"/>
      <c r="AH239" s="1677"/>
      <c r="AI239" s="1561">
        <f>SUM(I239,K239,M239,O239,Q239,S239,U239,W239,Y239,AA239,AC239,AE239,AG239)</f>
        <v>0</v>
      </c>
      <c r="AJ239" s="1677"/>
      <c r="AK239" s="1527"/>
      <c r="AL239" s="1677"/>
      <c r="AM239" s="1527"/>
      <c r="AN239" s="1778"/>
    </row>
    <row r="240" spans="2:40" ht="25.15" customHeight="1">
      <c r="B240" s="1751"/>
      <c r="C240" s="1752" t="s">
        <v>562</v>
      </c>
      <c r="D240" s="1752" t="s">
        <v>563</v>
      </c>
      <c r="E240" s="1530"/>
      <c r="F240" s="1744"/>
      <c r="G240" s="1532"/>
      <c r="H240" s="1744"/>
      <c r="I240" s="1532"/>
      <c r="J240" s="1744"/>
      <c r="K240" s="1532"/>
      <c r="L240" s="1744"/>
      <c r="M240" s="1532"/>
      <c r="N240" s="1744"/>
      <c r="O240" s="1532"/>
      <c r="P240" s="1744"/>
      <c r="Q240" s="1532"/>
      <c r="R240" s="1744"/>
      <c r="S240" s="1532"/>
      <c r="T240" s="1744"/>
      <c r="U240" s="1532"/>
      <c r="V240" s="1744"/>
      <c r="W240" s="1532"/>
      <c r="X240" s="1744"/>
      <c r="Y240" s="1532"/>
      <c r="Z240" s="1744"/>
      <c r="AA240" s="1532"/>
      <c r="AB240" s="1744"/>
      <c r="AC240" s="1532"/>
      <c r="AD240" s="1744"/>
      <c r="AE240" s="1532"/>
      <c r="AF240" s="1744"/>
      <c r="AG240" s="1532"/>
      <c r="AH240" s="1744"/>
      <c r="AI240" s="1561">
        <f>SUM(I240,K240,M240,O240,Q240,S240,U240,W240,Y240,AA240,AC240,AE240,AG240)</f>
        <v>0</v>
      </c>
      <c r="AJ240" s="1744"/>
      <c r="AK240" s="1532"/>
      <c r="AL240" s="1744"/>
      <c r="AM240" s="1532"/>
      <c r="AN240" s="1779"/>
    </row>
    <row r="241" spans="1:41" ht="25.15" customHeight="1">
      <c r="B241" s="1753"/>
      <c r="C241" s="1754" t="s">
        <v>562</v>
      </c>
      <c r="D241" s="1754" t="s">
        <v>563</v>
      </c>
      <c r="E241" s="1695"/>
      <c r="F241" s="1746"/>
      <c r="G241" s="1554"/>
      <c r="H241" s="1746"/>
      <c r="I241" s="1554"/>
      <c r="J241" s="1746"/>
      <c r="K241" s="1554"/>
      <c r="L241" s="1746"/>
      <c r="M241" s="1554"/>
      <c r="N241" s="1746"/>
      <c r="O241" s="1554"/>
      <c r="P241" s="1746"/>
      <c r="Q241" s="1554"/>
      <c r="R241" s="1746"/>
      <c r="S241" s="1554"/>
      <c r="T241" s="1746"/>
      <c r="U241" s="1554"/>
      <c r="V241" s="1746"/>
      <c r="W241" s="1554"/>
      <c r="X241" s="1746"/>
      <c r="Y241" s="1554"/>
      <c r="Z241" s="1746"/>
      <c r="AA241" s="1554"/>
      <c r="AB241" s="1746"/>
      <c r="AC241" s="1554"/>
      <c r="AD241" s="1746"/>
      <c r="AE241" s="1554"/>
      <c r="AF241" s="1746"/>
      <c r="AG241" s="1554"/>
      <c r="AH241" s="1746"/>
      <c r="AI241" s="1561">
        <f>SUM(I241,K241,M241,O241,Q241,S241,U241,W241,Y241,AA241,AC241,AE241,AG241)</f>
        <v>0</v>
      </c>
      <c r="AJ241" s="1746"/>
      <c r="AK241" s="1554"/>
      <c r="AL241" s="1746"/>
      <c r="AM241" s="1554"/>
      <c r="AN241" s="1780"/>
    </row>
    <row r="242" spans="1:41" ht="25.15" customHeight="1">
      <c r="B242" s="1755"/>
      <c r="C242" s="1747"/>
      <c r="D242" s="1747"/>
      <c r="E242" s="2379"/>
      <c r="F242" s="2356"/>
      <c r="G242" s="2380">
        <f>SUM(G239:G241)</f>
        <v>0</v>
      </c>
      <c r="H242" s="2381"/>
      <c r="I242" s="2380">
        <f>SUM(I239:I241)</f>
        <v>0</v>
      </c>
      <c r="J242" s="2381"/>
      <c r="K242" s="2380">
        <f t="shared" ref="K242:AM242" si="52">SUM(K239:K241)</f>
        <v>0</v>
      </c>
      <c r="L242" s="2381"/>
      <c r="M242" s="2380">
        <f t="shared" si="52"/>
        <v>0</v>
      </c>
      <c r="N242" s="2381"/>
      <c r="O242" s="2380">
        <f t="shared" si="52"/>
        <v>0</v>
      </c>
      <c r="P242" s="2381"/>
      <c r="Q242" s="2380">
        <f t="shared" si="52"/>
        <v>0</v>
      </c>
      <c r="R242" s="2381"/>
      <c r="S242" s="2380">
        <f t="shared" si="52"/>
        <v>0</v>
      </c>
      <c r="T242" s="2381"/>
      <c r="U242" s="2380">
        <f t="shared" si="52"/>
        <v>0</v>
      </c>
      <c r="V242" s="2381"/>
      <c r="W242" s="2380">
        <f t="shared" si="52"/>
        <v>0</v>
      </c>
      <c r="X242" s="2381"/>
      <c r="Y242" s="2380">
        <f t="shared" si="52"/>
        <v>0</v>
      </c>
      <c r="Z242" s="2381"/>
      <c r="AA242" s="2380">
        <f t="shared" si="52"/>
        <v>0</v>
      </c>
      <c r="AB242" s="2381"/>
      <c r="AC242" s="2380">
        <f>SUM(AC239:AC241)</f>
        <v>0</v>
      </c>
      <c r="AD242" s="2381"/>
      <c r="AE242" s="2380">
        <f t="shared" si="52"/>
        <v>0</v>
      </c>
      <c r="AF242" s="2381"/>
      <c r="AG242" s="2380">
        <f t="shared" si="52"/>
        <v>0</v>
      </c>
      <c r="AH242" s="2381"/>
      <c r="AI242" s="2380">
        <f t="shared" si="52"/>
        <v>0</v>
      </c>
      <c r="AJ242" s="2381"/>
      <c r="AK242" s="2380">
        <f t="shared" si="52"/>
        <v>0</v>
      </c>
      <c r="AL242" s="2381"/>
      <c r="AM242" s="2380">
        <f t="shared" si="52"/>
        <v>0</v>
      </c>
      <c r="AN242" s="2382"/>
      <c r="AO242" s="1610"/>
    </row>
    <row r="243" spans="1:41" ht="25.15" customHeight="1">
      <c r="B243" s="1756"/>
      <c r="C243" s="1757" t="s">
        <v>564</v>
      </c>
      <c r="D243" s="1757" t="s">
        <v>565</v>
      </c>
      <c r="E243" s="1525"/>
      <c r="F243" s="1677"/>
      <c r="G243" s="1527"/>
      <c r="H243" s="1677"/>
      <c r="I243" s="1527"/>
      <c r="J243" s="1677"/>
      <c r="K243" s="1527"/>
      <c r="L243" s="1677"/>
      <c r="M243" s="1527"/>
      <c r="N243" s="1677"/>
      <c r="O243" s="1527"/>
      <c r="P243" s="1677"/>
      <c r="Q243" s="1527"/>
      <c r="R243" s="1677"/>
      <c r="S243" s="1527"/>
      <c r="T243" s="1677"/>
      <c r="U243" s="1527"/>
      <c r="V243" s="1677"/>
      <c r="W243" s="1527"/>
      <c r="X243" s="1677"/>
      <c r="Y243" s="1527"/>
      <c r="Z243" s="1677"/>
      <c r="AA243" s="1527"/>
      <c r="AB243" s="1677"/>
      <c r="AC243" s="1527"/>
      <c r="AD243" s="1677"/>
      <c r="AE243" s="1527"/>
      <c r="AF243" s="1677"/>
      <c r="AG243" s="1527"/>
      <c r="AH243" s="1677"/>
      <c r="AI243" s="1561">
        <f>SUM(I243,K243,M243,O243,Q243,S243,U243,W243,Y243,AA243,AC243,AE243,AG243)</f>
        <v>0</v>
      </c>
      <c r="AJ243" s="1677"/>
      <c r="AK243" s="1527"/>
      <c r="AL243" s="1677"/>
      <c r="AM243" s="1527"/>
      <c r="AN243" s="1778"/>
    </row>
    <row r="244" spans="1:41" ht="25.15" customHeight="1">
      <c r="B244" s="1751"/>
      <c r="C244" s="1752" t="s">
        <v>564</v>
      </c>
      <c r="D244" s="1757" t="s">
        <v>565</v>
      </c>
      <c r="E244" s="1530"/>
      <c r="F244" s="1744"/>
      <c r="G244" s="1532"/>
      <c r="H244" s="1744"/>
      <c r="I244" s="1532"/>
      <c r="J244" s="1744"/>
      <c r="K244" s="1532"/>
      <c r="L244" s="1744"/>
      <c r="M244" s="1532"/>
      <c r="N244" s="1744"/>
      <c r="O244" s="1532"/>
      <c r="P244" s="1744"/>
      <c r="Q244" s="1532"/>
      <c r="R244" s="1744"/>
      <c r="S244" s="1532"/>
      <c r="T244" s="1744"/>
      <c r="U244" s="1532"/>
      <c r="V244" s="1744"/>
      <c r="W244" s="1532"/>
      <c r="X244" s="1744"/>
      <c r="Y244" s="1532"/>
      <c r="Z244" s="1744"/>
      <c r="AA244" s="1532"/>
      <c r="AB244" s="1744"/>
      <c r="AC244" s="1532"/>
      <c r="AD244" s="1744"/>
      <c r="AE244" s="1532"/>
      <c r="AF244" s="1744"/>
      <c r="AG244" s="1532"/>
      <c r="AH244" s="1744"/>
      <c r="AI244" s="1561">
        <f>SUM(I244,K244,M244,O244,Q244,S244,U244,W244,Y244,AA244,AC244,AE244,AG244)</f>
        <v>0</v>
      </c>
      <c r="AJ244" s="1744"/>
      <c r="AK244" s="1532"/>
      <c r="AL244" s="1744"/>
      <c r="AM244" s="1532"/>
      <c r="AN244" s="1779"/>
    </row>
    <row r="245" spans="1:41" ht="25.15" customHeight="1">
      <c r="B245" s="1753"/>
      <c r="C245" s="1753" t="s">
        <v>564</v>
      </c>
      <c r="D245" s="1757" t="s">
        <v>565</v>
      </c>
      <c r="E245" s="1530"/>
      <c r="F245" s="1744"/>
      <c r="G245" s="1532"/>
      <c r="H245" s="1744"/>
      <c r="I245" s="1532"/>
      <c r="J245" s="1744"/>
      <c r="K245" s="1532"/>
      <c r="L245" s="1744"/>
      <c r="M245" s="1532"/>
      <c r="N245" s="1744"/>
      <c r="O245" s="1532"/>
      <c r="P245" s="1744"/>
      <c r="Q245" s="1532"/>
      <c r="R245" s="1744"/>
      <c r="S245" s="1532"/>
      <c r="T245" s="1744"/>
      <c r="U245" s="1532"/>
      <c r="V245" s="1744"/>
      <c r="W245" s="1532"/>
      <c r="X245" s="1744"/>
      <c r="Y245" s="1532"/>
      <c r="Z245" s="1744"/>
      <c r="AA245" s="1532"/>
      <c r="AB245" s="1744"/>
      <c r="AC245" s="1532"/>
      <c r="AD245" s="1744"/>
      <c r="AE245" s="1532"/>
      <c r="AF245" s="1744"/>
      <c r="AG245" s="1532"/>
      <c r="AH245" s="1744"/>
      <c r="AI245" s="1561">
        <f>SUM(I245,K245,M245,O245,Q245,S245,U245,W245,Y245,AA245,AC245,AE245,AG245)</f>
        <v>0</v>
      </c>
      <c r="AJ245" s="1744"/>
      <c r="AK245" s="1532"/>
      <c r="AL245" s="1744"/>
      <c r="AM245" s="1532"/>
      <c r="AN245" s="1779"/>
    </row>
    <row r="246" spans="1:41" ht="25.15" customHeight="1">
      <c r="B246" s="1748"/>
      <c r="C246" s="1758" t="s">
        <v>564</v>
      </c>
      <c r="D246" s="1758" t="s">
        <v>566</v>
      </c>
      <c r="E246" s="1530"/>
      <c r="F246" s="1744"/>
      <c r="G246" s="1532"/>
      <c r="H246" s="1744"/>
      <c r="I246" s="1532"/>
      <c r="J246" s="1744"/>
      <c r="K246" s="1532"/>
      <c r="L246" s="1744"/>
      <c r="M246" s="1532"/>
      <c r="N246" s="1744"/>
      <c r="O246" s="1532"/>
      <c r="P246" s="1744"/>
      <c r="Q246" s="1532"/>
      <c r="R246" s="1744"/>
      <c r="S246" s="1532"/>
      <c r="T246" s="1744"/>
      <c r="U246" s="1532"/>
      <c r="V246" s="1744"/>
      <c r="W246" s="1532"/>
      <c r="X246" s="1744"/>
      <c r="Y246" s="1532"/>
      <c r="Z246" s="1744"/>
      <c r="AA246" s="1532"/>
      <c r="AB246" s="1744"/>
      <c r="AC246" s="1532"/>
      <c r="AD246" s="1744"/>
      <c r="AE246" s="1532"/>
      <c r="AF246" s="1744"/>
      <c r="AG246" s="1532"/>
      <c r="AH246" s="1744"/>
      <c r="AI246" s="1561">
        <f>SUM(I246,K246,M246,O246,Q246,S246,U246,W246,Y246,AA246,AC246,AE246,AG246)</f>
        <v>0</v>
      </c>
      <c r="AJ246" s="1744"/>
      <c r="AK246" s="1532"/>
      <c r="AL246" s="1744"/>
      <c r="AM246" s="1532"/>
      <c r="AN246" s="1779"/>
      <c r="AO246" s="1610"/>
    </row>
    <row r="247" spans="1:41" ht="25.15" customHeight="1">
      <c r="B247" s="1753"/>
      <c r="C247" s="1759" t="s">
        <v>564</v>
      </c>
      <c r="D247" s="1753" t="s">
        <v>567</v>
      </c>
      <c r="E247" s="1695"/>
      <c r="F247" s="1746"/>
      <c r="G247" s="1554"/>
      <c r="H247" s="1746"/>
      <c r="I247" s="1554"/>
      <c r="J247" s="1746"/>
      <c r="K247" s="1554"/>
      <c r="L247" s="1746"/>
      <c r="M247" s="1554"/>
      <c r="N247" s="1746"/>
      <c r="O247" s="1554"/>
      <c r="P247" s="1746"/>
      <c r="Q247" s="1554"/>
      <c r="R247" s="1746"/>
      <c r="S247" s="1554"/>
      <c r="T247" s="1746"/>
      <c r="U247" s="1554"/>
      <c r="V247" s="1746"/>
      <c r="W247" s="1554"/>
      <c r="X247" s="1746"/>
      <c r="Y247" s="1554"/>
      <c r="Z247" s="1746"/>
      <c r="AA247" s="1554"/>
      <c r="AB247" s="1746"/>
      <c r="AC247" s="1554"/>
      <c r="AD247" s="1746"/>
      <c r="AE247" s="1554"/>
      <c r="AF247" s="1746"/>
      <c r="AG247" s="1554"/>
      <c r="AH247" s="1746"/>
      <c r="AI247" s="1561">
        <f>SUM(I247,K247,M247,O247,Q247,S247,U247,W247,Y247,AA247,AC247,AE247,AG247)</f>
        <v>0</v>
      </c>
      <c r="AJ247" s="1746"/>
      <c r="AK247" s="1554"/>
      <c r="AL247" s="1746"/>
      <c r="AM247" s="1554"/>
      <c r="AN247" s="1780"/>
    </row>
    <row r="248" spans="1:41" ht="25.15" customHeight="1">
      <c r="B248" s="1760"/>
      <c r="C248" s="1761"/>
      <c r="D248" s="1754"/>
      <c r="E248" s="2379"/>
      <c r="F248" s="2356"/>
      <c r="G248" s="2380">
        <f>SUM(G243:G247)</f>
        <v>0</v>
      </c>
      <c r="H248" s="2381"/>
      <c r="I248" s="2380">
        <f>SUM(I243:I247)</f>
        <v>0</v>
      </c>
      <c r="J248" s="2381"/>
      <c r="K248" s="2380">
        <f>SUM(K243:K247)</f>
        <v>0</v>
      </c>
      <c r="L248" s="2381"/>
      <c r="M248" s="2380">
        <f>SUM(M243:M247)</f>
        <v>0</v>
      </c>
      <c r="N248" s="2381"/>
      <c r="O248" s="2380">
        <f>SUM(O243:O247)</f>
        <v>0</v>
      </c>
      <c r="P248" s="2381"/>
      <c r="Q248" s="2380">
        <f>SUM(Q243:Q247)</f>
        <v>0</v>
      </c>
      <c r="R248" s="2381"/>
      <c r="S248" s="2380">
        <f>SUM(S243:S247)</f>
        <v>0</v>
      </c>
      <c r="T248" s="2381"/>
      <c r="U248" s="2380">
        <f>SUM(U243:U247)</f>
        <v>0</v>
      </c>
      <c r="V248" s="2381"/>
      <c r="W248" s="2380">
        <f>SUM(W243:W247)</f>
        <v>0</v>
      </c>
      <c r="X248" s="2381"/>
      <c r="Y248" s="2380">
        <f>SUM(Y243:Y247)</f>
        <v>0</v>
      </c>
      <c r="Z248" s="2381"/>
      <c r="AA248" s="2380">
        <f>SUM(AA243:AA247)</f>
        <v>0</v>
      </c>
      <c r="AB248" s="2381"/>
      <c r="AC248" s="2380">
        <f>SUM(AC243:AC247)</f>
        <v>0</v>
      </c>
      <c r="AD248" s="2381"/>
      <c r="AE248" s="2380">
        <f>SUM(AE243:AE247)</f>
        <v>0</v>
      </c>
      <c r="AF248" s="2381"/>
      <c r="AG248" s="2380">
        <f>SUM(AG243:AG247)</f>
        <v>0</v>
      </c>
      <c r="AH248" s="2381"/>
      <c r="AI248" s="2380">
        <f>SUM(AI243:AI247)</f>
        <v>0</v>
      </c>
      <c r="AJ248" s="2381"/>
      <c r="AK248" s="1781"/>
      <c r="AL248" s="1782"/>
      <c r="AM248" s="1783"/>
      <c r="AN248" s="1784"/>
    </row>
    <row r="249" spans="1:41" ht="30" customHeight="1">
      <c r="A249" s="1762"/>
      <c r="B249" s="2383" t="s">
        <v>568</v>
      </c>
      <c r="C249" s="2384"/>
      <c r="D249" s="2385"/>
      <c r="E249" s="2379"/>
      <c r="F249" s="2356"/>
      <c r="G249" s="2355"/>
      <c r="H249" s="2356"/>
      <c r="I249" s="2295">
        <f>(I176+I238)+I242+I248</f>
        <v>7349237</v>
      </c>
      <c r="J249" s="2296"/>
      <c r="K249" s="2295">
        <f>(K176+K238)+K242+K248</f>
        <v>2970401</v>
      </c>
      <c r="L249" s="2296"/>
      <c r="M249" s="2295">
        <f>(M176+M238)+M242+M248</f>
        <v>2875247</v>
      </c>
      <c r="N249" s="2296"/>
      <c r="O249" s="2295">
        <f>(O176+O238)+O242+O248</f>
        <v>3546485</v>
      </c>
      <c r="P249" s="2296"/>
      <c r="Q249" s="2295">
        <f>(Q176+Q238)+Q242+Q248</f>
        <v>2482710</v>
      </c>
      <c r="R249" s="2296"/>
      <c r="S249" s="2295">
        <f>(S176+S238)+S242+S248</f>
        <v>4372444</v>
      </c>
      <c r="T249" s="2296"/>
      <c r="U249" s="2295">
        <f>(U176+U238)+U242+U248</f>
        <v>8216838</v>
      </c>
      <c r="V249" s="2296"/>
      <c r="W249" s="2295">
        <f>(W176+W238)+W242+W248</f>
        <v>0</v>
      </c>
      <c r="X249" s="2296"/>
      <c r="Y249" s="2295">
        <f>(Y176+Y238)+Y242+Y248</f>
        <v>0</v>
      </c>
      <c r="Z249" s="2296"/>
      <c r="AA249" s="2295">
        <f>(AA176+AA238)+AA242+AA248</f>
        <v>0</v>
      </c>
      <c r="AB249" s="2296"/>
      <c r="AC249" s="2355"/>
      <c r="AD249" s="2356"/>
      <c r="AE249" s="2355"/>
      <c r="AF249" s="2356"/>
      <c r="AG249" s="2355"/>
      <c r="AH249" s="2356"/>
      <c r="AI249" s="2380">
        <f>SUM(I249:AB249)</f>
        <v>31813362</v>
      </c>
      <c r="AJ249" s="2381"/>
      <c r="AK249" s="2355"/>
      <c r="AL249" s="2357"/>
      <c r="AM249" s="2357"/>
      <c r="AN249" s="2358"/>
    </row>
    <row r="250" spans="1:41" ht="26.65" customHeight="1">
      <c r="B250" s="1763"/>
      <c r="C250" s="1764"/>
      <c r="D250" s="1764"/>
      <c r="E250" s="1765"/>
      <c r="F250" s="1766"/>
      <c r="G250" s="1765"/>
      <c r="H250" s="1766"/>
      <c r="I250" s="1765">
        <f>LPKK!P41</f>
        <v>7349237</v>
      </c>
      <c r="J250" s="1766"/>
      <c r="K250" s="1765">
        <f>LPKK!P79</f>
        <v>2970401</v>
      </c>
      <c r="L250" s="1766"/>
      <c r="M250" s="1765">
        <f>LPKK!P100</f>
        <v>2875247</v>
      </c>
      <c r="N250" s="1766"/>
      <c r="O250" s="1765">
        <f>LPKK!P120</f>
        <v>3546485</v>
      </c>
      <c r="P250" s="1766"/>
      <c r="Q250" s="1765">
        <f>LPKK!P154</f>
        <v>2482710</v>
      </c>
      <c r="R250" s="1766"/>
      <c r="S250" s="1765">
        <f>LPKK!P185</f>
        <v>4372444</v>
      </c>
      <c r="T250" s="1766"/>
      <c r="U250" s="1765">
        <f>LPKK!P201</f>
        <v>8216838</v>
      </c>
      <c r="V250" s="1766"/>
      <c r="W250" s="1765">
        <f>LPKK!P216</f>
        <v>0</v>
      </c>
      <c r="X250" s="1766"/>
      <c r="Y250" s="1765">
        <f>LPKK!P267</f>
        <v>0</v>
      </c>
      <c r="Z250" s="1766"/>
      <c r="AA250" s="1765">
        <f>LPKK!P296</f>
        <v>0</v>
      </c>
      <c r="AB250" s="1766"/>
      <c r="AC250" s="1765"/>
      <c r="AD250" s="1611"/>
      <c r="AE250" s="1765"/>
      <c r="AF250" s="1766"/>
      <c r="AG250" s="1765"/>
      <c r="AH250" s="1766"/>
      <c r="AI250" s="1765"/>
      <c r="AJ250" s="1766"/>
      <c r="AK250" s="1765"/>
      <c r="AL250" s="1766"/>
      <c r="AM250" s="1765"/>
      <c r="AN250" s="1785"/>
    </row>
    <row r="251" spans="1:41" ht="14.15" customHeight="1">
      <c r="C251" s="1666"/>
      <c r="D251" s="1666"/>
      <c r="I251" s="1505">
        <f>I250-I249</f>
        <v>0</v>
      </c>
      <c r="J251" s="1505">
        <f t="shared" ref="J251:S251" si="53">J250-J249</f>
        <v>0</v>
      </c>
      <c r="K251" s="1505">
        <f t="shared" si="53"/>
        <v>0</v>
      </c>
      <c r="L251" s="1505">
        <f t="shared" si="53"/>
        <v>0</v>
      </c>
      <c r="M251" s="1505">
        <f t="shared" si="53"/>
        <v>0</v>
      </c>
      <c r="N251" s="1505">
        <f t="shared" si="53"/>
        <v>0</v>
      </c>
      <c r="O251" s="1505">
        <f t="shared" si="53"/>
        <v>0</v>
      </c>
      <c r="P251" s="1505">
        <f t="shared" si="53"/>
        <v>0</v>
      </c>
      <c r="Q251" s="1505">
        <f t="shared" si="53"/>
        <v>0</v>
      </c>
      <c r="R251" s="1505">
        <f t="shared" si="53"/>
        <v>0</v>
      </c>
      <c r="S251" s="1505">
        <f t="shared" si="53"/>
        <v>0</v>
      </c>
      <c r="U251" s="1505">
        <f>U249-U250</f>
        <v>0</v>
      </c>
      <c r="W251" s="1505">
        <f>W250-W249</f>
        <v>0</v>
      </c>
      <c r="Y251" s="1505">
        <f>Y249-Y250</f>
        <v>0</v>
      </c>
      <c r="AA251" s="1505">
        <f>AA249-AA250</f>
        <v>0</v>
      </c>
    </row>
    <row r="252" spans="1:41" ht="33" customHeight="1">
      <c r="F252" s="1767" t="s">
        <v>569</v>
      </c>
      <c r="G252" s="1768" t="s">
        <v>570</v>
      </c>
      <c r="H252" s="1767"/>
      <c r="I252" s="1768"/>
      <c r="J252" s="1767"/>
      <c r="K252" s="1768"/>
      <c r="L252" s="1767"/>
      <c r="M252" s="1768"/>
      <c r="N252" s="1767"/>
      <c r="O252" s="1768"/>
      <c r="P252" s="1767"/>
      <c r="Q252" s="1768"/>
      <c r="R252" s="1767"/>
      <c r="S252" s="1768"/>
      <c r="T252" s="1767"/>
      <c r="U252" s="1768"/>
      <c r="V252" s="1767"/>
      <c r="W252" s="1768"/>
      <c r="X252" s="1767"/>
      <c r="Y252" s="1768"/>
      <c r="Z252" s="1767"/>
      <c r="AA252" s="1768"/>
      <c r="AB252" s="1767"/>
      <c r="AC252" s="1772"/>
    </row>
    <row r="253" spans="1:41" ht="32.25" customHeight="1">
      <c r="F253" s="1769"/>
      <c r="G253" s="1768" t="s">
        <v>571</v>
      </c>
      <c r="H253" s="1767"/>
      <c r="I253" s="1768"/>
      <c r="J253" s="1767"/>
      <c r="K253" s="1768"/>
      <c r="L253" s="1767"/>
      <c r="M253" s="1768"/>
      <c r="N253" s="1767"/>
      <c r="O253" s="1771"/>
    </row>
    <row r="254" spans="1:41" ht="14.15" customHeight="1"/>
    <row r="255" spans="1:41" ht="14.15" customHeight="1">
      <c r="AG255" s="2386"/>
      <c r="AH255" s="2386"/>
    </row>
    <row r="256" spans="1:41" ht="14.15" customHeight="1">
      <c r="AG256" s="1786"/>
      <c r="AH256" s="1161"/>
    </row>
    <row r="257" spans="7:34" ht="14.15" customHeight="1">
      <c r="AG257" s="1786"/>
      <c r="AH257" s="1161"/>
    </row>
    <row r="258" spans="7:34" ht="14.15" customHeight="1">
      <c r="AG258" s="1786"/>
      <c r="AH258" s="1161"/>
    </row>
    <row r="259" spans="7:34" ht="14.15" customHeight="1">
      <c r="G259" s="1787"/>
    </row>
    <row r="260" spans="7:34" ht="14.15" customHeight="1"/>
    <row r="261" spans="7:34" ht="14.15" customHeight="1"/>
    <row r="262" spans="7:34" ht="14.15" customHeight="1">
      <c r="AG262" s="2387"/>
      <c r="AH262" s="2387"/>
    </row>
    <row r="263" spans="7:34" ht="14.15" customHeight="1"/>
    <row r="264" spans="7:34" ht="14.15" customHeight="1"/>
    <row r="265" spans="7:34" ht="14.15" customHeight="1"/>
    <row r="266" spans="7:34" ht="14.15" customHeight="1"/>
    <row r="267" spans="7:34" ht="17.25" customHeight="1"/>
    <row r="268" spans="7:34" ht="14.15" customHeight="1"/>
    <row r="269" spans="7:34" ht="14.15" customHeight="1"/>
    <row r="270" spans="7:34" ht="14.15" customHeight="1"/>
    <row r="271" spans="7:34" ht="14.15" customHeight="1"/>
    <row r="272" spans="7:34" ht="14.15" customHeight="1"/>
    <row r="273" ht="14.15" customHeight="1"/>
    <row r="274" ht="14.15" customHeight="1"/>
    <row r="275" ht="14.15" customHeight="1"/>
    <row r="276" ht="14.15" customHeight="1"/>
    <row r="277" ht="14.15" customHeight="1"/>
    <row r="278" ht="14.15" customHeight="1"/>
    <row r="279" ht="14.15" customHeight="1"/>
    <row r="280" ht="14.15" customHeight="1"/>
    <row r="281" ht="14.15" customHeight="1"/>
    <row r="282" ht="14.15" customHeight="1"/>
    <row r="283" ht="14.15" customHeight="1"/>
    <row r="284" ht="14.15" customHeight="1"/>
    <row r="285" ht="14.15" customHeight="1"/>
    <row r="28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6" ht="12.75" hidden="1" customHeight="1"/>
    <row r="317" ht="13.5" hidden="1" customHeight="1"/>
  </sheetData>
  <sheetProtection password="C62F" sheet="1" objects="1" scenarios="1"/>
  <mergeCells count="379">
    <mergeCell ref="AK249:AN249"/>
    <mergeCell ref="AG255:AH255"/>
    <mergeCell ref="AG262:AH262"/>
    <mergeCell ref="B5:B6"/>
    <mergeCell ref="B46:B50"/>
    <mergeCell ref="B90:B91"/>
    <mergeCell ref="B133:B134"/>
    <mergeCell ref="B187:B188"/>
    <mergeCell ref="B202:B237"/>
    <mergeCell ref="C5:C8"/>
    <mergeCell ref="C90:C93"/>
    <mergeCell ref="C175:C181"/>
    <mergeCell ref="C187:C190"/>
    <mergeCell ref="D6:D7"/>
    <mergeCell ref="D91:D92"/>
    <mergeCell ref="D188:D189"/>
    <mergeCell ref="I187:J188"/>
    <mergeCell ref="K187:L188"/>
    <mergeCell ref="M187:N188"/>
    <mergeCell ref="O187:P188"/>
    <mergeCell ref="Q187:R188"/>
    <mergeCell ref="S187:T188"/>
    <mergeCell ref="U187:V188"/>
    <mergeCell ref="W187:X188"/>
    <mergeCell ref="W248:X248"/>
    <mergeCell ref="Y248:Z248"/>
    <mergeCell ref="AA248:AB248"/>
    <mergeCell ref="AC248:AD248"/>
    <mergeCell ref="AE248:AF248"/>
    <mergeCell ref="AG248:AH248"/>
    <mergeCell ref="AI248:AJ248"/>
    <mergeCell ref="B249:D249"/>
    <mergeCell ref="E249:F249"/>
    <mergeCell ref="G249:H249"/>
    <mergeCell ref="I249:J249"/>
    <mergeCell ref="K249:L249"/>
    <mergeCell ref="M249:N249"/>
    <mergeCell ref="O249:P249"/>
    <mergeCell ref="Q249:R249"/>
    <mergeCell ref="S249:T249"/>
    <mergeCell ref="U249:V249"/>
    <mergeCell ref="W249:X249"/>
    <mergeCell ref="Y249:Z249"/>
    <mergeCell ref="AA249:AB249"/>
    <mergeCell ref="AC249:AD249"/>
    <mergeCell ref="AE249:AF249"/>
    <mergeCell ref="AG249:AH249"/>
    <mergeCell ref="AI249:AJ249"/>
    <mergeCell ref="E248:F248"/>
    <mergeCell ref="G248:H248"/>
    <mergeCell ref="I248:J248"/>
    <mergeCell ref="K248:L248"/>
    <mergeCell ref="M248:N248"/>
    <mergeCell ref="O248:P248"/>
    <mergeCell ref="Q248:R248"/>
    <mergeCell ref="S248:T248"/>
    <mergeCell ref="U248:V248"/>
    <mergeCell ref="AM238:AN238"/>
    <mergeCell ref="E242:F242"/>
    <mergeCell ref="G242:H242"/>
    <mergeCell ref="I242:J242"/>
    <mergeCell ref="K242:L242"/>
    <mergeCell ref="M242:N242"/>
    <mergeCell ref="O242:P242"/>
    <mergeCell ref="Q242:R242"/>
    <mergeCell ref="S242:T242"/>
    <mergeCell ref="U242:V242"/>
    <mergeCell ref="W242:X242"/>
    <mergeCell ref="Y242:Z242"/>
    <mergeCell ref="AA242:AB242"/>
    <mergeCell ref="AC242:AD242"/>
    <mergeCell ref="AE242:AF242"/>
    <mergeCell ref="AG242:AH242"/>
    <mergeCell ref="AI242:AJ242"/>
    <mergeCell ref="AK242:AL242"/>
    <mergeCell ref="AM242:AN242"/>
    <mergeCell ref="U238:V238"/>
    <mergeCell ref="W238:X238"/>
    <mergeCell ref="Y238:Z238"/>
    <mergeCell ref="AA238:AB238"/>
    <mergeCell ref="AC238:AD238"/>
    <mergeCell ref="AE238:AF238"/>
    <mergeCell ref="AG238:AH238"/>
    <mergeCell ref="AI238:AJ238"/>
    <mergeCell ref="AK238:AL238"/>
    <mergeCell ref="B238:D238"/>
    <mergeCell ref="E238:F238"/>
    <mergeCell ref="G238:H238"/>
    <mergeCell ref="I238:J238"/>
    <mergeCell ref="K238:L238"/>
    <mergeCell ref="M238:N238"/>
    <mergeCell ref="O238:P238"/>
    <mergeCell ref="Q238:R238"/>
    <mergeCell ref="S238:T238"/>
    <mergeCell ref="W189:X189"/>
    <mergeCell ref="Y189:Z189"/>
    <mergeCell ref="AA189:AB189"/>
    <mergeCell ref="AC189:AD189"/>
    <mergeCell ref="AE189:AF189"/>
    <mergeCell ref="AG189:AH189"/>
    <mergeCell ref="AI189:AJ189"/>
    <mergeCell ref="AK189:AL189"/>
    <mergeCell ref="AM189:AN189"/>
    <mergeCell ref="E189:F189"/>
    <mergeCell ref="G189:H189"/>
    <mergeCell ref="I189:J189"/>
    <mergeCell ref="K189:L189"/>
    <mergeCell ref="M189:N189"/>
    <mergeCell ref="O189:P189"/>
    <mergeCell ref="Q189:R189"/>
    <mergeCell ref="S189:T189"/>
    <mergeCell ref="U189:V189"/>
    <mergeCell ref="B183:AN183"/>
    <mergeCell ref="AJ184:AM184"/>
    <mergeCell ref="AJ185:AM185"/>
    <mergeCell ref="E187:F187"/>
    <mergeCell ref="G187:H187"/>
    <mergeCell ref="AI187:AJ187"/>
    <mergeCell ref="AK187:AL187"/>
    <mergeCell ref="AM187:AN187"/>
    <mergeCell ref="E188:F188"/>
    <mergeCell ref="G188:H188"/>
    <mergeCell ref="AI188:AJ188"/>
    <mergeCell ref="AK188:AL188"/>
    <mergeCell ref="AM188:AN188"/>
    <mergeCell ref="Y187:Z188"/>
    <mergeCell ref="AA187:AB188"/>
    <mergeCell ref="AC187:AD188"/>
    <mergeCell ref="AE187:AF188"/>
    <mergeCell ref="AG187:AH188"/>
    <mergeCell ref="AL180:AN180"/>
    <mergeCell ref="E181:F181"/>
    <mergeCell ref="G181:H181"/>
    <mergeCell ref="I181:J181"/>
    <mergeCell ref="K181:L181"/>
    <mergeCell ref="M181:N181"/>
    <mergeCell ref="O181:P181"/>
    <mergeCell ref="Q181:R181"/>
    <mergeCell ref="S181:T181"/>
    <mergeCell ref="U181:V181"/>
    <mergeCell ref="W181:X181"/>
    <mergeCell ref="Y181:Z181"/>
    <mergeCell ref="AA181:AB181"/>
    <mergeCell ref="AC181:AD181"/>
    <mergeCell ref="AE181:AF181"/>
    <mergeCell ref="AG181:AH181"/>
    <mergeCell ref="AI181:AK181"/>
    <mergeCell ref="AL181:AN181"/>
    <mergeCell ref="W179:X179"/>
    <mergeCell ref="Y179:Z179"/>
    <mergeCell ref="AA179:AB179"/>
    <mergeCell ref="AC179:AD179"/>
    <mergeCell ref="AE179:AF179"/>
    <mergeCell ref="AG179:AH179"/>
    <mergeCell ref="AI179:AK179"/>
    <mergeCell ref="AL179:AN179"/>
    <mergeCell ref="E180:F180"/>
    <mergeCell ref="G180:H180"/>
    <mergeCell ref="I180:J180"/>
    <mergeCell ref="K180:L180"/>
    <mergeCell ref="M180:N180"/>
    <mergeCell ref="O180:P180"/>
    <mergeCell ref="Q180:R180"/>
    <mergeCell ref="S180:T180"/>
    <mergeCell ref="U180:V180"/>
    <mergeCell ref="W180:X180"/>
    <mergeCell ref="Y180:Z180"/>
    <mergeCell ref="AA180:AB180"/>
    <mergeCell ref="AC180:AD180"/>
    <mergeCell ref="AE180:AF180"/>
    <mergeCell ref="AG180:AH180"/>
    <mergeCell ref="AI180:AK180"/>
    <mergeCell ref="E179:F179"/>
    <mergeCell ref="G179:H179"/>
    <mergeCell ref="I179:J179"/>
    <mergeCell ref="K179:L179"/>
    <mergeCell ref="M179:N179"/>
    <mergeCell ref="O179:P179"/>
    <mergeCell ref="Q179:R179"/>
    <mergeCell ref="S179:T179"/>
    <mergeCell ref="U179:V179"/>
    <mergeCell ref="W177:X177"/>
    <mergeCell ref="Y177:Z177"/>
    <mergeCell ref="AA177:AB177"/>
    <mergeCell ref="AC177:AD177"/>
    <mergeCell ref="AE177:AF177"/>
    <mergeCell ref="AG177:AH177"/>
    <mergeCell ref="AI177:AK177"/>
    <mergeCell ref="AL177:AN177"/>
    <mergeCell ref="E178:F178"/>
    <mergeCell ref="G178:H178"/>
    <mergeCell ref="I178:J178"/>
    <mergeCell ref="K178:L178"/>
    <mergeCell ref="M178:N178"/>
    <mergeCell ref="O178:P178"/>
    <mergeCell ref="Q178:R178"/>
    <mergeCell ref="S178:T178"/>
    <mergeCell ref="U178:V178"/>
    <mergeCell ref="W178:X178"/>
    <mergeCell ref="Y178:Z178"/>
    <mergeCell ref="AA178:AB178"/>
    <mergeCell ref="AC178:AD178"/>
    <mergeCell ref="AE178:AF178"/>
    <mergeCell ref="AI178:AK178"/>
    <mergeCell ref="AL178:AN178"/>
    <mergeCell ref="E177:F177"/>
    <mergeCell ref="G177:H177"/>
    <mergeCell ref="I177:J177"/>
    <mergeCell ref="K177:L177"/>
    <mergeCell ref="M177:N177"/>
    <mergeCell ref="O177:P177"/>
    <mergeCell ref="Q177:R177"/>
    <mergeCell ref="S177:T177"/>
    <mergeCell ref="U177:V177"/>
    <mergeCell ref="W176:X176"/>
    <mergeCell ref="Y176:Z176"/>
    <mergeCell ref="AA176:AB176"/>
    <mergeCell ref="AC176:AD176"/>
    <mergeCell ref="AE176:AF176"/>
    <mergeCell ref="AG176:AH176"/>
    <mergeCell ref="AI176:AJ176"/>
    <mergeCell ref="AK176:AL176"/>
    <mergeCell ref="AM176:AN176"/>
    <mergeCell ref="E176:F176"/>
    <mergeCell ref="G176:H176"/>
    <mergeCell ref="I176:J176"/>
    <mergeCell ref="K176:L176"/>
    <mergeCell ref="M176:N176"/>
    <mergeCell ref="O176:P176"/>
    <mergeCell ref="Q176:R176"/>
    <mergeCell ref="S176:T176"/>
    <mergeCell ref="U176:V176"/>
    <mergeCell ref="W175:X175"/>
    <mergeCell ref="Y175:Z175"/>
    <mergeCell ref="AA175:AB175"/>
    <mergeCell ref="AC175:AD175"/>
    <mergeCell ref="AE175:AF175"/>
    <mergeCell ref="AG175:AH175"/>
    <mergeCell ref="AI175:AJ175"/>
    <mergeCell ref="AK175:AL175"/>
    <mergeCell ref="AM175:AN175"/>
    <mergeCell ref="E175:F175"/>
    <mergeCell ref="G175:H175"/>
    <mergeCell ref="I175:J175"/>
    <mergeCell ref="K175:L175"/>
    <mergeCell ref="M175:N175"/>
    <mergeCell ref="O175:P175"/>
    <mergeCell ref="Q175:R175"/>
    <mergeCell ref="S175:T175"/>
    <mergeCell ref="U175:V175"/>
    <mergeCell ref="W132:X132"/>
    <mergeCell ref="Y132:Z132"/>
    <mergeCell ref="AA132:AB132"/>
    <mergeCell ref="AC132:AD132"/>
    <mergeCell ref="AE132:AF132"/>
    <mergeCell ref="AG132:AH132"/>
    <mergeCell ref="AI132:AJ132"/>
    <mergeCell ref="AK132:AL132"/>
    <mergeCell ref="AM132:AN132"/>
    <mergeCell ref="E132:F132"/>
    <mergeCell ref="G132:H132"/>
    <mergeCell ref="I132:J132"/>
    <mergeCell ref="K132:L132"/>
    <mergeCell ref="M132:N132"/>
    <mergeCell ref="O132:P132"/>
    <mergeCell ref="Q132:R132"/>
    <mergeCell ref="S132:T132"/>
    <mergeCell ref="U132:V132"/>
    <mergeCell ref="AC91:AD91"/>
    <mergeCell ref="AI91:AJ91"/>
    <mergeCell ref="AK91:AL91"/>
    <mergeCell ref="AM91:AN91"/>
    <mergeCell ref="E92:F92"/>
    <mergeCell ref="G92:H92"/>
    <mergeCell ref="I92:J92"/>
    <mergeCell ref="K92:L92"/>
    <mergeCell ref="M92:N92"/>
    <mergeCell ref="O92:P92"/>
    <mergeCell ref="Q92:R92"/>
    <mergeCell ref="S92:T92"/>
    <mergeCell ref="U92:V92"/>
    <mergeCell ref="W92:X92"/>
    <mergeCell ref="Y92:Z92"/>
    <mergeCell ref="AA92:AB92"/>
    <mergeCell ref="AC92:AD92"/>
    <mergeCell ref="AG92:AH92"/>
    <mergeCell ref="AI92:AJ92"/>
    <mergeCell ref="AK92:AL92"/>
    <mergeCell ref="AM92:AN92"/>
    <mergeCell ref="I90:J91"/>
    <mergeCell ref="B84:AN84"/>
    <mergeCell ref="B85:AN85"/>
    <mergeCell ref="B87:AN87"/>
    <mergeCell ref="AJ88:AM88"/>
    <mergeCell ref="AJ89:AM89"/>
    <mergeCell ref="E90:F90"/>
    <mergeCell ref="G90:H90"/>
    <mergeCell ref="AC90:AD90"/>
    <mergeCell ref="AI90:AJ90"/>
    <mergeCell ref="AK90:AL90"/>
    <mergeCell ref="AM90:AN90"/>
    <mergeCell ref="K90:L91"/>
    <mergeCell ref="M90:N91"/>
    <mergeCell ref="O90:P91"/>
    <mergeCell ref="Q90:R91"/>
    <mergeCell ref="S90:T91"/>
    <mergeCell ref="U90:V91"/>
    <mergeCell ref="W90:X91"/>
    <mergeCell ref="Y90:Z91"/>
    <mergeCell ref="AA90:AB91"/>
    <mergeCell ref="AG90:AH91"/>
    <mergeCell ref="AE90:AF92"/>
    <mergeCell ref="E91:F91"/>
    <mergeCell ref="G91:H91"/>
    <mergeCell ref="AP17:AY17"/>
    <mergeCell ref="E82:F82"/>
    <mergeCell ref="G82:H82"/>
    <mergeCell ref="I82:J82"/>
    <mergeCell ref="K82:L82"/>
    <mergeCell ref="M82:N82"/>
    <mergeCell ref="O82:P82"/>
    <mergeCell ref="Q82:R82"/>
    <mergeCell ref="S82:T82"/>
    <mergeCell ref="U82:V82"/>
    <mergeCell ref="W82:X82"/>
    <mergeCell ref="Y82:Z82"/>
    <mergeCell ref="AA82:AB82"/>
    <mergeCell ref="AC82:AD82"/>
    <mergeCell ref="AE82:AF82"/>
    <mergeCell ref="AG82:AH82"/>
    <mergeCell ref="AI82:AJ82"/>
    <mergeCell ref="AK82:AL82"/>
    <mergeCell ref="AM82:AN82"/>
    <mergeCell ref="AC6:AD6"/>
    <mergeCell ref="AI6:AJ6"/>
    <mergeCell ref="AK6:AL6"/>
    <mergeCell ref="AM6:AN6"/>
    <mergeCell ref="E7:F7"/>
    <mergeCell ref="G7:H7"/>
    <mergeCell ref="I7:J7"/>
    <mergeCell ref="K7:L7"/>
    <mergeCell ref="M7:N7"/>
    <mergeCell ref="O7:P7"/>
    <mergeCell ref="Q7:R7"/>
    <mergeCell ref="S7:T7"/>
    <mergeCell ref="U7:V7"/>
    <mergeCell ref="W7:X7"/>
    <mergeCell ref="Y7:Z7"/>
    <mergeCell ref="AA7:AB7"/>
    <mergeCell ref="AC7:AD7"/>
    <mergeCell ref="AG7:AH7"/>
    <mergeCell ref="AI7:AJ7"/>
    <mergeCell ref="AK7:AL7"/>
    <mergeCell ref="AM7:AN7"/>
    <mergeCell ref="I5:J6"/>
    <mergeCell ref="B1:AN1"/>
    <mergeCell ref="M2:Z2"/>
    <mergeCell ref="AJ2:AM2"/>
    <mergeCell ref="AJ3:AM3"/>
    <mergeCell ref="AQ3:BC3"/>
    <mergeCell ref="E5:F5"/>
    <mergeCell ref="G5:H5"/>
    <mergeCell ref="AC5:AD5"/>
    <mergeCell ref="AI5:AJ5"/>
    <mergeCell ref="AK5:AL5"/>
    <mergeCell ref="AM5:AN5"/>
    <mergeCell ref="K5:L6"/>
    <mergeCell ref="M5:N6"/>
    <mergeCell ref="O5:P6"/>
    <mergeCell ref="Q5:R6"/>
    <mergeCell ref="S5:T6"/>
    <mergeCell ref="U5:V6"/>
    <mergeCell ref="W5:X6"/>
    <mergeCell ref="Y5:Z6"/>
    <mergeCell ref="AA5:AB6"/>
    <mergeCell ref="AG5:AH6"/>
    <mergeCell ref="AE5:AF7"/>
    <mergeCell ref="E6:F6"/>
    <mergeCell ref="G6:H6"/>
  </mergeCells>
  <printOptions horizontalCentered="1" verticalCentered="1"/>
  <pageMargins left="0" right="0" top="0" bottom="0" header="0.3" footer="0.3"/>
  <pageSetup paperSize="256" scale="27" fitToHeight="0" orientation="landscape"/>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C000"/>
    <pageSetUpPr fitToPage="1"/>
  </sheetPr>
  <dimension ref="A2:H59"/>
  <sheetViews>
    <sheetView topLeftCell="A35" workbookViewId="0">
      <selection activeCell="C51" sqref="C51"/>
    </sheetView>
  </sheetViews>
  <sheetFormatPr defaultColWidth="9.26953125" defaultRowHeight="12.5"/>
  <cols>
    <col min="1" max="1" width="35.7265625" style="339" customWidth="1"/>
    <col min="2" max="2" width="20.7265625" style="339" customWidth="1"/>
    <col min="3" max="3" width="10.54296875" style="339" customWidth="1"/>
    <col min="4" max="4" width="20.7265625" style="339" customWidth="1"/>
    <col min="5" max="5" width="4" style="339" customWidth="1"/>
    <col min="6" max="16384" width="9.26953125" style="339"/>
  </cols>
  <sheetData>
    <row r="2" spans="1:5" ht="34.5" customHeight="1">
      <c r="A2" s="2407" t="s">
        <v>572</v>
      </c>
      <c r="B2" s="2407"/>
      <c r="C2" s="2407"/>
      <c r="D2" s="2407"/>
      <c r="E2" s="2407"/>
    </row>
    <row r="3" spans="1:5" ht="21">
      <c r="A3" s="1473"/>
      <c r="B3" s="1473"/>
      <c r="C3" s="1473"/>
      <c r="D3" s="1473"/>
      <c r="E3" s="1473"/>
    </row>
    <row r="4" spans="1:5" ht="21">
      <c r="A4" s="1473"/>
      <c r="B4" s="1473"/>
      <c r="C4" s="1473"/>
      <c r="D4" s="1473"/>
      <c r="E4" s="1473"/>
    </row>
    <row r="5" spans="1:5" ht="14.5">
      <c r="A5" s="1080"/>
      <c r="B5" s="1474"/>
      <c r="C5" s="1475" t="s">
        <v>573</v>
      </c>
      <c r="D5" s="1476" t="str">
        <f>LPKK!O4</f>
        <v>RC SAMATA GOWA</v>
      </c>
      <c r="E5" s="1080"/>
    </row>
    <row r="6" spans="1:5" ht="14.5">
      <c r="A6" s="1080"/>
      <c r="B6" s="1477"/>
      <c r="C6" s="1478" t="s">
        <v>574</v>
      </c>
      <c r="D6" s="1479" t="str">
        <f>LPKK!O5</f>
        <v>8-14 JANUARI 2025</v>
      </c>
      <c r="E6" s="1080"/>
    </row>
    <row r="7" spans="1:5" ht="14.5">
      <c r="A7" s="1080"/>
      <c r="B7" s="1477"/>
      <c r="C7" s="1080"/>
      <c r="D7" s="1080"/>
      <c r="E7" s="1080"/>
    </row>
    <row r="8" spans="1:5" ht="14.5">
      <c r="A8" s="1080"/>
      <c r="B8" s="1480" t="s">
        <v>575</v>
      </c>
      <c r="C8" s="1101"/>
      <c r="D8" s="1480" t="s">
        <v>576</v>
      </c>
      <c r="E8" s="1080"/>
    </row>
    <row r="9" spans="1:5" ht="14.5">
      <c r="A9" s="1080"/>
      <c r="B9" s="1080"/>
      <c r="C9" s="1080"/>
      <c r="D9" s="1080"/>
      <c r="E9" s="1080"/>
    </row>
    <row r="10" spans="1:5" ht="14.5">
      <c r="A10" s="1475" t="s">
        <v>577</v>
      </c>
      <c r="B10" s="1481">
        <v>17341888</v>
      </c>
      <c r="C10" s="1482"/>
      <c r="D10" s="1483">
        <v>11725905</v>
      </c>
      <c r="E10" s="1080"/>
    </row>
    <row r="11" spans="1:5" ht="14.5">
      <c r="A11" s="1080"/>
      <c r="B11" s="1484"/>
      <c r="C11" s="1080"/>
      <c r="D11" s="1484"/>
      <c r="E11" s="1080"/>
    </row>
    <row r="12" spans="1:5" ht="14.5">
      <c r="A12" s="1080" t="s">
        <v>578</v>
      </c>
      <c r="B12" s="1485"/>
      <c r="C12" s="1080"/>
      <c r="D12" s="1485"/>
      <c r="E12" s="1080"/>
    </row>
    <row r="13" spans="1:5" ht="14.5">
      <c r="A13" s="1080" t="s">
        <v>579</v>
      </c>
      <c r="B13" s="1486">
        <f>'TO - TI'!S21</f>
        <v>264706.30769230798</v>
      </c>
      <c r="C13" s="1080"/>
      <c r="D13" s="1485"/>
      <c r="E13" s="1080"/>
    </row>
    <row r="14" spans="1:5" ht="14.5">
      <c r="A14" s="1080" t="s">
        <v>580</v>
      </c>
      <c r="B14" s="1485"/>
      <c r="C14" s="1080"/>
      <c r="D14" s="1485"/>
      <c r="E14" s="1080"/>
    </row>
    <row r="15" spans="1:5" ht="14.5">
      <c r="A15" s="1080" t="s">
        <v>100</v>
      </c>
      <c r="B15" s="1486">
        <f>'TO - TI'!D20</f>
        <v>237571.907368421</v>
      </c>
      <c r="C15" s="1080"/>
      <c r="D15" s="1485"/>
      <c r="E15" s="1080"/>
    </row>
    <row r="16" spans="1:5" ht="14.5">
      <c r="A16" s="1080"/>
      <c r="B16" s="1484"/>
      <c r="C16" s="1080"/>
      <c r="D16" s="1484"/>
      <c r="E16" s="1080"/>
    </row>
    <row r="17" spans="1:8" ht="14.5">
      <c r="A17" s="1080" t="s">
        <v>581</v>
      </c>
      <c r="B17" s="1486">
        <f>SUM(B12:B15)</f>
        <v>502278.21506072901</v>
      </c>
      <c r="C17" s="1080"/>
      <c r="D17" s="1486">
        <f>SUM(D12:D15)</f>
        <v>0</v>
      </c>
      <c r="E17" s="1080"/>
    </row>
    <row r="18" spans="1:8" ht="14.5">
      <c r="A18" s="1080"/>
      <c r="B18" s="1484"/>
      <c r="C18" s="1080"/>
      <c r="D18" s="1484"/>
      <c r="E18" s="1080"/>
    </row>
    <row r="19" spans="1:8" ht="14.5">
      <c r="A19" s="1080" t="s">
        <v>468</v>
      </c>
      <c r="B19" s="1484"/>
      <c r="C19" s="1080"/>
      <c r="D19" s="1484"/>
      <c r="E19" s="1080"/>
    </row>
    <row r="20" spans="1:8" ht="14.5">
      <c r="A20" s="1080" t="s">
        <v>582</v>
      </c>
      <c r="B20" s="1486">
        <f>VENDOR!AI177</f>
        <v>12234546.173913</v>
      </c>
      <c r="C20" s="1080"/>
      <c r="D20" s="1486">
        <f>VENDOR!AI178</f>
        <v>0</v>
      </c>
      <c r="E20" s="1080"/>
    </row>
    <row r="21" spans="1:8" ht="14.5">
      <c r="A21" s="1080" t="s">
        <v>583</v>
      </c>
      <c r="B21" s="1486">
        <f>VENDOR!AI179</f>
        <v>1105240</v>
      </c>
      <c r="C21" s="1487"/>
      <c r="D21" s="1486">
        <f>VENDOR!AI180</f>
        <v>75900</v>
      </c>
      <c r="E21" s="1488"/>
    </row>
    <row r="22" spans="1:8" ht="14.5">
      <c r="A22" s="1080" t="s">
        <v>584</v>
      </c>
      <c r="B22" s="1486">
        <f>B20+B21</f>
        <v>13339786.173913</v>
      </c>
      <c r="C22" s="1080"/>
      <c r="D22" s="1486">
        <f>D20+D21</f>
        <v>75900</v>
      </c>
      <c r="E22" s="1080"/>
    </row>
    <row r="23" spans="1:8" ht="14.5">
      <c r="A23" s="1080"/>
      <c r="B23" s="1484"/>
      <c r="C23" s="1080"/>
      <c r="D23" s="1489"/>
      <c r="E23" s="1080"/>
      <c r="H23" s="339" t="s">
        <v>61</v>
      </c>
    </row>
    <row r="24" spans="1:8" ht="14.5">
      <c r="A24" s="1475" t="s">
        <v>585</v>
      </c>
      <c r="B24" s="1490">
        <f>B10+B17+B22</f>
        <v>31183952.388973799</v>
      </c>
      <c r="C24" s="1080"/>
      <c r="D24" s="1490">
        <f>D10+D17+D22</f>
        <v>11801805</v>
      </c>
      <c r="E24" s="1080"/>
    </row>
    <row r="25" spans="1:8" ht="14.5">
      <c r="A25" s="1080"/>
      <c r="B25" s="1484"/>
      <c r="C25" s="1080"/>
      <c r="D25" s="1484"/>
      <c r="E25" s="1080"/>
    </row>
    <row r="26" spans="1:8" ht="14.5">
      <c r="A26" s="1080" t="s">
        <v>586</v>
      </c>
      <c r="B26" s="1484"/>
      <c r="C26" s="1080"/>
      <c r="D26" s="1484"/>
      <c r="E26" s="1080"/>
    </row>
    <row r="27" spans="1:8" ht="14.5">
      <c r="A27" s="1080" t="s">
        <v>587</v>
      </c>
      <c r="B27" s="1486">
        <f>'TO - TI'!I27+'TO - TI'!N23</f>
        <v>203305.97615838601</v>
      </c>
      <c r="C27" s="1080"/>
      <c r="D27" s="1485"/>
      <c r="E27" s="1080"/>
    </row>
    <row r="28" spans="1:8" ht="14.5">
      <c r="A28" s="1080" t="s">
        <v>579</v>
      </c>
      <c r="B28" s="1486">
        <f>B13</f>
        <v>264706.30769230798</v>
      </c>
      <c r="C28" s="1080"/>
      <c r="D28" s="1485"/>
      <c r="E28" s="1080"/>
    </row>
    <row r="29" spans="1:8" ht="14.5">
      <c r="A29" s="1080" t="s">
        <v>100</v>
      </c>
      <c r="B29" s="1486">
        <f>B15</f>
        <v>237571.907368421</v>
      </c>
      <c r="C29" s="1080"/>
      <c r="D29" s="1485"/>
      <c r="E29" s="1080"/>
    </row>
    <row r="30" spans="1:8" ht="14.5">
      <c r="A30" s="1080" t="s">
        <v>588</v>
      </c>
      <c r="B30" s="1485">
        <v>26627</v>
      </c>
      <c r="C30" s="1080"/>
      <c r="D30" s="1485"/>
      <c r="E30" s="1080"/>
    </row>
    <row r="31" spans="1:8" ht="14.5">
      <c r="A31" s="1080" t="s">
        <v>589</v>
      </c>
      <c r="B31" s="1485"/>
      <c r="C31" s="1491"/>
      <c r="D31" s="1485"/>
      <c r="E31" s="1080"/>
    </row>
    <row r="32" spans="1:8" ht="14.5">
      <c r="A32" s="1080"/>
      <c r="B32" s="1489"/>
      <c r="C32" s="1080"/>
      <c r="D32" s="1489"/>
      <c r="E32" s="1080"/>
    </row>
    <row r="33" spans="1:5" ht="14.5">
      <c r="A33" s="1492" t="s">
        <v>590</v>
      </c>
      <c r="B33" s="1493">
        <f>SUM(B27:B31)</f>
        <v>732211.191219114</v>
      </c>
      <c r="C33" s="1080"/>
      <c r="D33" s="1486">
        <f>SUM(D27:D31)</f>
        <v>0</v>
      </c>
      <c r="E33" s="1141"/>
    </row>
    <row r="34" spans="1:5" ht="14.5">
      <c r="A34" s="1080"/>
      <c r="B34" s="1489"/>
      <c r="C34" s="1080"/>
      <c r="D34" s="1484"/>
      <c r="E34" s="1080"/>
    </row>
    <row r="35" spans="1:5" ht="14.5">
      <c r="A35" s="1494" t="s">
        <v>591</v>
      </c>
      <c r="B35" s="1495">
        <f>'WEEKLY FC'!F362</f>
        <v>17074708.6762315</v>
      </c>
      <c r="C35" s="1080"/>
      <c r="D35" s="1490">
        <f>'WEEKLY FC'!F363</f>
        <v>10606588.25</v>
      </c>
      <c r="E35" s="1080"/>
    </row>
    <row r="36" spans="1:5" ht="14.5">
      <c r="A36" s="1080"/>
      <c r="B36" s="1484"/>
      <c r="C36" s="1080"/>
      <c r="D36" s="1484"/>
      <c r="E36" s="1080"/>
    </row>
    <row r="37" spans="1:5" ht="14.5">
      <c r="A37" s="1080" t="s">
        <v>592</v>
      </c>
      <c r="B37" s="1486">
        <f>B24-B33-B35</f>
        <v>13377032.5215232</v>
      </c>
      <c r="C37" s="1080"/>
      <c r="D37" s="1486">
        <f>D24-D33-D35</f>
        <v>1195216.75</v>
      </c>
      <c r="E37" s="1080"/>
    </row>
    <row r="38" spans="1:5" ht="14.5">
      <c r="A38" s="1080" t="s">
        <v>593</v>
      </c>
      <c r="B38" s="1496">
        <f>(B37/B47)</f>
        <v>0.53177529638532395</v>
      </c>
      <c r="C38" s="1080"/>
      <c r="D38" s="1496">
        <f>D37/B47</f>
        <v>4.7513283716199103E-2</v>
      </c>
      <c r="E38" s="1080"/>
    </row>
    <row r="39" spans="1:5" ht="14.5">
      <c r="A39" s="1080"/>
      <c r="B39" s="1485"/>
      <c r="C39" s="1080"/>
      <c r="D39" s="1485"/>
      <c r="E39" s="1080"/>
    </row>
    <row r="40" spans="1:5" ht="14.5">
      <c r="A40" s="1080"/>
      <c r="B40" s="1484"/>
      <c r="C40" s="1080"/>
      <c r="D40" s="1484"/>
      <c r="E40" s="1080"/>
    </row>
    <row r="41" spans="1:5" ht="14.5">
      <c r="A41" s="1080" t="s">
        <v>594</v>
      </c>
      <c r="B41" s="1486">
        <f>'LAPORAN KAS PERIODE'!M8</f>
        <v>28127721</v>
      </c>
      <c r="C41" s="1080"/>
      <c r="D41" s="1485"/>
      <c r="E41" s="1080"/>
    </row>
    <row r="42" spans="1:5" ht="14.5">
      <c r="A42" s="1080" t="s">
        <v>595</v>
      </c>
      <c r="B42" s="1486">
        <f>'LAPORAN KAS PERIODE'!M12</f>
        <v>74750</v>
      </c>
      <c r="C42" s="1080"/>
      <c r="D42" s="1485"/>
      <c r="E42" s="1080"/>
    </row>
    <row r="43" spans="1:5" ht="14.5">
      <c r="A43" s="1080" t="s">
        <v>596</v>
      </c>
      <c r="B43" s="1486">
        <f>'LAPORAN KAS PERIODE'!M14</f>
        <v>270500</v>
      </c>
      <c r="C43" s="1080"/>
      <c r="D43" s="1485"/>
      <c r="E43" s="1080"/>
    </row>
    <row r="44" spans="1:5" ht="14.5">
      <c r="A44" s="1080" t="s">
        <v>597</v>
      </c>
      <c r="B44" s="1486">
        <f>'LAPORAN KAS PERIODE'!M9+'LAPORAN KAS PERIODE'!M10+'LAPORAN KAS PERIODE'!M11</f>
        <v>2627048</v>
      </c>
      <c r="C44" s="1080"/>
      <c r="D44" s="1485"/>
      <c r="E44" s="1080"/>
    </row>
    <row r="45" spans="1:5" ht="14.5">
      <c r="A45" s="1080" t="s">
        <v>598</v>
      </c>
      <c r="B45" s="1485"/>
      <c r="C45" s="1080"/>
      <c r="D45" s="1485"/>
      <c r="E45" s="1080"/>
    </row>
    <row r="46" spans="1:5" ht="14.5">
      <c r="A46" s="1080"/>
      <c r="B46" s="1485"/>
      <c r="C46" s="1080"/>
      <c r="D46" s="1485"/>
      <c r="E46" s="1080"/>
    </row>
    <row r="47" spans="1:5" ht="14.5">
      <c r="A47" s="1475" t="s">
        <v>599</v>
      </c>
      <c r="B47" s="1490">
        <f>B41-B42-B43-B44-B45</f>
        <v>25155423</v>
      </c>
      <c r="C47" s="1080"/>
      <c r="D47" s="1497"/>
      <c r="E47" s="1080"/>
    </row>
    <row r="48" spans="1:5" ht="14.5">
      <c r="A48" s="1080"/>
      <c r="B48" s="1080"/>
      <c r="C48" s="1080"/>
      <c r="D48" s="1080"/>
      <c r="E48" s="1080"/>
    </row>
    <row r="49" spans="1:8" ht="14.5">
      <c r="A49" s="1080"/>
      <c r="B49" s="1080"/>
      <c r="C49" s="1080"/>
      <c r="D49" s="1080"/>
      <c r="E49" s="1080"/>
    </row>
    <row r="50" spans="1:8" ht="15.5">
      <c r="A50" s="1498" t="s">
        <v>600</v>
      </c>
      <c r="B50" s="1499">
        <f>B37+D37</f>
        <v>14572249.2715232</v>
      </c>
      <c r="C50" s="1500"/>
      <c r="D50" s="1501">
        <f>B50/B51</f>
        <v>0.57928858010152295</v>
      </c>
      <c r="E50" s="1080"/>
      <c r="H50" s="339" t="s">
        <v>61</v>
      </c>
    </row>
    <row r="51" spans="1:8" ht="14.5">
      <c r="A51" s="1080" t="s">
        <v>601</v>
      </c>
      <c r="B51" s="1502">
        <f>B47</f>
        <v>25155423</v>
      </c>
      <c r="C51" s="1500"/>
      <c r="D51" s="1503"/>
      <c r="E51" s="1080"/>
    </row>
    <row r="52" spans="1:8" ht="14.5">
      <c r="A52" s="1080"/>
      <c r="B52" s="1080"/>
      <c r="C52" s="1080"/>
      <c r="D52" s="1080"/>
      <c r="E52" s="1080"/>
      <c r="G52" s="339" t="s">
        <v>61</v>
      </c>
    </row>
    <row r="53" spans="1:8" ht="14.5">
      <c r="A53" s="1141"/>
      <c r="B53" s="1141"/>
      <c r="C53" s="1141"/>
      <c r="D53" s="1141"/>
      <c r="E53" s="1141"/>
    </row>
    <row r="54" spans="1:8" ht="15.5">
      <c r="A54" s="756" t="s">
        <v>602</v>
      </c>
      <c r="B54" s="756"/>
      <c r="C54" s="692"/>
      <c r="D54" s="756"/>
      <c r="E54" s="1504"/>
      <c r="F54" s="1504"/>
    </row>
    <row r="55" spans="1:8" ht="15.5">
      <c r="A55" s="756" t="s">
        <v>603</v>
      </c>
      <c r="B55" s="756"/>
      <c r="C55" s="756"/>
      <c r="D55" s="756"/>
      <c r="E55" s="1073"/>
      <c r="F55" s="1073"/>
    </row>
    <row r="56" spans="1:8" ht="15.5">
      <c r="A56" s="692"/>
      <c r="B56" s="692"/>
      <c r="C56" s="692"/>
      <c r="D56" s="692"/>
      <c r="E56" s="1504"/>
      <c r="F56" s="1504"/>
    </row>
    <row r="57" spans="1:8" ht="15.5">
      <c r="A57" s="756"/>
      <c r="B57" s="756"/>
      <c r="C57" s="692"/>
      <c r="D57" s="692"/>
      <c r="E57" s="1504"/>
      <c r="F57" s="1504"/>
    </row>
    <row r="58" spans="1:8" ht="15.5">
      <c r="A58" s="756"/>
      <c r="B58" s="756"/>
      <c r="C58" s="692"/>
      <c r="D58" s="692"/>
      <c r="E58" s="1504"/>
      <c r="F58" s="1504"/>
    </row>
    <row r="59" spans="1:8" ht="15.5">
      <c r="A59" s="655"/>
      <c r="B59" s="655"/>
      <c r="C59" s="692"/>
      <c r="D59" s="692"/>
      <c r="E59" s="1504"/>
      <c r="F59" s="1504"/>
    </row>
  </sheetData>
  <sheetProtection password="C62F" sheet="1" objects="1" scenarios="1"/>
  <mergeCells count="1">
    <mergeCell ref="A2:E2"/>
  </mergeCells>
  <printOptions horizontalCentered="1"/>
  <pageMargins left="0.12" right="0.12" top="0.59" bottom="0.12" header="0.31" footer="0.31"/>
  <pageSetup paperSize="9" fitToHeight="0"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C000"/>
    <pageSetUpPr fitToPage="1"/>
  </sheetPr>
  <dimension ref="A2:AD80"/>
  <sheetViews>
    <sheetView topLeftCell="A7" zoomScale="78" zoomScaleNormal="78" workbookViewId="0">
      <selection activeCell="G72" sqref="A1:N115"/>
    </sheetView>
  </sheetViews>
  <sheetFormatPr defaultColWidth="9.26953125" defaultRowHeight="13"/>
  <cols>
    <col min="1" max="1" width="25.7265625" style="532" customWidth="1"/>
    <col min="2" max="2" width="10.54296875" style="532" customWidth="1"/>
    <col min="3" max="4" width="15.54296875" style="532" customWidth="1"/>
    <col min="5" max="5" width="1.7265625" style="532" customWidth="1"/>
    <col min="6" max="6" width="25.81640625" style="532" customWidth="1"/>
    <col min="7" max="7" width="10.54296875" style="532" customWidth="1"/>
    <col min="8" max="9" width="15.54296875" style="532" customWidth="1"/>
    <col min="10" max="10" width="1.7265625" style="532" customWidth="1"/>
    <col min="11" max="11" width="20.7265625" style="532" customWidth="1"/>
    <col min="12" max="12" width="10.54296875" style="532" customWidth="1"/>
    <col min="13" max="14" width="15.54296875" style="532" customWidth="1"/>
    <col min="15" max="15" width="2.26953125" style="532" customWidth="1"/>
    <col min="16" max="16" width="25.7265625" style="532" customWidth="1"/>
    <col min="17" max="17" width="10.54296875" style="532" customWidth="1"/>
    <col min="18" max="19" width="15.54296875" style="532" customWidth="1"/>
    <col min="20" max="20" width="9.26953125" style="532" customWidth="1"/>
    <col min="21" max="21" width="23.7265625" style="532" customWidth="1"/>
    <col min="22" max="24" width="15.54296875" style="532" customWidth="1"/>
    <col min="25" max="25" width="9.26953125" style="532"/>
    <col min="26" max="29" width="18.26953125" style="532" hidden="1" customWidth="1"/>
    <col min="30" max="30" width="9.26953125" style="532" hidden="1" customWidth="1"/>
    <col min="31" max="16384" width="9.26953125" style="532"/>
  </cols>
  <sheetData>
    <row r="2" spans="1:29" s="1348" customFormat="1" ht="40.15" customHeight="1">
      <c r="A2" s="2188" t="s">
        <v>604</v>
      </c>
      <c r="B2" s="2188"/>
      <c r="C2" s="2188"/>
      <c r="D2" s="2188"/>
      <c r="F2" s="2188" t="s">
        <v>605</v>
      </c>
      <c r="G2" s="2188"/>
      <c r="H2" s="2188"/>
      <c r="I2" s="2188"/>
      <c r="K2" s="2188" t="s">
        <v>606</v>
      </c>
      <c r="L2" s="2188"/>
      <c r="M2" s="2188"/>
      <c r="N2" s="2188"/>
      <c r="P2" s="2188" t="s">
        <v>607</v>
      </c>
      <c r="Q2" s="2188"/>
      <c r="R2" s="2188"/>
      <c r="S2" s="2188"/>
      <c r="U2" s="2188" t="s">
        <v>608</v>
      </c>
      <c r="V2" s="2188"/>
      <c r="W2" s="2188"/>
      <c r="X2" s="2188"/>
      <c r="Z2" s="2188" t="s">
        <v>609</v>
      </c>
      <c r="AA2" s="2188"/>
      <c r="AB2" s="2188"/>
      <c r="AC2" s="2188"/>
    </row>
    <row r="3" spans="1:29" ht="20.149999999999999" customHeight="1">
      <c r="C3" s="655" t="s">
        <v>610</v>
      </c>
      <c r="D3" s="309" t="str">
        <f>LPKK!O4</f>
        <v>RC SAMATA GOWA</v>
      </c>
      <c r="H3" s="655" t="s">
        <v>610</v>
      </c>
      <c r="I3" s="309" t="str">
        <f>D3</f>
        <v>RC SAMATA GOWA</v>
      </c>
      <c r="M3" s="655" t="s">
        <v>610</v>
      </c>
      <c r="N3" s="309" t="str">
        <f>I3</f>
        <v>RC SAMATA GOWA</v>
      </c>
      <c r="R3" s="655" t="s">
        <v>610</v>
      </c>
      <c r="S3" s="309" t="str">
        <f>D3</f>
        <v>RC SAMATA GOWA</v>
      </c>
      <c r="W3" s="655" t="s">
        <v>610</v>
      </c>
      <c r="X3" s="655" t="str">
        <f>S3</f>
        <v>RC SAMATA GOWA</v>
      </c>
      <c r="AB3" s="655" t="s">
        <v>610</v>
      </c>
      <c r="AC3" s="309"/>
    </row>
    <row r="4" spans="1:29" ht="20.149999999999999" customHeight="1">
      <c r="C4" s="1349" t="s">
        <v>611</v>
      </c>
      <c r="D4" s="1350" t="str">
        <f>LPKK!O5</f>
        <v>8-14 JANUARI 2025</v>
      </c>
      <c r="H4" s="1349" t="s">
        <v>611</v>
      </c>
      <c r="I4" s="1350" t="str">
        <f>D4</f>
        <v>8-14 JANUARI 2025</v>
      </c>
      <c r="M4" s="1349" t="s">
        <v>611</v>
      </c>
      <c r="N4" s="1350" t="str">
        <f>I4</f>
        <v>8-14 JANUARI 2025</v>
      </c>
      <c r="R4" s="1349" t="s">
        <v>611</v>
      </c>
      <c r="S4" s="1350" t="str">
        <f>D4</f>
        <v>8-14 JANUARI 2025</v>
      </c>
      <c r="W4" s="1349" t="s">
        <v>611</v>
      </c>
      <c r="X4" s="1431" t="str">
        <f>S4</f>
        <v>8-14 JANUARI 2025</v>
      </c>
      <c r="AB4" s="1349" t="s">
        <v>611</v>
      </c>
      <c r="AC4" s="1462"/>
    </row>
    <row r="5" spans="1:29">
      <c r="P5" s="1069"/>
      <c r="X5" s="1010"/>
    </row>
    <row r="6" spans="1:29" ht="27" customHeight="1">
      <c r="A6" s="1351" t="s">
        <v>363</v>
      </c>
      <c r="B6" s="1352" t="s">
        <v>68</v>
      </c>
      <c r="C6" s="1352" t="s">
        <v>612</v>
      </c>
      <c r="D6" s="1353" t="s">
        <v>310</v>
      </c>
      <c r="E6" s="655"/>
      <c r="F6" s="1354" t="s">
        <v>613</v>
      </c>
      <c r="G6" s="1355" t="s">
        <v>68</v>
      </c>
      <c r="H6" s="1355" t="s">
        <v>614</v>
      </c>
      <c r="I6" s="1413" t="s">
        <v>310</v>
      </c>
      <c r="J6" s="655"/>
      <c r="K6" s="1414" t="s">
        <v>613</v>
      </c>
      <c r="L6" s="1355" t="s">
        <v>68</v>
      </c>
      <c r="M6" s="1355" t="s">
        <v>614</v>
      </c>
      <c r="N6" s="1413" t="s">
        <v>310</v>
      </c>
      <c r="O6" s="655"/>
      <c r="P6" s="1415" t="s">
        <v>363</v>
      </c>
      <c r="Q6" s="1355" t="s">
        <v>68</v>
      </c>
      <c r="R6" s="1352" t="s">
        <v>612</v>
      </c>
      <c r="S6" s="1353" t="s">
        <v>310</v>
      </c>
      <c r="U6" s="1351" t="s">
        <v>363</v>
      </c>
      <c r="V6" s="1352" t="s">
        <v>68</v>
      </c>
      <c r="W6" s="1352" t="s">
        <v>612</v>
      </c>
      <c r="X6" s="1353" t="s">
        <v>310</v>
      </c>
      <c r="Z6" s="1463" t="s">
        <v>613</v>
      </c>
      <c r="AA6" s="1464" t="s">
        <v>68</v>
      </c>
      <c r="AB6" s="1464" t="s">
        <v>614</v>
      </c>
      <c r="AC6" s="1465" t="s">
        <v>310</v>
      </c>
    </row>
    <row r="7" spans="1:29" s="635" customFormat="1" ht="20.149999999999999" customHeight="1">
      <c r="A7" s="1356" t="s">
        <v>615</v>
      </c>
      <c r="B7" s="1357">
        <f>H41</f>
        <v>4000</v>
      </c>
      <c r="C7" s="1358">
        <f>'WEEKLY FC'!E330</f>
        <v>38055.24</v>
      </c>
      <c r="D7" s="1359">
        <f>B7/1000*C7</f>
        <v>152220.96</v>
      </c>
      <c r="F7" s="1360" t="s">
        <v>374</v>
      </c>
      <c r="G7" s="1361">
        <v>7</v>
      </c>
      <c r="H7" s="1362">
        <v>13000</v>
      </c>
      <c r="I7" s="1416">
        <f>H7*G7*G27</f>
        <v>55391.747995248799</v>
      </c>
      <c r="K7" s="1360" t="s">
        <v>374</v>
      </c>
      <c r="L7" s="1361"/>
      <c r="M7" s="1362">
        <v>13000</v>
      </c>
      <c r="N7" s="1417">
        <f>L7*M7*L23</f>
        <v>0</v>
      </c>
      <c r="P7" s="1418" t="s">
        <v>616</v>
      </c>
      <c r="Q7" s="1355">
        <v>5</v>
      </c>
      <c r="R7" s="1432">
        <f>C8</f>
        <v>6154.7692307692296</v>
      </c>
      <c r="S7" s="1433">
        <f>R7*Q7</f>
        <v>30773.846153846102</v>
      </c>
      <c r="U7" s="1434" t="s">
        <v>243</v>
      </c>
      <c r="V7" s="1361"/>
      <c r="W7" s="1435">
        <v>10000</v>
      </c>
      <c r="X7" s="1359">
        <f>V7/1000*W7</f>
        <v>0</v>
      </c>
      <c r="Z7" s="1373" t="s">
        <v>617</v>
      </c>
      <c r="AA7" s="1377"/>
      <c r="AB7" s="1378">
        <v>10000</v>
      </c>
      <c r="AC7" s="1466">
        <f>AB7*AA7*AA22</f>
        <v>0</v>
      </c>
    </row>
    <row r="8" spans="1:29" s="635" customFormat="1" ht="20.149999999999999" customHeight="1">
      <c r="A8" s="1363" t="s">
        <v>618</v>
      </c>
      <c r="B8" s="1364"/>
      <c r="C8" s="1365">
        <f>'WEEKLY FC'!E11</f>
        <v>6154.7692307692296</v>
      </c>
      <c r="D8" s="1366">
        <f>B8*C8</f>
        <v>0</v>
      </c>
      <c r="F8" s="1367" t="s">
        <v>619</v>
      </c>
      <c r="G8" s="1368"/>
      <c r="H8" s="1369"/>
      <c r="I8" s="1419">
        <f>H8*G8*G27</f>
        <v>0</v>
      </c>
      <c r="K8" s="1367" t="s">
        <v>619</v>
      </c>
      <c r="L8" s="1368"/>
      <c r="M8" s="1369">
        <v>13000</v>
      </c>
      <c r="N8" s="1366">
        <f>L8*M8*L23</f>
        <v>0</v>
      </c>
      <c r="P8" s="1420" t="s">
        <v>77</v>
      </c>
      <c r="Q8" s="1436">
        <v>50</v>
      </c>
      <c r="R8" s="1432">
        <f>'WEEKLY FC'!E14</f>
        <v>3898.01923076923</v>
      </c>
      <c r="S8" s="1437">
        <f>R8*Q8</f>
        <v>194900.961538462</v>
      </c>
      <c r="U8" s="1367" t="s">
        <v>618</v>
      </c>
      <c r="V8" s="1368"/>
      <c r="W8" s="1365">
        <f>'WEEKLY FC'!E11</f>
        <v>6154.7692307692296</v>
      </c>
      <c r="X8" s="1359">
        <f>V8*W8</f>
        <v>0</v>
      </c>
      <c r="Z8" s="1373" t="s">
        <v>620</v>
      </c>
      <c r="AA8" s="1377"/>
      <c r="AB8" s="1378">
        <v>10000</v>
      </c>
      <c r="AC8" s="1466">
        <f>AB8*AA8*AA22</f>
        <v>0</v>
      </c>
    </row>
    <row r="9" spans="1:29" s="635" customFormat="1" ht="20.149999999999999" customHeight="1">
      <c r="A9" s="1363" t="s">
        <v>432</v>
      </c>
      <c r="B9" s="1370">
        <f>H43</f>
        <v>6000</v>
      </c>
      <c r="C9" s="1365">
        <f>'WEEKLY FC'!E77</f>
        <v>5000</v>
      </c>
      <c r="D9" s="1366">
        <f>B9/19000*C9</f>
        <v>1578.94736842105</v>
      </c>
      <c r="F9" s="1367" t="s">
        <v>621</v>
      </c>
      <c r="G9" s="1368"/>
      <c r="H9" s="1369"/>
      <c r="I9" s="1419">
        <f>H9*G9*G27</f>
        <v>0</v>
      </c>
      <c r="K9" s="1367" t="s">
        <v>622</v>
      </c>
      <c r="L9" s="1368"/>
      <c r="M9" s="1369">
        <v>11000</v>
      </c>
      <c r="N9" s="1366">
        <f>L9*M9*L23</f>
        <v>0</v>
      </c>
      <c r="P9" s="1420" t="s">
        <v>623</v>
      </c>
      <c r="Q9" s="1438"/>
      <c r="R9" s="1439"/>
      <c r="S9" s="1437">
        <f>R9*Q9</f>
        <v>0</v>
      </c>
      <c r="U9" s="1367"/>
      <c r="V9" s="1440"/>
      <c r="W9" s="1365"/>
      <c r="X9" s="1359">
        <f t="shared" ref="X9:X15" si="0">V9/1000*W9</f>
        <v>0</v>
      </c>
      <c r="Z9" s="1373" t="s">
        <v>624</v>
      </c>
      <c r="AA9" s="1377"/>
      <c r="AB9" s="1378">
        <v>9000</v>
      </c>
      <c r="AC9" s="1466">
        <f>AB9*AA9*AA22</f>
        <v>0</v>
      </c>
    </row>
    <row r="10" spans="1:29" s="635" customFormat="1" ht="20.149999999999999" customHeight="1">
      <c r="A10" s="1363" t="s">
        <v>249</v>
      </c>
      <c r="B10" s="1370">
        <f t="shared" ref="B10:B11" si="1">H45</f>
        <v>200</v>
      </c>
      <c r="C10" s="1365">
        <f>'WEEKLY FC'!E303</f>
        <v>52000</v>
      </c>
      <c r="D10" s="1366">
        <f>B10/1000*C10</f>
        <v>10400</v>
      </c>
      <c r="E10" s="2416"/>
      <c r="F10" s="1367" t="s">
        <v>625</v>
      </c>
      <c r="G10" s="1368"/>
      <c r="H10" s="1369"/>
      <c r="I10" s="1419">
        <f>H10*G10*G27</f>
        <v>0</v>
      </c>
      <c r="K10" s="1367" t="s">
        <v>78</v>
      </c>
      <c r="L10" s="1368"/>
      <c r="M10" s="1369">
        <v>10000</v>
      </c>
      <c r="N10" s="1366">
        <f>L10*M10*L23</f>
        <v>0</v>
      </c>
      <c r="P10" s="1367" t="s">
        <v>122</v>
      </c>
      <c r="Q10" s="1441">
        <f>R46</f>
        <v>16</v>
      </c>
      <c r="R10" s="1442">
        <f>'WEEKLY FC'!E62</f>
        <v>933</v>
      </c>
      <c r="S10" s="1437">
        <f>R10*Q10</f>
        <v>14928</v>
      </c>
      <c r="U10" s="1367" t="s">
        <v>626</v>
      </c>
      <c r="V10" s="1368"/>
      <c r="W10" s="1365">
        <f>'WEEKLY FC'!E303</f>
        <v>52000</v>
      </c>
      <c r="X10" s="1359">
        <f t="shared" si="0"/>
        <v>0</v>
      </c>
      <c r="Z10" s="1373" t="s">
        <v>627</v>
      </c>
      <c r="AA10" s="1377"/>
      <c r="AB10" s="1378">
        <v>8000</v>
      </c>
      <c r="AC10" s="1466">
        <f>AB10*AA10*AA22</f>
        <v>0</v>
      </c>
    </row>
    <row r="11" spans="1:29" s="635" customFormat="1" ht="20.149999999999999" customHeight="1">
      <c r="A11" s="1363" t="s">
        <v>248</v>
      </c>
      <c r="B11" s="1372">
        <f t="shared" si="1"/>
        <v>50</v>
      </c>
      <c r="C11" s="1365">
        <f>'WEEKLY FC'!E302</f>
        <v>52000</v>
      </c>
      <c r="D11" s="1366">
        <f>B11/1000*C11</f>
        <v>2600</v>
      </c>
      <c r="E11" s="2417"/>
      <c r="F11" s="1367" t="s">
        <v>628</v>
      </c>
      <c r="G11" s="1368"/>
      <c r="H11" s="1369"/>
      <c r="I11" s="1419">
        <f>H11*G11*G27</f>
        <v>0</v>
      </c>
      <c r="K11" s="1367" t="s">
        <v>629</v>
      </c>
      <c r="L11" s="1368"/>
      <c r="M11" s="1369">
        <v>4000</v>
      </c>
      <c r="N11" s="1366">
        <f>L11*M11*L23</f>
        <v>0</v>
      </c>
      <c r="P11" s="1367" t="s">
        <v>630</v>
      </c>
      <c r="Q11" s="1441">
        <f>R45</f>
        <v>50</v>
      </c>
      <c r="R11" s="1442">
        <f>'WEEKLY FC'!E65</f>
        <v>4700</v>
      </c>
      <c r="S11" s="1437">
        <f>Q11/250*R11</f>
        <v>940</v>
      </c>
      <c r="U11" s="1367" t="s">
        <v>631</v>
      </c>
      <c r="V11" s="1368"/>
      <c r="W11" s="1365">
        <f>'WEEKLY FC'!E302</f>
        <v>52000</v>
      </c>
      <c r="X11" s="1359">
        <f t="shared" si="0"/>
        <v>0</v>
      </c>
      <c r="Z11" s="1373"/>
      <c r="AA11" s="1377"/>
      <c r="AB11" s="1378">
        <v>4000</v>
      </c>
      <c r="AC11" s="1466">
        <f>AB11*AA11*AA22</f>
        <v>0</v>
      </c>
    </row>
    <row r="12" spans="1:29" s="635" customFormat="1" ht="20.149999999999999" customHeight="1">
      <c r="A12" s="1363" t="s">
        <v>632</v>
      </c>
      <c r="B12" s="1370">
        <f>H48</f>
        <v>4</v>
      </c>
      <c r="C12" s="1365">
        <f>'WEEKLY FC'!E342</f>
        <v>3108</v>
      </c>
      <c r="D12" s="1366">
        <f>B12*C12</f>
        <v>12432</v>
      </c>
      <c r="E12" s="2417"/>
      <c r="F12" s="1367" t="s">
        <v>633</v>
      </c>
      <c r="G12" s="1368"/>
      <c r="H12" s="1369"/>
      <c r="I12" s="1419">
        <f>H12*G12*G27</f>
        <v>0</v>
      </c>
      <c r="K12" s="1373" t="s">
        <v>634</v>
      </c>
      <c r="L12" s="1368"/>
      <c r="M12" s="1369">
        <f>H25</f>
        <v>5000</v>
      </c>
      <c r="N12" s="1366">
        <f>L12*M12*L23</f>
        <v>0</v>
      </c>
      <c r="P12" s="1367" t="s">
        <v>116</v>
      </c>
      <c r="Q12" s="1441">
        <f>R41</f>
        <v>100</v>
      </c>
      <c r="R12" s="1442">
        <f>'WEEKLY FC'!E58</f>
        <v>5000</v>
      </c>
      <c r="S12" s="1437">
        <f>Q12/1000*R12</f>
        <v>500</v>
      </c>
      <c r="U12" s="1367" t="s">
        <v>635</v>
      </c>
      <c r="V12" s="1368"/>
      <c r="W12" s="1443">
        <f>'WEEKLY FC'!E299</f>
        <v>35000</v>
      </c>
      <c r="X12" s="1444"/>
      <c r="Z12" s="1373"/>
      <c r="AA12" s="1377"/>
      <c r="AB12" s="1378">
        <v>4000</v>
      </c>
      <c r="AC12" s="1466">
        <f>AB12*AA12*AA22</f>
        <v>0</v>
      </c>
    </row>
    <row r="13" spans="1:29" s="635" customFormat="1" ht="20.149999999999999" customHeight="1">
      <c r="A13" s="1363" t="s">
        <v>636</v>
      </c>
      <c r="B13" s="1370">
        <f>H50</f>
        <v>500</v>
      </c>
      <c r="C13" s="1365">
        <f>'WEEKLY FC'!E301</f>
        <v>42000</v>
      </c>
      <c r="D13" s="1366">
        <f>B13/1000*C13</f>
        <v>21000</v>
      </c>
      <c r="E13" s="2417"/>
      <c r="F13" s="1367" t="s">
        <v>628</v>
      </c>
      <c r="G13" s="1368"/>
      <c r="H13" s="1369"/>
      <c r="I13" s="1419">
        <f>H13*G13*G27</f>
        <v>0</v>
      </c>
      <c r="K13" s="1373" t="s">
        <v>170</v>
      </c>
      <c r="L13" s="1368"/>
      <c r="M13" s="1369">
        <v>5000</v>
      </c>
      <c r="N13" s="1366">
        <f>M13*L13*L23</f>
        <v>0</v>
      </c>
      <c r="P13" s="1367" t="s">
        <v>637</v>
      </c>
      <c r="Q13" s="1441">
        <f>R43</f>
        <v>35</v>
      </c>
      <c r="R13" s="1442">
        <f>'WEEKLY FC'!E60</f>
        <v>6100</v>
      </c>
      <c r="S13" s="1437">
        <f>Q13/200*R13</f>
        <v>1067.5</v>
      </c>
      <c r="U13" s="1367" t="s">
        <v>638</v>
      </c>
      <c r="V13" s="1368"/>
      <c r="W13" s="1443">
        <f>'WEEKLY FC'!E300</f>
        <v>28100</v>
      </c>
      <c r="X13" s="1444"/>
      <c r="Z13" s="1373"/>
      <c r="AA13" s="1377"/>
      <c r="AB13" s="1378">
        <v>4000</v>
      </c>
      <c r="AC13" s="1466">
        <f>AB13*AA13*AA22</f>
        <v>0</v>
      </c>
    </row>
    <row r="14" spans="1:29" s="635" customFormat="1" ht="20.149999999999999" customHeight="1">
      <c r="A14" s="1363" t="s">
        <v>639</v>
      </c>
      <c r="B14" s="1370">
        <f>H51</f>
        <v>20</v>
      </c>
      <c r="C14" s="1365">
        <f>'WEEKLY FC'!E320</f>
        <v>1867</v>
      </c>
      <c r="D14" s="1366">
        <f>C14*B14</f>
        <v>37340</v>
      </c>
      <c r="E14" s="2417"/>
      <c r="F14" s="1367" t="s">
        <v>633</v>
      </c>
      <c r="G14" s="1368"/>
      <c r="H14" s="1369"/>
      <c r="I14" s="1419">
        <f>H14*G14*G27</f>
        <v>0</v>
      </c>
      <c r="K14" s="1373"/>
      <c r="L14" s="1368"/>
      <c r="M14" s="1369"/>
      <c r="N14" s="1366">
        <f>M14*L14*L23</f>
        <v>0</v>
      </c>
      <c r="P14" s="1367" t="s">
        <v>640</v>
      </c>
      <c r="Q14" s="1441">
        <f>R40</f>
        <v>1</v>
      </c>
      <c r="R14" s="1442">
        <f>'WEEKLY FC'!E343</f>
        <v>6660</v>
      </c>
      <c r="S14" s="1437">
        <f>Q14*R14</f>
        <v>6660</v>
      </c>
      <c r="U14" s="1367" t="s">
        <v>244</v>
      </c>
      <c r="V14" s="1368"/>
      <c r="W14" s="1443">
        <f>'WEEKLY FC'!E298</f>
        <v>0</v>
      </c>
      <c r="X14" s="1444"/>
      <c r="Z14" s="1373"/>
      <c r="AA14" s="1377"/>
      <c r="AB14" s="1378">
        <v>4000</v>
      </c>
      <c r="AC14" s="1466">
        <f>AB14*AA14*AA22</f>
        <v>0</v>
      </c>
    </row>
    <row r="15" spans="1:29" s="635" customFormat="1" ht="20.149999999999999" customHeight="1">
      <c r="A15" s="1373"/>
      <c r="B15" s="1374"/>
      <c r="C15" s="1375"/>
      <c r="D15" s="1376"/>
      <c r="E15" s="2417"/>
      <c r="F15" s="1367" t="s">
        <v>628</v>
      </c>
      <c r="G15" s="1368"/>
      <c r="H15" s="1369"/>
      <c r="I15" s="1419">
        <f>H15*G15*G27</f>
        <v>0</v>
      </c>
      <c r="K15" s="1373"/>
      <c r="L15" s="1368"/>
      <c r="M15" s="1369"/>
      <c r="N15" s="1366">
        <f>M15*L15*L23</f>
        <v>0</v>
      </c>
      <c r="P15" s="1367" t="s">
        <v>265</v>
      </c>
      <c r="Q15" s="1441">
        <f>R44</f>
        <v>8</v>
      </c>
      <c r="R15" s="1445">
        <f>C14</f>
        <v>1867</v>
      </c>
      <c r="S15" s="1437">
        <f>Q15*R15</f>
        <v>14936</v>
      </c>
      <c r="U15" s="1367" t="s">
        <v>636</v>
      </c>
      <c r="V15" s="1368"/>
      <c r="W15" s="1365">
        <f>'WEEKLY FC'!E301</f>
        <v>42000</v>
      </c>
      <c r="X15" s="1359">
        <f t="shared" si="0"/>
        <v>0</v>
      </c>
      <c r="Z15" s="1373"/>
      <c r="AA15" s="1377"/>
      <c r="AB15" s="1378"/>
      <c r="AC15" s="1466">
        <f>AB15*AA15*AA22</f>
        <v>0</v>
      </c>
    </row>
    <row r="16" spans="1:29" s="635" customFormat="1" ht="20.149999999999999" customHeight="1">
      <c r="A16" s="1373"/>
      <c r="B16" s="1374"/>
      <c r="C16" s="1375"/>
      <c r="D16" s="1376"/>
      <c r="F16" s="1367" t="s">
        <v>633</v>
      </c>
      <c r="G16" s="1368"/>
      <c r="H16" s="1369"/>
      <c r="I16" s="1419">
        <f>H16*G16*G27</f>
        <v>0</v>
      </c>
      <c r="K16" s="1373"/>
      <c r="L16" s="1368"/>
      <c r="M16" s="1369"/>
      <c r="N16" s="1366">
        <f>M16*L16*L23</f>
        <v>0</v>
      </c>
      <c r="P16" s="1367"/>
      <c r="Q16" s="1368"/>
      <c r="R16" s="1446"/>
      <c r="S16" s="1447"/>
      <c r="U16" s="1367" t="s">
        <v>639</v>
      </c>
      <c r="V16" s="1368"/>
      <c r="W16" s="1365">
        <f>'WEEKLY FC'!E320</f>
        <v>1867</v>
      </c>
      <c r="X16" s="1366">
        <f>V16*W16</f>
        <v>0</v>
      </c>
      <c r="Z16" s="1390"/>
      <c r="AA16" s="1377"/>
      <c r="AB16" s="1378"/>
      <c r="AC16" s="1466">
        <f>AB16*AA16*AA22</f>
        <v>0</v>
      </c>
    </row>
    <row r="17" spans="1:29" s="635" customFormat="1" ht="20.149999999999999" customHeight="1">
      <c r="A17" s="1373"/>
      <c r="B17" s="1374"/>
      <c r="C17" s="1375"/>
      <c r="D17" s="1376"/>
      <c r="F17" s="1367" t="s">
        <v>641</v>
      </c>
      <c r="G17" s="1368"/>
      <c r="H17" s="1369"/>
      <c r="I17" s="1419">
        <f>H17*G17*G27</f>
        <v>0</v>
      </c>
      <c r="K17" s="1373"/>
      <c r="L17" s="1368"/>
      <c r="M17" s="1369"/>
      <c r="N17" s="1366">
        <f>M17*L17*L24</f>
        <v>0</v>
      </c>
      <c r="P17" s="1367"/>
      <c r="Q17" s="1368"/>
      <c r="R17" s="1446"/>
      <c r="S17" s="1447"/>
      <c r="U17" s="1373"/>
      <c r="V17" s="1440"/>
      <c r="W17" s="1378"/>
      <c r="X17" s="1376"/>
      <c r="Z17" s="1390"/>
      <c r="AA17" s="1377"/>
      <c r="AB17" s="1378"/>
      <c r="AC17" s="1466"/>
    </row>
    <row r="18" spans="1:29" s="635" customFormat="1" ht="20.149999999999999" customHeight="1">
      <c r="A18" s="1373"/>
      <c r="B18" s="1374"/>
      <c r="C18" s="1375"/>
      <c r="D18" s="1376"/>
      <c r="F18" s="1367" t="s">
        <v>642</v>
      </c>
      <c r="G18" s="1368"/>
      <c r="H18" s="1369"/>
      <c r="I18" s="1419">
        <f>H18*G18*G27</f>
        <v>0</v>
      </c>
      <c r="K18" s="1373"/>
      <c r="L18" s="1368"/>
      <c r="M18" s="1369"/>
      <c r="N18" s="1366">
        <f t="shared" ref="N18" si="2">M18*L18*L25</f>
        <v>0</v>
      </c>
      <c r="P18" s="1367"/>
      <c r="Q18" s="1448"/>
      <c r="R18" s="1446"/>
      <c r="S18" s="1447"/>
      <c r="U18" s="1373"/>
      <c r="V18" s="1440"/>
      <c r="W18" s="1378"/>
      <c r="X18" s="1376"/>
      <c r="Z18" s="1390"/>
      <c r="AA18" s="1377"/>
      <c r="AB18" s="1378"/>
      <c r="AC18" s="1466"/>
    </row>
    <row r="19" spans="1:29" s="635" customFormat="1" ht="20.149999999999999" customHeight="1">
      <c r="A19" s="1373" t="s">
        <v>77</v>
      </c>
      <c r="B19" s="1377"/>
      <c r="C19" s="1378">
        <f>'WEEKLY FC'!E14</f>
        <v>3898.01923076923</v>
      </c>
      <c r="D19" s="1379">
        <f>C19*B19</f>
        <v>0</v>
      </c>
      <c r="F19" s="1367" t="s">
        <v>617</v>
      </c>
      <c r="G19" s="1368"/>
      <c r="H19" s="1369"/>
      <c r="I19" s="1419">
        <f>H19*G19*G27</f>
        <v>0</v>
      </c>
      <c r="K19" s="1373"/>
      <c r="L19" s="1368"/>
      <c r="M19" s="1369"/>
      <c r="N19" s="1366">
        <f>M19*L19*L23</f>
        <v>0</v>
      </c>
      <c r="P19" s="1367"/>
      <c r="Q19" s="1368"/>
      <c r="R19" s="1442"/>
      <c r="S19" s="1437"/>
      <c r="U19" s="1373"/>
      <c r="V19" s="1368"/>
      <c r="W19" s="1378"/>
      <c r="X19" s="1379"/>
      <c r="Z19" s="1390"/>
      <c r="AA19" s="1377"/>
      <c r="AB19" s="1378"/>
      <c r="AC19" s="1466">
        <f>AB19*AA19*AA22</f>
        <v>0</v>
      </c>
    </row>
    <row r="20" spans="1:29" s="635" customFormat="1" ht="20.149999999999999" customHeight="1">
      <c r="A20" s="1380"/>
      <c r="B20" s="1381"/>
      <c r="C20" s="1334" t="s">
        <v>234</v>
      </c>
      <c r="D20" s="1382">
        <f>SUM(D7:D19)</f>
        <v>237571.907368421</v>
      </c>
      <c r="F20" s="1367" t="s">
        <v>620</v>
      </c>
      <c r="G20" s="1368"/>
      <c r="H20" s="1369">
        <f>'LAP. PENJUALAN '!S207</f>
        <v>14000</v>
      </c>
      <c r="I20" s="1419">
        <f>H20*G20*G27</f>
        <v>0</v>
      </c>
      <c r="K20" s="1373"/>
      <c r="L20" s="1368"/>
      <c r="M20" s="1369"/>
      <c r="N20" s="1366">
        <f>M20*L20*L23</f>
        <v>0</v>
      </c>
      <c r="P20" s="1367"/>
      <c r="Q20" s="1368"/>
      <c r="R20" s="1442"/>
      <c r="S20" s="1437"/>
      <c r="U20" s="1380"/>
      <c r="V20" s="1381"/>
      <c r="W20" s="1334" t="s">
        <v>234</v>
      </c>
      <c r="X20" s="1449">
        <f>SUM(X7:X19)</f>
        <v>0</v>
      </c>
      <c r="Z20" s="1390"/>
      <c r="AA20" s="1377"/>
      <c r="AB20" s="1378"/>
      <c r="AC20" s="1466">
        <f>AB20*AA20*AA22</f>
        <v>0</v>
      </c>
    </row>
    <row r="21" spans="1:29" s="635" customFormat="1" ht="20.149999999999999" customHeight="1">
      <c r="A21" s="1373"/>
      <c r="B21" s="1383"/>
      <c r="C21" s="1383"/>
      <c r="D21" s="1384"/>
      <c r="F21" s="1367" t="s">
        <v>624</v>
      </c>
      <c r="G21" s="1368"/>
      <c r="H21" s="1369"/>
      <c r="I21" s="1419">
        <f>H21*G21*G27</f>
        <v>0</v>
      </c>
      <c r="K21" s="1373"/>
      <c r="L21" s="1368"/>
      <c r="M21" s="1369"/>
      <c r="N21" s="1366">
        <f>M21*L21*L23</f>
        <v>0</v>
      </c>
      <c r="P21" s="1380"/>
      <c r="Q21" s="1450"/>
      <c r="R21" s="1451" t="s">
        <v>234</v>
      </c>
      <c r="S21" s="1449">
        <f>SUM(S7:S20)</f>
        <v>264706.30769230798</v>
      </c>
      <c r="U21" s="1373"/>
      <c r="V21" s="1383"/>
      <c r="W21" s="1383"/>
      <c r="X21" s="1384"/>
      <c r="Z21" s="1390"/>
      <c r="AA21" s="1377"/>
      <c r="AB21" s="1378"/>
      <c r="AC21" s="1466">
        <f>AB21*AA21*AA22</f>
        <v>0</v>
      </c>
    </row>
    <row r="22" spans="1:29" s="635" customFormat="1" ht="20.149999999999999" customHeight="1">
      <c r="A22" s="1385" t="s">
        <v>643</v>
      </c>
      <c r="B22" s="1386">
        <v>144</v>
      </c>
      <c r="C22" s="1387" t="s">
        <v>644</v>
      </c>
      <c r="D22" s="1388">
        <f>D20/B22</f>
        <v>1649.8049122806999</v>
      </c>
      <c r="F22" s="1367" t="s">
        <v>627</v>
      </c>
      <c r="G22" s="1368"/>
      <c r="H22" s="1369"/>
      <c r="I22" s="1419">
        <f>H22*G22*G27</f>
        <v>0</v>
      </c>
      <c r="K22" s="1421"/>
      <c r="L22" s="1377"/>
      <c r="M22" s="1378"/>
      <c r="N22" s="1422"/>
      <c r="P22" s="1373"/>
      <c r="Q22" s="1452"/>
      <c r="R22" s="1452"/>
      <c r="S22" s="1453"/>
      <c r="U22" s="1385" t="s">
        <v>643</v>
      </c>
      <c r="V22" s="1386"/>
      <c r="W22" s="1387" t="s">
        <v>644</v>
      </c>
      <c r="X22" s="1423" t="e">
        <f>X20/V22</f>
        <v>#DIV/0!</v>
      </c>
      <c r="Z22" s="1393" t="s">
        <v>645</v>
      </c>
      <c r="AA22" s="1467">
        <f>H36</f>
        <v>0.60870052742031699</v>
      </c>
      <c r="AB22" s="1468"/>
      <c r="AC22" s="1469">
        <f>SUM(AC7:AC21)</f>
        <v>0</v>
      </c>
    </row>
    <row r="23" spans="1:29" ht="25.15" customHeight="1">
      <c r="A23" s="655"/>
      <c r="B23" s="653" t="s">
        <v>61</v>
      </c>
      <c r="C23" s="655"/>
      <c r="D23" s="655"/>
      <c r="E23" s="655"/>
      <c r="F23" s="1367" t="s">
        <v>629</v>
      </c>
      <c r="G23" s="1368">
        <v>52</v>
      </c>
      <c r="H23" s="1369">
        <v>4000</v>
      </c>
      <c r="I23" s="1419">
        <f>H23*G23*G27</f>
        <v>126609.70970342599</v>
      </c>
      <c r="J23" s="655"/>
      <c r="K23" s="1393" t="s">
        <v>645</v>
      </c>
      <c r="L23" s="1394">
        <f>H36</f>
        <v>0.60870052742031699</v>
      </c>
      <c r="M23" s="1387" t="s">
        <v>310</v>
      </c>
      <c r="N23" s="1423">
        <f>SUM(N7:N22)</f>
        <v>0</v>
      </c>
      <c r="O23" s="655"/>
      <c r="P23" s="1424" t="s">
        <v>646</v>
      </c>
      <c r="Q23" s="1454">
        <v>69</v>
      </c>
      <c r="R23" s="1455"/>
      <c r="S23" s="1456">
        <f>S21/Q23</f>
        <v>3836.3232998885201</v>
      </c>
      <c r="U23" s="655"/>
      <c r="V23" s="653"/>
      <c r="W23" s="655"/>
      <c r="X23" s="655"/>
      <c r="Y23" s="1470"/>
      <c r="Z23" s="655"/>
      <c r="AA23" s="1396"/>
      <c r="AB23" s="1397"/>
      <c r="AC23" s="1371"/>
    </row>
    <row r="24" spans="1:29" ht="25.15" customHeight="1">
      <c r="A24" s="655"/>
      <c r="B24" s="653"/>
      <c r="C24" s="655"/>
      <c r="D24" s="1389"/>
      <c r="E24" s="655"/>
      <c r="F24" s="1367" t="s">
        <v>647</v>
      </c>
      <c r="G24" s="1368"/>
      <c r="H24" s="1369"/>
      <c r="I24" s="1419">
        <f>H24*G24*G27</f>
        <v>0</v>
      </c>
      <c r="J24" s="655"/>
      <c r="K24" s="651"/>
      <c r="L24" s="1425"/>
      <c r="M24" s="651"/>
      <c r="N24" s="1426"/>
      <c r="O24" s="655"/>
      <c r="P24" s="1427"/>
      <c r="Q24" s="579" t="s">
        <v>61</v>
      </c>
      <c r="R24" s="579"/>
      <c r="S24" s="1457"/>
      <c r="U24" s="655"/>
      <c r="V24" s="653"/>
      <c r="W24" s="655"/>
      <c r="X24" s="655"/>
      <c r="Y24" s="1470"/>
      <c r="Z24" s="655"/>
      <c r="AA24" s="655"/>
      <c r="AB24" s="653"/>
      <c r="AC24" s="1371"/>
    </row>
    <row r="25" spans="1:29" ht="25.15" customHeight="1">
      <c r="A25" s="655"/>
      <c r="B25" s="653"/>
      <c r="C25" s="655"/>
      <c r="D25" s="655"/>
      <c r="E25" s="655"/>
      <c r="F25" s="1367" t="s">
        <v>634</v>
      </c>
      <c r="G25" s="1368">
        <v>7</v>
      </c>
      <c r="H25" s="1369">
        <v>5000</v>
      </c>
      <c r="I25" s="1419">
        <f>H25*G25*G27</f>
        <v>21304.5184597111</v>
      </c>
      <c r="J25" s="655"/>
      <c r="K25" s="651"/>
      <c r="L25" s="1425"/>
      <c r="M25" s="651"/>
      <c r="N25" s="1426"/>
      <c r="O25" s="655"/>
      <c r="P25" s="1427"/>
      <c r="Q25" s="579"/>
      <c r="R25" s="579"/>
      <c r="S25" s="1457"/>
      <c r="U25" s="655"/>
      <c r="V25" s="653"/>
      <c r="W25" s="655"/>
      <c r="X25" s="655"/>
      <c r="Y25" s="1470"/>
      <c r="Z25" s="655"/>
      <c r="AA25" s="655"/>
      <c r="AB25" s="653"/>
      <c r="AC25" s="1371"/>
    </row>
    <row r="26" spans="1:29" ht="25.15" customHeight="1">
      <c r="A26" s="655"/>
      <c r="B26" s="653"/>
      <c r="C26" s="655"/>
      <c r="D26" s="655"/>
      <c r="E26" s="655"/>
      <c r="F26" s="1390"/>
      <c r="G26" s="1391"/>
      <c r="H26" s="1392"/>
      <c r="I26" s="1419">
        <f>H26*G26*G26</f>
        <v>0</v>
      </c>
      <c r="J26" s="655"/>
      <c r="K26" s="651"/>
      <c r="L26" s="1425"/>
      <c r="M26" s="651"/>
      <c r="N26" s="1426"/>
      <c r="O26" s="655"/>
      <c r="P26" s="1427"/>
      <c r="Q26" s="579"/>
      <c r="R26" s="579"/>
      <c r="S26" s="1457"/>
      <c r="U26" s="655"/>
      <c r="V26" s="653"/>
      <c r="W26" s="655"/>
      <c r="X26" s="655"/>
      <c r="Y26" s="1470"/>
      <c r="Z26" s="655"/>
      <c r="AA26" s="655"/>
      <c r="AB26" s="653"/>
      <c r="AC26" s="1371"/>
    </row>
    <row r="27" spans="1:29" ht="25.15" customHeight="1">
      <c r="D27" s="651" t="s">
        <v>648</v>
      </c>
      <c r="F27" s="1393" t="s">
        <v>645</v>
      </c>
      <c r="G27" s="1394">
        <f>H36</f>
        <v>0.60870052742031699</v>
      </c>
      <c r="H27" s="1395"/>
      <c r="I27" s="1428">
        <f>SUM(I7:I26)</f>
        <v>203305.97615838601</v>
      </c>
      <c r="N27" s="651" t="s">
        <v>648</v>
      </c>
      <c r="S27" s="651" t="s">
        <v>648</v>
      </c>
      <c r="X27" s="651" t="s">
        <v>648</v>
      </c>
      <c r="AC27" s="651" t="s">
        <v>648</v>
      </c>
    </row>
    <row r="28" spans="1:29" ht="14.5">
      <c r="F28" s="655"/>
      <c r="G28" s="1396"/>
      <c r="H28" s="1397"/>
      <c r="I28" s="1371"/>
    </row>
    <row r="29" spans="1:29" ht="14.5">
      <c r="I29" s="651" t="s">
        <v>648</v>
      </c>
    </row>
    <row r="30" spans="1:29">
      <c r="D30" s="561" t="s">
        <v>649</v>
      </c>
      <c r="X30" s="561" t="s">
        <v>649</v>
      </c>
    </row>
    <row r="31" spans="1:29">
      <c r="N31" s="561" t="s">
        <v>650</v>
      </c>
      <c r="S31" s="561" t="s">
        <v>649</v>
      </c>
      <c r="U31" s="655" t="s">
        <v>651</v>
      </c>
      <c r="AC31" s="561" t="s">
        <v>650</v>
      </c>
    </row>
    <row r="32" spans="1:29" ht="13.5" customHeight="1"/>
    <row r="33" spans="1:18">
      <c r="I33" s="561" t="s">
        <v>650</v>
      </c>
    </row>
    <row r="34" spans="1:18" ht="21.75" customHeight="1">
      <c r="A34" s="1398" t="s">
        <v>652</v>
      </c>
      <c r="B34" s="1399">
        <v>4</v>
      </c>
      <c r="D34" s="561"/>
      <c r="P34" s="1398" t="s">
        <v>652</v>
      </c>
      <c r="Q34" s="1399">
        <v>1</v>
      </c>
    </row>
    <row r="36" spans="1:18" ht="14.5">
      <c r="F36" s="2408" t="s">
        <v>653</v>
      </c>
      <c r="G36" s="2409"/>
      <c r="H36" s="1400">
        <v>0.60870052742031699</v>
      </c>
    </row>
    <row r="37" spans="1:18" ht="23.5">
      <c r="A37" s="1401" t="s">
        <v>654</v>
      </c>
      <c r="B37" s="1401"/>
      <c r="C37" s="1401"/>
      <c r="P37" s="2410" t="s">
        <v>655</v>
      </c>
      <c r="Q37" s="2410"/>
      <c r="R37" s="2410"/>
    </row>
    <row r="38" spans="1:18">
      <c r="A38" s="1010"/>
      <c r="P38" s="1403"/>
      <c r="Q38" s="1403"/>
      <c r="R38" s="1403"/>
    </row>
    <row r="39" spans="1:18" ht="21">
      <c r="A39" s="919" t="s">
        <v>656</v>
      </c>
      <c r="B39" s="920"/>
      <c r="C39" s="920"/>
      <c r="D39" s="939"/>
      <c r="F39" s="2411" t="s">
        <v>657</v>
      </c>
      <c r="G39" s="2411"/>
      <c r="H39" s="2411"/>
      <c r="P39" s="1429"/>
      <c r="Q39" s="1458"/>
      <c r="R39" s="1459"/>
    </row>
    <row r="40" spans="1:18">
      <c r="A40" s="921" t="s">
        <v>658</v>
      </c>
      <c r="D40" s="1402"/>
      <c r="F40" s="1403"/>
      <c r="G40" s="1403"/>
      <c r="H40" s="1403"/>
      <c r="P40" s="1429" t="s">
        <v>659</v>
      </c>
      <c r="Q40" s="1458">
        <v>1</v>
      </c>
      <c r="R40" s="1460">
        <f>Q40*Q34</f>
        <v>1</v>
      </c>
    </row>
    <row r="41" spans="1:18" ht="15.5">
      <c r="A41" s="1404" t="s">
        <v>660</v>
      </c>
      <c r="D41" s="1402"/>
      <c r="F41" s="1405" t="s">
        <v>615</v>
      </c>
      <c r="G41" s="1406">
        <v>1000</v>
      </c>
      <c r="H41" s="1407">
        <f>G41*B34</f>
        <v>4000</v>
      </c>
      <c r="O41" s="1371"/>
      <c r="P41" s="1429" t="s">
        <v>116</v>
      </c>
      <c r="Q41" s="1458">
        <v>100</v>
      </c>
      <c r="R41" s="1460">
        <f>Q41*Q34</f>
        <v>100</v>
      </c>
    </row>
    <row r="42" spans="1:18" ht="15.5">
      <c r="A42" s="921" t="s">
        <v>661</v>
      </c>
      <c r="D42" s="1402"/>
      <c r="F42" s="1405" t="s">
        <v>618</v>
      </c>
      <c r="G42" s="1406"/>
      <c r="H42" s="1408">
        <f>G42*B34</f>
        <v>0</v>
      </c>
      <c r="O42" s="1371"/>
      <c r="P42" s="1429"/>
      <c r="Q42" s="1458"/>
      <c r="R42" s="1461"/>
    </row>
    <row r="43" spans="1:18" ht="15.5">
      <c r="A43" s="921" t="s">
        <v>662</v>
      </c>
      <c r="B43" s="911"/>
      <c r="D43" s="1402"/>
      <c r="F43" s="1405" t="s">
        <v>432</v>
      </c>
      <c r="G43" s="1406">
        <v>1500</v>
      </c>
      <c r="H43" s="1407">
        <f>G43*B34</f>
        <v>6000</v>
      </c>
      <c r="P43" s="1429" t="s">
        <v>637</v>
      </c>
      <c r="Q43" s="1458">
        <v>35</v>
      </c>
      <c r="R43" s="1460">
        <f>Q43*Q34</f>
        <v>35</v>
      </c>
    </row>
    <row r="44" spans="1:18" ht="15.5">
      <c r="A44" s="921" t="s">
        <v>663</v>
      </c>
      <c r="D44" s="1402"/>
      <c r="F44" s="1405"/>
      <c r="G44" s="1406"/>
      <c r="H44" s="1409"/>
      <c r="P44" s="1429" t="s">
        <v>265</v>
      </c>
      <c r="Q44" s="1458">
        <v>8</v>
      </c>
      <c r="R44" s="1460">
        <f>Q44*Q34</f>
        <v>8</v>
      </c>
    </row>
    <row r="45" spans="1:18" ht="13.9" customHeight="1">
      <c r="A45" s="921" t="s">
        <v>664</v>
      </c>
      <c r="D45" s="1402"/>
      <c r="F45" s="1405" t="s">
        <v>249</v>
      </c>
      <c r="G45" s="1406">
        <v>50</v>
      </c>
      <c r="H45" s="1407">
        <f>G45*B34</f>
        <v>200</v>
      </c>
      <c r="P45" s="1429" t="s">
        <v>665</v>
      </c>
      <c r="Q45" s="1458">
        <v>50</v>
      </c>
      <c r="R45" s="1460">
        <f>Q45*Q34</f>
        <v>50</v>
      </c>
    </row>
    <row r="46" spans="1:18" ht="15.5">
      <c r="A46" s="921" t="s">
        <v>666</v>
      </c>
      <c r="D46" s="1402"/>
      <c r="F46" s="1405" t="s">
        <v>248</v>
      </c>
      <c r="G46" s="1406">
        <v>12.5</v>
      </c>
      <c r="H46" s="1407">
        <f>G46*B34</f>
        <v>50</v>
      </c>
      <c r="O46" s="1371"/>
      <c r="P46" s="1429" t="s">
        <v>122</v>
      </c>
      <c r="Q46" s="1458">
        <v>16</v>
      </c>
      <c r="R46" s="1460">
        <f>Q46*Q34</f>
        <v>16</v>
      </c>
    </row>
    <row r="47" spans="1:18" ht="14.5">
      <c r="A47" s="921" t="s">
        <v>667</v>
      </c>
      <c r="D47" s="1402"/>
      <c r="F47" s="2418" t="s">
        <v>632</v>
      </c>
      <c r="G47" s="1406"/>
      <c r="H47" s="1409"/>
      <c r="O47" s="651"/>
      <c r="P47" s="1429"/>
      <c r="Q47" s="1458"/>
      <c r="R47" s="1406"/>
    </row>
    <row r="48" spans="1:18" ht="14.5">
      <c r="A48" s="921" t="s">
        <v>668</v>
      </c>
      <c r="D48" s="1402"/>
      <c r="F48" s="2419"/>
      <c r="G48" s="1406">
        <v>1</v>
      </c>
      <c r="H48" s="1407">
        <f>G48*B34</f>
        <v>4</v>
      </c>
      <c r="O48" s="651"/>
      <c r="P48" s="1429"/>
      <c r="Q48" s="1458"/>
      <c r="R48" s="1429"/>
    </row>
    <row r="49" spans="1:18">
      <c r="A49" s="921" t="s">
        <v>669</v>
      </c>
      <c r="D49" s="1402"/>
      <c r="F49" s="2420"/>
      <c r="G49" s="1406"/>
      <c r="H49" s="1409"/>
      <c r="P49" s="1429"/>
      <c r="Q49" s="1458"/>
      <c r="R49" s="1429"/>
    </row>
    <row r="50" spans="1:18" ht="14.5">
      <c r="A50" s="921" t="s">
        <v>670</v>
      </c>
      <c r="D50" s="1402"/>
      <c r="F50" s="1405" t="s">
        <v>636</v>
      </c>
      <c r="G50" s="1406">
        <v>125</v>
      </c>
      <c r="H50" s="1407">
        <f>G50*B34</f>
        <v>500</v>
      </c>
    </row>
    <row r="51" spans="1:18" ht="14.5">
      <c r="A51" s="921" t="s">
        <v>671</v>
      </c>
      <c r="D51" s="1402"/>
      <c r="F51" s="1405" t="s">
        <v>639</v>
      </c>
      <c r="G51" s="1406">
        <v>5</v>
      </c>
      <c r="H51" s="1407">
        <f>G51*B34</f>
        <v>20</v>
      </c>
    </row>
    <row r="52" spans="1:18" ht="52.5" customHeight="1">
      <c r="A52" s="2412" t="s">
        <v>672</v>
      </c>
      <c r="B52" s="2412"/>
      <c r="C52" s="2412"/>
      <c r="D52" s="2413"/>
      <c r="F52" s="1410"/>
      <c r="G52" s="1411"/>
      <c r="H52" s="1412"/>
    </row>
    <row r="53" spans="1:18" ht="37.5" customHeight="1">
      <c r="A53" s="2412" t="s">
        <v>673</v>
      </c>
      <c r="B53" s="2412"/>
      <c r="C53" s="2412"/>
      <c r="D53" s="2413"/>
      <c r="F53" s="655"/>
      <c r="G53" s="655"/>
      <c r="H53" s="655"/>
    </row>
    <row r="54" spans="1:18" ht="59.25" customHeight="1">
      <c r="A54" s="2412" t="s">
        <v>674</v>
      </c>
      <c r="B54" s="2412"/>
      <c r="C54" s="2412"/>
      <c r="D54" s="2413"/>
    </row>
    <row r="55" spans="1:18" ht="65.25" customHeight="1">
      <c r="A55" s="2412" t="s">
        <v>675</v>
      </c>
      <c r="B55" s="2412"/>
      <c r="C55" s="2412"/>
      <c r="D55" s="2413"/>
    </row>
    <row r="56" spans="1:18" ht="85.5" customHeight="1">
      <c r="A56" s="2412" t="s">
        <v>676</v>
      </c>
      <c r="B56" s="2412"/>
      <c r="C56" s="2412"/>
      <c r="D56" s="2413"/>
    </row>
    <row r="57" spans="1:18" ht="62.25" customHeight="1">
      <c r="A57" s="2412" t="s">
        <v>677</v>
      </c>
      <c r="B57" s="2412"/>
      <c r="C57" s="2412"/>
      <c r="D57" s="2413"/>
    </row>
    <row r="58" spans="1:18" ht="48.75" customHeight="1">
      <c r="A58" s="2412" t="s">
        <v>678</v>
      </c>
      <c r="B58" s="2412"/>
      <c r="C58" s="2412"/>
      <c r="D58" s="2413"/>
    </row>
    <row r="59" spans="1:18" ht="38.25" customHeight="1">
      <c r="A59" s="2412" t="s">
        <v>679</v>
      </c>
      <c r="B59" s="2412"/>
      <c r="C59" s="2412"/>
      <c r="D59" s="2413"/>
    </row>
    <row r="60" spans="1:18" ht="45.75" customHeight="1">
      <c r="A60" s="2414" t="s">
        <v>680</v>
      </c>
      <c r="B60" s="2414"/>
      <c r="C60" s="2414"/>
      <c r="D60" s="2415"/>
    </row>
    <row r="64" spans="1:18">
      <c r="L64" s="1430"/>
    </row>
    <row r="65" spans="1:12">
      <c r="L65" s="1430"/>
    </row>
    <row r="66" spans="1:12">
      <c r="L66" s="1430"/>
    </row>
    <row r="67" spans="1:12">
      <c r="A67" s="1471"/>
      <c r="B67" s="1471"/>
      <c r="C67" s="1471"/>
      <c r="D67" s="1471"/>
      <c r="E67" s="1471"/>
    </row>
    <row r="68" spans="1:12">
      <c r="A68" s="1471"/>
      <c r="B68" s="1471"/>
      <c r="C68" s="1471"/>
      <c r="D68" s="1471"/>
      <c r="E68" s="1471"/>
    </row>
    <row r="69" spans="1:12">
      <c r="A69" s="1472">
        <v>0</v>
      </c>
      <c r="F69" s="1471"/>
      <c r="G69" s="1471"/>
      <c r="H69" s="1471"/>
    </row>
    <row r="70" spans="1:12">
      <c r="A70" s="1471"/>
      <c r="F70" s="1471"/>
      <c r="G70" s="1471"/>
      <c r="H70" s="1471"/>
    </row>
    <row r="71" spans="1:12">
      <c r="A71" s="1471"/>
    </row>
    <row r="72" spans="1:12">
      <c r="A72" s="1471"/>
    </row>
    <row r="73" spans="1:12">
      <c r="A73" s="1471"/>
    </row>
    <row r="74" spans="1:12">
      <c r="A74" s="1471"/>
    </row>
    <row r="75" spans="1:12">
      <c r="A75" s="1471"/>
    </row>
    <row r="76" spans="1:12">
      <c r="A76" s="1471"/>
    </row>
    <row r="77" spans="1:12">
      <c r="A77" s="1471"/>
    </row>
    <row r="78" spans="1:12">
      <c r="A78" s="1471"/>
    </row>
    <row r="79" spans="1:12">
      <c r="A79" s="1471"/>
    </row>
    <row r="80" spans="1:12">
      <c r="A80" s="1471"/>
    </row>
  </sheetData>
  <sheetProtection algorithmName="SHA-512" hashValue="W5ivKO2eaMZZLYKt2+JQpucF50pAOZanfArJhFx2WIUGCFi0W57+OL+HdtJYCJsUZZjnuuS9r8Ay37KdCc23qw==" saltValue="U6yySXQ7C6vEYuNAD7BasA==" spinCount="100000" sheet="1" objects="1" scenarios="1"/>
  <mergeCells count="20">
    <mergeCell ref="A58:D58"/>
    <mergeCell ref="A59:D59"/>
    <mergeCell ref="A60:D60"/>
    <mergeCell ref="E10:E15"/>
    <mergeCell ref="F47:F49"/>
    <mergeCell ref="A53:D53"/>
    <mergeCell ref="A54:D54"/>
    <mergeCell ref="A55:D55"/>
    <mergeCell ref="A56:D56"/>
    <mergeCell ref="A57:D57"/>
    <mergeCell ref="Z2:AC2"/>
    <mergeCell ref="F36:G36"/>
    <mergeCell ref="P37:R37"/>
    <mergeCell ref="F39:H39"/>
    <mergeCell ref="A52:D52"/>
    <mergeCell ref="A2:D2"/>
    <mergeCell ref="F2:I2"/>
    <mergeCell ref="K2:N2"/>
    <mergeCell ref="P2:S2"/>
    <mergeCell ref="U2:X2"/>
  </mergeCells>
  <printOptions horizontalCentered="1"/>
  <pageMargins left="0.12" right="0.12" top="0.59" bottom="0.12" header="0.31" footer="0.31"/>
  <pageSetup paperSize="10000" scale="37"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2:BM345"/>
  <sheetViews>
    <sheetView topLeftCell="A85" zoomScale="89" zoomScaleNormal="89" workbookViewId="0">
      <selection activeCell="G72" sqref="A1:BL115"/>
    </sheetView>
  </sheetViews>
  <sheetFormatPr defaultColWidth="9.26953125" defaultRowHeight="13"/>
  <cols>
    <col min="1" max="1" width="32.7265625" style="571" customWidth="1"/>
    <col min="2" max="2" width="12.54296875" style="571" customWidth="1"/>
    <col min="3" max="3" width="2.7265625" style="571" customWidth="1"/>
    <col min="4" max="4" width="32.7265625" style="571" customWidth="1"/>
    <col min="5" max="5" width="10.54296875" style="571" customWidth="1"/>
    <col min="6" max="6" width="2.7265625" style="571" customWidth="1"/>
    <col min="7" max="7" width="32.1796875" style="571" customWidth="1"/>
    <col min="8" max="8" width="12" style="571" customWidth="1"/>
    <col min="9" max="9" width="2.54296875" style="571" customWidth="1"/>
    <col min="10" max="10" width="17.81640625" style="532" customWidth="1"/>
    <col min="11" max="11" width="10.54296875" style="532" customWidth="1"/>
    <col min="12" max="12" width="33.26953125" style="532" customWidth="1"/>
    <col min="13" max="13" width="18.7265625" style="532" customWidth="1"/>
    <col min="14" max="14" width="17.54296875" style="532" customWidth="1"/>
    <col min="15" max="15" width="9.26953125" style="532" customWidth="1"/>
    <col min="16" max="16" width="32" style="532" customWidth="1"/>
    <col min="17" max="17" width="14.7265625" style="532" customWidth="1"/>
    <col min="18" max="18" width="19.7265625" style="532" customWidth="1"/>
    <col min="19" max="19" width="9.26953125" style="532" customWidth="1"/>
    <col min="20" max="20" width="17.54296875" style="532" customWidth="1"/>
    <col min="21" max="21" width="9.26953125" style="532" customWidth="1"/>
    <col min="22" max="22" width="18.26953125" style="571" customWidth="1"/>
    <col min="23" max="23" width="9.26953125" style="571" customWidth="1"/>
    <col min="24" max="24" width="16.1796875" style="571" customWidth="1"/>
    <col min="25" max="25" width="10" style="571" customWidth="1"/>
    <col min="26" max="26" width="17.54296875" style="571" customWidth="1"/>
    <col min="27" max="27" width="9.26953125" style="571" customWidth="1"/>
    <col min="28" max="28" width="17.7265625" style="571" customWidth="1"/>
    <col min="29" max="29" width="9.26953125" style="571" customWidth="1"/>
    <col min="30" max="30" width="17.54296875" style="571" customWidth="1"/>
    <col min="31" max="31" width="9.26953125" style="571" customWidth="1"/>
    <col min="32" max="32" width="25.1796875" style="571" customWidth="1"/>
    <col min="33" max="33" width="11.81640625" style="571" customWidth="1"/>
    <col min="34" max="34" width="17.26953125" style="571" customWidth="1"/>
    <col min="35" max="35" width="9.26953125" style="571" customWidth="1"/>
    <col min="36" max="36" width="19.453125" style="571" customWidth="1"/>
    <col min="37" max="37" width="9.26953125" style="571" customWidth="1"/>
    <col min="38" max="38" width="25.26953125" style="571" customWidth="1"/>
    <col min="39" max="39" width="9.26953125" style="571" customWidth="1"/>
    <col min="40" max="40" width="25" style="571" customWidth="1"/>
    <col min="41" max="41" width="9.26953125" style="571" customWidth="1"/>
    <col min="42" max="42" width="17.7265625" style="571" customWidth="1"/>
    <col min="43" max="43" width="9.26953125" style="571" customWidth="1"/>
    <col min="44" max="44" width="20.26953125" style="571" customWidth="1"/>
    <col min="45" max="45" width="18.81640625" style="571" customWidth="1"/>
    <col min="46" max="46" width="15.54296875" style="571" customWidth="1"/>
    <col min="47" max="47" width="20.1796875" style="571" customWidth="1"/>
    <col min="48" max="48" width="13.1796875" style="571" customWidth="1"/>
    <col min="49" max="49" width="18.7265625" style="571" customWidth="1"/>
    <col min="50" max="50" width="14.26953125" style="571" customWidth="1"/>
    <col min="51" max="51" width="17.7265625" style="571" customWidth="1"/>
    <col min="52" max="52" width="18.1796875" style="571" customWidth="1"/>
    <col min="53" max="53" width="19.7265625" style="571" customWidth="1"/>
    <col min="54" max="54" width="18.453125" style="571" customWidth="1"/>
    <col min="55" max="55" width="16" style="571" customWidth="1"/>
    <col min="56" max="56" width="19.453125" style="571" customWidth="1"/>
    <col min="57" max="57" width="20.26953125" style="571" customWidth="1"/>
    <col min="58" max="58" width="9.26953125" style="571"/>
    <col min="59" max="59" width="18.26953125" style="571" customWidth="1"/>
    <col min="60" max="60" width="12.26953125" style="571" customWidth="1"/>
    <col min="61" max="61" width="15.7265625" style="571" customWidth="1"/>
    <col min="62" max="62" width="9.26953125" style="571"/>
    <col min="63" max="63" width="17.7265625" style="571" customWidth="1"/>
    <col min="64" max="16384" width="9.26953125" style="571"/>
  </cols>
  <sheetData>
    <row r="2" spans="1:58" ht="13.15" customHeight="1">
      <c r="G2" s="1119"/>
      <c r="H2" s="1119"/>
      <c r="I2" s="1119"/>
      <c r="J2" s="1119"/>
      <c r="K2" s="1119"/>
      <c r="L2" s="1119"/>
      <c r="M2" s="1119"/>
      <c r="N2" s="1119"/>
      <c r="O2" s="1119"/>
      <c r="P2" s="1119"/>
      <c r="Q2" s="1119"/>
      <c r="R2" s="1119"/>
      <c r="S2" s="1119"/>
      <c r="T2" s="1119"/>
      <c r="U2" s="1119"/>
    </row>
    <row r="3" spans="1:58" ht="13.15" customHeight="1">
      <c r="G3" s="1119"/>
      <c r="H3" s="1119"/>
      <c r="I3" s="1119"/>
      <c r="J3" s="1119"/>
      <c r="K3" s="1119"/>
      <c r="L3" s="2467" t="s">
        <v>681</v>
      </c>
      <c r="M3" s="2467"/>
      <c r="N3" s="2467"/>
      <c r="O3" s="2467"/>
      <c r="P3" s="2467"/>
      <c r="Q3" s="2467"/>
      <c r="R3" s="2467"/>
      <c r="S3" s="2467"/>
      <c r="T3" s="2467"/>
      <c r="U3" s="2467"/>
      <c r="V3" s="2467"/>
      <c r="W3" s="2467"/>
      <c r="X3" s="2467"/>
      <c r="Y3" s="2467"/>
      <c r="Z3" s="2467"/>
      <c r="AA3" s="2467"/>
      <c r="AB3" s="2467"/>
      <c r="AC3" s="2467"/>
      <c r="AD3" s="2467"/>
      <c r="AE3" s="2467"/>
      <c r="AF3" s="2467"/>
      <c r="AG3" s="2467"/>
      <c r="AH3" s="2467"/>
      <c r="AI3" s="2467"/>
      <c r="AJ3" s="2467"/>
      <c r="AK3" s="2467"/>
      <c r="AL3" s="2467"/>
      <c r="AM3" s="2467"/>
      <c r="AN3" s="2467"/>
      <c r="AO3" s="2467"/>
    </row>
    <row r="4" spans="1:58" ht="13.15" customHeight="1">
      <c r="G4" s="1119"/>
      <c r="H4" s="1119"/>
      <c r="I4" s="1119"/>
      <c r="J4" s="1119"/>
      <c r="K4" s="1119"/>
      <c r="L4" s="2467"/>
      <c r="M4" s="2467"/>
      <c r="N4" s="2467"/>
      <c r="O4" s="2467"/>
      <c r="P4" s="2467"/>
      <c r="Q4" s="2467"/>
      <c r="R4" s="2467"/>
      <c r="S4" s="2467"/>
      <c r="T4" s="2467"/>
      <c r="U4" s="2467"/>
      <c r="V4" s="2467"/>
      <c r="W4" s="2467"/>
      <c r="X4" s="2467"/>
      <c r="Y4" s="2467"/>
      <c r="Z4" s="2467"/>
      <c r="AA4" s="2467"/>
      <c r="AB4" s="2467"/>
      <c r="AC4" s="2467"/>
      <c r="AD4" s="2467"/>
      <c r="AE4" s="2467"/>
      <c r="AF4" s="2467"/>
      <c r="AG4" s="2467"/>
      <c r="AH4" s="2467"/>
      <c r="AI4" s="2467"/>
      <c r="AJ4" s="2467"/>
      <c r="AK4" s="2467"/>
      <c r="AL4" s="2467"/>
      <c r="AM4" s="2467"/>
      <c r="AN4" s="2467"/>
      <c r="AO4" s="2467"/>
    </row>
    <row r="5" spans="1:58" ht="13.15" customHeight="1">
      <c r="G5" s="1119"/>
      <c r="H5" s="1119"/>
      <c r="I5" s="1119"/>
      <c r="J5" s="1119"/>
      <c r="K5" s="1119"/>
      <c r="L5" s="2467"/>
      <c r="M5" s="2467"/>
      <c r="N5" s="2467"/>
      <c r="O5" s="2467"/>
      <c r="P5" s="2467"/>
      <c r="Q5" s="2467"/>
      <c r="R5" s="2467"/>
      <c r="S5" s="2467"/>
      <c r="T5" s="2467"/>
      <c r="U5" s="2467"/>
      <c r="V5" s="2467"/>
      <c r="W5" s="2467"/>
      <c r="X5" s="2467"/>
      <c r="Y5" s="2467"/>
      <c r="Z5" s="2467"/>
      <c r="AA5" s="2467"/>
      <c r="AB5" s="2467"/>
      <c r="AC5" s="2467"/>
      <c r="AD5" s="2467"/>
      <c r="AE5" s="2467"/>
      <c r="AF5" s="2467"/>
      <c r="AG5" s="2467"/>
      <c r="AH5" s="2467"/>
      <c r="AI5" s="2467"/>
      <c r="AJ5" s="2467"/>
      <c r="AK5" s="2467"/>
      <c r="AL5" s="2467"/>
      <c r="AM5" s="2467"/>
      <c r="AN5" s="2467"/>
      <c r="AO5" s="2467"/>
    </row>
    <row r="7" spans="1:58">
      <c r="A7" s="1120"/>
      <c r="B7" s="1120"/>
      <c r="Z7" s="2474" t="s">
        <v>682</v>
      </c>
      <c r="AA7" s="2475"/>
      <c r="AB7" s="2475"/>
      <c r="AC7" s="2475"/>
      <c r="AD7" s="2475"/>
      <c r="AE7" s="2475"/>
      <c r="AF7" s="2475"/>
      <c r="AG7" s="2475"/>
      <c r="AH7" s="2475"/>
      <c r="AI7" s="2475"/>
      <c r="AJ7" s="2475"/>
      <c r="AK7" s="2475"/>
      <c r="AL7" s="2475"/>
      <c r="AM7" s="2475"/>
      <c r="AN7" s="2475"/>
      <c r="AO7" s="2475"/>
      <c r="AP7" s="2475"/>
      <c r="AQ7" s="2476"/>
      <c r="AS7" s="2468" t="s">
        <v>683</v>
      </c>
      <c r="AT7" s="2469"/>
      <c r="AU7" s="2469"/>
      <c r="AV7" s="2469"/>
      <c r="AW7" s="2469"/>
      <c r="AX7" s="2470"/>
      <c r="AZ7" s="2468" t="s">
        <v>684</v>
      </c>
      <c r="BA7" s="2469"/>
      <c r="BB7" s="2469"/>
      <c r="BC7" s="2469"/>
      <c r="BD7" s="2469"/>
      <c r="BE7" s="2470"/>
    </row>
    <row r="8" spans="1:58" ht="14.5">
      <c r="A8" s="2421" t="s">
        <v>432</v>
      </c>
      <c r="B8" s="2422"/>
      <c r="D8" s="2423" t="s">
        <v>75</v>
      </c>
      <c r="E8" s="2422"/>
      <c r="G8" s="2423" t="s">
        <v>685</v>
      </c>
      <c r="H8" s="2422"/>
      <c r="I8" s="1151"/>
      <c r="J8" s="2468" t="s">
        <v>686</v>
      </c>
      <c r="K8" s="2469"/>
      <c r="L8" s="2469"/>
      <c r="M8" s="2469"/>
      <c r="N8" s="2469"/>
      <c r="O8" s="2469"/>
      <c r="P8" s="2469"/>
      <c r="Q8" s="2469"/>
      <c r="R8" s="2469"/>
      <c r="S8" s="2469"/>
      <c r="T8" s="2469"/>
      <c r="U8" s="2469"/>
      <c r="V8" s="2469"/>
      <c r="W8" s="2470"/>
      <c r="Z8" s="2477"/>
      <c r="AA8" s="2478"/>
      <c r="AB8" s="2478"/>
      <c r="AC8" s="2478"/>
      <c r="AD8" s="2478"/>
      <c r="AE8" s="2478"/>
      <c r="AF8" s="2478"/>
      <c r="AG8" s="2478"/>
      <c r="AH8" s="2478"/>
      <c r="AI8" s="2478"/>
      <c r="AJ8" s="2478"/>
      <c r="AK8" s="2478"/>
      <c r="AL8" s="2478"/>
      <c r="AM8" s="2478"/>
      <c r="AN8" s="2478"/>
      <c r="AO8" s="2478"/>
      <c r="AP8" s="2478"/>
      <c r="AQ8" s="2479"/>
      <c r="AR8" s="1184" t="s">
        <v>687</v>
      </c>
      <c r="AS8" s="2471"/>
      <c r="AT8" s="2472"/>
      <c r="AU8" s="2472"/>
      <c r="AV8" s="2472"/>
      <c r="AW8" s="2472"/>
      <c r="AX8" s="2473"/>
      <c r="AY8" s="1184" t="s">
        <v>687</v>
      </c>
      <c r="AZ8" s="2471"/>
      <c r="BA8" s="2472"/>
      <c r="BB8" s="2472"/>
      <c r="BC8" s="2472"/>
      <c r="BD8" s="2472"/>
      <c r="BE8" s="2473"/>
      <c r="BF8" s="1184" t="s">
        <v>687</v>
      </c>
    </row>
    <row r="9" spans="1:58" ht="14.5">
      <c r="A9" s="873" t="s">
        <v>688</v>
      </c>
      <c r="B9" s="1121">
        <f>'WEEKLY FC'!E77/19</f>
        <v>263.15789473684202</v>
      </c>
      <c r="D9" s="1122" t="s">
        <v>689</v>
      </c>
      <c r="E9" s="1123">
        <f>'WEEKLY FC'!E12</f>
        <v>7385.72307692308</v>
      </c>
      <c r="G9" s="1122" t="s">
        <v>690</v>
      </c>
      <c r="H9" s="1124">
        <f>'WEEKLY FC'!E327</f>
        <v>17094</v>
      </c>
      <c r="J9" s="2471"/>
      <c r="K9" s="2472"/>
      <c r="L9" s="2472"/>
      <c r="M9" s="2472"/>
      <c r="N9" s="2472"/>
      <c r="O9" s="2472"/>
      <c r="P9" s="2472"/>
      <c r="Q9" s="2472"/>
      <c r="R9" s="2472"/>
      <c r="S9" s="2472"/>
      <c r="T9" s="2472"/>
      <c r="U9" s="2472"/>
      <c r="V9" s="2472"/>
      <c r="W9" s="2473"/>
      <c r="X9" s="1184" t="s">
        <v>687</v>
      </c>
      <c r="AS9" s="532"/>
      <c r="AT9" s="532"/>
      <c r="AU9" s="532"/>
      <c r="AV9" s="532"/>
      <c r="AW9" s="532"/>
      <c r="AX9" s="532"/>
      <c r="AZ9" s="532"/>
      <c r="BA9" s="532"/>
      <c r="BB9" s="532"/>
      <c r="BC9" s="532"/>
      <c r="BD9" s="532"/>
      <c r="BE9" s="532"/>
    </row>
    <row r="10" spans="1:58" ht="14.5">
      <c r="A10" s="873" t="s">
        <v>691</v>
      </c>
      <c r="B10" s="1125">
        <f>'WEEKLY FC'!E78/10000</f>
        <v>1.6</v>
      </c>
      <c r="D10" s="1122" t="s">
        <v>692</v>
      </c>
      <c r="E10" s="1123">
        <f>'WEEKLY FC'!E324/414</f>
        <v>198.94202898550699</v>
      </c>
      <c r="G10" s="1122" t="s">
        <v>693</v>
      </c>
      <c r="H10" s="1123">
        <f>B9*1.2</f>
        <v>315.78947368421001</v>
      </c>
      <c r="I10" s="1159"/>
      <c r="J10" s="1160"/>
      <c r="K10" s="1160"/>
      <c r="L10" s="1160"/>
      <c r="M10" s="1160"/>
      <c r="N10" s="1160"/>
      <c r="O10" s="1160"/>
      <c r="P10" s="1160"/>
      <c r="Q10" s="1160"/>
      <c r="R10" s="1160"/>
      <c r="S10" s="1160"/>
      <c r="T10" s="1160"/>
      <c r="U10" s="1160"/>
      <c r="V10" s="1185"/>
      <c r="W10" s="1185"/>
      <c r="Z10" s="1185"/>
      <c r="AA10" s="1185"/>
      <c r="AB10" s="1185"/>
      <c r="AC10" s="1185"/>
      <c r="AD10" s="1185"/>
      <c r="AE10" s="1185"/>
      <c r="AF10" s="1185"/>
      <c r="AG10" s="1185"/>
      <c r="AH10" s="1185"/>
      <c r="AI10" s="1185"/>
      <c r="AJ10" s="1185"/>
      <c r="AK10" s="1185"/>
      <c r="AL10" s="1185"/>
      <c r="AM10" s="1185"/>
      <c r="AN10" s="1185"/>
      <c r="AO10" s="1185"/>
      <c r="AP10" s="1185"/>
      <c r="AQ10" s="1185"/>
      <c r="AS10" s="2424" t="s">
        <v>694</v>
      </c>
      <c r="AT10" s="2425"/>
      <c r="AU10" s="2426" t="s">
        <v>694</v>
      </c>
      <c r="AV10" s="2425"/>
      <c r="AW10" s="2427" t="s">
        <v>694</v>
      </c>
      <c r="AX10" s="2425"/>
      <c r="AZ10" s="2424" t="s">
        <v>694</v>
      </c>
      <c r="BA10" s="2425"/>
      <c r="BB10" s="2426" t="s">
        <v>694</v>
      </c>
      <c r="BC10" s="2425"/>
      <c r="BD10" s="2427" t="s">
        <v>694</v>
      </c>
      <c r="BE10" s="2425"/>
    </row>
    <row r="11" spans="1:58" ht="14.5">
      <c r="A11" s="1126"/>
      <c r="B11" s="1127"/>
      <c r="D11" s="1122" t="s">
        <v>276</v>
      </c>
      <c r="E11" s="1123">
        <f>('WEEKLY FC'!E331*7)/200</f>
        <v>327.70499999999998</v>
      </c>
      <c r="F11" s="1128"/>
      <c r="G11" s="1122"/>
      <c r="H11" s="1129"/>
      <c r="I11" s="1159"/>
      <c r="J11" s="2430" t="s">
        <v>694</v>
      </c>
      <c r="K11" s="2431"/>
      <c r="L11" s="2430" t="s">
        <v>694</v>
      </c>
      <c r="M11" s="2431"/>
      <c r="N11" s="2386" t="s">
        <v>694</v>
      </c>
      <c r="O11" s="2432"/>
      <c r="P11" s="2386" t="s">
        <v>694</v>
      </c>
      <c r="Q11" s="2432"/>
      <c r="R11" s="2386" t="s">
        <v>694</v>
      </c>
      <c r="S11" s="2432"/>
      <c r="T11" s="2430" t="s">
        <v>694</v>
      </c>
      <c r="U11" s="2431"/>
      <c r="V11" s="2427" t="s">
        <v>694</v>
      </c>
      <c r="W11" s="2433"/>
      <c r="X11" s="655"/>
      <c r="Y11" s="655"/>
      <c r="Z11" s="2424" t="s">
        <v>694</v>
      </c>
      <c r="AA11" s="2425"/>
      <c r="AB11" s="2426" t="s">
        <v>694</v>
      </c>
      <c r="AC11" s="2425"/>
      <c r="AD11" s="2426" t="s">
        <v>694</v>
      </c>
      <c r="AE11" s="2425"/>
      <c r="AF11" s="2426" t="s">
        <v>694</v>
      </c>
      <c r="AG11" s="2425"/>
      <c r="AH11" s="2426" t="s">
        <v>694</v>
      </c>
      <c r="AI11" s="2425"/>
      <c r="AJ11" s="2426" t="s">
        <v>694</v>
      </c>
      <c r="AK11" s="2438"/>
      <c r="AL11" s="2426" t="s">
        <v>694</v>
      </c>
      <c r="AM11" s="2425"/>
      <c r="AN11" s="2426" t="s">
        <v>694</v>
      </c>
      <c r="AO11" s="2425"/>
      <c r="AP11" s="2426" t="s">
        <v>694</v>
      </c>
      <c r="AQ11" s="2451"/>
      <c r="AS11" s="2435" t="s">
        <v>282</v>
      </c>
      <c r="AT11" s="2429"/>
      <c r="AU11" s="2428" t="s">
        <v>283</v>
      </c>
      <c r="AV11" s="2429"/>
      <c r="AW11" s="2434" t="s">
        <v>695</v>
      </c>
      <c r="AX11" s="2429"/>
      <c r="AZ11" s="2435" t="s">
        <v>282</v>
      </c>
      <c r="BA11" s="2429"/>
      <c r="BB11" s="2428" t="s">
        <v>283</v>
      </c>
      <c r="BC11" s="2429"/>
      <c r="BD11" s="2434" t="s">
        <v>695</v>
      </c>
      <c r="BE11" s="2429"/>
    </row>
    <row r="12" spans="1:58" ht="14.5">
      <c r="D12" s="1122" t="s">
        <v>696</v>
      </c>
      <c r="E12" s="1130">
        <f>(('WEEKLY FC'!E325*2)/200)</f>
        <v>234.1</v>
      </c>
      <c r="G12" s="1122" t="s">
        <v>697</v>
      </c>
      <c r="H12" s="1123">
        <f>H9+H10</f>
        <v>17409.789473684199</v>
      </c>
      <c r="I12" s="1159"/>
      <c r="J12" s="2428" t="s">
        <v>698</v>
      </c>
      <c r="K12" s="2429"/>
      <c r="L12" s="2428" t="s">
        <v>699</v>
      </c>
      <c r="M12" s="2429"/>
      <c r="N12" s="2428" t="s">
        <v>700</v>
      </c>
      <c r="O12" s="2429"/>
      <c r="P12" s="2428" t="s">
        <v>701</v>
      </c>
      <c r="Q12" s="2429"/>
      <c r="R12" s="2428" t="s">
        <v>702</v>
      </c>
      <c r="S12" s="2429"/>
      <c r="T12" s="2428" t="s">
        <v>703</v>
      </c>
      <c r="U12" s="2429"/>
      <c r="V12" s="2428" t="s">
        <v>704</v>
      </c>
      <c r="W12" s="2429"/>
      <c r="X12" s="655"/>
      <c r="Y12" s="655"/>
      <c r="Z12" s="2435" t="s">
        <v>705</v>
      </c>
      <c r="AA12" s="2429"/>
      <c r="AB12" s="2428" t="s">
        <v>706</v>
      </c>
      <c r="AC12" s="2429"/>
      <c r="AD12" s="2428" t="s">
        <v>707</v>
      </c>
      <c r="AE12" s="2429"/>
      <c r="AF12" s="2428" t="s">
        <v>708</v>
      </c>
      <c r="AG12" s="2429"/>
      <c r="AH12" s="2428" t="s">
        <v>709</v>
      </c>
      <c r="AI12" s="2429"/>
      <c r="AJ12" s="2428" t="s">
        <v>710</v>
      </c>
      <c r="AK12" s="2436"/>
      <c r="AL12" s="2428" t="s">
        <v>711</v>
      </c>
      <c r="AM12" s="2429"/>
      <c r="AN12" s="2428" t="s">
        <v>712</v>
      </c>
      <c r="AO12" s="2429"/>
      <c r="AP12" s="2428" t="s">
        <v>713</v>
      </c>
      <c r="AQ12" s="2437"/>
      <c r="AS12" s="1179" t="s">
        <v>629</v>
      </c>
      <c r="AT12" s="1162">
        <f>W41</f>
        <v>1301.43540669856</v>
      </c>
      <c r="AU12" s="1002" t="s">
        <v>629</v>
      </c>
      <c r="AV12" s="1162">
        <f>Y41</f>
        <v>1301.43540669856</v>
      </c>
      <c r="AW12" s="1002" t="s">
        <v>629</v>
      </c>
      <c r="AX12" s="1207">
        <f>AA41</f>
        <v>1301.43540669856</v>
      </c>
      <c r="AZ12" s="1179" t="s">
        <v>629</v>
      </c>
      <c r="BA12" s="1162">
        <f>AT12</f>
        <v>1301.43540669856</v>
      </c>
      <c r="BB12" s="1002" t="s">
        <v>629</v>
      </c>
      <c r="BC12" s="1162">
        <f>AV12</f>
        <v>1301.43540669856</v>
      </c>
      <c r="BD12" s="1002" t="s">
        <v>629</v>
      </c>
      <c r="BE12" s="1207">
        <f>AX12</f>
        <v>1301.43540669856</v>
      </c>
    </row>
    <row r="13" spans="1:58" ht="14.5">
      <c r="A13" s="2423" t="s">
        <v>714</v>
      </c>
      <c r="B13" s="2422"/>
      <c r="D13" s="1122" t="s">
        <v>400</v>
      </c>
      <c r="E13" s="1130">
        <f>'WEEKLY FC'!E168/33</f>
        <v>606.10227272727298</v>
      </c>
      <c r="G13" s="1131" t="s">
        <v>715</v>
      </c>
      <c r="H13" s="1132">
        <f>H12/12</f>
        <v>1450.8157894736801</v>
      </c>
      <c r="I13" s="1159"/>
      <c r="J13" s="1002" t="s">
        <v>629</v>
      </c>
      <c r="K13" s="1162">
        <f>H63</f>
        <v>954.385964912281</v>
      </c>
      <c r="L13" s="1002" t="s">
        <v>629</v>
      </c>
      <c r="M13" s="1162">
        <f>K13</f>
        <v>954.385964912281</v>
      </c>
      <c r="N13" s="1002" t="s">
        <v>716</v>
      </c>
      <c r="O13" s="1162">
        <f>H138</f>
        <v>8292.1366750700308</v>
      </c>
      <c r="P13" s="1002" t="s">
        <v>629</v>
      </c>
      <c r="Q13" s="1162">
        <f>K13</f>
        <v>954.385964912281</v>
      </c>
      <c r="R13" s="1002" t="s">
        <v>412</v>
      </c>
      <c r="S13" s="1165">
        <f>E186</f>
        <v>1450.5</v>
      </c>
      <c r="T13" s="1002" t="s">
        <v>629</v>
      </c>
      <c r="U13" s="1162">
        <f>K13</f>
        <v>954.385964912281</v>
      </c>
      <c r="V13" s="1176" t="s">
        <v>629</v>
      </c>
      <c r="W13" s="1186">
        <f>K13</f>
        <v>954.385964912281</v>
      </c>
      <c r="X13" s="532"/>
      <c r="Y13" s="1199"/>
      <c r="Z13" s="1179" t="s">
        <v>629</v>
      </c>
      <c r="AA13" s="1162">
        <f>W13</f>
        <v>954.385964912281</v>
      </c>
      <c r="AB13" s="1002" t="s">
        <v>629</v>
      </c>
      <c r="AC13" s="1162">
        <f>AA13</f>
        <v>954.385964912281</v>
      </c>
      <c r="AD13" s="1002" t="s">
        <v>629</v>
      </c>
      <c r="AE13" s="1162">
        <f>AC13</f>
        <v>954.385964912281</v>
      </c>
      <c r="AF13" s="1002" t="s">
        <v>629</v>
      </c>
      <c r="AG13" s="1162">
        <f>AE13</f>
        <v>954.385964912281</v>
      </c>
      <c r="AH13" s="1002" t="s">
        <v>629</v>
      </c>
      <c r="AI13" s="1162">
        <f>AG13</f>
        <v>954.385964912281</v>
      </c>
      <c r="AJ13" s="1002" t="s">
        <v>629</v>
      </c>
      <c r="AK13" s="1216">
        <f>AI13</f>
        <v>954.385964912281</v>
      </c>
      <c r="AL13" s="1002" t="s">
        <v>629</v>
      </c>
      <c r="AM13" s="1162">
        <f>AK13</f>
        <v>954.385964912281</v>
      </c>
      <c r="AN13" s="1002" t="s">
        <v>629</v>
      </c>
      <c r="AO13" s="1162">
        <f>AM13</f>
        <v>954.385964912281</v>
      </c>
      <c r="AP13" s="1002" t="s">
        <v>629</v>
      </c>
      <c r="AQ13" s="1229">
        <f>AO13</f>
        <v>954.385964912281</v>
      </c>
      <c r="AS13" s="1179" t="s">
        <v>717</v>
      </c>
      <c r="AT13" s="1162">
        <f>W42</f>
        <v>5698.4353948301896</v>
      </c>
      <c r="AU13" s="1002" t="s">
        <v>718</v>
      </c>
      <c r="AV13" s="1162">
        <f>Y42</f>
        <v>5288.1161640609598</v>
      </c>
      <c r="AW13" s="1002" t="s">
        <v>719</v>
      </c>
      <c r="AX13" s="1162">
        <f>AA42</f>
        <v>8775.8200102148094</v>
      </c>
      <c r="AZ13" s="1179" t="s">
        <v>717</v>
      </c>
      <c r="BA13" s="1162">
        <f t="shared" ref="BA13:BA16" si="0">AT13</f>
        <v>5698.4353948301896</v>
      </c>
      <c r="BB13" s="1002" t="s">
        <v>718</v>
      </c>
      <c r="BC13" s="1162">
        <f t="shared" ref="BC13:BC16" si="1">AV13</f>
        <v>5288.1161640609598</v>
      </c>
      <c r="BD13" s="1002" t="s">
        <v>719</v>
      </c>
      <c r="BE13" s="1162">
        <f>AX13</f>
        <v>8775.8200102148094</v>
      </c>
    </row>
    <row r="14" spans="1:58" ht="14.5">
      <c r="A14" s="1122" t="s">
        <v>720</v>
      </c>
      <c r="B14" s="1133">
        <f>'WEEKLY FC'!E72</f>
        <v>17600</v>
      </c>
      <c r="C14" s="1134"/>
      <c r="D14" s="1122" t="s">
        <v>721</v>
      </c>
      <c r="E14" s="1135">
        <f>(B9*1.75)/200</f>
        <v>2.3026315789473699</v>
      </c>
      <c r="I14" s="1159"/>
      <c r="J14" s="1002" t="s">
        <v>78</v>
      </c>
      <c r="K14" s="1162">
        <f>E56</f>
        <v>6105.4353948301896</v>
      </c>
      <c r="L14" s="1002" t="s">
        <v>722</v>
      </c>
      <c r="M14" s="1162">
        <f>E75</f>
        <v>8145.8770254116598</v>
      </c>
      <c r="N14" s="1002" t="s">
        <v>634</v>
      </c>
      <c r="O14" s="1162">
        <f>K15</f>
        <v>878.01535087719299</v>
      </c>
      <c r="P14" s="1002" t="s">
        <v>723</v>
      </c>
      <c r="Q14" s="1187">
        <f>E43</f>
        <v>5695.1161640609598</v>
      </c>
      <c r="R14" s="1002" t="s">
        <v>724</v>
      </c>
      <c r="S14" s="1162">
        <f>H90</f>
        <v>5769.6703571428598</v>
      </c>
      <c r="T14" s="1002" t="s">
        <v>725</v>
      </c>
      <c r="U14" s="1162">
        <f>E111</f>
        <v>5472.3984822414404</v>
      </c>
      <c r="V14" s="1176" t="s">
        <v>726</v>
      </c>
      <c r="W14" s="1186">
        <f>E17</f>
        <v>9182.8200102148094</v>
      </c>
      <c r="X14" s="532"/>
      <c r="Y14" s="1199"/>
      <c r="Z14" s="1179" t="s">
        <v>717</v>
      </c>
      <c r="AA14" s="1162">
        <f>E57</f>
        <v>5698.4353948301896</v>
      </c>
      <c r="AB14" s="1002" t="s">
        <v>718</v>
      </c>
      <c r="AC14" s="1162">
        <f>E44</f>
        <v>5288.1161640609598</v>
      </c>
      <c r="AD14" s="1002" t="s">
        <v>75</v>
      </c>
      <c r="AE14" s="1162">
        <f>E18</f>
        <v>8775.8200102148094</v>
      </c>
      <c r="AF14" s="1002" t="s">
        <v>727</v>
      </c>
      <c r="AG14" s="1162">
        <f>AA14</f>
        <v>5698.4353948301896</v>
      </c>
      <c r="AH14" s="1002" t="s">
        <v>723</v>
      </c>
      <c r="AI14" s="1162">
        <f>AC14</f>
        <v>5288.1161640609598</v>
      </c>
      <c r="AJ14" s="1002" t="s">
        <v>728</v>
      </c>
      <c r="AK14" s="1217">
        <f>AE14</f>
        <v>8775.8200102148094</v>
      </c>
      <c r="AL14" s="1002" t="s">
        <v>78</v>
      </c>
      <c r="AM14" s="1162">
        <f>AG14</f>
        <v>5698.4353948301896</v>
      </c>
      <c r="AN14" s="1002" t="s">
        <v>723</v>
      </c>
      <c r="AO14" s="1162">
        <f>AI14</f>
        <v>5288.1161640609598</v>
      </c>
      <c r="AP14" s="1002" t="s">
        <v>728</v>
      </c>
      <c r="AQ14" s="1229">
        <f>AK14</f>
        <v>8775.8200102148094</v>
      </c>
      <c r="AS14" s="1179" t="s">
        <v>170</v>
      </c>
      <c r="AT14" s="1162">
        <f>M95</f>
        <v>3500</v>
      </c>
      <c r="AU14" s="1179" t="s">
        <v>170</v>
      </c>
      <c r="AV14" s="1162">
        <f>AT14</f>
        <v>3500</v>
      </c>
      <c r="AW14" s="1179" t="s">
        <v>170</v>
      </c>
      <c r="AX14" s="1162">
        <f>AV14</f>
        <v>3500</v>
      </c>
      <c r="AZ14" s="1179" t="s">
        <v>729</v>
      </c>
      <c r="BA14" s="1162">
        <f>B301</f>
        <v>219.210526315789</v>
      </c>
      <c r="BB14" s="1179" t="s">
        <v>729</v>
      </c>
      <c r="BC14" s="1162">
        <f>BA14</f>
        <v>219.210526315789</v>
      </c>
      <c r="BD14" s="1179" t="s">
        <v>729</v>
      </c>
      <c r="BE14" s="1162">
        <f>BC14</f>
        <v>219.210526315789</v>
      </c>
    </row>
    <row r="15" spans="1:58" ht="14.5">
      <c r="A15" s="1122" t="s">
        <v>730</v>
      </c>
      <c r="B15" s="1123">
        <f>B9</f>
        <v>263.15789473684202</v>
      </c>
      <c r="D15" s="1122" t="s">
        <v>731</v>
      </c>
      <c r="E15" s="1124">
        <f>'WEEKLY FC'!E334+'WEEKLY FC'!E335</f>
        <v>407</v>
      </c>
      <c r="G15" s="2423" t="s">
        <v>732</v>
      </c>
      <c r="H15" s="2422"/>
      <c r="I15" s="1159"/>
      <c r="J15" s="1002" t="s">
        <v>634</v>
      </c>
      <c r="K15" s="1162">
        <f>B128</f>
        <v>878.01535087719299</v>
      </c>
      <c r="L15" s="1002" t="s">
        <v>634</v>
      </c>
      <c r="M15" s="1162">
        <f>K15</f>
        <v>878.01535087719299</v>
      </c>
      <c r="N15" s="1002" t="s">
        <v>412</v>
      </c>
      <c r="O15" s="1163">
        <f>E177</f>
        <v>1130</v>
      </c>
      <c r="P15" s="1002" t="s">
        <v>634</v>
      </c>
      <c r="Q15" s="1162">
        <f>K15</f>
        <v>878.01535087719299</v>
      </c>
      <c r="R15" s="1002" t="s">
        <v>634</v>
      </c>
      <c r="S15" s="1162">
        <f>K15</f>
        <v>878.01535087719299</v>
      </c>
      <c r="T15" s="1002" t="s">
        <v>634</v>
      </c>
      <c r="U15" s="1162">
        <f>S15</f>
        <v>878.01535087719299</v>
      </c>
      <c r="V15" s="1002" t="s">
        <v>634</v>
      </c>
      <c r="W15" s="1186">
        <f>U15</f>
        <v>878.01535087719299</v>
      </c>
      <c r="X15" s="532"/>
      <c r="Y15" s="1199"/>
      <c r="Z15" s="1002" t="s">
        <v>634</v>
      </c>
      <c r="AA15" s="1162">
        <f>K15</f>
        <v>878.01535087719299</v>
      </c>
      <c r="AB15" s="1002" t="s">
        <v>634</v>
      </c>
      <c r="AC15" s="1162">
        <f>AA15</f>
        <v>878.01535087719299</v>
      </c>
      <c r="AD15" s="1002" t="s">
        <v>634</v>
      </c>
      <c r="AE15" s="1162">
        <f>AC15</f>
        <v>878.01535087719299</v>
      </c>
      <c r="AF15" s="1002" t="s">
        <v>634</v>
      </c>
      <c r="AG15" s="1162">
        <f>AC15</f>
        <v>878.01535087719299</v>
      </c>
      <c r="AH15" s="1002" t="s">
        <v>634</v>
      </c>
      <c r="AI15" s="1162">
        <f>AG15</f>
        <v>878.01535087719299</v>
      </c>
      <c r="AJ15" s="1002" t="s">
        <v>634</v>
      </c>
      <c r="AK15" s="1217">
        <f>AI15</f>
        <v>878.01535087719299</v>
      </c>
      <c r="AL15" s="1002" t="s">
        <v>634</v>
      </c>
      <c r="AM15" s="1162">
        <f>AG15</f>
        <v>878.01535087719299</v>
      </c>
      <c r="AN15" s="1002" t="s">
        <v>634</v>
      </c>
      <c r="AO15" s="1162">
        <f>AM15</f>
        <v>878.01535087719299</v>
      </c>
      <c r="AP15" s="1002" t="s">
        <v>634</v>
      </c>
      <c r="AQ15" s="1229">
        <f>AO15</f>
        <v>878.01535087719299</v>
      </c>
      <c r="AS15" s="1179" t="s">
        <v>733</v>
      </c>
      <c r="AT15" s="1165">
        <f>W44</f>
        <v>1282.2657894736799</v>
      </c>
      <c r="AU15" s="1179" t="s">
        <v>733</v>
      </c>
      <c r="AV15" s="1165">
        <f>AT15</f>
        <v>1282.2657894736799</v>
      </c>
      <c r="AW15" s="1179" t="s">
        <v>733</v>
      </c>
      <c r="AX15" s="1165">
        <f>AV15</f>
        <v>1282.2657894736799</v>
      </c>
      <c r="AZ15" s="1179" t="s">
        <v>733</v>
      </c>
      <c r="BA15" s="1162">
        <f t="shared" si="0"/>
        <v>1282.2657894736799</v>
      </c>
      <c r="BB15" s="1179" t="s">
        <v>733</v>
      </c>
      <c r="BC15" s="1162">
        <f t="shared" si="1"/>
        <v>1282.2657894736799</v>
      </c>
      <c r="BD15" s="1179" t="s">
        <v>733</v>
      </c>
      <c r="BE15" s="1165">
        <f>BC15</f>
        <v>1282.2657894736799</v>
      </c>
    </row>
    <row r="16" spans="1:58" ht="14.5">
      <c r="A16" s="1122"/>
      <c r="B16" s="1136"/>
      <c r="D16" s="1122" t="s">
        <v>734</v>
      </c>
      <c r="E16" s="1137">
        <f>('WEEKLY FC'!E344*1)/200</f>
        <v>20.945</v>
      </c>
      <c r="G16" s="1122" t="s">
        <v>735</v>
      </c>
      <c r="H16" s="1124">
        <f>'WEEKLY FC'!E338</f>
        <v>12937</v>
      </c>
      <c r="I16" s="1159"/>
      <c r="J16" s="1002" t="s">
        <v>412</v>
      </c>
      <c r="K16" s="1162">
        <f>E204</f>
        <v>1555.36</v>
      </c>
      <c r="L16" s="1002" t="s">
        <v>412</v>
      </c>
      <c r="M16" s="1162">
        <f>K16</f>
        <v>1555.36</v>
      </c>
      <c r="N16" s="1164"/>
      <c r="O16" s="1165"/>
      <c r="P16" s="1002" t="s">
        <v>412</v>
      </c>
      <c r="Q16" s="1162">
        <f>M16</f>
        <v>1555.36</v>
      </c>
      <c r="R16" s="1164" t="s">
        <v>736</v>
      </c>
      <c r="S16" s="1163">
        <f>S14+S15</f>
        <v>6647.6857080200498</v>
      </c>
      <c r="T16" s="1002" t="s">
        <v>412</v>
      </c>
      <c r="U16" s="1162">
        <f>K16</f>
        <v>1555.36</v>
      </c>
      <c r="V16" s="1176" t="s">
        <v>412</v>
      </c>
      <c r="W16" s="1186">
        <f>K16</f>
        <v>1555.36</v>
      </c>
      <c r="X16" s="532"/>
      <c r="Y16" s="1199"/>
      <c r="Z16" s="1179" t="s">
        <v>737</v>
      </c>
      <c r="AA16" s="1165">
        <f>H51</f>
        <v>897.49759615384596</v>
      </c>
      <c r="AB16" s="1002" t="s">
        <v>737</v>
      </c>
      <c r="AC16" s="1165">
        <f>AA16</f>
        <v>897.49759615384596</v>
      </c>
      <c r="AD16" s="1002" t="s">
        <v>737</v>
      </c>
      <c r="AE16" s="1165">
        <f>AC16</f>
        <v>897.49759615384596</v>
      </c>
      <c r="AF16" s="1002" t="s">
        <v>738</v>
      </c>
      <c r="AG16" s="1165">
        <f>E135</f>
        <v>1686.4853125</v>
      </c>
      <c r="AH16" s="1002" t="s">
        <v>738</v>
      </c>
      <c r="AI16" s="1165">
        <f>AG16</f>
        <v>1686.4853125</v>
      </c>
      <c r="AJ16" s="1002" t="s">
        <v>738</v>
      </c>
      <c r="AK16" s="1218">
        <f>AI16</f>
        <v>1686.4853125</v>
      </c>
      <c r="AL16" s="1002" t="s">
        <v>739</v>
      </c>
      <c r="AM16" s="1165">
        <f>E150</f>
        <v>1473.37671875</v>
      </c>
      <c r="AN16" s="1002" t="s">
        <v>739</v>
      </c>
      <c r="AO16" s="1165">
        <f>AM16</f>
        <v>1473.37671875</v>
      </c>
      <c r="AP16" s="1002" t="s">
        <v>739</v>
      </c>
      <c r="AQ16" s="1230">
        <f>AO16</f>
        <v>1473.37671875</v>
      </c>
      <c r="AS16" s="1179" t="s">
        <v>412</v>
      </c>
      <c r="AT16" s="1162">
        <f>W45</f>
        <v>2003.36</v>
      </c>
      <c r="AU16" s="1002" t="s">
        <v>412</v>
      </c>
      <c r="AV16" s="1162">
        <f>AT16</f>
        <v>2003.36</v>
      </c>
      <c r="AW16" s="1002" t="s">
        <v>412</v>
      </c>
      <c r="AX16" s="1162">
        <f>AV16</f>
        <v>2003.36</v>
      </c>
      <c r="AZ16" s="1179" t="s">
        <v>412</v>
      </c>
      <c r="BA16" s="1162">
        <f t="shared" si="0"/>
        <v>2003.36</v>
      </c>
      <c r="BB16" s="1002" t="s">
        <v>412</v>
      </c>
      <c r="BC16" s="1162">
        <f t="shared" si="1"/>
        <v>2003.36</v>
      </c>
      <c r="BD16" s="1002" t="s">
        <v>412</v>
      </c>
      <c r="BE16" s="1162">
        <f>BC16</f>
        <v>2003.36</v>
      </c>
    </row>
    <row r="17" spans="1:59" ht="14.5">
      <c r="A17" s="1122" t="s">
        <v>740</v>
      </c>
      <c r="B17" s="1123">
        <f>SUM(B13:B15)</f>
        <v>17863.1578947368</v>
      </c>
      <c r="D17" s="1122" t="s">
        <v>741</v>
      </c>
      <c r="E17" s="1138">
        <f>SUM(E9:E16)</f>
        <v>9182.8200102148094</v>
      </c>
      <c r="G17" s="1122" t="s">
        <v>742</v>
      </c>
      <c r="H17" s="1123">
        <f>B9*0.4</f>
        <v>105.26315789473701</v>
      </c>
      <c r="I17" s="1159"/>
      <c r="J17" s="1164" t="s">
        <v>736</v>
      </c>
      <c r="K17" s="1163">
        <f>SUM(K13:K15)</f>
        <v>7937.8367106196602</v>
      </c>
      <c r="L17" s="1164" t="s">
        <v>736</v>
      </c>
      <c r="M17" s="1166">
        <f>SUM(M13:M15)</f>
        <v>9978.2783412011304</v>
      </c>
      <c r="N17" s="1164" t="s">
        <v>736</v>
      </c>
      <c r="O17" s="1167">
        <f>O13+O14</f>
        <v>9170.15202594722</v>
      </c>
      <c r="P17" s="1164" t="s">
        <v>736</v>
      </c>
      <c r="Q17" s="1163">
        <f>SUM(Q13:Q15)</f>
        <v>7527.5174798504304</v>
      </c>
      <c r="R17" s="1164" t="s">
        <v>743</v>
      </c>
      <c r="S17" s="1168">
        <f>S16+S13</f>
        <v>8098.1857080200498</v>
      </c>
      <c r="T17" s="1164" t="s">
        <v>736</v>
      </c>
      <c r="U17" s="1163">
        <f>SUM(U13:U16)</f>
        <v>8860.1597980309198</v>
      </c>
      <c r="V17" s="1164" t="s">
        <v>736</v>
      </c>
      <c r="W17" s="1188">
        <f>SUM(W13:W15)</f>
        <v>11015.221326004301</v>
      </c>
      <c r="X17" s="641"/>
      <c r="Y17" s="1200"/>
      <c r="Z17" s="1176" t="s">
        <v>412</v>
      </c>
      <c r="AA17" s="1165">
        <f>E168</f>
        <v>1555.36</v>
      </c>
      <c r="AB17" s="1176" t="s">
        <v>412</v>
      </c>
      <c r="AC17" s="1165">
        <f>AA17</f>
        <v>1555.36</v>
      </c>
      <c r="AD17" s="1176" t="s">
        <v>412</v>
      </c>
      <c r="AE17" s="1165">
        <f>AC17</f>
        <v>1555.36</v>
      </c>
      <c r="AF17" s="1176" t="s">
        <v>412</v>
      </c>
      <c r="AG17" s="1165">
        <f>AE17</f>
        <v>1555.36</v>
      </c>
      <c r="AH17" s="1176" t="s">
        <v>412</v>
      </c>
      <c r="AI17" s="1165">
        <f>AG17</f>
        <v>1555.36</v>
      </c>
      <c r="AJ17" s="1176" t="s">
        <v>412</v>
      </c>
      <c r="AK17" s="1218">
        <f>AI17</f>
        <v>1555.36</v>
      </c>
      <c r="AL17" s="1176" t="s">
        <v>412</v>
      </c>
      <c r="AM17" s="1165">
        <f>AK17</f>
        <v>1555.36</v>
      </c>
      <c r="AN17" s="1176" t="s">
        <v>412</v>
      </c>
      <c r="AO17" s="1165">
        <f>AM17</f>
        <v>1555.36</v>
      </c>
      <c r="AP17" s="1176" t="s">
        <v>412</v>
      </c>
      <c r="AQ17" s="1230">
        <f>AO17</f>
        <v>1555.36</v>
      </c>
      <c r="AS17" s="1164" t="s">
        <v>736</v>
      </c>
      <c r="AT17" s="1163">
        <f>SUM(AT12:AT15)</f>
        <v>11782.1365910024</v>
      </c>
      <c r="AU17" s="1164" t="s">
        <v>736</v>
      </c>
      <c r="AV17" s="1163">
        <f>SUM(AV12:AV15)</f>
        <v>11371.817360233201</v>
      </c>
      <c r="AW17" s="1164" t="s">
        <v>736</v>
      </c>
      <c r="AX17" s="1163">
        <f>SUM(AX12:AX15)</f>
        <v>14859.521206387</v>
      </c>
      <c r="AZ17" s="1164" t="s">
        <v>736</v>
      </c>
      <c r="BA17" s="1163">
        <f>SUM(BA12:BA15)</f>
        <v>8501.3471173182206</v>
      </c>
      <c r="BB17" s="1164" t="s">
        <v>736</v>
      </c>
      <c r="BC17" s="1163">
        <f>SUM(BC12:BC15)</f>
        <v>8091.02788654899</v>
      </c>
      <c r="BD17" s="1164" t="s">
        <v>736</v>
      </c>
      <c r="BE17" s="1163">
        <f>SUM(BE12:BE15)</f>
        <v>11578.731732702799</v>
      </c>
    </row>
    <row r="18" spans="1:59" ht="14.5">
      <c r="A18" s="1131" t="s">
        <v>744</v>
      </c>
      <c r="B18" s="1139">
        <f>(B17/1.5)</f>
        <v>11908.771929824599</v>
      </c>
      <c r="D18" s="1122" t="s">
        <v>745</v>
      </c>
      <c r="E18" s="1140">
        <f>E17-E15</f>
        <v>8775.8200102148094</v>
      </c>
      <c r="G18" s="1122"/>
      <c r="H18" s="1129"/>
      <c r="I18" s="1159"/>
      <c r="J18" s="1164" t="s">
        <v>743</v>
      </c>
      <c r="K18" s="1168">
        <f>K17+K16</f>
        <v>9493.1967106196607</v>
      </c>
      <c r="L18" s="1164" t="s">
        <v>743</v>
      </c>
      <c r="M18" s="1168">
        <f>M17+M16</f>
        <v>11533.6383412011</v>
      </c>
      <c r="N18" s="1164" t="s">
        <v>743</v>
      </c>
      <c r="O18" s="1167">
        <f>O17+O15</f>
        <v>10300.1520259472</v>
      </c>
      <c r="P18" s="1164" t="s">
        <v>743</v>
      </c>
      <c r="Q18" s="1168">
        <f>Q17+Q16</f>
        <v>9082.8774798504292</v>
      </c>
      <c r="R18" s="1002"/>
      <c r="S18" s="1189"/>
      <c r="T18" s="1164" t="s">
        <v>743</v>
      </c>
      <c r="U18" s="1190"/>
      <c r="V18" s="1164" t="s">
        <v>743</v>
      </c>
      <c r="W18" s="1191">
        <f>W17+W16</f>
        <v>12570.5813260043</v>
      </c>
      <c r="X18" s="532"/>
      <c r="Y18" s="573"/>
      <c r="Z18" s="1164" t="s">
        <v>736</v>
      </c>
      <c r="AA18" s="1163">
        <f>SUM(AA13:AA16)</f>
        <v>8428.3343067735095</v>
      </c>
      <c r="AB18" s="1164" t="s">
        <v>736</v>
      </c>
      <c r="AC18" s="1163">
        <f>SUM(AC13:AC17)</f>
        <v>9573.3750760042803</v>
      </c>
      <c r="AD18" s="1164" t="s">
        <v>736</v>
      </c>
      <c r="AE18" s="1163">
        <f>SUM(AE13:AE16)</f>
        <v>11505.718922158099</v>
      </c>
      <c r="AF18" s="1164" t="s">
        <v>736</v>
      </c>
      <c r="AG18" s="1163">
        <f>SUM(AG13:AG16)</f>
        <v>9217.3220231196592</v>
      </c>
      <c r="AH18" s="1164" t="s">
        <v>736</v>
      </c>
      <c r="AI18" s="1163">
        <f>SUM(AI13:AI16)</f>
        <v>8807.0027923504294</v>
      </c>
      <c r="AJ18" s="1164" t="s">
        <v>736</v>
      </c>
      <c r="AK18" s="1219">
        <f>SUM(AK13:AK16)</f>
        <v>12294.7066385043</v>
      </c>
      <c r="AL18" s="1164" t="s">
        <v>736</v>
      </c>
      <c r="AM18" s="1163">
        <f>SUM(AM13:AM16)</f>
        <v>9004.2134293696599</v>
      </c>
      <c r="AN18" s="1164" t="s">
        <v>736</v>
      </c>
      <c r="AO18" s="1163">
        <f>SUM(AO13:AO16)</f>
        <v>8593.8941986004302</v>
      </c>
      <c r="AP18" s="1164" t="s">
        <v>736</v>
      </c>
      <c r="AQ18" s="1231">
        <f>SUM(AQ13:AQ16)</f>
        <v>12081.598044754301</v>
      </c>
      <c r="AS18" s="1164" t="s">
        <v>743</v>
      </c>
      <c r="AT18" s="1168">
        <f>AT17+AT16</f>
        <v>13785.4965910024</v>
      </c>
      <c r="AU18" s="1164" t="s">
        <v>743</v>
      </c>
      <c r="AV18" s="1168">
        <f>AV17+AV16</f>
        <v>13375.1773602332</v>
      </c>
      <c r="AW18" s="1164" t="s">
        <v>743</v>
      </c>
      <c r="AX18" s="1168">
        <f>AX17+AX16</f>
        <v>16862.881206386999</v>
      </c>
      <c r="AZ18" s="1164" t="s">
        <v>743</v>
      </c>
      <c r="BA18" s="1168">
        <f>BA17+BA16</f>
        <v>10504.707117318199</v>
      </c>
      <c r="BB18" s="1164" t="s">
        <v>743</v>
      </c>
      <c r="BC18" s="1168">
        <f>BC17+BC16</f>
        <v>10094.387886549001</v>
      </c>
      <c r="BD18" s="1164" t="s">
        <v>743</v>
      </c>
      <c r="BE18" s="1168">
        <f>BE17+BE16</f>
        <v>13582.0917327028</v>
      </c>
    </row>
    <row r="19" spans="1:59" ht="14.5">
      <c r="A19" s="1141"/>
      <c r="B19" s="1142"/>
      <c r="D19" s="1122"/>
      <c r="E19" s="1143"/>
      <c r="G19" s="1122"/>
      <c r="H19" s="1129"/>
      <c r="I19" s="1169"/>
      <c r="J19" s="1170"/>
      <c r="K19" s="1171"/>
      <c r="L19" s="1170"/>
      <c r="M19" s="1171"/>
      <c r="N19" s="1170"/>
      <c r="O19" s="1172"/>
      <c r="P19" s="1170"/>
      <c r="Q19" s="1171"/>
      <c r="R19" s="1170"/>
      <c r="S19" s="1172"/>
      <c r="T19" s="1170"/>
      <c r="U19" s="1171"/>
      <c r="V19" s="1192"/>
      <c r="W19" s="1193"/>
      <c r="X19" s="1194"/>
      <c r="Y19" s="1202"/>
      <c r="Z19" s="1164" t="s">
        <v>743</v>
      </c>
      <c r="AA19" s="1168">
        <f>AA18+AA17</f>
        <v>9983.6943067735101</v>
      </c>
      <c r="AB19" s="1164" t="s">
        <v>743</v>
      </c>
      <c r="AC19" s="1168">
        <f>AC18+AC17</f>
        <v>11128.735076004299</v>
      </c>
      <c r="AD19" s="1164" t="s">
        <v>743</v>
      </c>
      <c r="AE19" s="1168">
        <f>AE18+AE17</f>
        <v>13061.0789221581</v>
      </c>
      <c r="AF19" s="1164" t="s">
        <v>743</v>
      </c>
      <c r="AG19" s="1168">
        <f>AG18+AG17</f>
        <v>10772.6820231197</v>
      </c>
      <c r="AH19" s="1164" t="s">
        <v>743</v>
      </c>
      <c r="AI19" s="1168">
        <f>AI18+AI17</f>
        <v>10362.362792350399</v>
      </c>
      <c r="AJ19" s="1164" t="s">
        <v>743</v>
      </c>
      <c r="AK19" s="1220">
        <f>AK18+AK17</f>
        <v>13850.0666385043</v>
      </c>
      <c r="AL19" s="1164" t="s">
        <v>743</v>
      </c>
      <c r="AM19" s="1168">
        <f>AM18+AM17</f>
        <v>10559.573429369701</v>
      </c>
      <c r="AN19" s="1164" t="s">
        <v>743</v>
      </c>
      <c r="AO19" s="1168">
        <f>AO18+AO17</f>
        <v>10149.2541986004</v>
      </c>
      <c r="AP19" s="1164" t="s">
        <v>743</v>
      </c>
      <c r="AQ19" s="1232">
        <f>AQ18+AQ17</f>
        <v>13636.958044754299</v>
      </c>
      <c r="AS19" s="1196"/>
      <c r="AT19" s="1197"/>
      <c r="AU19" s="1198"/>
      <c r="AV19" s="1197"/>
      <c r="AW19" s="1198"/>
      <c r="AX19" s="1197"/>
      <c r="AZ19" s="1196"/>
      <c r="BA19" s="1197"/>
      <c r="BB19" s="1198"/>
      <c r="BC19" s="1197"/>
      <c r="BD19" s="1198"/>
      <c r="BE19" s="1197"/>
    </row>
    <row r="20" spans="1:59" ht="14.5">
      <c r="G20" s="1122" t="s">
        <v>697</v>
      </c>
      <c r="H20" s="1123">
        <f>SUM(H16:H18)</f>
        <v>13042.2631578947</v>
      </c>
      <c r="I20" s="1159"/>
      <c r="J20" s="1173"/>
      <c r="K20" s="1174"/>
      <c r="L20" s="1173"/>
      <c r="M20" s="1174"/>
      <c r="N20" s="1173"/>
      <c r="O20" s="1174"/>
      <c r="P20" s="1173"/>
      <c r="Q20" s="1174"/>
      <c r="R20" s="1173"/>
      <c r="S20" s="1174"/>
      <c r="T20" s="1173"/>
      <c r="U20" s="1174"/>
      <c r="V20" s="1195"/>
      <c r="W20" s="1173"/>
      <c r="X20" s="532"/>
      <c r="Y20" s="532"/>
      <c r="Z20" s="1203"/>
      <c r="AA20" s="1204"/>
      <c r="AB20" s="1205"/>
      <c r="AC20" s="1204"/>
      <c r="AD20" s="1205"/>
      <c r="AE20" s="1204"/>
      <c r="AF20" s="1205"/>
      <c r="AG20" s="1204"/>
      <c r="AH20" s="1205"/>
      <c r="AI20" s="1204"/>
      <c r="AJ20" s="1221"/>
      <c r="AK20" s="1222"/>
      <c r="AL20" s="1205"/>
      <c r="AM20" s="1204"/>
      <c r="AN20" s="1205"/>
      <c r="AO20" s="1204"/>
      <c r="AP20" s="1221"/>
      <c r="AQ20" s="1233"/>
    </row>
    <row r="21" spans="1:59" ht="14.5">
      <c r="A21" s="2423" t="s">
        <v>746</v>
      </c>
      <c r="B21" s="2422"/>
      <c r="D21" s="2423" t="s">
        <v>747</v>
      </c>
      <c r="E21" s="2422"/>
      <c r="G21" s="1131" t="s">
        <v>748</v>
      </c>
      <c r="H21" s="1132">
        <f>H20/20</f>
        <v>652.11315789473701</v>
      </c>
      <c r="I21" s="1159"/>
      <c r="V21" s="532"/>
      <c r="W21" s="532"/>
      <c r="X21" s="532"/>
      <c r="Y21" s="532"/>
      <c r="Z21" s="532"/>
      <c r="AA21" s="532"/>
      <c r="AB21" s="532"/>
      <c r="AC21" s="532"/>
      <c r="AD21" s="1194"/>
      <c r="AE21" s="1202"/>
      <c r="AF21" s="1194"/>
      <c r="AG21" s="1202"/>
      <c r="AH21" s="1194"/>
      <c r="AI21" s="1202"/>
      <c r="AJ21" s="1194"/>
      <c r="AK21" s="1202"/>
      <c r="AL21" s="1194"/>
      <c r="AM21" s="1202"/>
      <c r="AN21" s="1194"/>
      <c r="AO21" s="1202"/>
      <c r="AP21" s="1194"/>
      <c r="AQ21" s="1202"/>
      <c r="AR21" s="1194"/>
      <c r="AS21" s="1202"/>
      <c r="AT21" s="1194"/>
      <c r="AU21" s="1202"/>
    </row>
    <row r="22" spans="1:59" ht="14.5">
      <c r="A22" s="1122" t="s">
        <v>749</v>
      </c>
      <c r="B22" s="1138">
        <f>'WEEKLY FC'!E110</f>
        <v>2814</v>
      </c>
      <c r="D22" s="1122" t="s">
        <v>750</v>
      </c>
      <c r="E22" s="1123">
        <f>'WEEKLY FC'!E13</f>
        <v>5949.6102692307704</v>
      </c>
      <c r="J22" s="2468" t="s">
        <v>751</v>
      </c>
      <c r="K22" s="2469"/>
      <c r="L22" s="2469"/>
      <c r="M22" s="2469"/>
      <c r="N22" s="2469"/>
      <c r="O22" s="2469"/>
      <c r="P22" s="2469"/>
      <c r="Q22" s="2469"/>
      <c r="R22" s="2469"/>
      <c r="S22" s="2469"/>
      <c r="T22" s="2469"/>
      <c r="U22" s="2469"/>
      <c r="V22" s="2469"/>
      <c r="W22" s="2470"/>
      <c r="X22" s="532"/>
      <c r="Y22" s="532"/>
      <c r="Z22" s="2468" t="s">
        <v>752</v>
      </c>
      <c r="AA22" s="2469"/>
      <c r="AB22" s="2469"/>
      <c r="AC22" s="2469"/>
      <c r="AD22" s="2469"/>
      <c r="AE22" s="2469"/>
      <c r="AF22" s="2469"/>
      <c r="AG22" s="2470"/>
      <c r="AH22" s="1194"/>
      <c r="AI22" s="1202"/>
      <c r="AJ22" s="2468" t="s">
        <v>753</v>
      </c>
      <c r="AK22" s="2469"/>
      <c r="AL22" s="2469"/>
      <c r="AM22" s="2469"/>
      <c r="AN22" s="2469"/>
      <c r="AO22" s="2469"/>
      <c r="AP22" s="2469"/>
      <c r="AQ22" s="2470"/>
      <c r="AR22" s="1194"/>
      <c r="AS22" s="2468" t="s">
        <v>754</v>
      </c>
      <c r="AT22" s="2469"/>
      <c r="AU22" s="2469"/>
      <c r="AV22" s="2469"/>
      <c r="AW22" s="2469"/>
      <c r="AX22" s="2469"/>
      <c r="AY22" s="2469"/>
      <c r="AZ22" s="2469"/>
      <c r="BA22" s="2469"/>
      <c r="BB22" s="2469"/>
      <c r="BC22" s="2469"/>
      <c r="BD22" s="2469"/>
      <c r="BE22" s="2469"/>
      <c r="BF22" s="2470"/>
    </row>
    <row r="23" spans="1:59" ht="14.5">
      <c r="A23" s="1122" t="s">
        <v>755</v>
      </c>
      <c r="B23" s="1123">
        <f>B9*4</f>
        <v>1052.6315789473699</v>
      </c>
      <c r="D23" s="1122" t="s">
        <v>692</v>
      </c>
      <c r="E23" s="1123">
        <f t="shared" ref="E23:E29" si="2">E10</f>
        <v>198.94202898550699</v>
      </c>
      <c r="G23" s="2423" t="s">
        <v>756</v>
      </c>
      <c r="H23" s="2422"/>
      <c r="J23" s="2471"/>
      <c r="K23" s="2472"/>
      <c r="L23" s="2472"/>
      <c r="M23" s="2472"/>
      <c r="N23" s="2472"/>
      <c r="O23" s="2472"/>
      <c r="P23" s="2472"/>
      <c r="Q23" s="2472"/>
      <c r="R23" s="2472"/>
      <c r="S23" s="2472"/>
      <c r="T23" s="2472"/>
      <c r="U23" s="2472"/>
      <c r="V23" s="2472"/>
      <c r="W23" s="2473"/>
      <c r="X23" s="1184" t="s">
        <v>687</v>
      </c>
      <c r="Y23" s="532"/>
      <c r="Z23" s="2471"/>
      <c r="AA23" s="2472"/>
      <c r="AB23" s="2472"/>
      <c r="AC23" s="2472"/>
      <c r="AD23" s="2472"/>
      <c r="AE23" s="2472"/>
      <c r="AF23" s="2472"/>
      <c r="AG23" s="2473"/>
      <c r="AH23" s="1184" t="s">
        <v>687</v>
      </c>
      <c r="AI23" s="1202"/>
      <c r="AJ23" s="2471"/>
      <c r="AK23" s="2472"/>
      <c r="AL23" s="2472"/>
      <c r="AM23" s="2472"/>
      <c r="AN23" s="2472"/>
      <c r="AO23" s="2472"/>
      <c r="AP23" s="2472"/>
      <c r="AQ23" s="2473"/>
      <c r="AR23" s="1184" t="s">
        <v>687</v>
      </c>
      <c r="AS23" s="2471"/>
      <c r="AT23" s="2472"/>
      <c r="AU23" s="2472"/>
      <c r="AV23" s="2472"/>
      <c r="AW23" s="2472"/>
      <c r="AX23" s="2472"/>
      <c r="AY23" s="2472"/>
      <c r="AZ23" s="2472"/>
      <c r="BA23" s="2472"/>
      <c r="BB23" s="2472"/>
      <c r="BC23" s="2472"/>
      <c r="BD23" s="2472"/>
      <c r="BE23" s="2472"/>
      <c r="BF23" s="2473"/>
      <c r="BG23" s="1184" t="s">
        <v>687</v>
      </c>
    </row>
    <row r="24" spans="1:59" ht="14.5">
      <c r="A24" s="1122"/>
      <c r="B24" s="1129"/>
      <c r="D24" s="1122" t="s">
        <v>276</v>
      </c>
      <c r="E24" s="1123">
        <f t="shared" si="2"/>
        <v>327.70499999999998</v>
      </c>
      <c r="G24" s="1122" t="s">
        <v>757</v>
      </c>
      <c r="H24" s="1138">
        <f>'WEEKLY FC'!E336</f>
        <v>37296</v>
      </c>
      <c r="I24" s="1159"/>
      <c r="V24" s="532"/>
      <c r="W24" s="532"/>
      <c r="X24" s="1194"/>
      <c r="Y24" s="1202"/>
      <c r="Z24" s="1194"/>
      <c r="AA24" s="1202"/>
      <c r="AB24" s="1194"/>
      <c r="AC24" s="1202"/>
      <c r="AD24" s="1194"/>
      <c r="AE24" s="1202"/>
      <c r="AF24" s="1194"/>
      <c r="AG24" s="1202"/>
      <c r="AH24" s="1194"/>
      <c r="AI24" s="1202"/>
      <c r="AJ24" s="1194"/>
      <c r="AK24" s="1202"/>
      <c r="AL24" s="1194"/>
      <c r="AM24" s="1202"/>
      <c r="AN24" s="1194"/>
      <c r="AO24" s="1202"/>
      <c r="AS24" s="1160"/>
      <c r="AT24" s="1160"/>
      <c r="AU24" s="1160"/>
      <c r="AV24" s="1160"/>
      <c r="AW24" s="1160"/>
      <c r="AX24" s="1160"/>
      <c r="AY24" s="1160"/>
      <c r="AZ24" s="1160"/>
      <c r="BA24" s="1160"/>
      <c r="BB24" s="1160"/>
      <c r="BC24" s="1160"/>
      <c r="BD24" s="1160"/>
      <c r="BE24" s="1185"/>
      <c r="BF24" s="1185"/>
    </row>
    <row r="25" spans="1:59" ht="14.5">
      <c r="A25" s="1122" t="s">
        <v>758</v>
      </c>
      <c r="B25" s="1123">
        <f>SUM(B22:B24)</f>
        <v>3866.6315789473701</v>
      </c>
      <c r="D25" s="1122" t="s">
        <v>696</v>
      </c>
      <c r="E25" s="1130">
        <f t="shared" si="2"/>
        <v>234.1</v>
      </c>
      <c r="G25" s="1122" t="s">
        <v>759</v>
      </c>
      <c r="H25" s="1138">
        <f>B9*1.95</f>
        <v>513.15789473684197</v>
      </c>
      <c r="I25" s="1159"/>
      <c r="J25" s="2439" t="s">
        <v>694</v>
      </c>
      <c r="K25" s="2440"/>
      <c r="L25" s="2441" t="s">
        <v>694</v>
      </c>
      <c r="M25" s="2440"/>
      <c r="N25" s="2442" t="s">
        <v>694</v>
      </c>
      <c r="O25" s="2443"/>
      <c r="P25" s="2442" t="s">
        <v>694</v>
      </c>
      <c r="Q25" s="2443"/>
      <c r="R25" s="2442" t="s">
        <v>694</v>
      </c>
      <c r="S25" s="2443"/>
      <c r="T25" s="2441" t="s">
        <v>694</v>
      </c>
      <c r="U25" s="2440"/>
      <c r="V25" s="2444" t="s">
        <v>694</v>
      </c>
      <c r="W25" s="2445"/>
      <c r="X25" s="532"/>
      <c r="Y25" s="532"/>
      <c r="Z25" s="2424" t="s">
        <v>694</v>
      </c>
      <c r="AA25" s="2425"/>
      <c r="AB25" s="2426" t="s">
        <v>694</v>
      </c>
      <c r="AC25" s="2425"/>
      <c r="AD25" s="2426" t="s">
        <v>694</v>
      </c>
      <c r="AE25" s="2425"/>
      <c r="AF25" s="2426" t="s">
        <v>694</v>
      </c>
      <c r="AG25" s="2425"/>
      <c r="AH25" s="1194"/>
      <c r="AI25" s="1202"/>
      <c r="AJ25" s="2424" t="s">
        <v>694</v>
      </c>
      <c r="AK25" s="2425"/>
      <c r="AL25" s="2426" t="s">
        <v>694</v>
      </c>
      <c r="AM25" s="2425"/>
      <c r="AN25" s="2426" t="s">
        <v>694</v>
      </c>
      <c r="AO25" s="2425"/>
      <c r="AP25" s="2426" t="s">
        <v>694</v>
      </c>
      <c r="AQ25" s="2425"/>
      <c r="AR25" s="1194"/>
      <c r="AS25" s="2424" t="s">
        <v>694</v>
      </c>
      <c r="AT25" s="2425"/>
      <c r="AU25" s="2430" t="s">
        <v>694</v>
      </c>
      <c r="AV25" s="2431"/>
      <c r="AW25" s="2386" t="s">
        <v>694</v>
      </c>
      <c r="AX25" s="2432"/>
      <c r="AY25" s="2386" t="s">
        <v>694</v>
      </c>
      <c r="AZ25" s="2432"/>
      <c r="BA25" s="2386" t="s">
        <v>694</v>
      </c>
      <c r="BB25" s="2432"/>
      <c r="BC25" s="2430" t="s">
        <v>694</v>
      </c>
      <c r="BD25" s="2431"/>
      <c r="BE25" s="2427" t="s">
        <v>694</v>
      </c>
      <c r="BF25" s="2433"/>
    </row>
    <row r="26" spans="1:59" ht="14.5">
      <c r="A26" s="1131" t="s">
        <v>715</v>
      </c>
      <c r="B26" s="1132">
        <f>B25/16</f>
        <v>241.664473684211</v>
      </c>
      <c r="D26" s="1122" t="s">
        <v>400</v>
      </c>
      <c r="E26" s="1130">
        <f t="shared" si="2"/>
        <v>606.10227272727298</v>
      </c>
      <c r="G26" s="1122"/>
      <c r="H26" s="1129"/>
      <c r="I26" s="1159"/>
      <c r="J26" s="2446" t="s">
        <v>760</v>
      </c>
      <c r="K26" s="2429"/>
      <c r="L26" s="2428" t="s">
        <v>761</v>
      </c>
      <c r="M26" s="2429"/>
      <c r="N26" s="2428" t="s">
        <v>762</v>
      </c>
      <c r="O26" s="2429"/>
      <c r="P26" s="2428" t="s">
        <v>763</v>
      </c>
      <c r="Q26" s="2429"/>
      <c r="R26" s="2428" t="s">
        <v>764</v>
      </c>
      <c r="S26" s="2429"/>
      <c r="T26" s="2428" t="s">
        <v>765</v>
      </c>
      <c r="U26" s="2429"/>
      <c r="V26" s="2434" t="s">
        <v>766</v>
      </c>
      <c r="W26" s="2447"/>
      <c r="X26" s="532"/>
      <c r="Y26" s="532"/>
      <c r="Z26" s="2435" t="s">
        <v>767</v>
      </c>
      <c r="AA26" s="2429"/>
      <c r="AB26" s="2428" t="s">
        <v>768</v>
      </c>
      <c r="AC26" s="2429"/>
      <c r="AD26" s="2428" t="s">
        <v>769</v>
      </c>
      <c r="AE26" s="2429"/>
      <c r="AF26" s="2428" t="s">
        <v>770</v>
      </c>
      <c r="AG26" s="2429"/>
      <c r="AH26" s="1194"/>
      <c r="AI26" s="1202"/>
      <c r="AJ26" s="2435" t="s">
        <v>771</v>
      </c>
      <c r="AK26" s="2429"/>
      <c r="AL26" s="2428" t="s">
        <v>772</v>
      </c>
      <c r="AM26" s="2429"/>
      <c r="AN26" s="2428" t="s">
        <v>773</v>
      </c>
      <c r="AO26" s="2429"/>
      <c r="AP26" s="2428" t="s">
        <v>774</v>
      </c>
      <c r="AQ26" s="2429"/>
      <c r="AR26" s="1194"/>
      <c r="AS26" s="2435" t="s">
        <v>698</v>
      </c>
      <c r="AT26" s="2429"/>
      <c r="AU26" s="2428" t="s">
        <v>699</v>
      </c>
      <c r="AV26" s="2429"/>
      <c r="AW26" s="2428" t="s">
        <v>700</v>
      </c>
      <c r="AX26" s="2429"/>
      <c r="AY26" s="2428" t="s">
        <v>701</v>
      </c>
      <c r="AZ26" s="2429"/>
      <c r="BA26" s="2428" t="s">
        <v>702</v>
      </c>
      <c r="BB26" s="2429"/>
      <c r="BC26" s="2428" t="s">
        <v>703</v>
      </c>
      <c r="BD26" s="2429"/>
      <c r="BE26" s="2428" t="s">
        <v>704</v>
      </c>
      <c r="BF26" s="2429"/>
    </row>
    <row r="27" spans="1:59" ht="14.5">
      <c r="D27" s="1122" t="s">
        <v>721</v>
      </c>
      <c r="E27" s="1135">
        <f t="shared" si="2"/>
        <v>2.3026315789473699</v>
      </c>
      <c r="G27" s="1122" t="s">
        <v>697</v>
      </c>
      <c r="H27" s="1144">
        <f>SUM(H24:H26)</f>
        <v>37809.157894736803</v>
      </c>
      <c r="I27" s="1159"/>
      <c r="J27" s="1175" t="s">
        <v>629</v>
      </c>
      <c r="K27" s="1162">
        <f>H61</f>
        <v>1301.43540669856</v>
      </c>
      <c r="L27" s="1002" t="s">
        <v>629</v>
      </c>
      <c r="M27" s="1162">
        <f>K27</f>
        <v>1301.43540669856</v>
      </c>
      <c r="N27" s="1002" t="s">
        <v>716</v>
      </c>
      <c r="O27" s="1162">
        <f>H151</f>
        <v>8484.1366750700308</v>
      </c>
      <c r="P27" s="1002" t="s">
        <v>629</v>
      </c>
      <c r="Q27" s="1162">
        <f>K27</f>
        <v>1301.43540669856</v>
      </c>
      <c r="R27" s="1002" t="s">
        <v>412</v>
      </c>
      <c r="S27" s="1165">
        <f>S13</f>
        <v>1450.5</v>
      </c>
      <c r="T27" s="1002" t="s">
        <v>629</v>
      </c>
      <c r="U27" s="1162">
        <f>K27</f>
        <v>1301.43540669856</v>
      </c>
      <c r="V27" s="1176" t="s">
        <v>629</v>
      </c>
      <c r="W27" s="1186">
        <f>K27</f>
        <v>1301.43540669856</v>
      </c>
      <c r="X27" s="532"/>
      <c r="Y27" s="532"/>
      <c r="Z27" s="1179" t="s">
        <v>629</v>
      </c>
      <c r="AA27" s="1162">
        <f>W27</f>
        <v>1301.43540669856</v>
      </c>
      <c r="AB27" s="1002"/>
      <c r="AC27" s="1165"/>
      <c r="AD27" s="1002" t="s">
        <v>629</v>
      </c>
      <c r="AE27" s="1162">
        <f>AA27</f>
        <v>1301.43540669856</v>
      </c>
      <c r="AF27" s="1002" t="s">
        <v>629</v>
      </c>
      <c r="AG27" s="1162">
        <f>AA27</f>
        <v>1301.43540669856</v>
      </c>
      <c r="AH27" s="1194"/>
      <c r="AI27" s="1202"/>
      <c r="AJ27" s="1179" t="s">
        <v>629</v>
      </c>
      <c r="AK27" s="1162">
        <f>AG27</f>
        <v>1301.43540669856</v>
      </c>
      <c r="AL27" s="1002" t="s">
        <v>629</v>
      </c>
      <c r="AM27" s="1162">
        <f>AK27</f>
        <v>1301.43540669856</v>
      </c>
      <c r="AN27" s="1002" t="s">
        <v>629</v>
      </c>
      <c r="AO27" s="1162">
        <f>AM27</f>
        <v>1301.43540669856</v>
      </c>
      <c r="AP27" s="1002" t="s">
        <v>629</v>
      </c>
      <c r="AQ27" s="1162">
        <f>AK27</f>
        <v>1301.43540669856</v>
      </c>
      <c r="AR27" s="1194"/>
      <c r="AS27" s="1179" t="s">
        <v>629</v>
      </c>
      <c r="AT27" s="1162">
        <f>K13</f>
        <v>954.385964912281</v>
      </c>
      <c r="AU27" s="1002" t="s">
        <v>629</v>
      </c>
      <c r="AV27" s="1162">
        <f>M13</f>
        <v>954.385964912281</v>
      </c>
      <c r="AW27" s="1002" t="s">
        <v>716</v>
      </c>
      <c r="AX27" s="1162">
        <f>O13</f>
        <v>8292.1366750700308</v>
      </c>
      <c r="AY27" s="1002" t="s">
        <v>629</v>
      </c>
      <c r="AZ27" s="1162">
        <f>Q13</f>
        <v>954.385964912281</v>
      </c>
      <c r="BA27" s="1002" t="s">
        <v>412</v>
      </c>
      <c r="BB27" s="1165">
        <f>S13</f>
        <v>1450.5</v>
      </c>
      <c r="BC27" s="1002" t="s">
        <v>629</v>
      </c>
      <c r="BD27" s="1162">
        <f>U13</f>
        <v>954.385964912281</v>
      </c>
      <c r="BE27" s="1176" t="s">
        <v>629</v>
      </c>
      <c r="BF27" s="1186">
        <f>W13</f>
        <v>954.385964912281</v>
      </c>
    </row>
    <row r="28" spans="1:59" ht="14.5">
      <c r="A28" s="2423" t="s">
        <v>775</v>
      </c>
      <c r="B28" s="2422"/>
      <c r="D28" s="1122" t="s">
        <v>731</v>
      </c>
      <c r="E28" s="1124">
        <f t="shared" si="2"/>
        <v>407</v>
      </c>
      <c r="G28" s="1131" t="s">
        <v>748</v>
      </c>
      <c r="H28" s="1132">
        <f>H27/60</f>
        <v>630.15263157894697</v>
      </c>
      <c r="I28" s="1159"/>
      <c r="J28" s="1175" t="s">
        <v>78</v>
      </c>
      <c r="K28" s="1162">
        <f>E56</f>
        <v>6105.4353948301896</v>
      </c>
      <c r="L28" s="1002" t="s">
        <v>722</v>
      </c>
      <c r="M28" s="1162">
        <f>M14</f>
        <v>8145.8770254116598</v>
      </c>
      <c r="N28" s="1175" t="s">
        <v>776</v>
      </c>
      <c r="O28" s="1162">
        <f>K29</f>
        <v>1657.4477861319999</v>
      </c>
      <c r="P28" s="1002" t="s">
        <v>723</v>
      </c>
      <c r="Q28" s="1187">
        <f>Q14</f>
        <v>5695.1161640609598</v>
      </c>
      <c r="R28" s="1002" t="s">
        <v>724</v>
      </c>
      <c r="S28" s="1162">
        <f>S14</f>
        <v>5769.6703571428598</v>
      </c>
      <c r="T28" s="1002" t="s">
        <v>725</v>
      </c>
      <c r="U28" s="1162">
        <f>U14</f>
        <v>5472.3984822414404</v>
      </c>
      <c r="V28" s="1176" t="s">
        <v>726</v>
      </c>
      <c r="W28" s="1186">
        <f>E30</f>
        <v>7746.7072025224998</v>
      </c>
      <c r="X28" s="532"/>
      <c r="Y28" s="532"/>
      <c r="Z28" s="1179" t="s">
        <v>78</v>
      </c>
      <c r="AA28" s="1162">
        <f>K28</f>
        <v>6105.4353948301896</v>
      </c>
      <c r="AB28" s="1002" t="s">
        <v>716</v>
      </c>
      <c r="AC28" s="1162">
        <f>O27</f>
        <v>8484.1366750700308</v>
      </c>
      <c r="AD28" s="1002" t="s">
        <v>374</v>
      </c>
      <c r="AE28" s="1162">
        <f>W28</f>
        <v>7746.7072025224998</v>
      </c>
      <c r="AF28" s="1002" t="s">
        <v>725</v>
      </c>
      <c r="AG28" s="1162">
        <f>U28</f>
        <v>5472.3984822414404</v>
      </c>
      <c r="AH28" s="1194"/>
      <c r="AI28" s="1202"/>
      <c r="AJ28" s="1179" t="s">
        <v>777</v>
      </c>
      <c r="AK28" s="1162">
        <f>AA28</f>
        <v>6105.4353948301896</v>
      </c>
      <c r="AL28" s="1002" t="s">
        <v>728</v>
      </c>
      <c r="AM28" s="1162">
        <f>AE28</f>
        <v>7746.7072025224998</v>
      </c>
      <c r="AN28" s="1179" t="s">
        <v>777</v>
      </c>
      <c r="AO28" s="1162">
        <f>AK28</f>
        <v>6105.4353948301896</v>
      </c>
      <c r="AP28" s="1002" t="s">
        <v>728</v>
      </c>
      <c r="AQ28" s="1162">
        <f>AM28</f>
        <v>7746.7072025224998</v>
      </c>
      <c r="AR28" s="1194"/>
      <c r="AS28" s="1179" t="s">
        <v>78</v>
      </c>
      <c r="AT28" s="1162">
        <f>K14</f>
        <v>6105.4353948301896</v>
      </c>
      <c r="AU28" s="1002" t="s">
        <v>722</v>
      </c>
      <c r="AV28" s="1162">
        <f>M14</f>
        <v>8145.8770254116598</v>
      </c>
      <c r="AW28" s="1179" t="s">
        <v>170</v>
      </c>
      <c r="AX28" s="1162">
        <f>AV29</f>
        <v>3500</v>
      </c>
      <c r="AY28" s="1002" t="s">
        <v>723</v>
      </c>
      <c r="AZ28" s="1162">
        <f t="shared" ref="AZ28:AZ30" si="3">Q14</f>
        <v>5695.1161640609598</v>
      </c>
      <c r="BA28" s="1002" t="s">
        <v>724</v>
      </c>
      <c r="BB28" s="1162">
        <f>S14</f>
        <v>5769.6703571428598</v>
      </c>
      <c r="BC28" s="1002" t="s">
        <v>725</v>
      </c>
      <c r="BD28" s="1162">
        <f t="shared" ref="BD28:BD30" si="4">U14</f>
        <v>5472.3984822414404</v>
      </c>
      <c r="BE28" s="1176" t="s">
        <v>726</v>
      </c>
      <c r="BF28" s="1186">
        <f t="shared" ref="BF28:BF30" si="5">W14</f>
        <v>9182.8200102148094</v>
      </c>
    </row>
    <row r="29" spans="1:59" ht="14.5">
      <c r="A29" s="1145"/>
      <c r="B29" s="1129"/>
      <c r="D29" s="1122" t="s">
        <v>734</v>
      </c>
      <c r="E29" s="1137">
        <f t="shared" si="2"/>
        <v>20.945</v>
      </c>
      <c r="G29" s="1141"/>
      <c r="H29" s="1146"/>
      <c r="I29" s="1159"/>
      <c r="J29" s="1175" t="s">
        <v>776</v>
      </c>
      <c r="K29" s="1162">
        <f>B45</f>
        <v>1657.4477861319999</v>
      </c>
      <c r="L29" s="1175" t="s">
        <v>776</v>
      </c>
      <c r="M29" s="1162">
        <f>K29</f>
        <v>1657.4477861319999</v>
      </c>
      <c r="N29" s="1176" t="s">
        <v>412</v>
      </c>
      <c r="O29" s="1163">
        <f>O15</f>
        <v>1130</v>
      </c>
      <c r="P29" s="1175" t="s">
        <v>776</v>
      </c>
      <c r="Q29" s="1162">
        <f>K29</f>
        <v>1657.4477861319999</v>
      </c>
      <c r="R29" s="1175" t="s">
        <v>776</v>
      </c>
      <c r="S29" s="1162">
        <f>Q29</f>
        <v>1657.4477861319999</v>
      </c>
      <c r="T29" s="1002" t="s">
        <v>157</v>
      </c>
      <c r="U29" s="1162">
        <f>K29</f>
        <v>1657.4477861319999</v>
      </c>
      <c r="V29" s="1176" t="s">
        <v>157</v>
      </c>
      <c r="W29" s="1186">
        <f>U29</f>
        <v>1657.4477861319999</v>
      </c>
      <c r="X29" s="532"/>
      <c r="Y29" s="532"/>
      <c r="Z29" s="1179" t="s">
        <v>156</v>
      </c>
      <c r="AA29" s="1162">
        <f>B70</f>
        <v>3136.7994310099598</v>
      </c>
      <c r="AB29" s="1002" t="s">
        <v>156</v>
      </c>
      <c r="AC29" s="1162">
        <f>AA29</f>
        <v>3136.7994310099598</v>
      </c>
      <c r="AD29" s="1002" t="s">
        <v>156</v>
      </c>
      <c r="AE29" s="1162">
        <f>AC29</f>
        <v>3136.7994310099598</v>
      </c>
      <c r="AF29" s="1002" t="s">
        <v>156</v>
      </c>
      <c r="AG29" s="1162">
        <f>AA29</f>
        <v>3136.7994310099598</v>
      </c>
      <c r="AH29" s="1194"/>
      <c r="AI29" s="1202"/>
      <c r="AJ29" s="1179"/>
      <c r="AK29" s="1162"/>
      <c r="AL29" s="1002"/>
      <c r="AM29" s="1162"/>
      <c r="AN29" s="1002" t="s">
        <v>778</v>
      </c>
      <c r="AO29" s="1162">
        <f>'WEEKLY FC'!E119</f>
        <v>3500</v>
      </c>
      <c r="AP29" s="1002" t="s">
        <v>778</v>
      </c>
      <c r="AQ29" s="1162">
        <f>AO29</f>
        <v>3500</v>
      </c>
      <c r="AR29" s="1194"/>
      <c r="AS29" s="1179" t="s">
        <v>170</v>
      </c>
      <c r="AT29" s="1162">
        <f>AT14</f>
        <v>3500</v>
      </c>
      <c r="AU29" s="1179" t="s">
        <v>170</v>
      </c>
      <c r="AV29" s="1162">
        <f>AT29</f>
        <v>3500</v>
      </c>
      <c r="AW29" s="1002" t="s">
        <v>412</v>
      </c>
      <c r="AX29" s="1163">
        <f>O15</f>
        <v>1130</v>
      </c>
      <c r="AY29" s="1179" t="s">
        <v>170</v>
      </c>
      <c r="AZ29" s="1162">
        <f>AX28</f>
        <v>3500</v>
      </c>
      <c r="BA29" s="1179" t="s">
        <v>170</v>
      </c>
      <c r="BB29" s="1162">
        <f>AZ29</f>
        <v>3500</v>
      </c>
      <c r="BC29" s="1179" t="s">
        <v>170</v>
      </c>
      <c r="BD29" s="1162">
        <f>BB29</f>
        <v>3500</v>
      </c>
      <c r="BE29" s="1179" t="s">
        <v>170</v>
      </c>
      <c r="BF29" s="1186">
        <f>BD29</f>
        <v>3500</v>
      </c>
    </row>
    <row r="30" spans="1:59" ht="14.5">
      <c r="A30" s="1122" t="s">
        <v>779</v>
      </c>
      <c r="B30" s="1138">
        <f>'WEEKLY FC'!E110</f>
        <v>2814</v>
      </c>
      <c r="D30" s="1122" t="s">
        <v>780</v>
      </c>
      <c r="E30" s="1144">
        <f>SUM(E22:E29)</f>
        <v>7746.7072025224998</v>
      </c>
      <c r="I30" s="1159"/>
      <c r="J30" s="1175" t="s">
        <v>412</v>
      </c>
      <c r="K30" s="1162">
        <f>E204</f>
        <v>1555.36</v>
      </c>
      <c r="L30" s="1002" t="s">
        <v>412</v>
      </c>
      <c r="M30" s="1162">
        <f>K30</f>
        <v>1555.36</v>
      </c>
      <c r="N30" s="1002"/>
      <c r="O30" s="1165"/>
      <c r="P30" s="1002" t="s">
        <v>412</v>
      </c>
      <c r="Q30" s="1162">
        <f>K30</f>
        <v>1555.36</v>
      </c>
      <c r="R30" s="1176"/>
      <c r="S30" s="1163"/>
      <c r="T30" s="1002" t="s">
        <v>412</v>
      </c>
      <c r="U30" s="1162">
        <f>K30</f>
        <v>1555.36</v>
      </c>
      <c r="V30" s="1176" t="s">
        <v>412</v>
      </c>
      <c r="W30" s="1186">
        <f>U30</f>
        <v>1555.36</v>
      </c>
      <c r="X30" s="532"/>
      <c r="Y30" s="532"/>
      <c r="Z30" s="1179" t="s">
        <v>412</v>
      </c>
      <c r="AA30" s="1162">
        <f>W31</f>
        <v>10705.5903953531</v>
      </c>
      <c r="AB30" s="1002" t="s">
        <v>412</v>
      </c>
      <c r="AC30" s="1163">
        <f>O29</f>
        <v>1130</v>
      </c>
      <c r="AD30" s="1002" t="s">
        <v>412</v>
      </c>
      <c r="AE30" s="1162">
        <f>AA30</f>
        <v>10705.5903953531</v>
      </c>
      <c r="AF30" s="1002" t="s">
        <v>412</v>
      </c>
      <c r="AG30" s="1162">
        <f>AA30</f>
        <v>10705.5903953531</v>
      </c>
      <c r="AH30" s="1194"/>
      <c r="AI30" s="1202"/>
      <c r="AJ30" s="1179" t="s">
        <v>412</v>
      </c>
      <c r="AK30" s="1162">
        <f>SUM(E198:E199)+E203</f>
        <v>1135.3599999999999</v>
      </c>
      <c r="AL30" s="1002" t="s">
        <v>412</v>
      </c>
      <c r="AM30" s="1162">
        <f>AK30</f>
        <v>1135.3599999999999</v>
      </c>
      <c r="AN30" s="1002" t="s">
        <v>412</v>
      </c>
      <c r="AO30" s="1162">
        <f>AM30</f>
        <v>1135.3599999999999</v>
      </c>
      <c r="AP30" s="1002" t="s">
        <v>412</v>
      </c>
      <c r="AQ30" s="1162">
        <f>AO30</f>
        <v>1135.3599999999999</v>
      </c>
      <c r="AR30" s="1194"/>
      <c r="AS30" s="1179" t="s">
        <v>412</v>
      </c>
      <c r="AT30" s="1162">
        <f>K16</f>
        <v>1555.36</v>
      </c>
      <c r="AU30" s="1002" t="s">
        <v>412</v>
      </c>
      <c r="AV30" s="1162">
        <f>M16</f>
        <v>1555.36</v>
      </c>
      <c r="AW30" s="1164"/>
      <c r="AX30" s="1165"/>
      <c r="AY30" s="1002" t="s">
        <v>412</v>
      </c>
      <c r="AZ30" s="1162">
        <f t="shared" si="3"/>
        <v>1555.36</v>
      </c>
      <c r="BA30" s="1164" t="s">
        <v>736</v>
      </c>
      <c r="BB30" s="1163">
        <f>BB27+BB28</f>
        <v>7220.1703571428598</v>
      </c>
      <c r="BC30" s="1002" t="s">
        <v>412</v>
      </c>
      <c r="BD30" s="1162">
        <f t="shared" si="4"/>
        <v>1555.36</v>
      </c>
      <c r="BE30" s="1176" t="s">
        <v>412</v>
      </c>
      <c r="BF30" s="1186">
        <f t="shared" si="5"/>
        <v>1555.36</v>
      </c>
    </row>
    <row r="31" spans="1:59" ht="14.5">
      <c r="A31" s="1122" t="s">
        <v>781</v>
      </c>
      <c r="B31" s="1123">
        <f>B9*8</f>
        <v>2105.2631578947398</v>
      </c>
      <c r="D31" s="1122"/>
      <c r="E31" s="1140"/>
      <c r="G31" s="2423" t="s">
        <v>782</v>
      </c>
      <c r="H31" s="2422"/>
      <c r="I31" s="1159"/>
      <c r="J31" s="1164" t="s">
        <v>736</v>
      </c>
      <c r="K31" s="1163">
        <f>SUM(K27:K30)</f>
        <v>10619.678587660699</v>
      </c>
      <c r="L31" s="1164" t="s">
        <v>736</v>
      </c>
      <c r="M31" s="1166">
        <f>SUM(M27:M29)</f>
        <v>11104.7602182422</v>
      </c>
      <c r="N31" s="1164" t="s">
        <v>736</v>
      </c>
      <c r="O31" s="1167">
        <f>O27+O28</f>
        <v>10141.584461201999</v>
      </c>
      <c r="P31" s="1164" t="s">
        <v>736</v>
      </c>
      <c r="Q31" s="1163">
        <f>SUM(Q27:Q29)</f>
        <v>8653.9993568915197</v>
      </c>
      <c r="R31" s="1164" t="s">
        <v>736</v>
      </c>
      <c r="S31" s="1168">
        <f>S28+S29</f>
        <v>7427.1181432748599</v>
      </c>
      <c r="T31" s="1164" t="s">
        <v>736</v>
      </c>
      <c r="U31" s="1163">
        <f>SUM(U27:U29)</f>
        <v>8431.2816750719994</v>
      </c>
      <c r="V31" s="1164" t="s">
        <v>736</v>
      </c>
      <c r="W31" s="1188">
        <f>SUM(W27:W29)</f>
        <v>10705.5903953531</v>
      </c>
      <c r="X31" s="532"/>
      <c r="Y31" s="532"/>
      <c r="Z31" s="1164" t="s">
        <v>736</v>
      </c>
      <c r="AA31" s="1163">
        <f>SUM(AA27:AA29)</f>
        <v>10543.6702325387</v>
      </c>
      <c r="AB31" s="1164" t="s">
        <v>736</v>
      </c>
      <c r="AC31" s="1190">
        <f>AC28+AC29</f>
        <v>11620.93610608</v>
      </c>
      <c r="AD31" s="1164" t="s">
        <v>736</v>
      </c>
      <c r="AE31" s="1163">
        <f>SUM(AE27:AE29)</f>
        <v>12184.942040231001</v>
      </c>
      <c r="AF31" s="1164" t="s">
        <v>736</v>
      </c>
      <c r="AG31" s="1163">
        <f>SUM(AG27:AG29)</f>
        <v>9910.6333199499604</v>
      </c>
      <c r="AH31" s="1194"/>
      <c r="AI31" s="1202"/>
      <c r="AJ31" s="1164" t="s">
        <v>736</v>
      </c>
      <c r="AK31" s="1163">
        <f>AK27+AK28</f>
        <v>7406.8708015287502</v>
      </c>
      <c r="AL31" s="1164" t="s">
        <v>736</v>
      </c>
      <c r="AM31" s="1163">
        <f>AM27+AM28</f>
        <v>9048.1426092210604</v>
      </c>
      <c r="AN31" s="1164" t="s">
        <v>736</v>
      </c>
      <c r="AO31" s="1163">
        <f>AO27+AO28+AO29</f>
        <v>10906.870801528699</v>
      </c>
      <c r="AP31" s="1164" t="s">
        <v>736</v>
      </c>
      <c r="AQ31" s="1163">
        <f>AQ27+AQ28+AQ29</f>
        <v>12548.1426092211</v>
      </c>
      <c r="AR31" s="1194"/>
      <c r="AS31" s="1212" t="s">
        <v>736</v>
      </c>
      <c r="AT31" s="1163">
        <f>SUM(AT27:AT29)</f>
        <v>10559.8213597425</v>
      </c>
      <c r="AU31" s="1164" t="s">
        <v>736</v>
      </c>
      <c r="AV31" s="1166">
        <f>SUM(AV27:AV29)</f>
        <v>12600.262990323899</v>
      </c>
      <c r="AW31" s="1164" t="s">
        <v>736</v>
      </c>
      <c r="AX31" s="1167">
        <f>AX27+AX28</f>
        <v>11792.13667507</v>
      </c>
      <c r="AY31" s="1164" t="s">
        <v>736</v>
      </c>
      <c r="AZ31" s="1163">
        <f>SUM(AZ27:AZ29)</f>
        <v>10149.502128973199</v>
      </c>
      <c r="BA31" s="1164" t="s">
        <v>743</v>
      </c>
      <c r="BB31" s="1168">
        <f>BB30+BB29</f>
        <v>10720.170357142901</v>
      </c>
      <c r="BC31" s="1164" t="s">
        <v>736</v>
      </c>
      <c r="BD31" s="1163">
        <f>SUM(BD27:BD29)</f>
        <v>9926.7844471537301</v>
      </c>
      <c r="BE31" s="1164" t="s">
        <v>736</v>
      </c>
      <c r="BF31" s="1188">
        <f>SUM(BF27:BF29)</f>
        <v>13637.205975127101</v>
      </c>
    </row>
    <row r="32" spans="1:59" ht="14.5">
      <c r="A32" s="1122"/>
      <c r="B32" s="1129"/>
      <c r="D32" s="1131"/>
      <c r="E32" s="1143"/>
      <c r="G32" s="1122" t="s">
        <v>783</v>
      </c>
      <c r="H32" s="1123">
        <f>'WEEKLY FC'!E326</f>
        <v>8547</v>
      </c>
      <c r="I32" s="1169"/>
      <c r="J32" s="1164" t="s">
        <v>743</v>
      </c>
      <c r="K32" s="1168">
        <f>K30+K31</f>
        <v>12175.0385876607</v>
      </c>
      <c r="L32" s="1164" t="s">
        <v>743</v>
      </c>
      <c r="M32" s="1168">
        <f>M31+M30</f>
        <v>12660.1202182422</v>
      </c>
      <c r="N32" s="1164" t="s">
        <v>743</v>
      </c>
      <c r="O32" s="1167">
        <f>O31+O29</f>
        <v>11271.584461201999</v>
      </c>
      <c r="P32" s="1164" t="s">
        <v>743</v>
      </c>
      <c r="Q32" s="1168">
        <f>Q31+Q30</f>
        <v>10209.3593568915</v>
      </c>
      <c r="R32" s="1164" t="s">
        <v>743</v>
      </c>
      <c r="S32" s="1167">
        <f>S31+S27</f>
        <v>8877.6181432748599</v>
      </c>
      <c r="T32" s="1164" t="s">
        <v>743</v>
      </c>
      <c r="U32" s="1190">
        <f>U31+U30</f>
        <v>9986.6416750720091</v>
      </c>
      <c r="V32" s="1164" t="s">
        <v>743</v>
      </c>
      <c r="W32" s="1191">
        <f>W31+W30</f>
        <v>12260.9503953531</v>
      </c>
      <c r="X32" s="532"/>
      <c r="Y32" s="532"/>
      <c r="Z32" s="1164" t="s">
        <v>743</v>
      </c>
      <c r="AA32" s="1168">
        <f>AA31+AA30</f>
        <v>21249.260627891799</v>
      </c>
      <c r="AB32" s="1164" t="s">
        <v>743</v>
      </c>
      <c r="AC32" s="1167">
        <f>AC31+AC30</f>
        <v>12750.93610608</v>
      </c>
      <c r="AD32" s="1164" t="s">
        <v>743</v>
      </c>
      <c r="AE32" s="1168">
        <f>AE31+AE30</f>
        <v>22890.5324355841</v>
      </c>
      <c r="AF32" s="1164" t="s">
        <v>743</v>
      </c>
      <c r="AG32" s="1168">
        <f>AG31+AG30</f>
        <v>20616.223715303</v>
      </c>
      <c r="AH32" s="1194"/>
      <c r="AI32" s="1202"/>
      <c r="AJ32" s="1164" t="s">
        <v>743</v>
      </c>
      <c r="AK32" s="1168">
        <f>AK31+AK30</f>
        <v>8542.2308015287508</v>
      </c>
      <c r="AL32" s="1164" t="s">
        <v>743</v>
      </c>
      <c r="AM32" s="1168">
        <f>AM31+AM30</f>
        <v>10183.502609221099</v>
      </c>
      <c r="AN32" s="1164" t="s">
        <v>743</v>
      </c>
      <c r="AO32" s="1168">
        <f>AO31+AO30</f>
        <v>12042.2308015287</v>
      </c>
      <c r="AP32" s="1164" t="s">
        <v>743</v>
      </c>
      <c r="AQ32" s="1168">
        <f>AQ31+AQ30</f>
        <v>13683.502609221099</v>
      </c>
      <c r="AR32" s="1194"/>
      <c r="AS32" s="1212" t="s">
        <v>743</v>
      </c>
      <c r="AT32" s="1168">
        <f>AT30+AT31</f>
        <v>12115.181359742501</v>
      </c>
      <c r="AU32" s="1164" t="s">
        <v>743</v>
      </c>
      <c r="AV32" s="1168">
        <f>AV31+AV30</f>
        <v>14155.6229903239</v>
      </c>
      <c r="AW32" s="1164" t="s">
        <v>743</v>
      </c>
      <c r="AX32" s="1167">
        <f>AX31+AX29</f>
        <v>12922.13667507</v>
      </c>
      <c r="AY32" s="1164" t="s">
        <v>743</v>
      </c>
      <c r="AZ32" s="1168">
        <f>AZ31+AZ30</f>
        <v>11704.8621289732</v>
      </c>
      <c r="BA32" s="1002"/>
      <c r="BB32" s="1189"/>
      <c r="BC32" s="1164" t="s">
        <v>743</v>
      </c>
      <c r="BD32" s="1190">
        <f>BD31+BD30</f>
        <v>11482.1444471537</v>
      </c>
      <c r="BE32" s="1164" t="s">
        <v>743</v>
      </c>
      <c r="BF32" s="1191">
        <f>BF31+BF30</f>
        <v>15192.5659751271</v>
      </c>
    </row>
    <row r="33" spans="1:65" ht="14.5">
      <c r="A33" s="1122" t="s">
        <v>758</v>
      </c>
      <c r="B33" s="1123">
        <f>SUM(B30:B32)</f>
        <v>4919.2631578947403</v>
      </c>
      <c r="G33" s="1122" t="s">
        <v>784</v>
      </c>
      <c r="H33" s="1123">
        <f>'WEEKLY FC'!E331*0.375</f>
        <v>3511.125</v>
      </c>
      <c r="I33" s="1169"/>
      <c r="J33" s="1177"/>
      <c r="K33" s="1171"/>
      <c r="L33" s="1170"/>
      <c r="M33" s="1171"/>
      <c r="N33" s="1170"/>
      <c r="O33" s="1172"/>
      <c r="P33" s="1170"/>
      <c r="Q33" s="1171"/>
      <c r="R33" s="1170"/>
      <c r="S33" s="1172"/>
      <c r="T33" s="1170"/>
      <c r="U33" s="1171"/>
      <c r="V33" s="1192"/>
      <c r="W33" s="1193"/>
      <c r="X33" s="532"/>
      <c r="Y33" s="532"/>
      <c r="Z33" s="1180"/>
      <c r="AA33" s="1171"/>
      <c r="AB33" s="1170"/>
      <c r="AC33" s="1172"/>
      <c r="AD33" s="1170"/>
      <c r="AE33" s="1171"/>
      <c r="AF33" s="1170"/>
      <c r="AG33" s="1171"/>
      <c r="AH33" s="1194"/>
      <c r="AI33" s="1202"/>
      <c r="AJ33" s="1180"/>
      <c r="AK33" s="1171"/>
      <c r="AL33" s="1170"/>
      <c r="AM33" s="1171"/>
      <c r="AN33" s="1170"/>
      <c r="AO33" s="1171"/>
      <c r="AP33" s="1170"/>
      <c r="AQ33" s="1171"/>
      <c r="AR33" s="1194"/>
      <c r="AS33" s="1180"/>
      <c r="AT33" s="1171"/>
      <c r="AU33" s="1170"/>
      <c r="AV33" s="1171"/>
      <c r="AW33" s="1170"/>
      <c r="AX33" s="1172"/>
      <c r="AY33" s="1170"/>
      <c r="AZ33" s="1171"/>
      <c r="BA33" s="1170"/>
      <c r="BB33" s="1172"/>
      <c r="BC33" s="1170"/>
      <c r="BD33" s="1171"/>
      <c r="BE33" s="1192"/>
      <c r="BF33" s="1193"/>
    </row>
    <row r="34" spans="1:65" ht="14.5">
      <c r="A34" s="1131" t="s">
        <v>715</v>
      </c>
      <c r="B34" s="1147">
        <f>B33/36</f>
        <v>136.64619883040899</v>
      </c>
      <c r="D34" s="2423" t="s">
        <v>723</v>
      </c>
      <c r="E34" s="2422"/>
      <c r="G34" s="1122" t="s">
        <v>785</v>
      </c>
      <c r="H34" s="1123">
        <f>B9*0.75</f>
        <v>197.36842105263199</v>
      </c>
      <c r="I34" s="1169"/>
      <c r="J34" s="1178"/>
      <c r="K34" s="1174"/>
      <c r="L34" s="1173"/>
      <c r="M34" s="1174"/>
      <c r="N34" s="1173"/>
      <c r="O34" s="1174"/>
      <c r="P34" s="1173"/>
      <c r="Q34" s="1174"/>
      <c r="R34" s="1173"/>
      <c r="S34" s="1174"/>
      <c r="T34" s="1173"/>
      <c r="U34" s="1174"/>
      <c r="V34" s="1195"/>
      <c r="W34" s="1173"/>
      <c r="X34" s="532"/>
      <c r="Y34" s="532"/>
      <c r="Z34" s="1181"/>
      <c r="AA34" s="1174"/>
      <c r="AB34" s="1173"/>
      <c r="AC34" s="1174"/>
      <c r="AD34" s="1173"/>
      <c r="AE34" s="1174"/>
      <c r="AF34" s="1173"/>
      <c r="AG34" s="1174"/>
      <c r="AH34" s="1194"/>
      <c r="AI34" s="1202"/>
      <c r="AJ34" s="1181"/>
      <c r="AK34" s="1174"/>
      <c r="AL34" s="1173"/>
      <c r="AM34" s="1174"/>
      <c r="AN34" s="1173"/>
      <c r="AO34" s="1174"/>
      <c r="AP34" s="1173"/>
      <c r="AQ34" s="1174"/>
      <c r="AR34" s="1194"/>
      <c r="AS34" s="1181"/>
      <c r="AT34" s="1174"/>
      <c r="AU34" s="1173"/>
      <c r="AV34" s="1174"/>
      <c r="AW34" s="1173"/>
      <c r="AX34" s="1174"/>
      <c r="AY34" s="1173"/>
      <c r="AZ34" s="1174"/>
      <c r="BA34" s="1173"/>
      <c r="BB34" s="1174"/>
      <c r="BC34" s="1173"/>
      <c r="BD34" s="1174"/>
      <c r="BE34" s="1195"/>
      <c r="BF34" s="1173"/>
    </row>
    <row r="35" spans="1:65" ht="14.5">
      <c r="D35" s="1122" t="s">
        <v>786</v>
      </c>
      <c r="E35" s="1123">
        <f>'WEEKLY FC'!E14</f>
        <v>3898.01923076923</v>
      </c>
      <c r="G35" s="1122" t="s">
        <v>787</v>
      </c>
      <c r="H35" s="1123">
        <f>'WEEKLY FC'!E320*4</f>
        <v>7468</v>
      </c>
      <c r="I35" s="1169"/>
      <c r="V35" s="532"/>
      <c r="W35" s="532"/>
      <c r="X35" s="532"/>
      <c r="Y35" s="532"/>
      <c r="Z35" s="532"/>
      <c r="AA35" s="532"/>
      <c r="AB35" s="532"/>
      <c r="AC35" s="532"/>
      <c r="AD35" s="1194"/>
      <c r="AE35" s="1202"/>
      <c r="AF35" s="1194"/>
      <c r="AG35" s="1202"/>
      <c r="AH35" s="1194"/>
      <c r="AI35" s="1202"/>
      <c r="AJ35" s="1194"/>
      <c r="AK35" s="1202"/>
      <c r="AL35" s="1194"/>
      <c r="AM35" s="1202"/>
      <c r="AN35" s="1194"/>
      <c r="AO35" s="1202"/>
      <c r="AP35" s="1194"/>
      <c r="AQ35" s="1202"/>
      <c r="AR35" s="1194"/>
      <c r="AS35" s="1202"/>
      <c r="AT35" s="1194"/>
      <c r="AU35" s="1202"/>
    </row>
    <row r="36" spans="1:65" ht="14.5">
      <c r="A36" s="2423" t="s">
        <v>788</v>
      </c>
      <c r="B36" s="2422"/>
      <c r="D36" s="1122" t="s">
        <v>692</v>
      </c>
      <c r="E36" s="1123">
        <f t="shared" ref="E36:E41" si="6">E23</f>
        <v>198.94202898550699</v>
      </c>
      <c r="G36" s="1122"/>
      <c r="H36" s="1136">
        <f>H32+H33+H34+H35</f>
        <v>19723.493421052601</v>
      </c>
      <c r="I36" s="1151"/>
      <c r="J36" s="2468" t="s">
        <v>789</v>
      </c>
      <c r="K36" s="2469"/>
      <c r="L36" s="2469"/>
      <c r="M36" s="2469"/>
      <c r="N36" s="2469"/>
      <c r="O36" s="2469"/>
      <c r="P36" s="2469"/>
      <c r="Q36" s="2469"/>
      <c r="R36" s="2469"/>
      <c r="S36" s="2470"/>
      <c r="V36" s="2468" t="s">
        <v>790</v>
      </c>
      <c r="W36" s="2469"/>
      <c r="X36" s="2469"/>
      <c r="Y36" s="2469"/>
      <c r="Z36" s="2469"/>
      <c r="AA36" s="2470"/>
      <c r="AB36" s="532"/>
      <c r="AC36" s="532"/>
      <c r="AD36" s="2468" t="s">
        <v>791</v>
      </c>
      <c r="AE36" s="2469"/>
      <c r="AF36" s="2469"/>
      <c r="AG36" s="2469"/>
      <c r="AH36" s="2469"/>
      <c r="AI36" s="2470"/>
      <c r="AJ36" s="1194"/>
      <c r="AK36" s="1202"/>
      <c r="AL36" s="2468" t="s">
        <v>792</v>
      </c>
      <c r="AM36" s="2469"/>
      <c r="AN36" s="2469"/>
      <c r="AO36" s="2469"/>
      <c r="AP36" s="2469"/>
      <c r="AQ36" s="2469"/>
      <c r="AR36" s="2469"/>
      <c r="AS36" s="2470"/>
      <c r="AT36" s="1194"/>
      <c r="AU36" s="2474" t="s">
        <v>793</v>
      </c>
      <c r="AV36" s="2475"/>
      <c r="AW36" s="2475"/>
      <c r="AX36" s="2475"/>
      <c r="AY36" s="2475"/>
      <c r="AZ36" s="2475"/>
      <c r="BA36" s="2475"/>
      <c r="BB36" s="2475"/>
      <c r="BC36" s="2475"/>
      <c r="BD36" s="2475"/>
      <c r="BE36" s="2475"/>
      <c r="BF36" s="2475"/>
      <c r="BG36" s="2475"/>
      <c r="BH36" s="2475"/>
      <c r="BI36" s="2475"/>
      <c r="BJ36" s="2475"/>
      <c r="BK36" s="2475"/>
      <c r="BL36" s="2476"/>
    </row>
    <row r="37" spans="1:65" ht="14.5">
      <c r="A37" s="1122" t="s">
        <v>794</v>
      </c>
      <c r="B37" s="1138">
        <f>'WEEKLY FC'!E102</f>
        <v>54570</v>
      </c>
      <c r="D37" s="1122" t="s">
        <v>276</v>
      </c>
      <c r="E37" s="1123">
        <f t="shared" si="6"/>
        <v>327.70499999999998</v>
      </c>
      <c r="G37" s="1122" t="s">
        <v>795</v>
      </c>
      <c r="H37" s="1123">
        <f>SUM(H32:H35)/15</f>
        <v>1314.89956140351</v>
      </c>
      <c r="I37" s="1151"/>
      <c r="J37" s="2471"/>
      <c r="K37" s="2472"/>
      <c r="L37" s="2472"/>
      <c r="M37" s="2472"/>
      <c r="N37" s="2472"/>
      <c r="O37" s="2472"/>
      <c r="P37" s="2472"/>
      <c r="Q37" s="2472"/>
      <c r="R37" s="2472"/>
      <c r="S37" s="2473"/>
      <c r="T37" s="1184" t="s">
        <v>687</v>
      </c>
      <c r="V37" s="2471"/>
      <c r="W37" s="2472"/>
      <c r="X37" s="2472"/>
      <c r="Y37" s="2472"/>
      <c r="Z37" s="2472"/>
      <c r="AA37" s="2473"/>
      <c r="AB37" s="1184" t="s">
        <v>687</v>
      </c>
      <c r="AC37" s="532"/>
      <c r="AD37" s="2471"/>
      <c r="AE37" s="2472"/>
      <c r="AF37" s="2472"/>
      <c r="AG37" s="2472"/>
      <c r="AH37" s="2472"/>
      <c r="AI37" s="2473"/>
      <c r="AJ37" s="1184" t="s">
        <v>687</v>
      </c>
      <c r="AK37" s="1202"/>
      <c r="AL37" s="2471"/>
      <c r="AM37" s="2472"/>
      <c r="AN37" s="2472"/>
      <c r="AO37" s="2472"/>
      <c r="AP37" s="2472"/>
      <c r="AQ37" s="2472"/>
      <c r="AR37" s="2472"/>
      <c r="AS37" s="2473"/>
      <c r="AT37" s="1184" t="s">
        <v>687</v>
      </c>
      <c r="AU37" s="2477"/>
      <c r="AV37" s="2478"/>
      <c r="AW37" s="2478"/>
      <c r="AX37" s="2478"/>
      <c r="AY37" s="2478"/>
      <c r="AZ37" s="2478"/>
      <c r="BA37" s="2478"/>
      <c r="BB37" s="2478"/>
      <c r="BC37" s="2478"/>
      <c r="BD37" s="2478"/>
      <c r="BE37" s="2478"/>
      <c r="BF37" s="2478"/>
      <c r="BG37" s="2478"/>
      <c r="BH37" s="2478"/>
      <c r="BI37" s="2478"/>
      <c r="BJ37" s="2478"/>
      <c r="BK37" s="2478"/>
      <c r="BL37" s="2479"/>
      <c r="BM37" s="1184" t="s">
        <v>687</v>
      </c>
    </row>
    <row r="38" spans="1:65" ht="14.5">
      <c r="A38" s="1122" t="s">
        <v>796</v>
      </c>
      <c r="B38" s="1138">
        <f>B9*9</f>
        <v>2368.4210526315801</v>
      </c>
      <c r="D38" s="1122" t="s">
        <v>696</v>
      </c>
      <c r="E38" s="1130">
        <f t="shared" si="6"/>
        <v>234.1</v>
      </c>
      <c r="G38" s="1122" t="s">
        <v>797</v>
      </c>
      <c r="H38" s="1123">
        <f>SUM(H32:H35)/20</f>
        <v>986.17467105263199</v>
      </c>
      <c r="I38" s="1169"/>
      <c r="V38" s="532"/>
      <c r="W38" s="532"/>
      <c r="X38" s="532"/>
      <c r="Y38" s="532"/>
      <c r="Z38" s="532"/>
      <c r="AA38" s="532"/>
      <c r="AB38" s="532"/>
      <c r="AC38" s="532"/>
      <c r="AD38" s="1194"/>
      <c r="AE38" s="1202"/>
      <c r="AF38" s="1194"/>
      <c r="AG38" s="1202"/>
      <c r="AH38" s="1194"/>
      <c r="AI38" s="1202"/>
      <c r="AJ38" s="1194"/>
      <c r="AK38" s="1202"/>
      <c r="AL38" s="532"/>
      <c r="AM38" s="532"/>
      <c r="AN38" s="532"/>
      <c r="AO38" s="532"/>
      <c r="AP38" s="532"/>
      <c r="AQ38" s="532"/>
      <c r="AR38" s="1194"/>
      <c r="AS38" s="1202"/>
      <c r="AT38" s="1194"/>
    </row>
    <row r="39" spans="1:65" ht="14.5">
      <c r="A39" s="1122" t="s">
        <v>798</v>
      </c>
      <c r="B39" s="1123">
        <f>B18*0.5</f>
        <v>5954.3859649122796</v>
      </c>
      <c r="D39" s="1122" t="s">
        <v>400</v>
      </c>
      <c r="E39" s="1130">
        <f t="shared" si="6"/>
        <v>606.10227272727298</v>
      </c>
      <c r="G39" s="1131" t="s">
        <v>799</v>
      </c>
      <c r="H39" s="1132">
        <f>SUM(H32:H35)/30</f>
        <v>657.44978070175398</v>
      </c>
      <c r="J39" s="2424" t="s">
        <v>694</v>
      </c>
      <c r="K39" s="2425"/>
      <c r="L39" s="2426" t="s">
        <v>694</v>
      </c>
      <c r="M39" s="2425"/>
      <c r="N39" s="2426" t="s">
        <v>694</v>
      </c>
      <c r="O39" s="2425"/>
      <c r="P39" s="2426" t="s">
        <v>694</v>
      </c>
      <c r="Q39" s="2425"/>
      <c r="R39" s="2426" t="s">
        <v>694</v>
      </c>
      <c r="S39" s="2425"/>
      <c r="V39" s="2424" t="s">
        <v>694</v>
      </c>
      <c r="W39" s="2425"/>
      <c r="X39" s="2426" t="s">
        <v>694</v>
      </c>
      <c r="Y39" s="2425"/>
      <c r="Z39" s="2427" t="s">
        <v>694</v>
      </c>
      <c r="AA39" s="2425"/>
      <c r="AB39" s="532"/>
      <c r="AC39" s="532"/>
      <c r="AD39" s="2424" t="s">
        <v>694</v>
      </c>
      <c r="AE39" s="2425"/>
      <c r="AF39" s="2426" t="s">
        <v>694</v>
      </c>
      <c r="AG39" s="2425"/>
      <c r="AH39" s="2427" t="s">
        <v>694</v>
      </c>
      <c r="AI39" s="2425"/>
      <c r="AJ39" s="1194"/>
      <c r="AK39" s="1202"/>
      <c r="AL39" s="2424" t="s">
        <v>694</v>
      </c>
      <c r="AM39" s="2425"/>
      <c r="AN39" s="2426" t="s">
        <v>694</v>
      </c>
      <c r="AO39" s="2425"/>
      <c r="AP39" s="2427" t="s">
        <v>694</v>
      </c>
      <c r="AQ39" s="2425"/>
      <c r="AR39" s="2427" t="s">
        <v>694</v>
      </c>
      <c r="AS39" s="2425"/>
      <c r="AT39" s="1194"/>
      <c r="AU39" s="1185"/>
      <c r="AV39" s="1185"/>
      <c r="AW39" s="1185"/>
      <c r="AX39" s="1185"/>
      <c r="AY39" s="1185"/>
      <c r="AZ39" s="1185"/>
      <c r="BA39" s="1185"/>
      <c r="BB39" s="1185"/>
      <c r="BC39" s="1185"/>
      <c r="BD39" s="1185"/>
      <c r="BE39" s="1185"/>
      <c r="BF39" s="1185"/>
      <c r="BG39" s="1185"/>
      <c r="BH39" s="1185"/>
      <c r="BI39" s="1185"/>
      <c r="BJ39" s="1185"/>
      <c r="BK39" s="1185"/>
      <c r="BL39" s="1185"/>
    </row>
    <row r="40" spans="1:65" ht="14.5">
      <c r="A40" s="1122"/>
      <c r="B40" s="1140"/>
      <c r="D40" s="1122" t="s">
        <v>721</v>
      </c>
      <c r="E40" s="1135">
        <f t="shared" si="6"/>
        <v>2.3026315789473699</v>
      </c>
      <c r="J40" s="2435" t="s">
        <v>800</v>
      </c>
      <c r="K40" s="2428"/>
      <c r="L40" s="2434" t="s">
        <v>801</v>
      </c>
      <c r="M40" s="2429"/>
      <c r="N40" s="2434" t="s">
        <v>802</v>
      </c>
      <c r="O40" s="2429"/>
      <c r="P40" s="2434" t="s">
        <v>803</v>
      </c>
      <c r="Q40" s="2429"/>
      <c r="R40" s="2428" t="s">
        <v>804</v>
      </c>
      <c r="S40" s="2429"/>
      <c r="V40" s="2435" t="s">
        <v>282</v>
      </c>
      <c r="W40" s="2429"/>
      <c r="X40" s="2428" t="s">
        <v>283</v>
      </c>
      <c r="Y40" s="2429"/>
      <c r="Z40" s="2434" t="s">
        <v>695</v>
      </c>
      <c r="AA40" s="2429"/>
      <c r="AB40" s="532"/>
      <c r="AC40" s="532"/>
      <c r="AD40" s="2448" t="s">
        <v>805</v>
      </c>
      <c r="AE40" s="2448"/>
      <c r="AF40" s="2449" t="s">
        <v>806</v>
      </c>
      <c r="AG40" s="2450"/>
      <c r="AH40" s="2449" t="s">
        <v>807</v>
      </c>
      <c r="AI40" s="2449"/>
      <c r="AJ40" s="1194"/>
      <c r="AK40" s="1202"/>
      <c r="AL40" s="2435" t="s">
        <v>808</v>
      </c>
      <c r="AM40" s="2429"/>
      <c r="AN40" s="2435" t="s">
        <v>809</v>
      </c>
      <c r="AO40" s="2429"/>
      <c r="AP40" s="2435" t="s">
        <v>810</v>
      </c>
      <c r="AQ40" s="2429"/>
      <c r="AR40" s="2435" t="s">
        <v>811</v>
      </c>
      <c r="AS40" s="2429"/>
      <c r="AT40" s="1194"/>
      <c r="AU40" s="2424" t="s">
        <v>694</v>
      </c>
      <c r="AV40" s="2425"/>
      <c r="AW40" s="2426" t="s">
        <v>694</v>
      </c>
      <c r="AX40" s="2425"/>
      <c r="AY40" s="2426" t="s">
        <v>694</v>
      </c>
      <c r="AZ40" s="2425"/>
      <c r="BA40" s="2426" t="s">
        <v>694</v>
      </c>
      <c r="BB40" s="2425"/>
      <c r="BC40" s="2426" t="s">
        <v>694</v>
      </c>
      <c r="BD40" s="2425"/>
      <c r="BE40" s="2426" t="s">
        <v>694</v>
      </c>
      <c r="BF40" s="2438"/>
      <c r="BG40" s="2426" t="s">
        <v>694</v>
      </c>
      <c r="BH40" s="2425"/>
      <c r="BI40" s="2426" t="s">
        <v>694</v>
      </c>
      <c r="BJ40" s="2425"/>
      <c r="BK40" s="2426" t="s">
        <v>694</v>
      </c>
      <c r="BL40" s="2451"/>
    </row>
    <row r="41" spans="1:65" ht="14.5">
      <c r="A41" s="1122"/>
      <c r="B41" s="1140"/>
      <c r="D41" s="1122" t="s">
        <v>731</v>
      </c>
      <c r="E41" s="1123">
        <f t="shared" si="6"/>
        <v>407</v>
      </c>
      <c r="J41" s="1179" t="s">
        <v>724</v>
      </c>
      <c r="K41" s="1162">
        <f>H90</f>
        <v>5769.6703571428598</v>
      </c>
      <c r="L41" s="1002" t="s">
        <v>629</v>
      </c>
      <c r="M41" s="1162">
        <f>H61</f>
        <v>1301.43540669856</v>
      </c>
      <c r="N41" s="1002" t="s">
        <v>629</v>
      </c>
      <c r="O41" s="1162">
        <f>K41</f>
        <v>5769.6703571428598</v>
      </c>
      <c r="P41" s="1002" t="s">
        <v>629</v>
      </c>
      <c r="Q41" s="1162">
        <f>O41</f>
        <v>5769.6703571428598</v>
      </c>
      <c r="R41" s="1002" t="s">
        <v>629</v>
      </c>
      <c r="S41" s="1162">
        <f>Q41</f>
        <v>5769.6703571428598</v>
      </c>
      <c r="V41" s="1179" t="s">
        <v>629</v>
      </c>
      <c r="W41" s="1162">
        <f>W27</f>
        <v>1301.43540669856</v>
      </c>
      <c r="X41" s="1002" t="s">
        <v>629</v>
      </c>
      <c r="Y41" s="1162">
        <f>W41</f>
        <v>1301.43540669856</v>
      </c>
      <c r="Z41" s="1002" t="s">
        <v>629</v>
      </c>
      <c r="AA41" s="1207">
        <f>Y41</f>
        <v>1301.43540669856</v>
      </c>
      <c r="AB41" s="532"/>
      <c r="AC41" s="532"/>
      <c r="AD41" s="1179" t="s">
        <v>89</v>
      </c>
      <c r="AE41" s="1162">
        <f>B250</f>
        <v>41186.463552631598</v>
      </c>
      <c r="AF41" s="1208" t="s">
        <v>89</v>
      </c>
      <c r="AG41" s="1223">
        <f>AE41</f>
        <v>41186.463552631598</v>
      </c>
      <c r="AH41" s="1002" t="s">
        <v>89</v>
      </c>
      <c r="AI41" s="1162">
        <f>AG41</f>
        <v>41186.463552631598</v>
      </c>
      <c r="AJ41" s="1194"/>
      <c r="AK41" s="1202"/>
      <c r="AL41" s="1179" t="s">
        <v>812</v>
      </c>
      <c r="AM41" s="1162">
        <f>E17*4</f>
        <v>36731.280040859201</v>
      </c>
      <c r="AN41" s="1179" t="s">
        <v>812</v>
      </c>
      <c r="AO41" s="1162">
        <f>AM41</f>
        <v>36731.280040859201</v>
      </c>
      <c r="AP41" s="1208" t="s">
        <v>89</v>
      </c>
      <c r="AQ41" s="1207">
        <f>AE41+AE43+AE44</f>
        <v>44442.463552631598</v>
      </c>
      <c r="AR41" s="1208" t="s">
        <v>89</v>
      </c>
      <c r="AS41" s="1207">
        <f>AE41</f>
        <v>41186.463552631598</v>
      </c>
      <c r="AT41" s="1194"/>
      <c r="AU41" s="2435" t="s">
        <v>705</v>
      </c>
      <c r="AV41" s="2429"/>
      <c r="AW41" s="2428" t="s">
        <v>706</v>
      </c>
      <c r="AX41" s="2429"/>
      <c r="AY41" s="2428" t="s">
        <v>707</v>
      </c>
      <c r="AZ41" s="2429"/>
      <c r="BA41" s="2428" t="s">
        <v>708</v>
      </c>
      <c r="BB41" s="2429"/>
      <c r="BC41" s="2428" t="s">
        <v>709</v>
      </c>
      <c r="BD41" s="2429"/>
      <c r="BE41" s="2428" t="s">
        <v>710</v>
      </c>
      <c r="BF41" s="2436"/>
      <c r="BG41" s="2428" t="s">
        <v>711</v>
      </c>
      <c r="BH41" s="2429"/>
      <c r="BI41" s="2428" t="s">
        <v>712</v>
      </c>
      <c r="BJ41" s="2429"/>
      <c r="BK41" s="2428" t="s">
        <v>713</v>
      </c>
      <c r="BL41" s="2437"/>
    </row>
    <row r="42" spans="1:65" ht="14.5">
      <c r="A42" s="1122" t="s">
        <v>813</v>
      </c>
      <c r="B42" s="1123">
        <f>SUM(B37:B40)</f>
        <v>62892.807017543899</v>
      </c>
      <c r="D42" s="1122" t="s">
        <v>734</v>
      </c>
      <c r="E42" s="1137">
        <f>E16</f>
        <v>20.945</v>
      </c>
      <c r="G42" s="2423" t="s">
        <v>814</v>
      </c>
      <c r="H42" s="2422"/>
      <c r="J42" s="1179" t="s">
        <v>815</v>
      </c>
      <c r="K42" s="1162">
        <f>'WEEKLY FC'!E94</f>
        <v>2167</v>
      </c>
      <c r="L42" s="1002" t="s">
        <v>723</v>
      </c>
      <c r="M42" s="1162">
        <f>E43</f>
        <v>5695.1161640609598</v>
      </c>
      <c r="N42" s="1002" t="s">
        <v>722</v>
      </c>
      <c r="O42" s="1162">
        <f>E75</f>
        <v>8145.8770254116598</v>
      </c>
      <c r="P42" s="1002" t="s">
        <v>816</v>
      </c>
      <c r="Q42" s="1187">
        <f>E17</f>
        <v>9182.8200102148094</v>
      </c>
      <c r="R42" s="1002" t="s">
        <v>725</v>
      </c>
      <c r="S42" s="1162">
        <f>E111</f>
        <v>5472.3984822414404</v>
      </c>
      <c r="V42" s="1179" t="s">
        <v>717</v>
      </c>
      <c r="W42" s="1162">
        <f>E57</f>
        <v>5698.4353948301896</v>
      </c>
      <c r="X42" s="1002" t="s">
        <v>718</v>
      </c>
      <c r="Y42" s="1162">
        <f>E44</f>
        <v>5288.1161640609598</v>
      </c>
      <c r="Z42" s="1002" t="s">
        <v>719</v>
      </c>
      <c r="AA42" s="1162">
        <f>E18</f>
        <v>8775.8200102148094</v>
      </c>
      <c r="AB42" s="532"/>
      <c r="AC42" s="532"/>
      <c r="AD42" s="1179" t="s">
        <v>629</v>
      </c>
      <c r="AE42" s="1162">
        <f>AA41*4</f>
        <v>5205.7416267942599</v>
      </c>
      <c r="AF42" s="1208" t="s">
        <v>629</v>
      </c>
      <c r="AG42" s="1223">
        <f>AE42</f>
        <v>5205.7416267942599</v>
      </c>
      <c r="AH42" s="1002" t="s">
        <v>629</v>
      </c>
      <c r="AI42" s="1162">
        <f>AG42</f>
        <v>5205.7416267942599</v>
      </c>
      <c r="AJ42" s="1194"/>
      <c r="AK42" s="1202"/>
      <c r="AL42" s="1179" t="s">
        <v>817</v>
      </c>
      <c r="AM42" s="1162">
        <f>E43*4</f>
        <v>22780.464656243799</v>
      </c>
      <c r="AN42" s="1179" t="s">
        <v>817</v>
      </c>
      <c r="AO42" s="1162">
        <f>AM42</f>
        <v>22780.464656243799</v>
      </c>
      <c r="AP42" s="1002"/>
      <c r="AQ42" s="1162"/>
      <c r="AR42" s="1209" t="s">
        <v>814</v>
      </c>
      <c r="AS42" s="1162">
        <f>AG44</f>
        <v>4487.4879807692296</v>
      </c>
      <c r="AT42" s="1194"/>
      <c r="AU42" s="1179" t="s">
        <v>629</v>
      </c>
      <c r="AV42" s="1162">
        <f>AA13</f>
        <v>954.385964912281</v>
      </c>
      <c r="AW42" s="1002" t="s">
        <v>629</v>
      </c>
      <c r="AX42" s="1162">
        <f>AC13</f>
        <v>954.385964912281</v>
      </c>
      <c r="AY42" s="1002" t="s">
        <v>629</v>
      </c>
      <c r="AZ42" s="1162">
        <f>AE13</f>
        <v>954.385964912281</v>
      </c>
      <c r="BA42" s="1002" t="s">
        <v>629</v>
      </c>
      <c r="BB42" s="1162">
        <f>AG13</f>
        <v>954.385964912281</v>
      </c>
      <c r="BC42" s="1002" t="s">
        <v>629</v>
      </c>
      <c r="BD42" s="1162">
        <f>AI13</f>
        <v>954.385964912281</v>
      </c>
      <c r="BE42" s="1002" t="s">
        <v>629</v>
      </c>
      <c r="BF42" s="1216">
        <f>AK13</f>
        <v>954.385964912281</v>
      </c>
      <c r="BG42" s="1002" t="s">
        <v>629</v>
      </c>
      <c r="BH42" s="1162">
        <f>AM13</f>
        <v>954.385964912281</v>
      </c>
      <c r="BI42" s="1002" t="s">
        <v>629</v>
      </c>
      <c r="BJ42" s="1162">
        <f>AO13</f>
        <v>954.385964912281</v>
      </c>
      <c r="BK42" s="1002" t="s">
        <v>629</v>
      </c>
      <c r="BL42" s="1229">
        <f>AQ13</f>
        <v>954.385964912281</v>
      </c>
    </row>
    <row r="43" spans="1:65" ht="14.5">
      <c r="A43" s="1122" t="s">
        <v>748</v>
      </c>
      <c r="B43" s="1123">
        <f>B42/42</f>
        <v>1497.4477861319999</v>
      </c>
      <c r="D43" s="1122" t="s">
        <v>818</v>
      </c>
      <c r="E43" s="1144">
        <f>SUM(E35:E42)</f>
        <v>5695.1161640609598</v>
      </c>
      <c r="G43" s="1122"/>
      <c r="H43" s="1129"/>
      <c r="J43" s="1002" t="s">
        <v>412</v>
      </c>
      <c r="K43" s="1163">
        <f>E186</f>
        <v>1450.5</v>
      </c>
      <c r="L43" s="1002" t="s">
        <v>815</v>
      </c>
      <c r="M43" s="1162">
        <f>K42</f>
        <v>2167</v>
      </c>
      <c r="N43" s="1002" t="s">
        <v>815</v>
      </c>
      <c r="O43" s="1162">
        <f>M43</f>
        <v>2167</v>
      </c>
      <c r="P43" s="1002" t="s">
        <v>815</v>
      </c>
      <c r="Q43" s="1162">
        <f>O43</f>
        <v>2167</v>
      </c>
      <c r="R43" s="1002" t="s">
        <v>815</v>
      </c>
      <c r="S43" s="1162">
        <f>Q43</f>
        <v>2167</v>
      </c>
      <c r="V43" s="1179" t="s">
        <v>819</v>
      </c>
      <c r="W43" s="1162">
        <f>K15</f>
        <v>878.01535087719299</v>
      </c>
      <c r="X43" s="1179" t="s">
        <v>819</v>
      </c>
      <c r="Y43" s="1162">
        <f>W43</f>
        <v>878.01535087719299</v>
      </c>
      <c r="Z43" s="1179" t="s">
        <v>819</v>
      </c>
      <c r="AA43" s="1162">
        <f>Y43</f>
        <v>878.01535087719299</v>
      </c>
      <c r="AB43" s="532"/>
      <c r="AC43" s="532"/>
      <c r="AD43" s="1179" t="s">
        <v>820</v>
      </c>
      <c r="AE43" s="1162">
        <f>'WEEKLY FC'!E334*8</f>
        <v>1608</v>
      </c>
      <c r="AF43" s="1208" t="s">
        <v>788</v>
      </c>
      <c r="AG43" s="1223">
        <f>AE45</f>
        <v>6629.7911445279897</v>
      </c>
      <c r="AH43" s="1002"/>
      <c r="AI43" s="1162"/>
      <c r="AJ43" s="1194"/>
      <c r="AK43" s="1202"/>
      <c r="AL43" s="1179"/>
      <c r="AM43" s="1162"/>
      <c r="AN43" s="1179" t="s">
        <v>821</v>
      </c>
      <c r="AO43" s="1162">
        <f>E111*3</f>
        <v>16417.195446724301</v>
      </c>
      <c r="AP43" s="1179"/>
      <c r="AQ43" s="1162"/>
      <c r="AR43" s="1002" t="s">
        <v>822</v>
      </c>
      <c r="AS43" s="1162">
        <f>AI46</f>
        <v>6411.3289473684199</v>
      </c>
      <c r="AT43" s="1194"/>
      <c r="AU43" s="1179" t="s">
        <v>717</v>
      </c>
      <c r="AV43" s="1162">
        <f t="shared" ref="AV43:AV46" si="7">AA14</f>
        <v>5698.4353948301896</v>
      </c>
      <c r="AW43" s="1002" t="s">
        <v>718</v>
      </c>
      <c r="AX43" s="1162">
        <f t="shared" ref="AX43:AX46" si="8">AC14</f>
        <v>5288.1161640609598</v>
      </c>
      <c r="AY43" s="1002" t="s">
        <v>75</v>
      </c>
      <c r="AZ43" s="1162">
        <f t="shared" ref="AZ43:AZ46" si="9">AE14</f>
        <v>8775.8200102148094</v>
      </c>
      <c r="BA43" s="1002" t="s">
        <v>727</v>
      </c>
      <c r="BB43" s="1162">
        <f t="shared" ref="BB43:BB46" si="10">AG14</f>
        <v>5698.4353948301896</v>
      </c>
      <c r="BC43" s="1002" t="s">
        <v>723</v>
      </c>
      <c r="BD43" s="1162">
        <f t="shared" ref="BD43:BD46" si="11">AI14</f>
        <v>5288.1161640609598</v>
      </c>
      <c r="BE43" s="1002" t="s">
        <v>728</v>
      </c>
      <c r="BF43" s="1217">
        <f>AK14</f>
        <v>8775.8200102148094</v>
      </c>
      <c r="BG43" s="1002" t="s">
        <v>78</v>
      </c>
      <c r="BH43" s="1162">
        <f t="shared" ref="BH43:BH46" si="12">AM14</f>
        <v>5698.4353948301896</v>
      </c>
      <c r="BI43" s="1002" t="s">
        <v>723</v>
      </c>
      <c r="BJ43" s="1162">
        <f t="shared" ref="BJ43:BJ46" si="13">AO14</f>
        <v>5288.1161640609598</v>
      </c>
      <c r="BK43" s="1002" t="s">
        <v>728</v>
      </c>
      <c r="BL43" s="1229">
        <f t="shared" ref="BL43:BL46" si="14">AQ14</f>
        <v>8775.8200102148094</v>
      </c>
    </row>
    <row r="44" spans="1:65" ht="14.5">
      <c r="A44" s="1122" t="s">
        <v>823</v>
      </c>
      <c r="B44" s="1138">
        <f>('WEEKLY FC'!E78/10)*0.1</f>
        <v>160</v>
      </c>
      <c r="D44" s="1122" t="s">
        <v>824</v>
      </c>
      <c r="E44" s="1140">
        <f>E43-E41</f>
        <v>5288.1161640609598</v>
      </c>
      <c r="G44" s="1122" t="s">
        <v>825</v>
      </c>
      <c r="H44" s="1138">
        <f>'WEEKLY FC'!E322*0.5</f>
        <v>0</v>
      </c>
      <c r="J44" s="1179"/>
      <c r="K44" s="1165"/>
      <c r="L44" s="1002" t="s">
        <v>412</v>
      </c>
      <c r="M44" s="1162">
        <f>K30</f>
        <v>1555.36</v>
      </c>
      <c r="N44" s="1002" t="s">
        <v>412</v>
      </c>
      <c r="O44" s="1165">
        <f>E204</f>
        <v>1555.36</v>
      </c>
      <c r="P44" s="1002" t="s">
        <v>412</v>
      </c>
      <c r="Q44" s="1162">
        <f>M44</f>
        <v>1555.36</v>
      </c>
      <c r="R44" s="1002" t="s">
        <v>412</v>
      </c>
      <c r="S44" s="1162">
        <f>Q44</f>
        <v>1555.36</v>
      </c>
      <c r="V44" s="1179" t="s">
        <v>733</v>
      </c>
      <c r="W44" s="1165">
        <f>E210</f>
        <v>1282.2657894736799</v>
      </c>
      <c r="X44" s="1179" t="s">
        <v>733</v>
      </c>
      <c r="Y44" s="1165">
        <f>W44</f>
        <v>1282.2657894736799</v>
      </c>
      <c r="Z44" s="1179" t="s">
        <v>733</v>
      </c>
      <c r="AA44" s="1165">
        <f>Y44</f>
        <v>1282.2657894736799</v>
      </c>
      <c r="AB44" s="532"/>
      <c r="AC44" s="532"/>
      <c r="AD44" s="1179" t="s">
        <v>826</v>
      </c>
      <c r="AE44" s="1162">
        <f>'WEEKLY FC'!E335*8</f>
        <v>1648</v>
      </c>
      <c r="AF44" s="1209" t="s">
        <v>814</v>
      </c>
      <c r="AG44" s="1224">
        <f>H51*5</f>
        <v>4487.4879807692296</v>
      </c>
      <c r="AH44" s="1002"/>
      <c r="AI44" s="1165"/>
      <c r="AJ44" s="1194"/>
      <c r="AK44" s="1202"/>
      <c r="AL44" s="1179"/>
      <c r="AM44" s="1165"/>
      <c r="AN44" s="1179" t="s">
        <v>827</v>
      </c>
      <c r="AO44" s="1165">
        <f>E94</f>
        <v>7032.0772187461698</v>
      </c>
      <c r="AP44" s="1179"/>
      <c r="AQ44" s="1165"/>
      <c r="AR44" s="1179"/>
      <c r="AS44" s="1165"/>
      <c r="AT44" s="1194"/>
      <c r="AU44" s="1002" t="s">
        <v>828</v>
      </c>
      <c r="AV44" s="1162">
        <f>AT29</f>
        <v>3500</v>
      </c>
      <c r="AW44" s="1002" t="s">
        <v>828</v>
      </c>
      <c r="AX44" s="1162">
        <f>AV44</f>
        <v>3500</v>
      </c>
      <c r="AY44" s="1002" t="s">
        <v>828</v>
      </c>
      <c r="AZ44" s="1162">
        <f>AX44</f>
        <v>3500</v>
      </c>
      <c r="BA44" s="1002" t="s">
        <v>828</v>
      </c>
      <c r="BB44" s="1162">
        <f>AZ44</f>
        <v>3500</v>
      </c>
      <c r="BC44" s="1002" t="s">
        <v>828</v>
      </c>
      <c r="BD44" s="1162">
        <f>BB44</f>
        <v>3500</v>
      </c>
      <c r="BE44" s="1002" t="s">
        <v>828</v>
      </c>
      <c r="BF44" s="1217">
        <f>BD44</f>
        <v>3500</v>
      </c>
      <c r="BG44" s="1002" t="s">
        <v>828</v>
      </c>
      <c r="BH44" s="1162">
        <f>BF44</f>
        <v>3500</v>
      </c>
      <c r="BI44" s="1002" t="s">
        <v>828</v>
      </c>
      <c r="BJ44" s="1162">
        <f>BH44</f>
        <v>3500</v>
      </c>
      <c r="BK44" s="1002" t="s">
        <v>828</v>
      </c>
      <c r="BL44" s="1229">
        <f>BJ44</f>
        <v>3500</v>
      </c>
    </row>
    <row r="45" spans="1:65" ht="14.5">
      <c r="A45" s="1122" t="s">
        <v>829</v>
      </c>
      <c r="B45" s="1138">
        <f>SUM(B43:B44)</f>
        <v>1657.4477861319999</v>
      </c>
      <c r="D45" s="1148"/>
      <c r="E45" s="1149"/>
      <c r="G45" s="1122" t="s">
        <v>830</v>
      </c>
      <c r="H45" s="1138">
        <f>'WEEKLY FC'!E321*0.5</f>
        <v>30000</v>
      </c>
      <c r="J45" s="1180"/>
      <c r="K45" s="1171"/>
      <c r="L45" s="1164" t="s">
        <v>736</v>
      </c>
      <c r="M45" s="1163">
        <f>SUM(M41:M43)</f>
        <v>9163.5515707595205</v>
      </c>
      <c r="N45" s="1164" t="s">
        <v>736</v>
      </c>
      <c r="O45" s="1163">
        <f>SUM(O41:O43)</f>
        <v>16082.5473825545</v>
      </c>
      <c r="P45" s="1164" t="s">
        <v>736</v>
      </c>
      <c r="Q45" s="1163">
        <f>SUM(Q41:Q43)</f>
        <v>17119.490367357699</v>
      </c>
      <c r="R45" s="1164" t="s">
        <v>736</v>
      </c>
      <c r="S45" s="1163">
        <f>SUM(S41:S43)</f>
        <v>13409.068839384299</v>
      </c>
      <c r="V45" s="1179" t="s">
        <v>412</v>
      </c>
      <c r="W45" s="1162">
        <f>E159</f>
        <v>2003.36</v>
      </c>
      <c r="X45" s="1002" t="s">
        <v>412</v>
      </c>
      <c r="Y45" s="1162">
        <f>W45</f>
        <v>2003.36</v>
      </c>
      <c r="Z45" s="1002" t="s">
        <v>412</v>
      </c>
      <c r="AA45" s="1162">
        <f>Y45</f>
        <v>2003.36</v>
      </c>
      <c r="AB45" s="532"/>
      <c r="AC45" s="532"/>
      <c r="AD45" s="1179" t="s">
        <v>788</v>
      </c>
      <c r="AE45" s="1162">
        <f>B45*4</f>
        <v>6629.7911445279897</v>
      </c>
      <c r="AF45" s="1210" t="s">
        <v>831</v>
      </c>
      <c r="AG45" s="1223">
        <f>E135*5</f>
        <v>8432.4265625000007</v>
      </c>
      <c r="AH45" s="1002" t="s">
        <v>788</v>
      </c>
      <c r="AI45" s="1162">
        <f>AG43</f>
        <v>6629.7911445279897</v>
      </c>
      <c r="AJ45" s="1194"/>
      <c r="AK45" s="1202"/>
      <c r="AL45" s="1179" t="s">
        <v>412</v>
      </c>
      <c r="AM45" s="1162">
        <f>'WEEKLY FC'!E159</f>
        <v>100</v>
      </c>
      <c r="AN45" s="1002" t="s">
        <v>412</v>
      </c>
      <c r="AO45" s="1162">
        <f>AM45</f>
        <v>100</v>
      </c>
      <c r="AP45" s="1002" t="s">
        <v>412</v>
      </c>
      <c r="AQ45" s="1162">
        <f>AO45</f>
        <v>100</v>
      </c>
      <c r="AR45" s="1002" t="s">
        <v>412</v>
      </c>
      <c r="AS45" s="1162">
        <f>AQ45</f>
        <v>100</v>
      </c>
      <c r="AT45" s="1194"/>
      <c r="AU45" s="1179" t="s">
        <v>737</v>
      </c>
      <c r="AV45" s="1162">
        <f t="shared" si="7"/>
        <v>897.49759615384596</v>
      </c>
      <c r="AW45" s="1002" t="s">
        <v>737</v>
      </c>
      <c r="AX45" s="1162">
        <f t="shared" si="8"/>
        <v>897.49759615384596</v>
      </c>
      <c r="AY45" s="1002" t="s">
        <v>737</v>
      </c>
      <c r="AZ45" s="1162">
        <f t="shared" si="9"/>
        <v>897.49759615384596</v>
      </c>
      <c r="BA45" s="1002" t="s">
        <v>738</v>
      </c>
      <c r="BB45" s="1162">
        <f t="shared" si="10"/>
        <v>1686.4853125</v>
      </c>
      <c r="BC45" s="1002" t="s">
        <v>738</v>
      </c>
      <c r="BD45" s="1162">
        <f t="shared" si="11"/>
        <v>1686.4853125</v>
      </c>
      <c r="BE45" s="1002" t="s">
        <v>738</v>
      </c>
      <c r="BF45" s="1218">
        <f>BD45</f>
        <v>1686.4853125</v>
      </c>
      <c r="BG45" s="1002" t="s">
        <v>739</v>
      </c>
      <c r="BH45" s="1162">
        <f t="shared" si="12"/>
        <v>1473.37671875</v>
      </c>
      <c r="BI45" s="1002" t="s">
        <v>739</v>
      </c>
      <c r="BJ45" s="1162">
        <f t="shared" si="13"/>
        <v>1473.37671875</v>
      </c>
      <c r="BK45" s="1002" t="s">
        <v>739</v>
      </c>
      <c r="BL45" s="1229">
        <f t="shared" si="14"/>
        <v>1473.37671875</v>
      </c>
    </row>
    <row r="46" spans="1:65" ht="14.5">
      <c r="A46" s="1122"/>
      <c r="B46" s="1140"/>
      <c r="G46" s="1122" t="s">
        <v>832</v>
      </c>
      <c r="H46" s="1138">
        <f>'WEEKLY FC'!E302*0.1</f>
        <v>5200</v>
      </c>
      <c r="J46" s="1164" t="s">
        <v>736</v>
      </c>
      <c r="K46" s="1167">
        <f>SUM(K41:K42)</f>
        <v>7936.6703571428598</v>
      </c>
      <c r="L46" s="1164" t="s">
        <v>743</v>
      </c>
      <c r="M46" s="1168">
        <f>M45+M44</f>
        <v>10718.911570759499</v>
      </c>
      <c r="N46" s="1164" t="s">
        <v>743</v>
      </c>
      <c r="O46" s="1168">
        <f>O45+O44</f>
        <v>17637.907382554498</v>
      </c>
      <c r="P46" s="1164" t="s">
        <v>743</v>
      </c>
      <c r="Q46" s="1168">
        <f>Q45+Q44</f>
        <v>18674.8503673577</v>
      </c>
      <c r="R46" s="1164" t="s">
        <v>743</v>
      </c>
      <c r="S46" s="1168">
        <f>S45+S44</f>
        <v>14964.4288393843</v>
      </c>
      <c r="V46" s="1164" t="s">
        <v>736</v>
      </c>
      <c r="W46" s="1163">
        <f>SUM(W41:W44)</f>
        <v>9160.1519418796197</v>
      </c>
      <c r="X46" s="1164" t="s">
        <v>736</v>
      </c>
      <c r="Y46" s="1163">
        <f>SUM(Y41:Y44)</f>
        <v>8749.8327111103899</v>
      </c>
      <c r="Z46" s="1164" t="s">
        <v>736</v>
      </c>
      <c r="AA46" s="1163">
        <f>SUM(AA41:AA44)</f>
        <v>12237.5365572642</v>
      </c>
      <c r="AB46" s="532"/>
      <c r="AC46" s="532"/>
      <c r="AD46" s="1179"/>
      <c r="AE46" s="1162"/>
      <c r="AF46" s="1209"/>
      <c r="AG46" s="1225"/>
      <c r="AH46" s="1002" t="s">
        <v>822</v>
      </c>
      <c r="AI46" s="1162">
        <f>E210*5</f>
        <v>6411.3289473684199</v>
      </c>
      <c r="AJ46" s="1194"/>
      <c r="AK46" s="1202"/>
      <c r="AL46" s="1164" t="s">
        <v>736</v>
      </c>
      <c r="AM46" s="1163">
        <f>SUM(AM41:AM44)</f>
        <v>59511.744697103102</v>
      </c>
      <c r="AN46" s="1164" t="s">
        <v>833</v>
      </c>
      <c r="AO46" s="1163">
        <f>SUM(AO41:AO43)</f>
        <v>75928.940143827407</v>
      </c>
      <c r="AP46" s="1164" t="s">
        <v>736</v>
      </c>
      <c r="AQ46" s="1163">
        <f>AQ41</f>
        <v>44442.463552631598</v>
      </c>
      <c r="AR46" s="1164" t="s">
        <v>834</v>
      </c>
      <c r="AS46" s="1163">
        <f>SUM(AS41:AS44)</f>
        <v>52085.280480769201</v>
      </c>
      <c r="AT46" s="1194"/>
      <c r="AU46" s="1176" t="s">
        <v>412</v>
      </c>
      <c r="AV46" s="1162">
        <f t="shared" si="7"/>
        <v>1555.36</v>
      </c>
      <c r="AW46" s="1176" t="s">
        <v>412</v>
      </c>
      <c r="AX46" s="1162">
        <f t="shared" si="8"/>
        <v>1555.36</v>
      </c>
      <c r="AY46" s="1176" t="s">
        <v>412</v>
      </c>
      <c r="AZ46" s="1162">
        <f t="shared" si="9"/>
        <v>1555.36</v>
      </c>
      <c r="BA46" s="1176" t="s">
        <v>412</v>
      </c>
      <c r="BB46" s="1162">
        <f t="shared" si="10"/>
        <v>1555.36</v>
      </c>
      <c r="BC46" s="1176" t="s">
        <v>412</v>
      </c>
      <c r="BD46" s="1162">
        <f t="shared" si="11"/>
        <v>1555.36</v>
      </c>
      <c r="BE46" s="1176" t="s">
        <v>412</v>
      </c>
      <c r="BF46" s="1218">
        <f>BD46</f>
        <v>1555.36</v>
      </c>
      <c r="BG46" s="1176" t="s">
        <v>412</v>
      </c>
      <c r="BH46" s="1162">
        <f t="shared" si="12"/>
        <v>1555.36</v>
      </c>
      <c r="BI46" s="1176" t="s">
        <v>412</v>
      </c>
      <c r="BJ46" s="1162">
        <f t="shared" si="13"/>
        <v>1555.36</v>
      </c>
      <c r="BK46" s="1176" t="s">
        <v>412</v>
      </c>
      <c r="BL46" s="1229">
        <f t="shared" si="14"/>
        <v>1555.36</v>
      </c>
    </row>
    <row r="47" spans="1:65" ht="14.5">
      <c r="A47" s="1122"/>
      <c r="B47" s="1150"/>
      <c r="D47" s="2423" t="s">
        <v>78</v>
      </c>
      <c r="E47" s="2422"/>
      <c r="G47" s="1122" t="s">
        <v>835</v>
      </c>
      <c r="H47" s="1138">
        <f>'WEEKLY FC'!E340</f>
        <v>1887</v>
      </c>
      <c r="J47" s="1164" t="s">
        <v>743</v>
      </c>
      <c r="K47" s="1165">
        <f>K46+K43</f>
        <v>9387.1703571428607</v>
      </c>
      <c r="L47" s="1170"/>
      <c r="M47" s="1171"/>
      <c r="N47" s="1170"/>
      <c r="O47" s="1171"/>
      <c r="P47" s="1170"/>
      <c r="Q47" s="1171"/>
      <c r="R47" s="1170"/>
      <c r="S47" s="1171"/>
      <c r="V47" s="1164" t="s">
        <v>743</v>
      </c>
      <c r="W47" s="1168">
        <f>W46+W45</f>
        <v>11163.5119418796</v>
      </c>
      <c r="X47" s="1164" t="s">
        <v>743</v>
      </c>
      <c r="Y47" s="1168">
        <f>Y46+Y45</f>
        <v>10753.1927111104</v>
      </c>
      <c r="Z47" s="1164" t="s">
        <v>743</v>
      </c>
      <c r="AA47" s="1168">
        <f>AA46+AA45</f>
        <v>14240.896557264199</v>
      </c>
      <c r="AB47" s="532"/>
      <c r="AC47" s="532"/>
      <c r="AD47" s="1002" t="s">
        <v>412</v>
      </c>
      <c r="AE47" s="1211">
        <f>E195-E191</f>
        <v>6442</v>
      </c>
      <c r="AF47" s="1164" t="s">
        <v>834</v>
      </c>
      <c r="AG47" s="1226">
        <f>SUM(AG41:AG44)</f>
        <v>57509.484304723097</v>
      </c>
      <c r="AH47" s="1164" t="s">
        <v>736</v>
      </c>
      <c r="AI47" s="1163">
        <f>SUM(AI41:AI46)</f>
        <v>59433.325271322203</v>
      </c>
      <c r="AJ47" s="1194"/>
      <c r="AK47" s="1202"/>
      <c r="AL47" s="1164" t="s">
        <v>743</v>
      </c>
      <c r="AM47" s="1168">
        <f>AM46+AM45</f>
        <v>59611.744697103102</v>
      </c>
      <c r="AN47" s="1164" t="s">
        <v>836</v>
      </c>
      <c r="AO47" s="1168">
        <f>AO41+AO42+AO44</f>
        <v>66543.821915849199</v>
      </c>
      <c r="AP47" s="1164" t="s">
        <v>743</v>
      </c>
      <c r="AQ47" s="1168">
        <f>AQ46+AQ45</f>
        <v>44542.463552631598</v>
      </c>
      <c r="AR47" s="1164" t="s">
        <v>837</v>
      </c>
      <c r="AS47" s="1168">
        <f>AS41+AS43</f>
        <v>47597.792500000003</v>
      </c>
      <c r="AT47" s="1194"/>
      <c r="AU47" s="1164" t="s">
        <v>736</v>
      </c>
      <c r="AV47" s="1163">
        <f>SUM(AV42:AV45)</f>
        <v>11050.3189558963</v>
      </c>
      <c r="AW47" s="1164" t="s">
        <v>736</v>
      </c>
      <c r="AX47" s="1163">
        <f>SUM(AX42:AX45)</f>
        <v>10639.9997251271</v>
      </c>
      <c r="AY47" s="1164" t="s">
        <v>736</v>
      </c>
      <c r="AZ47" s="1163">
        <f>SUM(AZ42:AZ45)</f>
        <v>14127.703571280899</v>
      </c>
      <c r="BA47" s="1164" t="s">
        <v>736</v>
      </c>
      <c r="BB47" s="1163">
        <f>SUM(BB42:BB45)</f>
        <v>11839.306672242499</v>
      </c>
      <c r="BC47" s="1164" t="s">
        <v>736</v>
      </c>
      <c r="BD47" s="1163">
        <f>SUM(BD42:BD45)</f>
        <v>11428.9874414732</v>
      </c>
      <c r="BE47" s="1164" t="s">
        <v>736</v>
      </c>
      <c r="BF47" s="1163">
        <f>SUM(BF42:BF45)</f>
        <v>14916.6912876271</v>
      </c>
      <c r="BG47" s="1164" t="s">
        <v>736</v>
      </c>
      <c r="BH47" s="1163">
        <f>SUM(BH42:BH45)</f>
        <v>11626.1980784925</v>
      </c>
      <c r="BI47" s="1164" t="s">
        <v>736</v>
      </c>
      <c r="BJ47" s="1163">
        <f>SUM(BJ42:BJ45)</f>
        <v>11215.878847723199</v>
      </c>
      <c r="BK47" s="1164" t="s">
        <v>736</v>
      </c>
      <c r="BL47" s="1163">
        <f>SUM(BL42:BL45)</f>
        <v>14703.582693877101</v>
      </c>
    </row>
    <row r="48" spans="1:65" ht="14.5">
      <c r="A48" s="1122"/>
      <c r="B48" s="1129"/>
      <c r="D48" s="1122" t="s">
        <v>838</v>
      </c>
      <c r="E48" s="1123">
        <f>'WEEKLY FC'!E15</f>
        <v>4308.3384615384603</v>
      </c>
      <c r="G48" s="1122" t="s">
        <v>839</v>
      </c>
      <c r="H48" s="1138">
        <f>'WEEKLY FC'!E168*0.25</f>
        <v>5000.34375</v>
      </c>
      <c r="J48" s="1181"/>
      <c r="K48" s="1182"/>
      <c r="L48" s="1183"/>
      <c r="M48" s="1174"/>
      <c r="N48" s="1173"/>
      <c r="O48" s="1174"/>
      <c r="P48" s="1173"/>
      <c r="Q48" s="1174"/>
      <c r="R48" s="1173"/>
      <c r="S48" s="1174"/>
      <c r="V48" s="1196"/>
      <c r="W48" s="1197"/>
      <c r="X48" s="1198"/>
      <c r="Y48" s="1197"/>
      <c r="Z48" s="1198"/>
      <c r="AA48" s="1197"/>
      <c r="AB48" s="532"/>
      <c r="AC48" s="532"/>
      <c r="AD48" s="1212" t="s">
        <v>736</v>
      </c>
      <c r="AE48" s="1168">
        <f>SUM(AE41:AE45)</f>
        <v>56277.996323953797</v>
      </c>
      <c r="AF48" s="1164" t="s">
        <v>840</v>
      </c>
      <c r="AG48" s="931">
        <f>SUM(AG41:AG43)+AG45</f>
        <v>61454.422886453802</v>
      </c>
      <c r="AH48" s="1164" t="s">
        <v>743</v>
      </c>
      <c r="AI48" s="1168">
        <f>AI47+E195</f>
        <v>66415.325271322203</v>
      </c>
      <c r="AJ48" s="1194"/>
      <c r="AK48" s="1202"/>
      <c r="AL48" s="1196"/>
      <c r="AM48" s="1197"/>
      <c r="AN48" s="1227" t="s">
        <v>743</v>
      </c>
      <c r="AO48" s="1214">
        <f>AO46+AO45</f>
        <v>76028.940143827407</v>
      </c>
      <c r="AP48" s="1198"/>
      <c r="AQ48" s="1197"/>
      <c r="AR48" s="1227" t="s">
        <v>743</v>
      </c>
      <c r="AS48" s="1214">
        <f>AS47+AS45</f>
        <v>47697.792500000003</v>
      </c>
      <c r="AT48" s="1194"/>
      <c r="AU48" s="1164" t="s">
        <v>743</v>
      </c>
      <c r="AV48" s="1168">
        <f>AV47+AV46</f>
        <v>12605.678955896299</v>
      </c>
      <c r="AW48" s="1164" t="s">
        <v>743</v>
      </c>
      <c r="AX48" s="1168">
        <f>AX47+AX46</f>
        <v>12195.3597251271</v>
      </c>
      <c r="AY48" s="1164" t="s">
        <v>743</v>
      </c>
      <c r="AZ48" s="1168">
        <f>+AZ47+AZ46</f>
        <v>15683.0635712809</v>
      </c>
      <c r="BA48" s="1164" t="s">
        <v>743</v>
      </c>
      <c r="BB48" s="1168">
        <f>BB47+BB46</f>
        <v>13394.6666722425</v>
      </c>
      <c r="BC48" s="1164" t="s">
        <v>743</v>
      </c>
      <c r="BD48" s="1168">
        <f>BD47+BD46</f>
        <v>12984.347441473201</v>
      </c>
      <c r="BE48" s="1164" t="s">
        <v>743</v>
      </c>
      <c r="BF48" s="1220">
        <f>BF46+BF47</f>
        <v>16472.051287627099</v>
      </c>
      <c r="BG48" s="1164" t="s">
        <v>743</v>
      </c>
      <c r="BH48" s="1168">
        <f>BH47+BH46</f>
        <v>13181.5580784925</v>
      </c>
      <c r="BI48" s="1164" t="s">
        <v>743</v>
      </c>
      <c r="BJ48" s="1168">
        <f>BJ47+BJ46</f>
        <v>12771.2388477232</v>
      </c>
      <c r="BK48" s="1164" t="s">
        <v>743</v>
      </c>
      <c r="BL48" s="1232">
        <f>BL47+BL46</f>
        <v>16258.942693877099</v>
      </c>
    </row>
    <row r="49" spans="1:64" ht="14.5">
      <c r="A49" s="1122" t="s">
        <v>841</v>
      </c>
      <c r="B49" s="1129"/>
      <c r="D49" s="1122" t="s">
        <v>692</v>
      </c>
      <c r="E49" s="1123">
        <f t="shared" ref="E49:E54" si="15">E36</f>
        <v>198.94202898550699</v>
      </c>
      <c r="G49" s="1122"/>
      <c r="H49" s="1140"/>
      <c r="I49" s="1159"/>
      <c r="V49" s="532"/>
      <c r="W49" s="532"/>
      <c r="X49" s="532"/>
      <c r="Y49" s="532"/>
      <c r="Z49" s="532"/>
      <c r="AA49" s="532"/>
      <c r="AB49" s="532"/>
      <c r="AC49" s="532"/>
      <c r="AD49" s="1213" t="s">
        <v>743</v>
      </c>
      <c r="AE49" s="1214">
        <f>AE48+AE47</f>
        <v>62719.996323953797</v>
      </c>
      <c r="AF49" s="1215" t="s">
        <v>743</v>
      </c>
      <c r="AG49" s="1228">
        <f>AG48+E195</f>
        <v>68436.422886453802</v>
      </c>
      <c r="AH49" s="1198"/>
      <c r="AI49" s="1197"/>
      <c r="AJ49" s="1194"/>
      <c r="AK49" s="1202"/>
      <c r="AL49" s="1194"/>
      <c r="AM49" s="1202"/>
      <c r="AN49" s="1194"/>
      <c r="AO49" s="1202"/>
      <c r="AP49" s="1194"/>
      <c r="AQ49" s="1202"/>
      <c r="AR49" s="1194"/>
      <c r="AS49" s="1202"/>
      <c r="AT49" s="1194"/>
      <c r="AU49" s="1203"/>
      <c r="AV49" s="1204"/>
      <c r="AW49" s="1205"/>
      <c r="AX49" s="1204"/>
      <c r="AY49" s="1205"/>
      <c r="AZ49" s="1204"/>
      <c r="BA49" s="1205"/>
      <c r="BB49" s="1204"/>
      <c r="BC49" s="1205"/>
      <c r="BD49" s="1204"/>
      <c r="BE49" s="1221"/>
      <c r="BF49" s="1222"/>
      <c r="BG49" s="1205"/>
      <c r="BH49" s="1204"/>
      <c r="BI49" s="1205"/>
      <c r="BJ49" s="1204"/>
      <c r="BK49" s="1221"/>
      <c r="BL49" s="1233"/>
    </row>
    <row r="50" spans="1:64" ht="14.5">
      <c r="A50" s="1122" t="s">
        <v>788</v>
      </c>
      <c r="B50" s="1123">
        <f>B45</f>
        <v>1657.4477861319999</v>
      </c>
      <c r="D50" s="1122" t="s">
        <v>276</v>
      </c>
      <c r="E50" s="1123">
        <f t="shared" si="15"/>
        <v>327.70499999999998</v>
      </c>
      <c r="G50" s="1122" t="s">
        <v>813</v>
      </c>
      <c r="H50" s="1138">
        <f>SUM(H44:H48)</f>
        <v>42087.34375</v>
      </c>
      <c r="J50" s="2468" t="s">
        <v>842</v>
      </c>
      <c r="K50" s="2469"/>
      <c r="L50" s="2469"/>
      <c r="M50" s="2469"/>
      <c r="N50" s="2469"/>
      <c r="O50" s="2469"/>
      <c r="P50" s="2469"/>
      <c r="Q50" s="2469"/>
      <c r="R50" s="2469"/>
      <c r="S50" s="2469"/>
      <c r="T50" s="2469"/>
      <c r="U50" s="2470"/>
      <c r="V50" s="532"/>
      <c r="W50" s="532"/>
      <c r="X50" s="532"/>
      <c r="Y50" s="532"/>
      <c r="Z50" s="532"/>
      <c r="AA50" s="532"/>
      <c r="AB50" s="532"/>
      <c r="AC50" s="532"/>
      <c r="AD50" s="1194"/>
      <c r="AE50" s="1202"/>
      <c r="AF50" s="1194"/>
      <c r="AG50" s="1202"/>
      <c r="AH50" s="1194"/>
      <c r="AI50" s="1202"/>
      <c r="AJ50" s="1194"/>
      <c r="AK50" s="1202"/>
      <c r="AL50" s="1194"/>
      <c r="AM50" s="1202"/>
      <c r="AN50" s="1194"/>
      <c r="AO50" s="1202"/>
      <c r="AP50" s="1194"/>
      <c r="AQ50" s="1202"/>
      <c r="AR50" s="1194"/>
      <c r="AS50" s="1202"/>
      <c r="AT50" s="1194"/>
      <c r="AU50" s="1202"/>
    </row>
    <row r="51" spans="1:64" ht="14.5">
      <c r="A51" s="1122" t="s">
        <v>843</v>
      </c>
      <c r="B51" s="1138">
        <f>'WEEKLY FC'!E144</f>
        <v>373</v>
      </c>
      <c r="D51" s="1122" t="s">
        <v>696</v>
      </c>
      <c r="E51" s="1130">
        <f t="shared" si="15"/>
        <v>234.1</v>
      </c>
      <c r="G51" s="1122" t="s">
        <v>844</v>
      </c>
      <c r="H51" s="1123">
        <f>H50/65+250</f>
        <v>897.49759615384596</v>
      </c>
      <c r="J51" s="2471"/>
      <c r="K51" s="2472"/>
      <c r="L51" s="2472"/>
      <c r="M51" s="2472"/>
      <c r="N51" s="2472"/>
      <c r="O51" s="2472"/>
      <c r="P51" s="2472"/>
      <c r="Q51" s="2472"/>
      <c r="R51" s="2472"/>
      <c r="S51" s="2472"/>
      <c r="T51" s="2472"/>
      <c r="U51" s="2473"/>
      <c r="V51" s="1184" t="s">
        <v>687</v>
      </c>
      <c r="W51" s="532"/>
      <c r="AD51" s="1194"/>
      <c r="AE51" s="1202"/>
      <c r="AF51" s="1194"/>
      <c r="AG51" s="1202"/>
      <c r="AH51" s="1194"/>
      <c r="AI51" s="1202"/>
    </row>
    <row r="52" spans="1:64" ht="14.5">
      <c r="A52" s="1122" t="s">
        <v>845</v>
      </c>
      <c r="B52" s="1124">
        <f>'WEEKLY FC'!E140/1000</f>
        <v>72.150000000000006</v>
      </c>
      <c r="D52" s="1122" t="s">
        <v>400</v>
      </c>
      <c r="E52" s="1130">
        <f t="shared" si="15"/>
        <v>606.10227272727298</v>
      </c>
      <c r="G52" s="1151"/>
      <c r="H52" s="1136"/>
      <c r="I52" s="1169"/>
      <c r="T52" s="2430"/>
      <c r="U52" s="2430"/>
      <c r="V52" s="2430"/>
      <c r="W52" s="2430"/>
      <c r="X52" s="2430"/>
      <c r="Y52" s="2430"/>
      <c r="Z52" s="2430"/>
      <c r="AA52" s="2430"/>
      <c r="AB52" s="2430"/>
      <c r="AC52" s="2430"/>
      <c r="AF52" s="571" t="s">
        <v>61</v>
      </c>
      <c r="AJ52" s="2430"/>
      <c r="AK52" s="2430"/>
      <c r="AL52" s="2430"/>
      <c r="AM52" s="2430"/>
      <c r="AN52" s="2430"/>
      <c r="AO52" s="2430"/>
      <c r="AP52" s="2430"/>
      <c r="AQ52" s="2430"/>
      <c r="AR52" s="2430"/>
      <c r="AS52" s="2430"/>
      <c r="AT52" s="2430"/>
      <c r="AU52" s="2430"/>
    </row>
    <row r="53" spans="1:64" ht="14.5">
      <c r="A53" s="1122" t="s">
        <v>846</v>
      </c>
      <c r="B53" s="1124">
        <f>'WEEKLY FC'!E131/500</f>
        <v>47</v>
      </c>
      <c r="D53" s="1122" t="s">
        <v>721</v>
      </c>
      <c r="E53" s="1135">
        <f t="shared" si="15"/>
        <v>2.3026315789473699</v>
      </c>
      <c r="G53" s="1152"/>
      <c r="H53" s="1153"/>
      <c r="J53" s="2430"/>
      <c r="K53" s="2430"/>
      <c r="L53" s="2430"/>
      <c r="M53" s="2430"/>
      <c r="N53" s="2430"/>
      <c r="O53" s="2430"/>
      <c r="P53" s="2430"/>
      <c r="Q53" s="2430"/>
      <c r="R53" s="2430"/>
      <c r="S53" s="2430"/>
      <c r="T53" s="2430"/>
      <c r="U53" s="2430"/>
      <c r="V53" s="2430"/>
      <c r="W53" s="2430"/>
      <c r="X53" s="2468" t="s">
        <v>847</v>
      </c>
      <c r="Y53" s="2469"/>
      <c r="Z53" s="2469"/>
      <c r="AA53" s="2469"/>
      <c r="AB53" s="2469"/>
      <c r="AC53" s="2469"/>
      <c r="AD53" s="2469"/>
      <c r="AE53" s="2469"/>
      <c r="AF53" s="2469"/>
      <c r="AG53" s="2469"/>
      <c r="AH53" s="2469"/>
      <c r="AI53" s="2469"/>
      <c r="AJ53" s="2469"/>
      <c r="AK53" s="2469"/>
      <c r="AL53" s="2469"/>
      <c r="AM53" s="2469"/>
      <c r="AN53" s="2469"/>
      <c r="AO53" s="2469"/>
      <c r="AP53" s="2469"/>
      <c r="AQ53" s="2470"/>
      <c r="AR53" s="655"/>
      <c r="AS53" s="2468" t="s">
        <v>848</v>
      </c>
      <c r="AT53" s="2469"/>
      <c r="AU53" s="2469"/>
      <c r="AV53" s="2469"/>
      <c r="AW53" s="2469"/>
      <c r="AX53" s="2469"/>
      <c r="AY53" s="2469"/>
      <c r="AZ53" s="2469"/>
      <c r="BA53" s="2469"/>
      <c r="BB53" s="2469"/>
      <c r="BC53" s="2469"/>
      <c r="BD53" s="2469"/>
      <c r="BE53" s="2469"/>
      <c r="BF53" s="2470"/>
    </row>
    <row r="54" spans="1:64" ht="14.5">
      <c r="A54" s="1122"/>
      <c r="B54" s="1129"/>
      <c r="D54" s="1122" t="s">
        <v>731</v>
      </c>
      <c r="E54" s="1123">
        <f t="shared" si="15"/>
        <v>407</v>
      </c>
      <c r="G54" s="1154"/>
      <c r="H54" s="1155"/>
      <c r="J54" s="2452" t="s">
        <v>694</v>
      </c>
      <c r="K54" s="2440"/>
      <c r="L54" s="2441" t="s">
        <v>694</v>
      </c>
      <c r="M54" s="2440"/>
      <c r="N54" s="2442" t="s">
        <v>694</v>
      </c>
      <c r="O54" s="2443"/>
      <c r="P54" s="2442" t="s">
        <v>694</v>
      </c>
      <c r="Q54" s="2443"/>
      <c r="R54" s="2442" t="s">
        <v>694</v>
      </c>
      <c r="S54" s="2443"/>
      <c r="T54" s="2441" t="s">
        <v>694</v>
      </c>
      <c r="U54" s="2440"/>
      <c r="V54" s="532"/>
      <c r="W54" s="840"/>
      <c r="X54" s="2471"/>
      <c r="Y54" s="2472"/>
      <c r="Z54" s="2472"/>
      <c r="AA54" s="2472"/>
      <c r="AB54" s="2472"/>
      <c r="AC54" s="2472"/>
      <c r="AD54" s="2472"/>
      <c r="AE54" s="2472"/>
      <c r="AF54" s="2472"/>
      <c r="AG54" s="2472"/>
      <c r="AH54" s="2472"/>
      <c r="AI54" s="2472"/>
      <c r="AJ54" s="2472"/>
      <c r="AK54" s="2472"/>
      <c r="AL54" s="2472"/>
      <c r="AM54" s="2472"/>
      <c r="AN54" s="2472"/>
      <c r="AO54" s="2472"/>
      <c r="AP54" s="2472"/>
      <c r="AQ54" s="2473"/>
      <c r="AR54" s="1184" t="s">
        <v>687</v>
      </c>
      <c r="AS54" s="2471"/>
      <c r="AT54" s="2472"/>
      <c r="AU54" s="2472"/>
      <c r="AV54" s="2472"/>
      <c r="AW54" s="2472"/>
      <c r="AX54" s="2472"/>
      <c r="AY54" s="2472"/>
      <c r="AZ54" s="2472"/>
      <c r="BA54" s="2472"/>
      <c r="BB54" s="2472"/>
      <c r="BC54" s="2472"/>
      <c r="BD54" s="2472"/>
      <c r="BE54" s="2472"/>
      <c r="BF54" s="2473"/>
      <c r="BG54" s="1184" t="s">
        <v>687</v>
      </c>
    </row>
    <row r="55" spans="1:64" ht="14.5">
      <c r="A55" s="1122"/>
      <c r="B55" s="1129"/>
      <c r="D55" s="1122" t="s">
        <v>734</v>
      </c>
      <c r="E55" s="1137">
        <f>E16</f>
        <v>20.945</v>
      </c>
      <c r="G55" s="2423" t="s">
        <v>849</v>
      </c>
      <c r="H55" s="2422"/>
      <c r="J55" s="2435" t="s">
        <v>282</v>
      </c>
      <c r="K55" s="2429"/>
      <c r="L55" s="2428" t="s">
        <v>283</v>
      </c>
      <c r="M55" s="2429"/>
      <c r="N55" s="2434" t="s">
        <v>695</v>
      </c>
      <c r="O55" s="2429"/>
      <c r="P55" s="2428" t="s">
        <v>850</v>
      </c>
      <c r="Q55" s="2429"/>
      <c r="R55" s="2428" t="s">
        <v>851</v>
      </c>
      <c r="S55" s="2429"/>
      <c r="T55" s="2428" t="s">
        <v>852</v>
      </c>
      <c r="U55" s="2429"/>
      <c r="V55" s="532"/>
      <c r="W55" s="1199"/>
      <c r="X55" s="532"/>
      <c r="Y55" s="532"/>
      <c r="Z55" s="532"/>
      <c r="AA55" s="532"/>
      <c r="AB55" s="532"/>
      <c r="AC55" s="532"/>
      <c r="AD55" s="532"/>
      <c r="AE55" s="532"/>
      <c r="AF55" s="532"/>
      <c r="AG55" s="532"/>
      <c r="AH55" s="532"/>
      <c r="AI55" s="532"/>
      <c r="AJ55" s="532"/>
      <c r="AK55" s="532"/>
      <c r="AL55" s="532"/>
      <c r="AM55" s="1199"/>
      <c r="AN55" s="532"/>
      <c r="AO55" s="840"/>
      <c r="AP55" s="532"/>
      <c r="AQ55" s="840"/>
      <c r="AR55" s="532"/>
      <c r="AS55" s="1160"/>
      <c r="AT55" s="1160"/>
      <c r="AU55" s="1160"/>
      <c r="AV55" s="1160"/>
      <c r="AW55" s="1160"/>
      <c r="AX55" s="1160"/>
      <c r="AY55" s="1160"/>
      <c r="AZ55" s="1160"/>
      <c r="BA55" s="1160"/>
      <c r="BB55" s="1160"/>
      <c r="BC55" s="1160"/>
      <c r="BD55" s="1160"/>
      <c r="BE55" s="1185"/>
      <c r="BF55" s="1185"/>
    </row>
    <row r="56" spans="1:64" ht="14.5">
      <c r="A56" s="1122" t="s">
        <v>853</v>
      </c>
      <c r="B56" s="1138">
        <f>SUM(B50:B55)</f>
        <v>2149.5977861319998</v>
      </c>
      <c r="D56" s="1122" t="s">
        <v>854</v>
      </c>
      <c r="E56" s="1144">
        <f>SUM(E48:E55)</f>
        <v>6105.4353948301896</v>
      </c>
      <c r="G56" s="1122" t="s">
        <v>855</v>
      </c>
      <c r="H56" s="1138">
        <f>'WEEKLY FC'!E34</f>
        <v>14000</v>
      </c>
      <c r="J56" s="1179" t="s">
        <v>629</v>
      </c>
      <c r="K56" s="1162">
        <f>M41</f>
        <v>1301.43540669856</v>
      </c>
      <c r="L56" s="1002" t="s">
        <v>629</v>
      </c>
      <c r="M56" s="1162">
        <f>K56</f>
        <v>1301.43540669856</v>
      </c>
      <c r="N56" s="1002" t="s">
        <v>629</v>
      </c>
      <c r="O56" s="1162">
        <f>M56</f>
        <v>1301.43540669856</v>
      </c>
      <c r="P56" s="1002" t="s">
        <v>629</v>
      </c>
      <c r="Q56" s="1162">
        <f>O56</f>
        <v>1301.43540669856</v>
      </c>
      <c r="R56" s="1002" t="s">
        <v>629</v>
      </c>
      <c r="S56" s="1165">
        <f>Q56</f>
        <v>1301.43540669856</v>
      </c>
      <c r="T56" s="1002" t="s">
        <v>629</v>
      </c>
      <c r="U56" s="1162">
        <f>S56</f>
        <v>1301.43540669856</v>
      </c>
      <c r="V56" s="532"/>
      <c r="W56" s="1199"/>
      <c r="X56" s="2439" t="s">
        <v>694</v>
      </c>
      <c r="Y56" s="2440"/>
      <c r="Z56" s="2441" t="s">
        <v>694</v>
      </c>
      <c r="AA56" s="2440"/>
      <c r="AB56" s="2442" t="s">
        <v>694</v>
      </c>
      <c r="AC56" s="2443"/>
      <c r="AD56" s="2442" t="s">
        <v>694</v>
      </c>
      <c r="AE56" s="2443"/>
      <c r="AF56" s="2442" t="s">
        <v>694</v>
      </c>
      <c r="AG56" s="2443"/>
      <c r="AH56" s="2441" t="s">
        <v>694</v>
      </c>
      <c r="AI56" s="2440"/>
      <c r="AJ56" s="2444" t="s">
        <v>694</v>
      </c>
      <c r="AK56" s="2445"/>
      <c r="AL56" s="2442" t="s">
        <v>694</v>
      </c>
      <c r="AM56" s="2443"/>
      <c r="AN56" s="2441" t="s">
        <v>694</v>
      </c>
      <c r="AO56" s="2440"/>
      <c r="AP56" s="2444" t="s">
        <v>694</v>
      </c>
      <c r="AQ56" s="2445"/>
      <c r="AR56" s="532"/>
      <c r="AS56" s="2424" t="s">
        <v>694</v>
      </c>
      <c r="AT56" s="2425"/>
      <c r="AU56" s="2430" t="s">
        <v>694</v>
      </c>
      <c r="AV56" s="2431"/>
      <c r="AW56" s="2386" t="s">
        <v>694</v>
      </c>
      <c r="AX56" s="2432"/>
      <c r="AY56" s="2386" t="s">
        <v>694</v>
      </c>
      <c r="AZ56" s="2432"/>
      <c r="BA56" s="2386" t="s">
        <v>694</v>
      </c>
      <c r="BB56" s="2432"/>
      <c r="BC56" s="2430" t="s">
        <v>694</v>
      </c>
      <c r="BD56" s="2431"/>
      <c r="BE56" s="2427" t="s">
        <v>694</v>
      </c>
      <c r="BF56" s="2433"/>
    </row>
    <row r="57" spans="1:64" ht="14.5">
      <c r="A57" s="1131"/>
      <c r="B57" s="1143"/>
      <c r="D57" s="1122" t="s">
        <v>856</v>
      </c>
      <c r="E57" s="1140">
        <f>E56-E54</f>
        <v>5698.4353948301896</v>
      </c>
      <c r="G57" s="1122" t="s">
        <v>693</v>
      </c>
      <c r="H57" s="1123">
        <f>B9*1.2</f>
        <v>315.78947368421001</v>
      </c>
      <c r="J57" s="1179" t="s">
        <v>78</v>
      </c>
      <c r="K57" s="1162">
        <f>E57</f>
        <v>5698.4353948301896</v>
      </c>
      <c r="L57" s="1002" t="s">
        <v>723</v>
      </c>
      <c r="M57" s="1162">
        <f>E44</f>
        <v>5288.1161640609598</v>
      </c>
      <c r="N57" s="1002" t="s">
        <v>816</v>
      </c>
      <c r="O57" s="1162">
        <f>E18</f>
        <v>8775.8200102148094</v>
      </c>
      <c r="P57" s="1179" t="s">
        <v>857</v>
      </c>
      <c r="Q57" s="1187">
        <f>B275</f>
        <v>6913.9611708085904</v>
      </c>
      <c r="R57" s="1002" t="s">
        <v>858</v>
      </c>
      <c r="S57" s="1162">
        <f>B274</f>
        <v>6503.6419400393597</v>
      </c>
      <c r="T57" s="1002" t="s">
        <v>859</v>
      </c>
      <c r="U57" s="1162">
        <f>B272</f>
        <v>10031.6791195265</v>
      </c>
      <c r="V57" s="641"/>
      <c r="W57" s="1200"/>
      <c r="X57" s="2446" t="s">
        <v>760</v>
      </c>
      <c r="Y57" s="2429"/>
      <c r="Z57" s="2428" t="s">
        <v>761</v>
      </c>
      <c r="AA57" s="2429"/>
      <c r="AB57" s="2428" t="s">
        <v>762</v>
      </c>
      <c r="AC57" s="2429"/>
      <c r="AD57" s="2428" t="s">
        <v>763</v>
      </c>
      <c r="AE57" s="2429"/>
      <c r="AF57" s="2428" t="s">
        <v>764</v>
      </c>
      <c r="AG57" s="2429"/>
      <c r="AH57" s="2428" t="s">
        <v>765</v>
      </c>
      <c r="AI57" s="2429"/>
      <c r="AJ57" s="2434" t="s">
        <v>766</v>
      </c>
      <c r="AK57" s="2447"/>
      <c r="AL57" s="2428" t="s">
        <v>860</v>
      </c>
      <c r="AM57" s="2429"/>
      <c r="AN57" s="2428" t="s">
        <v>861</v>
      </c>
      <c r="AO57" s="2429"/>
      <c r="AP57" s="2434" t="s">
        <v>862</v>
      </c>
      <c r="AQ57" s="2447"/>
      <c r="AR57" s="532"/>
      <c r="AS57" s="2435" t="s">
        <v>698</v>
      </c>
      <c r="AT57" s="2429"/>
      <c r="AU57" s="2428" t="s">
        <v>699</v>
      </c>
      <c r="AV57" s="2429"/>
      <c r="AW57" s="2428" t="s">
        <v>700</v>
      </c>
      <c r="AX57" s="2429"/>
      <c r="AY57" s="2428" t="s">
        <v>701</v>
      </c>
      <c r="AZ57" s="2429"/>
      <c r="BA57" s="2428" t="s">
        <v>702</v>
      </c>
      <c r="BB57" s="2429"/>
      <c r="BC57" s="2428" t="s">
        <v>703</v>
      </c>
      <c r="BD57" s="2429"/>
      <c r="BE57" s="2428" t="s">
        <v>704</v>
      </c>
      <c r="BF57" s="2429"/>
    </row>
    <row r="58" spans="1:64" ht="14.5">
      <c r="D58" s="1148"/>
      <c r="E58" s="1149"/>
      <c r="G58" s="1122" t="s">
        <v>863</v>
      </c>
      <c r="H58" s="1123">
        <f>SUM(H56:H57)</f>
        <v>14315.789473684201</v>
      </c>
      <c r="J58" s="1179" t="s">
        <v>864</v>
      </c>
      <c r="K58" s="1162">
        <f>'WEEKLY FC'!E115</f>
        <v>1583.97</v>
      </c>
      <c r="L58" s="1179" t="s">
        <v>864</v>
      </c>
      <c r="M58" s="1162">
        <f>K58</f>
        <v>1583.97</v>
      </c>
      <c r="N58" s="1179" t="s">
        <v>864</v>
      </c>
      <c r="O58" s="1163">
        <f>M58</f>
        <v>1583.97</v>
      </c>
      <c r="P58" s="1179" t="s">
        <v>864</v>
      </c>
      <c r="Q58" s="1162">
        <f>O58</f>
        <v>1583.97</v>
      </c>
      <c r="R58" s="1179" t="s">
        <v>864</v>
      </c>
      <c r="S58" s="1162">
        <f>Q58</f>
        <v>1583.97</v>
      </c>
      <c r="T58" s="1179" t="s">
        <v>864</v>
      </c>
      <c r="U58" s="1162">
        <f>S58</f>
        <v>1583.97</v>
      </c>
      <c r="V58" s="641"/>
      <c r="W58" s="1201"/>
      <c r="X58" s="1175" t="s">
        <v>629</v>
      </c>
      <c r="Y58" s="1162">
        <f>U56</f>
        <v>1301.43540669856</v>
      </c>
      <c r="Z58" s="1002" t="s">
        <v>629</v>
      </c>
      <c r="AA58" s="1162">
        <f>Y58</f>
        <v>1301.43540669856</v>
      </c>
      <c r="AB58" s="1176" t="s">
        <v>726</v>
      </c>
      <c r="AC58" s="1162">
        <f>E30</f>
        <v>7746.7072025224998</v>
      </c>
      <c r="AD58" s="1002" t="s">
        <v>724</v>
      </c>
      <c r="AE58" s="1162">
        <f>K41</f>
        <v>5769.6703571428598</v>
      </c>
      <c r="AF58" s="1002" t="s">
        <v>412</v>
      </c>
      <c r="AG58" s="1165">
        <f>Y61</f>
        <v>1555.36</v>
      </c>
      <c r="AH58" s="1002" t="s">
        <v>716</v>
      </c>
      <c r="AI58" s="1162">
        <f>O27</f>
        <v>8484.1366750700308</v>
      </c>
      <c r="AJ58" s="1176" t="s">
        <v>629</v>
      </c>
      <c r="AK58" s="1186">
        <f>Y58</f>
        <v>1301.43540669856</v>
      </c>
      <c r="AL58" s="1002" t="s">
        <v>412</v>
      </c>
      <c r="AM58" s="1165">
        <f>O44</f>
        <v>1555.36</v>
      </c>
      <c r="AN58" s="1002" t="s">
        <v>629</v>
      </c>
      <c r="AO58" s="1162">
        <f>AM60</f>
        <v>1301.43540669856</v>
      </c>
      <c r="AP58" s="1002" t="s">
        <v>725</v>
      </c>
      <c r="AQ58" s="1186">
        <f>AG59</f>
        <v>7032.0772187461698</v>
      </c>
      <c r="AR58" s="532"/>
      <c r="AS58" s="1179" t="s">
        <v>629</v>
      </c>
      <c r="AT58" s="1162">
        <f>AT27</f>
        <v>954.385964912281</v>
      </c>
      <c r="AU58" s="1002" t="s">
        <v>629</v>
      </c>
      <c r="AV58" s="1162">
        <f>AV27</f>
        <v>954.385964912281</v>
      </c>
      <c r="AW58" s="1002" t="s">
        <v>716</v>
      </c>
      <c r="AX58" s="1162">
        <f>AX27</f>
        <v>8292.1366750700308</v>
      </c>
      <c r="AY58" s="1002" t="s">
        <v>629</v>
      </c>
      <c r="AZ58" s="1162">
        <f>AZ27</f>
        <v>954.385964912281</v>
      </c>
      <c r="BA58" s="1002" t="s">
        <v>412</v>
      </c>
      <c r="BB58" s="1165">
        <f>BB27</f>
        <v>1450.5</v>
      </c>
      <c r="BC58" s="1002" t="s">
        <v>629</v>
      </c>
      <c r="BD58" s="1162">
        <f>BD27</f>
        <v>954.385964912281</v>
      </c>
      <c r="BE58" s="1176" t="s">
        <v>629</v>
      </c>
      <c r="BF58" s="1186">
        <f>BF27</f>
        <v>954.385964912281</v>
      </c>
    </row>
    <row r="59" spans="1:64" ht="14.5">
      <c r="D59" s="635"/>
      <c r="E59" s="1156"/>
      <c r="G59" s="1122"/>
      <c r="H59" s="1123"/>
      <c r="J59" s="1179" t="s">
        <v>733</v>
      </c>
      <c r="K59" s="1162">
        <f>E210</f>
        <v>1282.2657894736799</v>
      </c>
      <c r="L59" s="1179" t="s">
        <v>733</v>
      </c>
      <c r="M59" s="1162">
        <f>K59</f>
        <v>1282.2657894736799</v>
      </c>
      <c r="N59" s="1179" t="s">
        <v>733</v>
      </c>
      <c r="O59" s="1163">
        <f>M59</f>
        <v>1282.2657894736799</v>
      </c>
      <c r="P59" s="1002" t="s">
        <v>865</v>
      </c>
      <c r="Q59" s="1162">
        <f>O59</f>
        <v>1282.2657894736799</v>
      </c>
      <c r="R59" s="1002" t="s">
        <v>865</v>
      </c>
      <c r="S59" s="1162">
        <f>Q59</f>
        <v>1282.2657894736799</v>
      </c>
      <c r="T59" s="1002" t="s">
        <v>865</v>
      </c>
      <c r="U59" s="1162">
        <f>S59</f>
        <v>1282.2657894736799</v>
      </c>
      <c r="V59" s="641"/>
      <c r="W59" s="1201"/>
      <c r="X59" s="1175" t="s">
        <v>78</v>
      </c>
      <c r="Y59" s="1162">
        <f>E56</f>
        <v>6105.4353948301896</v>
      </c>
      <c r="Z59" s="1002" t="s">
        <v>722</v>
      </c>
      <c r="AA59" s="1162">
        <f>E43</f>
        <v>5695.1161640609598</v>
      </c>
      <c r="AB59" s="1175" t="s">
        <v>776</v>
      </c>
      <c r="AC59" s="1162">
        <f>AA60</f>
        <v>1657.4477861319999</v>
      </c>
      <c r="AD59" s="1002"/>
      <c r="AE59" s="1187"/>
      <c r="AF59" s="1002" t="s">
        <v>725</v>
      </c>
      <c r="AG59" s="1162">
        <f>E94</f>
        <v>7032.0772187461698</v>
      </c>
      <c r="AH59" s="1002" t="s">
        <v>156</v>
      </c>
      <c r="AI59" s="1162">
        <f>B70</f>
        <v>3136.7994310099598</v>
      </c>
      <c r="AJ59" s="1002" t="s">
        <v>723</v>
      </c>
      <c r="AK59" s="1186">
        <f>Q28</f>
        <v>5695.1161640609598</v>
      </c>
      <c r="AL59" s="1002" t="s">
        <v>722</v>
      </c>
      <c r="AM59" s="1162">
        <f>M28</f>
        <v>8145.8770254116598</v>
      </c>
      <c r="AN59" s="1176" t="s">
        <v>726</v>
      </c>
      <c r="AO59" s="1162">
        <f>AC58</f>
        <v>7746.7072025224998</v>
      </c>
      <c r="AP59" s="1176" t="s">
        <v>866</v>
      </c>
      <c r="AQ59" s="1186">
        <f>H72</f>
        <v>3872.1022727272698</v>
      </c>
      <c r="AR59" s="532"/>
      <c r="AS59" s="1179" t="s">
        <v>78</v>
      </c>
      <c r="AT59" s="1162">
        <f t="shared" ref="AT59:AT61" si="16">AT28</f>
        <v>6105.4353948301896</v>
      </c>
      <c r="AU59" s="1002" t="s">
        <v>722</v>
      </c>
      <c r="AV59" s="1162">
        <f t="shared" ref="AV59:AV61" si="17">AV28</f>
        <v>8145.8770254116598</v>
      </c>
      <c r="AW59" s="1179" t="s">
        <v>867</v>
      </c>
      <c r="AX59" s="1162">
        <f>AV60</f>
        <v>219.210526315789</v>
      </c>
      <c r="AY59" s="1002" t="s">
        <v>723</v>
      </c>
      <c r="AZ59" s="1162">
        <f t="shared" ref="AZ59:AZ61" si="18">AZ28</f>
        <v>5695.1161640609598</v>
      </c>
      <c r="BA59" s="1002" t="s">
        <v>724</v>
      </c>
      <c r="BB59" s="1165">
        <f t="shared" ref="BB59" si="19">BB28</f>
        <v>5769.6703571428598</v>
      </c>
      <c r="BC59" s="1002" t="s">
        <v>725</v>
      </c>
      <c r="BD59" s="1162">
        <f t="shared" ref="BD59" si="20">BD28</f>
        <v>5472.3984822414404</v>
      </c>
      <c r="BE59" s="1176" t="s">
        <v>726</v>
      </c>
      <c r="BF59" s="1186">
        <f t="shared" ref="BF59:BF61" si="21">BF28</f>
        <v>9182.8200102148094</v>
      </c>
    </row>
    <row r="60" spans="1:64" ht="14.5">
      <c r="D60" s="635"/>
      <c r="E60" s="1156"/>
      <c r="G60" s="1122"/>
      <c r="H60" s="1123"/>
      <c r="J60" s="1179" t="s">
        <v>865</v>
      </c>
      <c r="K60" s="1162">
        <f>B286</f>
        <v>250.01718750000001</v>
      </c>
      <c r="L60" s="1179" t="s">
        <v>865</v>
      </c>
      <c r="M60" s="1162">
        <f>K60</f>
        <v>250.01718750000001</v>
      </c>
      <c r="N60" s="1179" t="s">
        <v>865</v>
      </c>
      <c r="O60" s="1163">
        <f>M60</f>
        <v>250.01718750000001</v>
      </c>
      <c r="P60" s="1179"/>
      <c r="Q60" s="1162"/>
      <c r="R60" s="1002" t="s">
        <v>412</v>
      </c>
      <c r="S60" s="1162">
        <f>Q61</f>
        <v>1555.36</v>
      </c>
      <c r="T60" s="1002"/>
      <c r="U60" s="1162"/>
      <c r="V60" s="641"/>
      <c r="W60" s="1201"/>
      <c r="X60" s="1175" t="s">
        <v>776</v>
      </c>
      <c r="Y60" s="1162">
        <f>B45</f>
        <v>1657.4477861319999</v>
      </c>
      <c r="Z60" s="1175" t="s">
        <v>776</v>
      </c>
      <c r="AA60" s="1162">
        <f>Y60</f>
        <v>1657.4477861319999</v>
      </c>
      <c r="AB60" s="1176" t="s">
        <v>412</v>
      </c>
      <c r="AC60" s="1163">
        <f>AA61</f>
        <v>1555.36</v>
      </c>
      <c r="AD60" s="1175" t="s">
        <v>776</v>
      </c>
      <c r="AE60" s="1162">
        <f>AC59</f>
        <v>1657.4477861319999</v>
      </c>
      <c r="AF60" s="1175" t="s">
        <v>776</v>
      </c>
      <c r="AG60" s="1162">
        <f>AE60</f>
        <v>1657.4477861319999</v>
      </c>
      <c r="AH60" s="1002"/>
      <c r="AI60" s="1162"/>
      <c r="AJ60" s="1002" t="s">
        <v>156</v>
      </c>
      <c r="AK60" s="1186">
        <f>AI59</f>
        <v>3136.7994310099598</v>
      </c>
      <c r="AL60" s="1176" t="s">
        <v>629</v>
      </c>
      <c r="AM60" s="1162">
        <f>AK58</f>
        <v>1301.43540669856</v>
      </c>
      <c r="AN60" s="1002" t="s">
        <v>156</v>
      </c>
      <c r="AO60" s="1162">
        <f>AM61</f>
        <v>3136.7994310099598</v>
      </c>
      <c r="AP60" s="1002" t="s">
        <v>156</v>
      </c>
      <c r="AQ60" s="1186">
        <f>AO60</f>
        <v>3136.7994310099598</v>
      </c>
      <c r="AR60" s="532"/>
      <c r="AS60" s="1179" t="s">
        <v>867</v>
      </c>
      <c r="AT60" s="1162">
        <f>B301</f>
        <v>219.210526315789</v>
      </c>
      <c r="AU60" s="1179" t="s">
        <v>867</v>
      </c>
      <c r="AV60" s="1162">
        <f>AT60</f>
        <v>219.210526315789</v>
      </c>
      <c r="AW60" s="1002" t="s">
        <v>412</v>
      </c>
      <c r="AX60" s="1162">
        <f t="shared" ref="AX60" si="22">AX29</f>
        <v>1130</v>
      </c>
      <c r="AY60" s="1179" t="s">
        <v>867</v>
      </c>
      <c r="AZ60" s="1162">
        <f>AX59</f>
        <v>219.210526315789</v>
      </c>
      <c r="BA60" s="1179" t="s">
        <v>867</v>
      </c>
      <c r="BB60" s="1165">
        <f>AZ60</f>
        <v>219.210526315789</v>
      </c>
      <c r="BC60" s="1179" t="s">
        <v>867</v>
      </c>
      <c r="BD60" s="1162">
        <f>BB60</f>
        <v>219.210526315789</v>
      </c>
      <c r="BE60" s="1179" t="s">
        <v>867</v>
      </c>
      <c r="BF60" s="1186">
        <f>BD60</f>
        <v>219.210526315789</v>
      </c>
    </row>
    <row r="61" spans="1:64" ht="14.5">
      <c r="A61" s="2453" t="s">
        <v>868</v>
      </c>
      <c r="B61" s="2454"/>
      <c r="G61" s="1122" t="s">
        <v>748</v>
      </c>
      <c r="H61" s="1123">
        <f>H58/11</f>
        <v>1301.43540669856</v>
      </c>
      <c r="J61" s="1179" t="s">
        <v>412</v>
      </c>
      <c r="K61" s="1162">
        <f>E159</f>
        <v>2003.36</v>
      </c>
      <c r="L61" s="1002" t="s">
        <v>412</v>
      </c>
      <c r="M61" s="1162">
        <f>K61</f>
        <v>2003.36</v>
      </c>
      <c r="N61" s="1002" t="s">
        <v>412</v>
      </c>
      <c r="O61" s="1165">
        <f>M61</f>
        <v>2003.36</v>
      </c>
      <c r="P61" s="1002" t="s">
        <v>412</v>
      </c>
      <c r="Q61" s="1162">
        <f>E204</f>
        <v>1555.36</v>
      </c>
      <c r="R61" s="1164" t="s">
        <v>736</v>
      </c>
      <c r="S61" s="1163">
        <f>SUM(S56:S59)</f>
        <v>10671.3131362116</v>
      </c>
      <c r="T61" s="1002" t="s">
        <v>412</v>
      </c>
      <c r="U61" s="1162">
        <f>S60</f>
        <v>1555.36</v>
      </c>
      <c r="V61" s="532"/>
      <c r="W61" s="1012"/>
      <c r="X61" s="1175" t="s">
        <v>412</v>
      </c>
      <c r="Y61" s="1162">
        <f>E204</f>
        <v>1555.36</v>
      </c>
      <c r="Z61" s="1002" t="s">
        <v>412</v>
      </c>
      <c r="AA61" s="1162">
        <f>Y61</f>
        <v>1555.36</v>
      </c>
      <c r="AB61" s="1002" t="s">
        <v>629</v>
      </c>
      <c r="AC61" s="1165">
        <f>AA58</f>
        <v>1301.43540669856</v>
      </c>
      <c r="AD61" s="1002" t="s">
        <v>412</v>
      </c>
      <c r="AE61" s="1162">
        <f>K43</f>
        <v>1450.5</v>
      </c>
      <c r="AF61" s="1002" t="s">
        <v>629</v>
      </c>
      <c r="AG61" s="1163">
        <f>AC61</f>
        <v>1301.43540669856</v>
      </c>
      <c r="AH61" s="1002" t="s">
        <v>412</v>
      </c>
      <c r="AI61" s="1162">
        <f>O29</f>
        <v>1130</v>
      </c>
      <c r="AJ61" s="1176" t="s">
        <v>412</v>
      </c>
      <c r="AK61" s="1186">
        <f>AG58</f>
        <v>1555.36</v>
      </c>
      <c r="AL61" s="1002" t="s">
        <v>156</v>
      </c>
      <c r="AM61" s="1163">
        <f>AK60</f>
        <v>3136.7994310099598</v>
      </c>
      <c r="AN61" s="1002" t="s">
        <v>412</v>
      </c>
      <c r="AO61" s="1162">
        <f>AK61</f>
        <v>1555.36</v>
      </c>
      <c r="AP61" s="1176" t="s">
        <v>412</v>
      </c>
      <c r="AQ61" s="1186">
        <f>SUM(E172:E176)</f>
        <v>871</v>
      </c>
      <c r="AR61" s="641"/>
      <c r="AS61" s="1179" t="s">
        <v>412</v>
      </c>
      <c r="AT61" s="1162">
        <f t="shared" si="16"/>
        <v>1555.36</v>
      </c>
      <c r="AU61" s="1002" t="s">
        <v>412</v>
      </c>
      <c r="AV61" s="1162">
        <f t="shared" si="17"/>
        <v>1555.36</v>
      </c>
      <c r="AW61" s="1164"/>
      <c r="AX61" s="1165"/>
      <c r="AY61" s="1002" t="s">
        <v>412</v>
      </c>
      <c r="AZ61" s="1162">
        <f t="shared" si="18"/>
        <v>1555.36</v>
      </c>
      <c r="BA61" s="1164" t="s">
        <v>736</v>
      </c>
      <c r="BB61" s="1163">
        <f>BB58+BB59</f>
        <v>7220.1703571428598</v>
      </c>
      <c r="BC61" s="1002" t="s">
        <v>412</v>
      </c>
      <c r="BD61" s="1162">
        <f>BD30</f>
        <v>1555.36</v>
      </c>
      <c r="BE61" s="1176" t="s">
        <v>412</v>
      </c>
      <c r="BF61" s="1186">
        <f t="shared" si="21"/>
        <v>1555.36</v>
      </c>
    </row>
    <row r="62" spans="1:64" ht="14.5">
      <c r="A62" s="1122" t="s">
        <v>869</v>
      </c>
      <c r="B62" s="1138">
        <f>'WEEKLY FC'!E101</f>
        <v>97450</v>
      </c>
      <c r="D62" s="2423" t="s">
        <v>870</v>
      </c>
      <c r="E62" s="2422"/>
      <c r="G62" s="1122"/>
      <c r="H62" s="1138"/>
      <c r="J62" s="1164" t="s">
        <v>736</v>
      </c>
      <c r="K62" s="1163">
        <f>SUM(K56:K60)</f>
        <v>10116.1237785024</v>
      </c>
      <c r="L62" s="1164" t="s">
        <v>736</v>
      </c>
      <c r="M62" s="1166">
        <f>SUM(M56:M60)</f>
        <v>9705.8045477331998</v>
      </c>
      <c r="N62" s="1164" t="s">
        <v>736</v>
      </c>
      <c r="O62" s="1166">
        <f>SUM(O56:O60)</f>
        <v>13193.508393886999</v>
      </c>
      <c r="P62" s="1164" t="s">
        <v>736</v>
      </c>
      <c r="Q62" s="1163">
        <f>SUM(Q56:Q60)</f>
        <v>11081.632366980801</v>
      </c>
      <c r="R62" s="1164" t="s">
        <v>743</v>
      </c>
      <c r="S62" s="1168">
        <f>S61+S60</f>
        <v>12226.673136211601</v>
      </c>
      <c r="T62" s="1164" t="s">
        <v>736</v>
      </c>
      <c r="U62" s="1163">
        <f>SUM(U56:U60)</f>
        <v>14199.350315698801</v>
      </c>
      <c r="V62" s="1194"/>
      <c r="W62" s="1194"/>
      <c r="X62" s="1164" t="s">
        <v>736</v>
      </c>
      <c r="Y62" s="1163">
        <f>SUM(Y58:Y60)</f>
        <v>9064.3185876607495</v>
      </c>
      <c r="Z62" s="1164" t="s">
        <v>736</v>
      </c>
      <c r="AA62" s="1166">
        <f>SUM(AA58:AA60)</f>
        <v>8653.9993568915197</v>
      </c>
      <c r="AB62" s="1164" t="s">
        <v>736</v>
      </c>
      <c r="AC62" s="1167">
        <f>AC58+AC59+AC61</f>
        <v>10705.5903953531</v>
      </c>
      <c r="AD62" s="1164" t="s">
        <v>736</v>
      </c>
      <c r="AE62" s="1163">
        <f>SUM(AE58:AE60)</f>
        <v>7427.1181432748599</v>
      </c>
      <c r="AF62" s="1164" t="s">
        <v>736</v>
      </c>
      <c r="AG62" s="1168">
        <f>SUM(AG59:AG61)</f>
        <v>9990.9604115767306</v>
      </c>
      <c r="AH62" s="1164" t="s">
        <v>736</v>
      </c>
      <c r="AI62" s="1163">
        <f>SUM(AI58:AI60)</f>
        <v>11620.93610608</v>
      </c>
      <c r="AJ62" s="1164" t="s">
        <v>736</v>
      </c>
      <c r="AK62" s="1188">
        <f>SUM(AK58:AK60)</f>
        <v>10133.351001769501</v>
      </c>
      <c r="AL62" s="1164" t="s">
        <v>736</v>
      </c>
      <c r="AM62" s="1168">
        <f>SUM(AM59:AM61)</f>
        <v>12584.111863120201</v>
      </c>
      <c r="AN62" s="1164" t="s">
        <v>736</v>
      </c>
      <c r="AO62" s="1163">
        <f>SUM(AO58:AO60)</f>
        <v>12184.942040231001</v>
      </c>
      <c r="AP62" s="1164" t="s">
        <v>736</v>
      </c>
      <c r="AQ62" s="1188">
        <f>SUM(AQ58:AQ60)</f>
        <v>14040.9789224834</v>
      </c>
      <c r="AR62" s="532"/>
      <c r="AS62" s="1212" t="s">
        <v>736</v>
      </c>
      <c r="AT62" s="1163">
        <f>SUM(AT58:AT60)</f>
        <v>7279.0318860582602</v>
      </c>
      <c r="AU62" s="1164" t="s">
        <v>736</v>
      </c>
      <c r="AV62" s="1166">
        <f>SUM(AV58:AV60)</f>
        <v>9319.4735166397295</v>
      </c>
      <c r="AW62" s="1164" t="s">
        <v>736</v>
      </c>
      <c r="AX62" s="1167">
        <f>AX58+AX59</f>
        <v>8511.3472013858209</v>
      </c>
      <c r="AY62" s="1164" t="s">
        <v>736</v>
      </c>
      <c r="AZ62" s="1163">
        <f>SUM(AZ58:AZ60)</f>
        <v>6868.7126552890304</v>
      </c>
      <c r="BA62" s="1164" t="s">
        <v>743</v>
      </c>
      <c r="BB62" s="1168">
        <f>BB61+BB58</f>
        <v>8670.6703571428607</v>
      </c>
      <c r="BC62" s="1164" t="s">
        <v>736</v>
      </c>
      <c r="BD62" s="1163">
        <f>SUM(BD58:BD60)</f>
        <v>6645.9949734695201</v>
      </c>
      <c r="BE62" s="1164" t="s">
        <v>736</v>
      </c>
      <c r="BF62" s="1188">
        <f>SUM(BF58:BF60)</f>
        <v>10356.4165014429</v>
      </c>
    </row>
    <row r="63" spans="1:64" ht="14.5">
      <c r="A63" s="1122" t="s">
        <v>871</v>
      </c>
      <c r="B63" s="1123">
        <f>B9</f>
        <v>263.15789473684202</v>
      </c>
      <c r="D63" s="1122" t="s">
        <v>872</v>
      </c>
      <c r="E63" s="1123">
        <f>'WEEKLY FC'!E11/2</f>
        <v>3077.3846153846198</v>
      </c>
      <c r="G63" s="1157" t="s">
        <v>873</v>
      </c>
      <c r="H63" s="1158">
        <f>H58/15</f>
        <v>954.385964912281</v>
      </c>
      <c r="J63" s="1164" t="s">
        <v>743</v>
      </c>
      <c r="K63" s="1168">
        <f>K62+K61</f>
        <v>12119.483778502399</v>
      </c>
      <c r="L63" s="1164" t="s">
        <v>743</v>
      </c>
      <c r="M63" s="1168">
        <f>M62+M61</f>
        <v>11709.1645477332</v>
      </c>
      <c r="N63" s="1164" t="s">
        <v>743</v>
      </c>
      <c r="O63" s="1167">
        <f>O62+O61</f>
        <v>15196.868393887</v>
      </c>
      <c r="P63" s="1164" t="s">
        <v>743</v>
      </c>
      <c r="Q63" s="1168">
        <f>Q62+Q61</f>
        <v>12636.992366980799</v>
      </c>
      <c r="R63" s="1002"/>
      <c r="S63" s="1189"/>
      <c r="T63" s="1164" t="s">
        <v>743</v>
      </c>
      <c r="U63" s="1190">
        <f>U62+U61</f>
        <v>15754.7103156988</v>
      </c>
      <c r="V63" s="532"/>
      <c r="W63" s="532"/>
      <c r="X63" s="1164" t="s">
        <v>743</v>
      </c>
      <c r="Y63" s="1168">
        <f>Y62+Y61</f>
        <v>10619.678587660699</v>
      </c>
      <c r="Z63" s="1164" t="s">
        <v>743</v>
      </c>
      <c r="AA63" s="1168">
        <f>AA62+AA61</f>
        <v>10209.3593568915</v>
      </c>
      <c r="AB63" s="1164" t="s">
        <v>743</v>
      </c>
      <c r="AC63" s="1167">
        <f>AC62+AC60</f>
        <v>12260.9503953531</v>
      </c>
      <c r="AD63" s="1164" t="s">
        <v>743</v>
      </c>
      <c r="AE63" s="1168">
        <f>AE62+AE61</f>
        <v>8877.6181432748599</v>
      </c>
      <c r="AF63" s="1164" t="s">
        <v>743</v>
      </c>
      <c r="AG63" s="1167">
        <f>AG62+AG58</f>
        <v>11546.3204115767</v>
      </c>
      <c r="AH63" s="1164" t="s">
        <v>743</v>
      </c>
      <c r="AI63" s="1190">
        <f>AI62+AI61</f>
        <v>12750.93610608</v>
      </c>
      <c r="AJ63" s="1164" t="s">
        <v>743</v>
      </c>
      <c r="AK63" s="1191">
        <f>AK62+AK61</f>
        <v>11688.711001769499</v>
      </c>
      <c r="AL63" s="1164" t="s">
        <v>743</v>
      </c>
      <c r="AM63" s="1167">
        <f>AM62+AM58</f>
        <v>14139.471863120199</v>
      </c>
      <c r="AN63" s="1164" t="s">
        <v>743</v>
      </c>
      <c r="AO63" s="1190">
        <f>AO62+AO61</f>
        <v>13740.302040230999</v>
      </c>
      <c r="AP63" s="1164" t="s">
        <v>743</v>
      </c>
      <c r="AQ63" s="1191">
        <f>AQ62+AQ61</f>
        <v>14911.9789224834</v>
      </c>
      <c r="AR63" s="1194"/>
      <c r="AS63" s="1212" t="s">
        <v>743</v>
      </c>
      <c r="AT63" s="1168">
        <f>AT62+AT61</f>
        <v>8834.3918860582598</v>
      </c>
      <c r="AU63" s="1164" t="s">
        <v>743</v>
      </c>
      <c r="AV63" s="1168">
        <f>AV62+AV61</f>
        <v>10874.833516639699</v>
      </c>
      <c r="AW63" s="1164" t="s">
        <v>743</v>
      </c>
      <c r="AX63" s="1167">
        <f>AX62+AX60</f>
        <v>9641.3472013858209</v>
      </c>
      <c r="AY63" s="1164" t="s">
        <v>743</v>
      </c>
      <c r="AZ63" s="1168">
        <f>AZ62+AZ61</f>
        <v>8424.0726552890301</v>
      </c>
      <c r="BA63" s="1002"/>
      <c r="BB63" s="1189"/>
      <c r="BC63" s="1164" t="s">
        <v>743</v>
      </c>
      <c r="BD63" s="1190">
        <f>BD62+BD61</f>
        <v>8201.3549734695207</v>
      </c>
      <c r="BE63" s="1164" t="s">
        <v>743</v>
      </c>
      <c r="BF63" s="1191">
        <f>BF62+BF61</f>
        <v>11911.776501442901</v>
      </c>
    </row>
    <row r="64" spans="1:64" ht="14.5">
      <c r="A64" s="1122" t="s">
        <v>874</v>
      </c>
      <c r="B64" s="1123">
        <f>B9*6.5</f>
        <v>1710.5263157894699</v>
      </c>
      <c r="D64" s="1122" t="s">
        <v>692</v>
      </c>
      <c r="E64" s="1123">
        <f>E10/2</f>
        <v>99.471014492753596</v>
      </c>
      <c r="G64" s="1151"/>
      <c r="H64" s="1128"/>
      <c r="J64" s="1180"/>
      <c r="K64" s="1171"/>
      <c r="L64" s="1170"/>
      <c r="M64" s="1171"/>
      <c r="N64" s="1170"/>
      <c r="O64" s="1172"/>
      <c r="P64" s="1170"/>
      <c r="Q64" s="1171"/>
      <c r="R64" s="1170"/>
      <c r="S64" s="1172"/>
      <c r="T64" s="1170"/>
      <c r="U64" s="1171"/>
      <c r="X64" s="1177"/>
      <c r="Y64" s="1171"/>
      <c r="Z64" s="1170"/>
      <c r="AA64" s="1171"/>
      <c r="AB64" s="1170"/>
      <c r="AC64" s="1172"/>
      <c r="AD64" s="1170"/>
      <c r="AE64" s="1171"/>
      <c r="AF64" s="1170"/>
      <c r="AG64" s="1172"/>
      <c r="AH64" s="1170"/>
      <c r="AI64" s="1171"/>
      <c r="AJ64" s="1192"/>
      <c r="AK64" s="1193"/>
      <c r="AL64" s="1170"/>
      <c r="AM64" s="1172"/>
      <c r="AN64" s="1170"/>
      <c r="AO64" s="1171"/>
      <c r="AP64" s="1192"/>
      <c r="AQ64" s="1193"/>
      <c r="AS64" s="1180"/>
      <c r="AT64" s="1171"/>
      <c r="AU64" s="1170"/>
      <c r="AV64" s="1171"/>
      <c r="AW64" s="1170"/>
      <c r="AX64" s="1172"/>
      <c r="AY64" s="1170"/>
      <c r="AZ64" s="1171"/>
      <c r="BA64" s="1170"/>
      <c r="BB64" s="1172"/>
      <c r="BC64" s="1170"/>
      <c r="BD64" s="1171"/>
      <c r="BE64" s="1192"/>
      <c r="BF64" s="1193"/>
    </row>
    <row r="65" spans="1:65" ht="14.5">
      <c r="A65" s="1122" t="s">
        <v>875</v>
      </c>
      <c r="B65" s="1123">
        <f>B18*0.9</f>
        <v>10717.8947368421</v>
      </c>
      <c r="D65" s="1122" t="s">
        <v>876</v>
      </c>
      <c r="E65" s="1123">
        <f>'WEEKLY FC'!E320/4</f>
        <v>466.75</v>
      </c>
      <c r="G65" s="1234"/>
      <c r="H65" s="1235"/>
      <c r="J65" s="1181"/>
      <c r="K65" s="1174"/>
      <c r="L65" s="1173"/>
      <c r="M65" s="1174"/>
      <c r="N65" s="1173"/>
      <c r="O65" s="1174"/>
      <c r="P65" s="1173"/>
      <c r="Q65" s="1174"/>
      <c r="R65" s="1173"/>
      <c r="S65" s="1174"/>
      <c r="T65" s="1173"/>
      <c r="U65" s="1174"/>
      <c r="V65" s="2430"/>
      <c r="W65" s="2430"/>
      <c r="X65" s="1178"/>
      <c r="Y65" s="1174"/>
      <c r="Z65" s="1173"/>
      <c r="AA65" s="1174"/>
      <c r="AB65" s="1173"/>
      <c r="AC65" s="1174"/>
      <c r="AD65" s="1173"/>
      <c r="AE65" s="1174"/>
      <c r="AF65" s="1173"/>
      <c r="AG65" s="1174"/>
      <c r="AH65" s="1173"/>
      <c r="AI65" s="1174"/>
      <c r="AJ65" s="1195"/>
      <c r="AK65" s="1173"/>
      <c r="AL65" s="1173"/>
      <c r="AM65" s="1174"/>
      <c r="AN65" s="1173"/>
      <c r="AO65" s="1174"/>
      <c r="AP65" s="1195"/>
      <c r="AQ65" s="1173"/>
      <c r="AS65" s="1181"/>
      <c r="AT65" s="1174"/>
      <c r="AU65" s="1173"/>
      <c r="AV65" s="1174"/>
      <c r="AW65" s="1173"/>
      <c r="AX65" s="1174"/>
      <c r="AY65" s="1173"/>
      <c r="AZ65" s="1174"/>
      <c r="BA65" s="1173"/>
      <c r="BB65" s="1174"/>
      <c r="BC65" s="1173"/>
      <c r="BD65" s="1174"/>
      <c r="BE65" s="1195"/>
      <c r="BF65" s="1173"/>
    </row>
    <row r="66" spans="1:65" ht="14.5">
      <c r="A66" s="1122"/>
      <c r="B66" s="1129"/>
      <c r="D66" s="1122" t="s">
        <v>877</v>
      </c>
      <c r="E66" s="1123">
        <f>E52</f>
        <v>606.10227272727298</v>
      </c>
      <c r="J66" s="2430"/>
      <c r="K66" s="2430"/>
      <c r="L66" s="2430"/>
      <c r="M66" s="2430"/>
      <c r="N66" s="2430"/>
      <c r="O66" s="2430"/>
      <c r="P66" s="2430"/>
      <c r="Q66" s="2430"/>
      <c r="R66" s="2430"/>
      <c r="S66" s="2430"/>
      <c r="T66" s="2430"/>
      <c r="U66" s="2430"/>
      <c r="V66" s="2430"/>
      <c r="W66" s="2430"/>
      <c r="X66" s="532"/>
      <c r="Y66" s="532"/>
      <c r="Z66" s="532"/>
      <c r="AA66" s="532"/>
      <c r="AB66" s="532"/>
      <c r="AC66" s="532"/>
      <c r="AD66" s="532"/>
      <c r="AE66" s="532"/>
      <c r="AF66" s="532"/>
      <c r="AG66" s="532"/>
      <c r="AH66" s="532"/>
      <c r="AI66" s="532"/>
      <c r="AJ66" s="532"/>
      <c r="AK66" s="532"/>
      <c r="AL66" s="2430"/>
      <c r="AM66" s="2430"/>
      <c r="AN66" s="2430"/>
      <c r="AO66" s="2430"/>
    </row>
    <row r="67" spans="1:65" ht="14.5">
      <c r="A67" s="1122" t="s">
        <v>878</v>
      </c>
      <c r="B67" s="1123">
        <f>SUM(B62:B66)</f>
        <v>110141.57894736801</v>
      </c>
      <c r="D67" s="1122" t="s">
        <v>879</v>
      </c>
      <c r="E67" s="1136">
        <f>'WEEKLY FC'!E331/1000*40</f>
        <v>374.52</v>
      </c>
      <c r="G67" s="2423" t="s">
        <v>880</v>
      </c>
      <c r="H67" s="2422"/>
      <c r="J67" s="2430"/>
      <c r="K67" s="2430"/>
      <c r="L67" s="2430"/>
      <c r="M67" s="2430"/>
      <c r="N67" s="2430"/>
      <c r="O67" s="2430"/>
      <c r="P67" s="2430"/>
      <c r="Q67" s="2430"/>
      <c r="R67" s="2430"/>
      <c r="S67" s="2430"/>
      <c r="U67" s="1199"/>
      <c r="V67" s="532"/>
      <c r="W67" s="1199"/>
      <c r="X67" s="532"/>
      <c r="Y67" s="1199"/>
      <c r="Z67" s="532"/>
      <c r="AA67" s="1199"/>
      <c r="AB67" s="532"/>
      <c r="AC67" s="1199"/>
      <c r="AD67" s="2430"/>
      <c r="AE67" s="2430"/>
      <c r="AF67" s="2430"/>
      <c r="AG67" s="2430"/>
      <c r="AH67" s="2430"/>
      <c r="AI67" s="2430"/>
      <c r="AJ67" s="532"/>
      <c r="AK67" s="1199"/>
      <c r="AL67" s="532"/>
      <c r="AM67" s="1199"/>
      <c r="AN67" s="532"/>
      <c r="AO67" s="1199"/>
      <c r="AR67" s="1289"/>
    </row>
    <row r="68" spans="1:65" ht="14.5">
      <c r="A68" s="1122" t="s">
        <v>881</v>
      </c>
      <c r="B68" s="1123">
        <f>B67/37</f>
        <v>2976.7994310099598</v>
      </c>
      <c r="D68" s="1122"/>
      <c r="E68" s="1136"/>
      <c r="G68" s="1122" t="s">
        <v>882</v>
      </c>
      <c r="H68" s="1138">
        <f>'WEEKLY FC'!E35*0.1</f>
        <v>2600</v>
      </c>
      <c r="J68" s="2474" t="s">
        <v>883</v>
      </c>
      <c r="K68" s="2475"/>
      <c r="L68" s="2475"/>
      <c r="M68" s="2475"/>
      <c r="N68" s="2475"/>
      <c r="O68" s="2475"/>
      <c r="P68" s="2475"/>
      <c r="Q68" s="2475"/>
      <c r="R68" s="2475"/>
      <c r="S68" s="2475"/>
      <c r="T68" s="2475"/>
      <c r="U68" s="2475"/>
      <c r="V68" s="2475"/>
      <c r="W68" s="2475"/>
      <c r="X68" s="2475"/>
      <c r="Y68" s="2475"/>
      <c r="Z68" s="2475"/>
      <c r="AA68" s="2476"/>
      <c r="AB68" s="532"/>
      <c r="AC68" s="1199"/>
      <c r="AD68" s="532" t="s">
        <v>884</v>
      </c>
      <c r="AE68" s="1199"/>
      <c r="AF68" s="532"/>
      <c r="AG68" s="1199"/>
      <c r="AH68" s="532"/>
      <c r="AI68" s="1199"/>
      <c r="AJ68" s="532"/>
      <c r="AK68" s="1199"/>
      <c r="AL68" s="532"/>
      <c r="AM68" s="1199"/>
      <c r="AN68" s="532"/>
      <c r="AO68" s="1199"/>
      <c r="AU68" s="2474" t="s">
        <v>885</v>
      </c>
      <c r="AV68" s="2475"/>
      <c r="AW68" s="2475"/>
      <c r="AX68" s="2475"/>
      <c r="AY68" s="2475"/>
      <c r="AZ68" s="2475"/>
      <c r="BA68" s="2475"/>
      <c r="BB68" s="2475"/>
      <c r="BC68" s="2475"/>
      <c r="BD68" s="2475"/>
      <c r="BE68" s="2475"/>
      <c r="BF68" s="2475"/>
      <c r="BG68" s="2475"/>
      <c r="BH68" s="2475"/>
      <c r="BI68" s="2475"/>
      <c r="BJ68" s="2475"/>
      <c r="BK68" s="2475"/>
      <c r="BL68" s="2476"/>
    </row>
    <row r="69" spans="1:65" ht="14.5">
      <c r="A69" s="1122" t="s">
        <v>823</v>
      </c>
      <c r="B69" s="1144">
        <f>B44</f>
        <v>160</v>
      </c>
      <c r="D69" s="1122" t="s">
        <v>886</v>
      </c>
      <c r="E69" s="1123">
        <f>SUM(E63:E67)</f>
        <v>4624.2279026046499</v>
      </c>
      <c r="G69" s="1122" t="s">
        <v>877</v>
      </c>
      <c r="H69" s="1144">
        <f>E66</f>
        <v>606.10227272727298</v>
      </c>
      <c r="J69" s="2477"/>
      <c r="K69" s="2478"/>
      <c r="L69" s="2478"/>
      <c r="M69" s="2478"/>
      <c r="N69" s="2478"/>
      <c r="O69" s="2478"/>
      <c r="P69" s="2478"/>
      <c r="Q69" s="2478"/>
      <c r="R69" s="2478"/>
      <c r="S69" s="2478"/>
      <c r="T69" s="2478"/>
      <c r="U69" s="2478"/>
      <c r="V69" s="2478"/>
      <c r="W69" s="2478"/>
      <c r="X69" s="2478"/>
      <c r="Y69" s="2478"/>
      <c r="Z69" s="2478"/>
      <c r="AA69" s="2479"/>
      <c r="AB69" s="1184" t="s">
        <v>687</v>
      </c>
      <c r="AC69" s="1199"/>
      <c r="AD69" s="532" t="s">
        <v>629</v>
      </c>
      <c r="AE69" s="1199">
        <f>H63</f>
        <v>954.385964912281</v>
      </c>
      <c r="AF69" s="532"/>
      <c r="AG69" s="1199"/>
      <c r="AH69" s="532"/>
      <c r="AI69" s="1199"/>
      <c r="AJ69" s="532"/>
      <c r="AK69" s="1199"/>
      <c r="AL69" s="532"/>
      <c r="AM69" s="1199"/>
      <c r="AN69" s="532"/>
      <c r="AO69" s="1199"/>
      <c r="AU69" s="2477"/>
      <c r="AV69" s="2478"/>
      <c r="AW69" s="2478"/>
      <c r="AX69" s="2478"/>
      <c r="AY69" s="2478"/>
      <c r="AZ69" s="2478"/>
      <c r="BA69" s="2478"/>
      <c r="BB69" s="2478"/>
      <c r="BC69" s="2478"/>
      <c r="BD69" s="2478"/>
      <c r="BE69" s="2478"/>
      <c r="BF69" s="2478"/>
      <c r="BG69" s="2478"/>
      <c r="BH69" s="2478"/>
      <c r="BI69" s="2478"/>
      <c r="BJ69" s="2478"/>
      <c r="BK69" s="2478"/>
      <c r="BL69" s="2479"/>
      <c r="BM69" s="1184" t="s">
        <v>687</v>
      </c>
    </row>
    <row r="70" spans="1:65" ht="14.5">
      <c r="A70" s="1122" t="s">
        <v>887</v>
      </c>
      <c r="B70" s="1138">
        <f>SUM(B68:B69)</f>
        <v>3136.7994310099598</v>
      </c>
      <c r="D70" s="1122" t="s">
        <v>888</v>
      </c>
      <c r="E70" s="1123">
        <f>('WEEKLY FC'!E39/1000)*35</f>
        <v>1120</v>
      </c>
      <c r="G70" s="1122" t="s">
        <v>889</v>
      </c>
      <c r="H70" s="1124">
        <f>'WEEKLY FC'!E143</f>
        <v>259</v>
      </c>
      <c r="J70" s="571"/>
      <c r="K70" s="571"/>
      <c r="L70" s="571"/>
      <c r="M70" s="571"/>
      <c r="N70" s="571"/>
      <c r="O70" s="571"/>
      <c r="P70" s="571"/>
      <c r="Q70" s="571"/>
      <c r="R70" s="571"/>
      <c r="S70" s="571"/>
      <c r="T70" s="571"/>
      <c r="U70" s="571"/>
      <c r="AB70" s="532"/>
      <c r="AC70" s="840"/>
      <c r="AD70" s="532" t="s">
        <v>890</v>
      </c>
      <c r="AE70" s="1199">
        <f>E330</f>
        <v>5067.02285921766</v>
      </c>
      <c r="AF70" s="532"/>
      <c r="AG70" s="1199"/>
      <c r="AH70" s="532"/>
      <c r="AI70" s="1199"/>
      <c r="AJ70" s="532"/>
      <c r="AK70" s="1199"/>
      <c r="AL70" s="532"/>
      <c r="AM70" s="1199"/>
      <c r="AN70" s="532"/>
      <c r="AO70" s="1199"/>
    </row>
    <row r="71" spans="1:65" ht="14.5">
      <c r="A71" s="1122"/>
      <c r="B71" s="1140"/>
      <c r="D71" s="1122" t="s">
        <v>891</v>
      </c>
      <c r="E71" s="1123">
        <f>'WEEKLY FC'!E33*0.03</f>
        <v>900</v>
      </c>
      <c r="G71" s="1122" t="s">
        <v>731</v>
      </c>
      <c r="H71" s="1144">
        <f>E54</f>
        <v>407</v>
      </c>
      <c r="J71" s="1185"/>
      <c r="K71" s="1185"/>
      <c r="L71" s="1185"/>
      <c r="M71" s="1185"/>
      <c r="N71" s="1185"/>
      <c r="O71" s="1185"/>
      <c r="P71" s="1185"/>
      <c r="Q71" s="1185"/>
      <c r="R71" s="1185"/>
      <c r="S71" s="1185"/>
      <c r="T71" s="1185"/>
      <c r="U71" s="1185"/>
      <c r="V71" s="1185"/>
      <c r="W71" s="1185"/>
      <c r="X71" s="1185"/>
      <c r="Y71" s="1185"/>
      <c r="Z71" s="1185"/>
      <c r="AA71" s="1185"/>
      <c r="AB71" s="641"/>
      <c r="AC71" s="1287"/>
      <c r="AD71" s="532" t="s">
        <v>892</v>
      </c>
      <c r="AE71" s="840">
        <f>'WEEKLY FC'!E100</f>
        <v>458</v>
      </c>
      <c r="AF71" s="532"/>
      <c r="AG71" s="840"/>
      <c r="AH71" s="532"/>
      <c r="AI71" s="1199"/>
      <c r="AJ71" s="641"/>
      <c r="AK71" s="1287"/>
      <c r="AL71" s="641"/>
      <c r="AM71" s="1287"/>
      <c r="AN71" s="641"/>
      <c r="AO71" s="1287"/>
      <c r="AU71" s="1185"/>
      <c r="AV71" s="1185"/>
      <c r="AW71" s="1185"/>
      <c r="AX71" s="1185"/>
      <c r="AY71" s="1185"/>
      <c r="AZ71" s="1185"/>
      <c r="BA71" s="1185"/>
      <c r="BB71" s="1185"/>
      <c r="BC71" s="1185"/>
      <c r="BD71" s="1185"/>
      <c r="BE71" s="1185"/>
      <c r="BF71" s="1185"/>
      <c r="BG71" s="1185"/>
      <c r="BH71" s="1185"/>
      <c r="BI71" s="1185"/>
      <c r="BJ71" s="1185"/>
      <c r="BK71" s="1185"/>
      <c r="BL71" s="1185"/>
    </row>
    <row r="72" spans="1:65" ht="14.5">
      <c r="A72" s="1122"/>
      <c r="B72" s="1236"/>
      <c r="D72" s="1122" t="s">
        <v>893</v>
      </c>
      <c r="E72" s="1123">
        <f>H13</f>
        <v>1450.8157894736801</v>
      </c>
      <c r="G72" s="1122" t="s">
        <v>715</v>
      </c>
      <c r="H72" s="1138">
        <f>SUM(H68:H71)</f>
        <v>3872.1022727272698</v>
      </c>
      <c r="J72" s="2424" t="s">
        <v>694</v>
      </c>
      <c r="K72" s="2425"/>
      <c r="L72" s="2426" t="s">
        <v>694</v>
      </c>
      <c r="M72" s="2425"/>
      <c r="N72" s="2426" t="s">
        <v>694</v>
      </c>
      <c r="O72" s="2425"/>
      <c r="P72" s="2426" t="s">
        <v>694</v>
      </c>
      <c r="Q72" s="2425"/>
      <c r="R72" s="2426" t="s">
        <v>694</v>
      </c>
      <c r="S72" s="2425"/>
      <c r="T72" s="2426" t="s">
        <v>694</v>
      </c>
      <c r="U72" s="2438"/>
      <c r="V72" s="2426" t="s">
        <v>694</v>
      </c>
      <c r="W72" s="2425"/>
      <c r="X72" s="2426" t="s">
        <v>694</v>
      </c>
      <c r="Y72" s="2425"/>
      <c r="Z72" s="2426" t="s">
        <v>694</v>
      </c>
      <c r="AA72" s="2451"/>
      <c r="AB72" s="532"/>
      <c r="AC72" s="573"/>
      <c r="AD72" s="641" t="s">
        <v>412</v>
      </c>
      <c r="AE72" s="1287">
        <v>943</v>
      </c>
      <c r="AF72" s="641"/>
      <c r="AG72" s="1287"/>
      <c r="AH72" s="641"/>
      <c r="AI72" s="1287"/>
      <c r="AJ72" s="532"/>
      <c r="AK72" s="573"/>
      <c r="AL72" s="532"/>
      <c r="AM72" s="573"/>
      <c r="AN72" s="532"/>
      <c r="AO72" s="573"/>
      <c r="AU72" s="2424" t="s">
        <v>694</v>
      </c>
      <c r="AV72" s="2425"/>
      <c r="AW72" s="2426" t="s">
        <v>694</v>
      </c>
      <c r="AX72" s="2425"/>
      <c r="AY72" s="2426" t="s">
        <v>694</v>
      </c>
      <c r="AZ72" s="2425"/>
      <c r="BA72" s="2426" t="s">
        <v>694</v>
      </c>
      <c r="BB72" s="2425"/>
      <c r="BC72" s="2426" t="s">
        <v>694</v>
      </c>
      <c r="BD72" s="2425"/>
      <c r="BE72" s="2426" t="s">
        <v>694</v>
      </c>
      <c r="BF72" s="2438"/>
      <c r="BG72" s="2426" t="s">
        <v>694</v>
      </c>
      <c r="BH72" s="2425"/>
      <c r="BI72" s="2426" t="s">
        <v>694</v>
      </c>
      <c r="BJ72" s="2425"/>
      <c r="BK72" s="2426" t="s">
        <v>694</v>
      </c>
      <c r="BL72" s="2451"/>
    </row>
    <row r="73" spans="1:65" ht="14.5">
      <c r="A73" s="1122"/>
      <c r="B73" s="1129"/>
      <c r="D73" s="1122" t="s">
        <v>894</v>
      </c>
      <c r="E73" s="1123">
        <f>'WEEKLY FC'!E60/600*5</f>
        <v>50.8333333333333</v>
      </c>
      <c r="G73" s="1122"/>
      <c r="H73" s="1140"/>
      <c r="J73" s="2435" t="s">
        <v>705</v>
      </c>
      <c r="K73" s="2429"/>
      <c r="L73" s="2428" t="s">
        <v>706</v>
      </c>
      <c r="M73" s="2429"/>
      <c r="N73" s="2428" t="s">
        <v>707</v>
      </c>
      <c r="O73" s="2429"/>
      <c r="P73" s="2428" t="s">
        <v>708</v>
      </c>
      <c r="Q73" s="2429"/>
      <c r="R73" s="2428" t="s">
        <v>709</v>
      </c>
      <c r="S73" s="2429"/>
      <c r="T73" s="2428" t="s">
        <v>710</v>
      </c>
      <c r="U73" s="2436"/>
      <c r="V73" s="2428" t="s">
        <v>711</v>
      </c>
      <c r="W73" s="2429"/>
      <c r="X73" s="2428" t="s">
        <v>712</v>
      </c>
      <c r="Y73" s="2429"/>
      <c r="Z73" s="2428" t="s">
        <v>713</v>
      </c>
      <c r="AA73" s="2437"/>
      <c r="AB73" s="532"/>
      <c r="AC73" s="1012"/>
      <c r="AD73" s="532"/>
      <c r="AE73" s="573">
        <f>SUM(AE69:AE72)</f>
        <v>7422.4088241299396</v>
      </c>
      <c r="AF73" s="532"/>
      <c r="AG73" s="573"/>
      <c r="AH73" s="532"/>
      <c r="AI73" s="573"/>
      <c r="AJ73" s="532"/>
      <c r="AK73" s="1012"/>
      <c r="AL73" s="532"/>
      <c r="AM73" s="1012"/>
      <c r="AN73" s="532"/>
      <c r="AO73" s="1012"/>
      <c r="AU73" s="2435" t="s">
        <v>705</v>
      </c>
      <c r="AV73" s="2429"/>
      <c r="AW73" s="2428" t="s">
        <v>706</v>
      </c>
      <c r="AX73" s="2429"/>
      <c r="AY73" s="2428" t="s">
        <v>707</v>
      </c>
      <c r="AZ73" s="2429"/>
      <c r="BA73" s="2428" t="s">
        <v>708</v>
      </c>
      <c r="BB73" s="2429"/>
      <c r="BC73" s="2428" t="s">
        <v>709</v>
      </c>
      <c r="BD73" s="2429"/>
      <c r="BE73" s="2428" t="s">
        <v>710</v>
      </c>
      <c r="BF73" s="2436"/>
      <c r="BG73" s="2428" t="s">
        <v>711</v>
      </c>
      <c r="BH73" s="2429"/>
      <c r="BI73" s="2428" t="s">
        <v>712</v>
      </c>
      <c r="BJ73" s="2429"/>
      <c r="BK73" s="2428" t="s">
        <v>713</v>
      </c>
      <c r="BL73" s="2437"/>
    </row>
    <row r="74" spans="1:65" ht="14.5">
      <c r="A74" s="1122"/>
      <c r="B74" s="1129"/>
      <c r="D74" s="1122"/>
      <c r="E74" s="1123"/>
      <c r="G74" s="1131"/>
      <c r="H74" s="1143"/>
      <c r="J74" s="1179" t="s">
        <v>629</v>
      </c>
      <c r="K74" s="1162">
        <f>K56</f>
        <v>1301.43540669856</v>
      </c>
      <c r="L74" s="1002" t="s">
        <v>629</v>
      </c>
      <c r="M74" s="1162">
        <f>K74</f>
        <v>1301.43540669856</v>
      </c>
      <c r="N74" s="1002" t="s">
        <v>629</v>
      </c>
      <c r="O74" s="1162">
        <f>M74</f>
        <v>1301.43540669856</v>
      </c>
      <c r="P74" s="1002" t="s">
        <v>629</v>
      </c>
      <c r="Q74" s="1162">
        <f>O74</f>
        <v>1301.43540669856</v>
      </c>
      <c r="R74" s="1002" t="s">
        <v>629</v>
      </c>
      <c r="S74" s="1162">
        <f>Q74</f>
        <v>1301.43540669856</v>
      </c>
      <c r="T74" s="1002" t="s">
        <v>629</v>
      </c>
      <c r="U74" s="1216">
        <f>S74</f>
        <v>1301.43540669856</v>
      </c>
      <c r="V74" s="1002" t="s">
        <v>629</v>
      </c>
      <c r="W74" s="1162">
        <f>U74</f>
        <v>1301.43540669856</v>
      </c>
      <c r="X74" s="1002" t="s">
        <v>629</v>
      </c>
      <c r="Y74" s="1162">
        <f>W74</f>
        <v>1301.43540669856</v>
      </c>
      <c r="Z74" s="1002" t="s">
        <v>629</v>
      </c>
      <c r="AA74" s="1229">
        <f>Y74</f>
        <v>1301.43540669856</v>
      </c>
      <c r="AB74" s="532"/>
      <c r="AC74" s="532"/>
      <c r="AD74" s="532"/>
      <c r="AE74" s="1012">
        <f>AE73/9000</f>
        <v>0.82471209156999303</v>
      </c>
      <c r="AF74" s="532"/>
      <c r="AG74" s="1012"/>
      <c r="AH74" s="532"/>
      <c r="AI74" s="1012"/>
      <c r="AJ74" s="532"/>
      <c r="AK74" s="532"/>
      <c r="AL74" s="532"/>
      <c r="AM74" s="532"/>
      <c r="AN74" s="532"/>
      <c r="AO74" s="532"/>
      <c r="AU74" s="1179" t="s">
        <v>629</v>
      </c>
      <c r="AV74" s="1162">
        <f>AV42</f>
        <v>954.385964912281</v>
      </c>
      <c r="AW74" s="1002" t="s">
        <v>629</v>
      </c>
      <c r="AX74" s="1162">
        <f>AX42</f>
        <v>954.385964912281</v>
      </c>
      <c r="AY74" s="1002" t="s">
        <v>629</v>
      </c>
      <c r="AZ74" s="1162">
        <f>AZ42</f>
        <v>954.385964912281</v>
      </c>
      <c r="BA74" s="1002" t="s">
        <v>629</v>
      </c>
      <c r="BB74" s="1162">
        <f>BB42</f>
        <v>954.385964912281</v>
      </c>
      <c r="BC74" s="1002" t="s">
        <v>629</v>
      </c>
      <c r="BD74" s="1162">
        <f>BD42</f>
        <v>954.385964912281</v>
      </c>
      <c r="BE74" s="1002" t="s">
        <v>629</v>
      </c>
      <c r="BF74" s="1216">
        <f>BF42</f>
        <v>954.385964912281</v>
      </c>
      <c r="BG74" s="1002" t="s">
        <v>629</v>
      </c>
      <c r="BH74" s="1162">
        <f>BH42</f>
        <v>954.385964912281</v>
      </c>
      <c r="BI74" s="1002" t="s">
        <v>629</v>
      </c>
      <c r="BJ74" s="1162">
        <f>BJ42</f>
        <v>954.385964912281</v>
      </c>
      <c r="BK74" s="1002" t="s">
        <v>629</v>
      </c>
      <c r="BL74" s="1229">
        <f>BL42</f>
        <v>954.385964912281</v>
      </c>
    </row>
    <row r="75" spans="1:65" ht="14.5">
      <c r="A75" s="1237" t="s">
        <v>841</v>
      </c>
      <c r="B75" s="1129"/>
      <c r="D75" s="1122" t="s">
        <v>895</v>
      </c>
      <c r="E75" s="1123">
        <f>SUM(E68:E73)</f>
        <v>8145.8770254116598</v>
      </c>
      <c r="F75" s="1154"/>
      <c r="J75" s="1179" t="s">
        <v>717</v>
      </c>
      <c r="K75" s="1162">
        <f>K57</f>
        <v>5698.4353948301896</v>
      </c>
      <c r="L75" s="1002" t="s">
        <v>718</v>
      </c>
      <c r="M75" s="1162">
        <f>M57</f>
        <v>5288.1161640609598</v>
      </c>
      <c r="N75" s="1002" t="s">
        <v>75</v>
      </c>
      <c r="O75" s="1162">
        <f>O57</f>
        <v>8775.8200102148094</v>
      </c>
      <c r="P75" s="1002" t="s">
        <v>727</v>
      </c>
      <c r="Q75" s="1162">
        <f>K75</f>
        <v>5698.4353948301896</v>
      </c>
      <c r="R75" s="1002" t="s">
        <v>723</v>
      </c>
      <c r="S75" s="1162">
        <f>M75</f>
        <v>5288.1161640609598</v>
      </c>
      <c r="T75" s="1002" t="s">
        <v>728</v>
      </c>
      <c r="U75" s="1217">
        <f>O75</f>
        <v>8775.8200102148094</v>
      </c>
      <c r="V75" s="1002" t="s">
        <v>78</v>
      </c>
      <c r="W75" s="1162">
        <f>Q75</f>
        <v>5698.4353948301896</v>
      </c>
      <c r="X75" s="1002" t="s">
        <v>723</v>
      </c>
      <c r="Y75" s="1162">
        <f>S75</f>
        <v>5288.1161640609598</v>
      </c>
      <c r="Z75" s="1002" t="s">
        <v>728</v>
      </c>
      <c r="AA75" s="1229">
        <f>U75</f>
        <v>8775.8200102148094</v>
      </c>
      <c r="AD75" s="532"/>
      <c r="AE75" s="532"/>
      <c r="AF75" s="532"/>
      <c r="AG75" s="532"/>
      <c r="AH75" s="532"/>
      <c r="AI75" s="532"/>
      <c r="AU75" s="1179" t="s">
        <v>717</v>
      </c>
      <c r="AV75" s="1162">
        <f t="shared" ref="AV75:AV78" si="23">AV43</f>
        <v>5698.4353948301896</v>
      </c>
      <c r="AW75" s="1002" t="s">
        <v>718</v>
      </c>
      <c r="AX75" s="1162">
        <f t="shared" ref="AX75:AX78" si="24">AX43</f>
        <v>5288.1161640609598</v>
      </c>
      <c r="AY75" s="1002" t="s">
        <v>75</v>
      </c>
      <c r="AZ75" s="1162">
        <f t="shared" ref="AZ75:AZ78" si="25">AZ43</f>
        <v>8775.8200102148094</v>
      </c>
      <c r="BA75" s="1002" t="s">
        <v>727</v>
      </c>
      <c r="BB75" s="1162">
        <f t="shared" ref="BB75:BB78" si="26">BB43</f>
        <v>5698.4353948301896</v>
      </c>
      <c r="BC75" s="1002" t="s">
        <v>723</v>
      </c>
      <c r="BD75" s="1162">
        <f t="shared" ref="BD75:BD78" si="27">BD43</f>
        <v>5288.1161640609598</v>
      </c>
      <c r="BE75" s="1002" t="s">
        <v>728</v>
      </c>
      <c r="BF75" s="1217">
        <f>BF43</f>
        <v>8775.8200102148094</v>
      </c>
      <c r="BG75" s="1002" t="s">
        <v>78</v>
      </c>
      <c r="BH75" s="1162">
        <f t="shared" ref="BH75:BH78" si="28">BH43</f>
        <v>5698.4353948301896</v>
      </c>
      <c r="BI75" s="1002" t="s">
        <v>723</v>
      </c>
      <c r="BJ75" s="1162">
        <f t="shared" ref="BJ75:BJ78" si="29">BJ43</f>
        <v>5288.1161640609598</v>
      </c>
      <c r="BK75" s="1002" t="s">
        <v>728</v>
      </c>
      <c r="BL75" s="1229">
        <f t="shared" ref="BL75:BL78" si="30">BL43</f>
        <v>8775.8200102148094</v>
      </c>
    </row>
    <row r="76" spans="1:65" ht="14.5">
      <c r="A76" s="1122" t="s">
        <v>868</v>
      </c>
      <c r="B76" s="1123">
        <f>B70</f>
        <v>3136.7994310099598</v>
      </c>
      <c r="D76" s="1122"/>
      <c r="E76" s="1140"/>
      <c r="G76" s="2423" t="s">
        <v>627</v>
      </c>
      <c r="H76" s="2422"/>
      <c r="J76" s="1175" t="s">
        <v>776</v>
      </c>
      <c r="K76" s="1162">
        <f>Y60</f>
        <v>1657.4477861319999</v>
      </c>
      <c r="L76" s="1175" t="s">
        <v>776</v>
      </c>
      <c r="M76" s="1162">
        <f>K76</f>
        <v>1657.4477861319999</v>
      </c>
      <c r="N76" s="1175" t="s">
        <v>776</v>
      </c>
      <c r="O76" s="1162">
        <f>M76</f>
        <v>1657.4477861319999</v>
      </c>
      <c r="P76" s="1175" t="s">
        <v>776</v>
      </c>
      <c r="Q76" s="1162">
        <f>O76</f>
        <v>1657.4477861319999</v>
      </c>
      <c r="R76" s="1175" t="s">
        <v>776</v>
      </c>
      <c r="S76" s="1162">
        <f>Q76</f>
        <v>1657.4477861319999</v>
      </c>
      <c r="T76" s="1175" t="s">
        <v>776</v>
      </c>
      <c r="U76" s="1217">
        <f>S76</f>
        <v>1657.4477861319999</v>
      </c>
      <c r="V76" s="1175" t="s">
        <v>776</v>
      </c>
      <c r="W76" s="1162">
        <f>U76</f>
        <v>1657.4477861319999</v>
      </c>
      <c r="X76" s="1175" t="s">
        <v>776</v>
      </c>
      <c r="Y76" s="1162">
        <f>W76</f>
        <v>1657.4477861319999</v>
      </c>
      <c r="Z76" s="1175" t="s">
        <v>776</v>
      </c>
      <c r="AA76" s="1229">
        <f>Y76</f>
        <v>1657.4477861319999</v>
      </c>
      <c r="AU76" s="1179" t="s">
        <v>867</v>
      </c>
      <c r="AV76" s="1162">
        <f>AV60</f>
        <v>219.210526315789</v>
      </c>
      <c r="AW76" s="1179" t="s">
        <v>867</v>
      </c>
      <c r="AX76" s="1162">
        <f>AV76</f>
        <v>219.210526315789</v>
      </c>
      <c r="AY76" s="1179" t="s">
        <v>867</v>
      </c>
      <c r="AZ76" s="1162">
        <f>AX76</f>
        <v>219.210526315789</v>
      </c>
      <c r="BA76" s="1179" t="s">
        <v>867</v>
      </c>
      <c r="BB76" s="1162">
        <f>AZ76</f>
        <v>219.210526315789</v>
      </c>
      <c r="BC76" s="1179" t="s">
        <v>867</v>
      </c>
      <c r="BD76" s="1162">
        <f>BB76</f>
        <v>219.210526315789</v>
      </c>
      <c r="BE76" s="1179" t="s">
        <v>867</v>
      </c>
      <c r="BF76" s="1217">
        <f>BD76</f>
        <v>219.210526315789</v>
      </c>
      <c r="BG76" s="1179" t="s">
        <v>867</v>
      </c>
      <c r="BH76" s="1162">
        <f>BF76</f>
        <v>219.210526315789</v>
      </c>
      <c r="BI76" s="1179" t="s">
        <v>867</v>
      </c>
      <c r="BJ76" s="1162">
        <f>BH76</f>
        <v>219.210526315789</v>
      </c>
      <c r="BK76" s="1179" t="s">
        <v>867</v>
      </c>
      <c r="BL76" s="1229">
        <f>BJ76</f>
        <v>219.210526315789</v>
      </c>
    </row>
    <row r="77" spans="1:65" ht="14.5">
      <c r="A77" s="1122" t="s">
        <v>843</v>
      </c>
      <c r="B77" s="1144">
        <f>B51</f>
        <v>373</v>
      </c>
      <c r="D77" s="1237"/>
      <c r="E77" s="1150"/>
      <c r="G77" s="1122" t="s">
        <v>896</v>
      </c>
      <c r="H77" s="1123">
        <f>H58/11</f>
        <v>1301.43540669856</v>
      </c>
      <c r="J77" s="1179" t="s">
        <v>737</v>
      </c>
      <c r="K77" s="1165">
        <f>AA16</f>
        <v>897.49759615384596</v>
      </c>
      <c r="L77" s="1002" t="s">
        <v>737</v>
      </c>
      <c r="M77" s="1165">
        <f>K77</f>
        <v>897.49759615384596</v>
      </c>
      <c r="N77" s="1002" t="s">
        <v>737</v>
      </c>
      <c r="O77" s="1165">
        <f>M77</f>
        <v>897.49759615384596</v>
      </c>
      <c r="P77" s="1002" t="s">
        <v>738</v>
      </c>
      <c r="Q77" s="1165">
        <f>E135</f>
        <v>1686.4853125</v>
      </c>
      <c r="R77" s="1002" t="s">
        <v>738</v>
      </c>
      <c r="S77" s="1165">
        <f>Q77</f>
        <v>1686.4853125</v>
      </c>
      <c r="T77" s="1002" t="s">
        <v>738</v>
      </c>
      <c r="U77" s="1218">
        <f>S77</f>
        <v>1686.4853125</v>
      </c>
      <c r="V77" s="1002" t="s">
        <v>739</v>
      </c>
      <c r="W77" s="1165">
        <f>E150</f>
        <v>1473.37671875</v>
      </c>
      <c r="X77" s="1002" t="s">
        <v>739</v>
      </c>
      <c r="Y77" s="1165">
        <f>W77</f>
        <v>1473.37671875</v>
      </c>
      <c r="Z77" s="1002" t="s">
        <v>739</v>
      </c>
      <c r="AA77" s="1230">
        <f>Y77</f>
        <v>1473.37671875</v>
      </c>
      <c r="AU77" s="1179" t="s">
        <v>737</v>
      </c>
      <c r="AV77" s="1162">
        <f t="shared" si="23"/>
        <v>897.49759615384596</v>
      </c>
      <c r="AW77" s="1002" t="s">
        <v>737</v>
      </c>
      <c r="AX77" s="1162">
        <f t="shared" si="24"/>
        <v>897.49759615384596</v>
      </c>
      <c r="AY77" s="1002" t="s">
        <v>737</v>
      </c>
      <c r="AZ77" s="1162">
        <f t="shared" si="25"/>
        <v>897.49759615384596</v>
      </c>
      <c r="BA77" s="1002" t="s">
        <v>738</v>
      </c>
      <c r="BB77" s="1162">
        <f t="shared" si="26"/>
        <v>1686.4853125</v>
      </c>
      <c r="BC77" s="1002" t="s">
        <v>738</v>
      </c>
      <c r="BD77" s="1162">
        <f t="shared" si="27"/>
        <v>1686.4853125</v>
      </c>
      <c r="BE77" s="1002" t="s">
        <v>738</v>
      </c>
      <c r="BF77" s="1218">
        <f>BF45</f>
        <v>1686.4853125</v>
      </c>
      <c r="BG77" s="1002" t="s">
        <v>739</v>
      </c>
      <c r="BH77" s="1162">
        <f t="shared" si="28"/>
        <v>1473.37671875</v>
      </c>
      <c r="BI77" s="1002" t="s">
        <v>739</v>
      </c>
      <c r="BJ77" s="1162">
        <f t="shared" si="29"/>
        <v>1473.37671875</v>
      </c>
      <c r="BK77" s="1002" t="s">
        <v>739</v>
      </c>
      <c r="BL77" s="1229">
        <f t="shared" si="30"/>
        <v>1473.37671875</v>
      </c>
    </row>
    <row r="78" spans="1:65" ht="14.5">
      <c r="A78" s="1122" t="s">
        <v>845</v>
      </c>
      <c r="B78" s="1124">
        <f>B52</f>
        <v>72.150000000000006</v>
      </c>
      <c r="D78" s="1237"/>
      <c r="E78" s="1129"/>
      <c r="G78" s="1122" t="s">
        <v>897</v>
      </c>
      <c r="H78" s="1123">
        <f>'WEEKLY FC'!E11/5</f>
        <v>1230.95384615385</v>
      </c>
      <c r="J78" s="1176" t="s">
        <v>412</v>
      </c>
      <c r="K78" s="1165">
        <f>AA17</f>
        <v>1555.36</v>
      </c>
      <c r="L78" s="1176" t="s">
        <v>412</v>
      </c>
      <c r="M78" s="1165">
        <f>K78</f>
        <v>1555.36</v>
      </c>
      <c r="N78" s="1176" t="s">
        <v>412</v>
      </c>
      <c r="O78" s="1165">
        <f>M78</f>
        <v>1555.36</v>
      </c>
      <c r="P78" s="1176" t="s">
        <v>412</v>
      </c>
      <c r="Q78" s="1165">
        <f>O78</f>
        <v>1555.36</v>
      </c>
      <c r="R78" s="1176" t="s">
        <v>412</v>
      </c>
      <c r="S78" s="1165">
        <f>Q78</f>
        <v>1555.36</v>
      </c>
      <c r="T78" s="1176" t="s">
        <v>412</v>
      </c>
      <c r="U78" s="1218">
        <f>S78</f>
        <v>1555.36</v>
      </c>
      <c r="V78" s="1176" t="s">
        <v>412</v>
      </c>
      <c r="W78" s="1165">
        <f>U78</f>
        <v>1555.36</v>
      </c>
      <c r="X78" s="1176" t="s">
        <v>412</v>
      </c>
      <c r="Y78" s="1165">
        <f>W78</f>
        <v>1555.36</v>
      </c>
      <c r="Z78" s="1176" t="s">
        <v>412</v>
      </c>
      <c r="AA78" s="1230">
        <f>Y78</f>
        <v>1555.36</v>
      </c>
      <c r="AB78" s="2430"/>
      <c r="AC78" s="2430"/>
      <c r="AJ78" s="2430"/>
      <c r="AK78" s="2430"/>
      <c r="AL78" s="2430"/>
      <c r="AM78" s="2430"/>
      <c r="AN78" s="2430"/>
      <c r="AO78" s="2430"/>
      <c r="AU78" s="1176" t="s">
        <v>412</v>
      </c>
      <c r="AV78" s="1162">
        <f t="shared" si="23"/>
        <v>1555.36</v>
      </c>
      <c r="AW78" s="1176" t="s">
        <v>412</v>
      </c>
      <c r="AX78" s="1162">
        <f t="shared" si="24"/>
        <v>1555.36</v>
      </c>
      <c r="AY78" s="1176" t="s">
        <v>412</v>
      </c>
      <c r="AZ78" s="1162">
        <f t="shared" si="25"/>
        <v>1555.36</v>
      </c>
      <c r="BA78" s="1176" t="s">
        <v>412</v>
      </c>
      <c r="BB78" s="1162">
        <f t="shared" si="26"/>
        <v>1555.36</v>
      </c>
      <c r="BC78" s="1176" t="s">
        <v>412</v>
      </c>
      <c r="BD78" s="1162">
        <f t="shared" si="27"/>
        <v>1555.36</v>
      </c>
      <c r="BE78" s="1176" t="s">
        <v>412</v>
      </c>
      <c r="BF78" s="1218">
        <f>BF46</f>
        <v>1555.36</v>
      </c>
      <c r="BG78" s="1176" t="s">
        <v>412</v>
      </c>
      <c r="BH78" s="1162">
        <f t="shared" si="28"/>
        <v>1555.36</v>
      </c>
      <c r="BI78" s="1176" t="s">
        <v>412</v>
      </c>
      <c r="BJ78" s="1162">
        <f t="shared" si="29"/>
        <v>1555.36</v>
      </c>
      <c r="BK78" s="1176" t="s">
        <v>412</v>
      </c>
      <c r="BL78" s="1229">
        <f t="shared" si="30"/>
        <v>1555.36</v>
      </c>
    </row>
    <row r="79" spans="1:65" ht="14.5">
      <c r="A79" s="1122" t="s">
        <v>846</v>
      </c>
      <c r="B79" s="1124">
        <f>B53</f>
        <v>47</v>
      </c>
      <c r="D79" s="1237" t="s">
        <v>841</v>
      </c>
      <c r="E79" s="1129"/>
      <c r="G79" s="1122" t="s">
        <v>898</v>
      </c>
      <c r="H79" s="1123">
        <f>'WEEKLY FC'!E320*0.5</f>
        <v>933.5</v>
      </c>
      <c r="J79" s="1164" t="s">
        <v>736</v>
      </c>
      <c r="K79" s="1163">
        <f>SUM(K74:K77)</f>
        <v>9554.8161838145897</v>
      </c>
      <c r="L79" s="1164" t="s">
        <v>736</v>
      </c>
      <c r="M79" s="1163">
        <f>SUM(M74:M77)</f>
        <v>9144.49695304536</v>
      </c>
      <c r="N79" s="1164" t="s">
        <v>736</v>
      </c>
      <c r="O79" s="1163">
        <f>SUM(O74:O77)</f>
        <v>12632.2007991992</v>
      </c>
      <c r="P79" s="1164" t="s">
        <v>736</v>
      </c>
      <c r="Q79" s="1163">
        <f>SUM(Q74:Q77)</f>
        <v>10343.803900160699</v>
      </c>
      <c r="R79" s="1164" t="s">
        <v>736</v>
      </c>
      <c r="S79" s="1163">
        <f>SUM(S74:S77)</f>
        <v>9933.4846693915206</v>
      </c>
      <c r="T79" s="1164" t="s">
        <v>736</v>
      </c>
      <c r="U79" s="1163">
        <f>SUM(U74:U77)</f>
        <v>13421.1885155454</v>
      </c>
      <c r="V79" s="1164" t="s">
        <v>736</v>
      </c>
      <c r="W79" s="1163">
        <f>SUM(W74:W77)</f>
        <v>10130.6953064107</v>
      </c>
      <c r="X79" s="1164" t="s">
        <v>736</v>
      </c>
      <c r="Y79" s="1163">
        <f>SUM(Y74:Y77)</f>
        <v>9720.3760756415195</v>
      </c>
      <c r="Z79" s="1164" t="s">
        <v>736</v>
      </c>
      <c r="AA79" s="1163">
        <f>SUM(AA74:AA77)</f>
        <v>13208.079921795401</v>
      </c>
      <c r="AB79" s="2430"/>
      <c r="AC79" s="2430"/>
      <c r="AD79" s="2430"/>
      <c r="AE79" s="2430"/>
      <c r="AF79" s="2430"/>
      <c r="AG79" s="2430"/>
      <c r="AH79" s="2430"/>
      <c r="AI79" s="2430"/>
      <c r="AJ79" s="2430"/>
      <c r="AK79" s="2430"/>
      <c r="AL79" s="2430"/>
      <c r="AM79" s="2430"/>
      <c r="AN79" s="2430"/>
      <c r="AO79" s="2430"/>
      <c r="AU79" s="1164" t="s">
        <v>736</v>
      </c>
      <c r="AV79" s="1163">
        <f>SUM(AV74:AV77)</f>
        <v>7769.5294822121004</v>
      </c>
      <c r="AW79" s="1164" t="s">
        <v>736</v>
      </c>
      <c r="AX79" s="1163">
        <f>SUM(AX74:AX77)</f>
        <v>7359.2102514428698</v>
      </c>
      <c r="AY79" s="1164" t="s">
        <v>736</v>
      </c>
      <c r="AZ79" s="1163">
        <f>SUM(AZ74:AZ77)</f>
        <v>10846.9140975967</v>
      </c>
      <c r="BA79" s="1164" t="s">
        <v>736</v>
      </c>
      <c r="BB79" s="1163">
        <f>SUM(BB74:BB77)</f>
        <v>8558.5171985582601</v>
      </c>
      <c r="BC79" s="1164" t="s">
        <v>736</v>
      </c>
      <c r="BD79" s="1163">
        <f>SUM(BD74:BD77)</f>
        <v>8148.1979677890304</v>
      </c>
      <c r="BE79" s="1164" t="s">
        <v>736</v>
      </c>
      <c r="BF79" s="1163">
        <f>SUM(BF74:BF77)</f>
        <v>11635.901813942901</v>
      </c>
      <c r="BG79" s="1164" t="s">
        <v>736</v>
      </c>
      <c r="BH79" s="1163">
        <f>SUM(BH74:BH77)</f>
        <v>8345.4086048082609</v>
      </c>
      <c r="BI79" s="1164" t="s">
        <v>736</v>
      </c>
      <c r="BJ79" s="1163">
        <f>SUM(BJ74:BJ77)</f>
        <v>7935.0893740390302</v>
      </c>
      <c r="BK79" s="1164" t="s">
        <v>736</v>
      </c>
      <c r="BL79" s="1163">
        <f>SUM(BL74:BL77)</f>
        <v>11422.7932201929</v>
      </c>
    </row>
    <row r="80" spans="1:65" ht="14.5">
      <c r="A80" s="1122"/>
      <c r="B80" s="1129"/>
      <c r="D80" s="1122" t="s">
        <v>899</v>
      </c>
      <c r="E80" s="1123">
        <f>'WEEKLY FC'!E137</f>
        <v>154</v>
      </c>
      <c r="G80" s="1122" t="s">
        <v>900</v>
      </c>
      <c r="H80" s="1136"/>
      <c r="J80" s="1164" t="s">
        <v>743</v>
      </c>
      <c r="K80" s="1168">
        <f>K79+K78</f>
        <v>11110.176183814599</v>
      </c>
      <c r="L80" s="1164" t="s">
        <v>743</v>
      </c>
      <c r="M80" s="1168">
        <f>M79+M78</f>
        <v>10699.856953045401</v>
      </c>
      <c r="N80" s="1164" t="s">
        <v>743</v>
      </c>
      <c r="O80" s="1168">
        <f>O79+O78</f>
        <v>14187.5607991992</v>
      </c>
      <c r="P80" s="1164" t="s">
        <v>743</v>
      </c>
      <c r="Q80" s="1168">
        <f>Q79+Q78</f>
        <v>11899.1639001607</v>
      </c>
      <c r="R80" s="1164" t="s">
        <v>743</v>
      </c>
      <c r="S80" s="1168">
        <f>S79+S78</f>
        <v>11488.844669391499</v>
      </c>
      <c r="T80" s="1164" t="s">
        <v>743</v>
      </c>
      <c r="U80" s="1168">
        <f>U79+U78</f>
        <v>14976.548515545401</v>
      </c>
      <c r="V80" s="1164" t="s">
        <v>743</v>
      </c>
      <c r="W80" s="1168">
        <f>W79+W78</f>
        <v>11686.055306410701</v>
      </c>
      <c r="X80" s="1164" t="s">
        <v>743</v>
      </c>
      <c r="Y80" s="1168">
        <f>Y79+Y78</f>
        <v>11275.7360756415</v>
      </c>
      <c r="Z80" s="1164" t="s">
        <v>743</v>
      </c>
      <c r="AA80" s="1168">
        <f>AA79+AA78</f>
        <v>14763.4399217954</v>
      </c>
      <c r="AB80" s="532"/>
      <c r="AC80" s="1199"/>
      <c r="AD80" s="2430"/>
      <c r="AE80" s="2430"/>
      <c r="AF80" s="2430"/>
      <c r="AG80" s="2430"/>
      <c r="AH80" s="2430"/>
      <c r="AI80" s="2430"/>
      <c r="AJ80" s="532"/>
      <c r="AK80" s="1199"/>
      <c r="AL80" s="532"/>
      <c r="AM80" s="1199"/>
      <c r="AN80" s="532"/>
      <c r="AO80" s="1199"/>
      <c r="AU80" s="1164" t="s">
        <v>743</v>
      </c>
      <c r="AV80" s="1168">
        <f>AV79+AV78</f>
        <v>9324.8894822121001</v>
      </c>
      <c r="AW80" s="1164" t="s">
        <v>743</v>
      </c>
      <c r="AX80" s="1168">
        <f>AX79+AX78</f>
        <v>8914.5702514428704</v>
      </c>
      <c r="AY80" s="1164" t="s">
        <v>743</v>
      </c>
      <c r="AZ80" s="1168">
        <f>+AZ79+AZ78</f>
        <v>12402.274097596701</v>
      </c>
      <c r="BA80" s="1164" t="s">
        <v>743</v>
      </c>
      <c r="BB80" s="1168">
        <f>BB79+BB78</f>
        <v>10113.877198558301</v>
      </c>
      <c r="BC80" s="1164" t="s">
        <v>743</v>
      </c>
      <c r="BD80" s="1168">
        <f>BD79+BD78</f>
        <v>9703.5579677890291</v>
      </c>
      <c r="BE80" s="1164" t="s">
        <v>743</v>
      </c>
      <c r="BF80" s="1220">
        <f>BF78+BF79</f>
        <v>13191.2618139429</v>
      </c>
      <c r="BG80" s="1164" t="s">
        <v>743</v>
      </c>
      <c r="BH80" s="1168">
        <f>BH79+BH78</f>
        <v>9900.7686048082596</v>
      </c>
      <c r="BI80" s="1164" t="s">
        <v>743</v>
      </c>
      <c r="BJ80" s="1168">
        <f>BJ79+BJ78</f>
        <v>9490.4493740390299</v>
      </c>
      <c r="BK80" s="1164" t="s">
        <v>743</v>
      </c>
      <c r="BL80" s="1232">
        <f>BL79+BL78</f>
        <v>12978.1532201929</v>
      </c>
    </row>
    <row r="81" spans="1:64" ht="14.5">
      <c r="A81" s="1122" t="s">
        <v>901</v>
      </c>
      <c r="B81" s="1238">
        <f>SUM(B75:B79)</f>
        <v>3628.9494310099599</v>
      </c>
      <c r="D81" s="1122" t="s">
        <v>902</v>
      </c>
      <c r="E81" s="1123">
        <f>E54</f>
        <v>407</v>
      </c>
      <c r="G81" s="1122" t="s">
        <v>903</v>
      </c>
      <c r="H81" s="1123">
        <f>('WEEKLY FC'!E306/1000)*10</f>
        <v>150</v>
      </c>
      <c r="J81" s="1203"/>
      <c r="K81" s="1204"/>
      <c r="L81" s="1205"/>
      <c r="M81" s="1204"/>
      <c r="N81" s="1205"/>
      <c r="O81" s="1204"/>
      <c r="P81" s="1205"/>
      <c r="Q81" s="1204"/>
      <c r="R81" s="1205"/>
      <c r="S81" s="1204"/>
      <c r="T81" s="1221"/>
      <c r="U81" s="1222"/>
      <c r="V81" s="1205"/>
      <c r="W81" s="1204"/>
      <c r="X81" s="1205"/>
      <c r="Y81" s="1204"/>
      <c r="Z81" s="1221"/>
      <c r="AA81" s="1233"/>
      <c r="AB81" s="532"/>
      <c r="AC81" s="1199"/>
      <c r="AD81" s="532"/>
      <c r="AE81" s="1199"/>
      <c r="AF81" s="532"/>
      <c r="AG81" s="1199"/>
      <c r="AH81" s="532"/>
      <c r="AI81" s="1199"/>
      <c r="AJ81" s="532"/>
      <c r="AK81" s="1199"/>
      <c r="AL81" s="532"/>
      <c r="AM81" s="1199"/>
      <c r="AN81" s="532"/>
      <c r="AO81" s="1199"/>
      <c r="AU81" s="1203"/>
      <c r="AV81" s="1204"/>
      <c r="AW81" s="1205"/>
      <c r="AX81" s="1204"/>
      <c r="AY81" s="1205"/>
      <c r="AZ81" s="1204"/>
      <c r="BA81" s="1205"/>
      <c r="BB81" s="1204"/>
      <c r="BC81" s="1205"/>
      <c r="BD81" s="1204"/>
      <c r="BE81" s="1221"/>
      <c r="BF81" s="1222"/>
      <c r="BG81" s="1205"/>
      <c r="BH81" s="1204"/>
      <c r="BI81" s="1205"/>
      <c r="BJ81" s="1204"/>
      <c r="BK81" s="1221"/>
      <c r="BL81" s="1233"/>
    </row>
    <row r="82" spans="1:64" ht="14.5">
      <c r="A82" s="1131"/>
      <c r="B82" s="1147"/>
      <c r="D82" s="1122" t="s">
        <v>181</v>
      </c>
      <c r="E82" s="1123">
        <f>'WEEKLY FC'!E128</f>
        <v>192</v>
      </c>
      <c r="G82" s="1122" t="s">
        <v>904</v>
      </c>
      <c r="H82" s="1123">
        <f>('WEEKLY FC'!E302/1000)*2.5</f>
        <v>130</v>
      </c>
      <c r="K82" s="1199"/>
      <c r="M82" s="1199"/>
      <c r="O82" s="1199"/>
      <c r="Q82" s="1199"/>
      <c r="S82" s="1199"/>
      <c r="T82" s="641"/>
      <c r="U82" s="1200"/>
      <c r="V82" s="532"/>
      <c r="W82" s="1199"/>
      <c r="X82" s="532"/>
      <c r="Y82" s="1199"/>
      <c r="Z82" s="532"/>
      <c r="AA82" s="1199"/>
      <c r="AB82" s="532"/>
      <c r="AC82" s="1199"/>
      <c r="AD82" s="532"/>
      <c r="AE82" s="1199"/>
      <c r="AF82" s="532"/>
      <c r="AG82" s="1199"/>
      <c r="AH82" s="532"/>
      <c r="AI82" s="1199"/>
      <c r="AJ82" s="532"/>
      <c r="AK82" s="1199"/>
      <c r="AL82" s="532"/>
      <c r="AM82" s="1199"/>
      <c r="AN82" s="532"/>
      <c r="AO82" s="1199"/>
    </row>
    <row r="83" spans="1:64" ht="14.5">
      <c r="D83" s="1122" t="s">
        <v>905</v>
      </c>
      <c r="E83" s="1123">
        <f>E75</f>
        <v>8145.8770254116598</v>
      </c>
      <c r="G83" s="1122" t="s">
        <v>906</v>
      </c>
      <c r="H83" s="1123">
        <f>'WEEKLY FC'!E328</f>
        <v>1832</v>
      </c>
      <c r="K83" s="1199"/>
      <c r="M83" s="1199"/>
      <c r="O83" s="1199"/>
      <c r="P83" s="641"/>
      <c r="Q83" s="1200"/>
      <c r="S83" s="1199"/>
      <c r="U83" s="840"/>
      <c r="V83" s="532"/>
      <c r="W83" s="1199"/>
      <c r="X83" s="532"/>
      <c r="Y83" s="840"/>
      <c r="Z83" s="641"/>
      <c r="AA83" s="1200"/>
      <c r="AB83" s="532"/>
      <c r="AC83" s="1199"/>
      <c r="AD83" s="532"/>
      <c r="AE83" s="1199"/>
      <c r="AF83" s="532"/>
      <c r="AG83" s="1199"/>
      <c r="AH83" s="532"/>
      <c r="AI83" s="1199"/>
      <c r="AJ83" s="532"/>
      <c r="AK83" s="840"/>
      <c r="AL83" s="532"/>
      <c r="AM83" s="840"/>
      <c r="AN83" s="532"/>
      <c r="AO83" s="840"/>
    </row>
    <row r="84" spans="1:64" ht="14.5">
      <c r="A84" s="2423" t="s">
        <v>907</v>
      </c>
      <c r="B84" s="2422"/>
      <c r="D84" s="1122"/>
      <c r="E84" s="1136"/>
      <c r="G84" s="1122" t="s">
        <v>908</v>
      </c>
      <c r="H84" s="1123">
        <f>'WEEKLY FC'!E168/1000*10</f>
        <v>200.01374999999999</v>
      </c>
      <c r="K84" s="1199"/>
      <c r="M84" s="1199"/>
      <c r="O84" s="1199"/>
      <c r="Q84" s="840"/>
      <c r="R84" s="641"/>
      <c r="S84" s="1200"/>
      <c r="T84" s="641"/>
      <c r="U84" s="1272"/>
      <c r="V84" s="641"/>
      <c r="W84" s="1200"/>
      <c r="X84" s="641"/>
      <c r="Y84" s="1288"/>
      <c r="Z84" s="532"/>
      <c r="AA84" s="573"/>
      <c r="AB84" s="641"/>
      <c r="AC84" s="1200"/>
      <c r="AD84" s="532"/>
      <c r="AE84" s="840"/>
      <c r="AF84" s="532"/>
      <c r="AG84" s="840"/>
      <c r="AH84" s="532"/>
      <c r="AI84" s="840"/>
      <c r="AJ84" s="532"/>
      <c r="AK84" s="840"/>
      <c r="AL84" s="532"/>
      <c r="AM84" s="840"/>
      <c r="AN84" s="532"/>
      <c r="AO84" s="840"/>
      <c r="AP84" s="2430"/>
      <c r="AQ84" s="2430"/>
      <c r="AR84" s="2430"/>
      <c r="AS84" s="2430"/>
      <c r="AT84" s="2430"/>
      <c r="AU84" s="2430"/>
    </row>
    <row r="85" spans="1:64" ht="14.65" customHeight="1">
      <c r="A85" s="1122" t="s">
        <v>909</v>
      </c>
      <c r="B85" s="1138">
        <f>'WEEKLY FC'!E103</f>
        <v>54100</v>
      </c>
      <c r="D85" s="1122" t="s">
        <v>910</v>
      </c>
      <c r="E85" s="1138">
        <f>SUM(E79:E84)</f>
        <v>8898.8770254116607</v>
      </c>
      <c r="G85" s="1122"/>
      <c r="H85" s="1239"/>
      <c r="J85" s="641"/>
      <c r="K85" s="2455" t="s">
        <v>911</v>
      </c>
      <c r="L85" s="2456"/>
      <c r="M85" s="2456"/>
      <c r="N85" s="2456"/>
      <c r="O85" s="2456"/>
      <c r="P85" s="2456"/>
      <c r="Q85" s="2456"/>
      <c r="R85" s="2456"/>
      <c r="S85" s="2456"/>
      <c r="T85" s="2456"/>
      <c r="U85" s="2456"/>
      <c r="V85" s="2457"/>
      <c r="W85" s="573"/>
      <c r="X85" s="532"/>
      <c r="Y85" s="573"/>
      <c r="Z85" s="532"/>
      <c r="AA85" s="1012"/>
      <c r="AB85" s="532"/>
      <c r="AC85" s="573"/>
      <c r="AD85" s="532"/>
      <c r="AE85" s="840"/>
      <c r="AF85" s="532"/>
      <c r="AG85" s="840"/>
      <c r="AH85" s="532"/>
      <c r="AI85" s="840"/>
      <c r="AJ85" s="641"/>
      <c r="AK85" s="1200"/>
      <c r="AL85" s="641"/>
      <c r="AM85" s="1200"/>
      <c r="AN85" s="641"/>
      <c r="AO85" s="1200"/>
      <c r="AP85" s="2430"/>
      <c r="AQ85" s="2430"/>
      <c r="AR85" s="2430"/>
      <c r="AS85" s="2430"/>
      <c r="AT85" s="2430"/>
      <c r="AU85" s="2430"/>
    </row>
    <row r="86" spans="1:64" ht="21">
      <c r="A86" s="1122" t="s">
        <v>912</v>
      </c>
      <c r="B86" s="1123">
        <f>B9*8</f>
        <v>2105.2631578947398</v>
      </c>
      <c r="D86" s="1151"/>
      <c r="E86" s="1128"/>
      <c r="G86" s="1122" t="s">
        <v>913</v>
      </c>
      <c r="H86" s="1123">
        <f>'WEEKLY FC'!E309/700*5</f>
        <v>247.142857142857</v>
      </c>
      <c r="K86" s="1252"/>
      <c r="L86" s="1252"/>
      <c r="M86" s="1252"/>
      <c r="N86" s="1252"/>
      <c r="O86" s="1252"/>
      <c r="P86" s="1252"/>
      <c r="Q86" s="1252"/>
      <c r="R86" s="1252"/>
      <c r="S86" s="1252"/>
      <c r="T86" s="1252"/>
      <c r="U86" s="1252"/>
      <c r="V86" s="1252"/>
      <c r="W86" s="1202"/>
      <c r="X86" s="1194"/>
      <c r="Y86" s="1202"/>
      <c r="Z86" s="1194"/>
      <c r="AA86" s="1194"/>
      <c r="AB86" s="1194"/>
      <c r="AC86" s="1202"/>
      <c r="AD86" s="641"/>
      <c r="AE86" s="1200"/>
      <c r="AF86" s="641"/>
      <c r="AG86" s="1200"/>
      <c r="AH86" s="641"/>
      <c r="AI86" s="1200"/>
      <c r="AJ86" s="532"/>
      <c r="AK86" s="573"/>
      <c r="AL86" s="532"/>
      <c r="AM86" s="573"/>
      <c r="AN86" s="532"/>
      <c r="AO86" s="573"/>
      <c r="AP86" s="532"/>
      <c r="AQ86" s="1199"/>
      <c r="AR86" s="532"/>
      <c r="AS86" s="1199"/>
      <c r="AT86" s="532"/>
      <c r="AU86" s="1199"/>
    </row>
    <row r="87" spans="1:64" ht="18.5">
      <c r="A87" s="1122" t="s">
        <v>914</v>
      </c>
      <c r="B87" s="1240"/>
      <c r="C87" s="1151"/>
      <c r="D87" s="1241"/>
      <c r="E87" s="1241"/>
      <c r="G87" s="1122" t="s">
        <v>915</v>
      </c>
      <c r="H87" s="1242">
        <f>H162</f>
        <v>2067.0137500000001</v>
      </c>
      <c r="J87" s="1253"/>
      <c r="K87" s="1254" t="s">
        <v>65</v>
      </c>
      <c r="L87" s="1255" t="s">
        <v>916</v>
      </c>
      <c r="M87" s="1255" t="s">
        <v>644</v>
      </c>
      <c r="N87" s="1255"/>
      <c r="O87" s="1254" t="s">
        <v>65</v>
      </c>
      <c r="P87" s="1255" t="s">
        <v>916</v>
      </c>
      <c r="Q87" s="1255" t="s">
        <v>644</v>
      </c>
      <c r="R87" s="1255"/>
      <c r="S87" s="1254" t="s">
        <v>65</v>
      </c>
      <c r="T87" s="1255" t="s">
        <v>916</v>
      </c>
      <c r="U87" s="1254"/>
      <c r="V87" s="1255" t="s">
        <v>644</v>
      </c>
      <c r="W87" s="532"/>
      <c r="X87" s="532"/>
      <c r="Y87" s="532"/>
      <c r="Z87" s="532"/>
      <c r="AA87" s="532"/>
      <c r="AB87" s="532"/>
      <c r="AC87" s="532"/>
      <c r="AD87" s="532"/>
      <c r="AE87" s="573"/>
      <c r="AF87" s="532"/>
      <c r="AG87" s="573"/>
      <c r="AH87" s="532"/>
      <c r="AI87" s="573"/>
      <c r="AJ87" s="1194"/>
      <c r="AK87" s="1202"/>
      <c r="AL87" s="1194"/>
      <c r="AM87" s="1202"/>
      <c r="AN87" s="1194"/>
      <c r="AO87" s="1202"/>
      <c r="AP87" s="532"/>
      <c r="AQ87" s="1199"/>
      <c r="AR87" s="532"/>
      <c r="AS87" s="1199"/>
      <c r="AT87" s="532"/>
      <c r="AU87" s="1199"/>
    </row>
    <row r="88" spans="1:64" ht="18.5">
      <c r="A88" s="1122"/>
      <c r="B88" s="1129"/>
      <c r="C88" s="1151"/>
      <c r="D88" s="2423" t="s">
        <v>917</v>
      </c>
      <c r="E88" s="2422"/>
      <c r="G88" s="1122" t="s">
        <v>918</v>
      </c>
      <c r="H88" s="1138">
        <f>'WEEKLY FC'!E308/1000*30</f>
        <v>60</v>
      </c>
      <c r="J88" s="1141"/>
      <c r="K88" s="1256">
        <v>1</v>
      </c>
      <c r="L88" s="1257" t="str">
        <f>'LAP. PENJUALAN '!C216</f>
        <v>Air Mineral Botol  (600 ML)</v>
      </c>
      <c r="M88" s="1258">
        <f>'WEEKLY FC'!E99</f>
        <v>1667</v>
      </c>
      <c r="N88" s="1257"/>
      <c r="O88" s="1259">
        <v>21</v>
      </c>
      <c r="P88" s="1257" t="str">
        <f>'LAP. PENJUALAN '!C236</f>
        <v>Juice Sirsak Float</v>
      </c>
      <c r="Q88" s="1265">
        <f>H276+Q98</f>
        <v>218.31578947368399</v>
      </c>
      <c r="R88" s="1265"/>
      <c r="S88" s="1259">
        <v>41</v>
      </c>
      <c r="T88" s="1257">
        <f>'LAP TAMBAHAN '!C281</f>
        <v>0</v>
      </c>
      <c r="U88" s="1257"/>
      <c r="V88" s="1224">
        <f>H309</f>
        <v>4882.0184921763903</v>
      </c>
      <c r="AD88" s="1194"/>
      <c r="AE88" s="1202"/>
      <c r="AF88" s="1194"/>
      <c r="AG88" s="1202"/>
      <c r="AH88" s="1194"/>
      <c r="AI88" s="1202"/>
      <c r="AP88" s="532"/>
      <c r="AQ88" s="1199"/>
      <c r="AR88" s="532"/>
      <c r="AS88" s="1199"/>
      <c r="AT88" s="532"/>
      <c r="AU88" s="1199"/>
    </row>
    <row r="89" spans="1:64" ht="18.5">
      <c r="A89" s="1122" t="s">
        <v>813</v>
      </c>
      <c r="B89" s="1123">
        <f>SUM(B85:B86)</f>
        <v>56205.263157894697</v>
      </c>
      <c r="C89" s="1151"/>
      <c r="D89" s="1122" t="s">
        <v>919</v>
      </c>
      <c r="E89" s="1123">
        <f>('WEEKLY FC'!E11/5)*4</f>
        <v>4923.81538461538</v>
      </c>
      <c r="G89" s="1122" t="s">
        <v>121</v>
      </c>
      <c r="H89" s="1243">
        <f>'WEEKLY FC'!E61/1000*15</f>
        <v>150</v>
      </c>
      <c r="J89" s="1141"/>
      <c r="K89" s="1260">
        <v>2</v>
      </c>
      <c r="L89" s="1257" t="str">
        <f>'LAP. PENJUALAN '!C217</f>
        <v>Air Mineral Botol (330 ML)</v>
      </c>
      <c r="M89" s="1258">
        <f>'WEEKLY FC'!E119</f>
        <v>3500</v>
      </c>
      <c r="N89" s="1257"/>
      <c r="O89" s="1259">
        <v>22</v>
      </c>
      <c r="P89" s="1257" t="str">
        <f>'LAP. PENJUALAN '!C237</f>
        <v>Juice Sirsak</v>
      </c>
      <c r="Q89" s="1266">
        <f>H276</f>
        <v>218.31578947368399</v>
      </c>
      <c r="R89" s="1257"/>
      <c r="S89" s="1259">
        <v>42</v>
      </c>
      <c r="T89" s="1257">
        <f>'LAP TAMBAHAN '!C282</f>
        <v>0</v>
      </c>
      <c r="U89" s="1257"/>
      <c r="V89" s="1273"/>
      <c r="W89" s="653"/>
      <c r="X89" s="2430"/>
      <c r="Y89" s="2430"/>
      <c r="Z89" s="2430"/>
      <c r="AA89" s="2430"/>
      <c r="AB89" s="2430"/>
      <c r="AC89" s="2430"/>
      <c r="AJ89" s="2430"/>
      <c r="AK89" s="2430"/>
      <c r="AL89" s="2430"/>
      <c r="AM89" s="2430"/>
      <c r="AN89" s="2430"/>
      <c r="AO89" s="2430"/>
      <c r="AP89" s="532"/>
      <c r="AQ89" s="840"/>
      <c r="AR89" s="532"/>
      <c r="AS89" s="840"/>
      <c r="AT89" s="532"/>
      <c r="AU89" s="840"/>
    </row>
    <row r="90" spans="1:64" ht="18.5">
      <c r="A90" s="1122" t="s">
        <v>748</v>
      </c>
      <c r="B90" s="1123">
        <f>B89/35</f>
        <v>1605.86466165414</v>
      </c>
      <c r="D90" s="1122" t="s">
        <v>782</v>
      </c>
      <c r="E90" s="1123">
        <f>H37</f>
        <v>1314.89956140351</v>
      </c>
      <c r="G90" s="1244" t="s">
        <v>920</v>
      </c>
      <c r="H90" s="1245">
        <f>SUM(H79:H89)</f>
        <v>5769.6703571428598</v>
      </c>
      <c r="J90" s="635"/>
      <c r="K90" s="1260">
        <v>3</v>
      </c>
      <c r="L90" s="1257" t="str">
        <f>'LAP. PENJUALAN '!C218</f>
        <v>Air Mineral Cup</v>
      </c>
      <c r="M90" s="1257">
        <f>'WEEKLY FC'!E100</f>
        <v>458</v>
      </c>
      <c r="N90" s="1257"/>
      <c r="O90" s="1259">
        <v>23</v>
      </c>
      <c r="P90" s="1257"/>
      <c r="Q90" s="1266"/>
      <c r="R90" s="1266"/>
      <c r="S90" s="1259"/>
      <c r="T90" s="1261"/>
      <c r="U90" s="1261"/>
      <c r="V90" s="1206"/>
      <c r="W90" s="653"/>
      <c r="X90" s="2430"/>
      <c r="Y90" s="2430"/>
      <c r="Z90" s="2430"/>
      <c r="AA90" s="2430"/>
      <c r="AB90" s="2430"/>
      <c r="AC90" s="2430"/>
      <c r="AD90" s="2430"/>
      <c r="AE90" s="2430"/>
      <c r="AF90" s="2430"/>
      <c r="AG90" s="2430"/>
      <c r="AH90" s="2430"/>
      <c r="AI90" s="2430"/>
      <c r="AJ90" s="2430"/>
      <c r="AK90" s="2430"/>
      <c r="AL90" s="2430"/>
      <c r="AM90" s="2430"/>
      <c r="AN90" s="2430"/>
      <c r="AO90" s="2430"/>
      <c r="AP90" s="532"/>
      <c r="AQ90" s="840"/>
      <c r="AR90" s="532"/>
      <c r="AS90" s="840"/>
      <c r="AT90" s="532"/>
      <c r="AU90" s="840"/>
    </row>
    <row r="91" spans="1:64" ht="18.5">
      <c r="A91" s="1122" t="s">
        <v>823</v>
      </c>
      <c r="B91" s="1124">
        <f>B69</f>
        <v>160</v>
      </c>
      <c r="D91" s="1122" t="s">
        <v>877</v>
      </c>
      <c r="E91" s="1123">
        <f>E66</f>
        <v>606.10227272727298</v>
      </c>
      <c r="G91" s="1237"/>
      <c r="H91" s="1129"/>
      <c r="J91" s="635"/>
      <c r="K91" s="1260">
        <v>4</v>
      </c>
      <c r="L91" s="1257" t="str">
        <f>'LAP. PENJUALAN '!C219</f>
        <v>Teh Botol</v>
      </c>
      <c r="M91" s="1257">
        <f>'WEEKLY FC'!E94</f>
        <v>2167</v>
      </c>
      <c r="N91" s="1261"/>
      <c r="O91" s="1259">
        <v>24</v>
      </c>
      <c r="P91" s="1257" t="str">
        <f>'LAP. PENJUALAN '!C239</f>
        <v>Milkshake Coklat</v>
      </c>
      <c r="Q91" s="1274">
        <f>B165</f>
        <v>4566.6315789473701</v>
      </c>
      <c r="R91" s="1274"/>
      <c r="S91" s="1275"/>
      <c r="T91" s="1261"/>
      <c r="U91" s="1261"/>
      <c r="V91" s="1206"/>
      <c r="W91" s="840"/>
      <c r="X91" s="532"/>
      <c r="Y91" s="840"/>
      <c r="Z91" s="532"/>
      <c r="AA91" s="840"/>
      <c r="AB91" s="532"/>
      <c r="AC91" s="1199"/>
      <c r="AD91" s="2430"/>
      <c r="AE91" s="2430"/>
      <c r="AF91" s="2430"/>
      <c r="AG91" s="2430"/>
      <c r="AH91" s="2430"/>
      <c r="AI91" s="2430"/>
      <c r="AJ91" s="532"/>
      <c r="AK91" s="1199"/>
      <c r="AL91" s="532"/>
      <c r="AM91" s="1199"/>
      <c r="AN91" s="840"/>
      <c r="AO91" s="840"/>
      <c r="AP91" s="641"/>
      <c r="AQ91" s="1200"/>
      <c r="AR91" s="641"/>
      <c r="AS91" s="1200"/>
      <c r="AT91" s="641"/>
      <c r="AU91" s="1200"/>
    </row>
    <row r="92" spans="1:64" ht="18.5">
      <c r="A92" s="1122" t="s">
        <v>921</v>
      </c>
      <c r="B92" s="1138">
        <f>SUM(B90:B91)</f>
        <v>1765.86466165414</v>
      </c>
      <c r="D92" s="1122" t="s">
        <v>922</v>
      </c>
      <c r="E92" s="1136">
        <f>E109</f>
        <v>187.26</v>
      </c>
      <c r="G92" s="1237" t="s">
        <v>841</v>
      </c>
      <c r="H92" s="1129"/>
      <c r="J92" s="1141"/>
      <c r="K92" s="1260">
        <v>5</v>
      </c>
      <c r="L92" s="1257" t="str">
        <f>'LAP. PENJUALAN '!C220</f>
        <v>Teh Sosro Genggam</v>
      </c>
      <c r="M92" s="1257">
        <f>'WEEKLY FC'!E95</f>
        <v>2271</v>
      </c>
      <c r="N92" s="1261"/>
      <c r="O92" s="1259">
        <v>25</v>
      </c>
      <c r="P92" s="1257" t="str">
        <f>'LAP. PENJUALAN '!C240</f>
        <v>Milkshake Coklat Float</v>
      </c>
      <c r="Q92" s="1274">
        <f>B165+Q98</f>
        <v>4566.6315789473701</v>
      </c>
      <c r="R92" s="1274"/>
      <c r="S92" s="1275"/>
      <c r="T92" s="1257"/>
      <c r="U92" s="1266"/>
      <c r="V92" s="1276"/>
      <c r="W92" s="840"/>
      <c r="X92" s="532"/>
      <c r="Y92" s="840"/>
      <c r="Z92" s="532"/>
      <c r="AA92" s="840"/>
      <c r="AB92" s="532"/>
      <c r="AC92" s="1199"/>
      <c r="AD92" s="532"/>
      <c r="AE92" s="1199"/>
      <c r="AF92" s="532"/>
      <c r="AG92" s="1199"/>
      <c r="AH92" s="532"/>
      <c r="AI92" s="1199"/>
      <c r="AJ92" s="532"/>
      <c r="AK92" s="1199"/>
      <c r="AL92" s="532"/>
      <c r="AM92" s="1199"/>
      <c r="AN92" s="532"/>
      <c r="AO92" s="840"/>
      <c r="AP92" s="532"/>
      <c r="AQ92" s="573"/>
      <c r="AR92" s="532"/>
      <c r="AS92" s="573"/>
      <c r="AT92" s="532"/>
      <c r="AU92" s="573"/>
    </row>
    <row r="93" spans="1:64" ht="18.5">
      <c r="A93" s="1122"/>
      <c r="B93" s="1140"/>
      <c r="D93" s="1122"/>
      <c r="E93" s="1136"/>
      <c r="G93" s="1122" t="s">
        <v>627</v>
      </c>
      <c r="H93" s="1123">
        <f>H90</f>
        <v>5769.6703571428598</v>
      </c>
      <c r="J93" s="1141"/>
      <c r="K93" s="1260">
        <v>6</v>
      </c>
      <c r="L93" s="1257" t="str">
        <f>'LAP. PENJUALAN '!C221</f>
        <v>Fruit Tea Botol</v>
      </c>
      <c r="M93" s="1257">
        <f>'WEEKLY FC'!E96</f>
        <v>3500</v>
      </c>
      <c r="N93" s="1257"/>
      <c r="O93" s="1259">
        <v>26</v>
      </c>
      <c r="P93" s="1257" t="str">
        <f>'LAP. PENJUALAN '!C241</f>
        <v>Milkshake Strawberry</v>
      </c>
      <c r="Q93" s="1277">
        <f>B215</f>
        <v>3100.6315789473701</v>
      </c>
      <c r="R93" s="1277"/>
      <c r="S93" s="1278"/>
      <c r="T93" s="1257"/>
      <c r="U93" s="1266"/>
      <c r="V93" s="1276"/>
      <c r="W93" s="840"/>
      <c r="X93" s="532"/>
      <c r="Y93" s="840"/>
      <c r="Z93" s="532"/>
      <c r="AA93" s="840"/>
      <c r="AB93" s="532"/>
      <c r="AC93" s="1199"/>
      <c r="AD93" s="532"/>
      <c r="AE93" s="1199"/>
      <c r="AF93" s="532"/>
      <c r="AG93" s="1199"/>
      <c r="AH93" s="532"/>
      <c r="AI93" s="1199"/>
      <c r="AJ93" s="532"/>
      <c r="AK93" s="1199"/>
      <c r="AL93" s="532"/>
      <c r="AM93" s="1199"/>
      <c r="AN93" s="532"/>
      <c r="AO93" s="840"/>
      <c r="AP93" s="1194"/>
      <c r="AQ93" s="1202"/>
      <c r="AR93" s="1194"/>
      <c r="AS93" s="1202"/>
      <c r="AT93" s="1194"/>
      <c r="AU93" s="1202"/>
    </row>
    <row r="94" spans="1:64" ht="18.5">
      <c r="A94" s="1122"/>
      <c r="B94" s="1236"/>
      <c r="D94" s="1122" t="s">
        <v>923</v>
      </c>
      <c r="E94" s="1138">
        <f>SUM(E89:E93)</f>
        <v>7032.0772187461698</v>
      </c>
      <c r="G94" s="1122" t="s">
        <v>924</v>
      </c>
      <c r="H94" s="1123">
        <f>E80</f>
        <v>154</v>
      </c>
      <c r="J94" s="1262"/>
      <c r="K94" s="1260">
        <v>7</v>
      </c>
      <c r="L94" s="1257" t="str">
        <f>'LAP. PENJUALAN '!C222</f>
        <v>Fuit Tea Genggam</v>
      </c>
      <c r="M94" s="1257">
        <f>'WEEKLY FC'!E97</f>
        <v>0</v>
      </c>
      <c r="N94" s="1257"/>
      <c r="O94" s="1259">
        <v>27</v>
      </c>
      <c r="P94" s="1257" t="str">
        <f>'LAP. PENJUALAN '!C242</f>
        <v>Milkshake Strawberry Float</v>
      </c>
      <c r="Q94" s="1279">
        <f>B215+Q98</f>
        <v>3100.6315789473701</v>
      </c>
      <c r="R94" s="1279"/>
      <c r="S94" s="1278"/>
      <c r="T94" s="1257"/>
      <c r="U94" s="1266"/>
      <c r="V94" s="1276"/>
      <c r="W94" s="1272"/>
      <c r="X94" s="532"/>
      <c r="Y94" s="840"/>
      <c r="Z94" s="532"/>
      <c r="AA94" s="840"/>
      <c r="AB94" s="532"/>
      <c r="AC94" s="1199"/>
      <c r="AD94" s="532"/>
      <c r="AE94" s="1199"/>
      <c r="AF94" s="532"/>
      <c r="AG94" s="1199"/>
      <c r="AH94" s="532"/>
      <c r="AI94" s="1199"/>
      <c r="AJ94" s="532"/>
      <c r="AK94" s="840"/>
      <c r="AL94" s="532"/>
      <c r="AM94" s="840"/>
      <c r="AN94" s="532"/>
      <c r="AO94" s="840"/>
    </row>
    <row r="95" spans="1:64" ht="18.5">
      <c r="A95" s="1122"/>
      <c r="B95" s="1140"/>
      <c r="D95" s="1122"/>
      <c r="E95" s="1140"/>
      <c r="G95" s="1122" t="s">
        <v>731</v>
      </c>
      <c r="H95" s="1123">
        <f>E81</f>
        <v>407</v>
      </c>
      <c r="J95" s="1141"/>
      <c r="K95" s="1260">
        <v>8</v>
      </c>
      <c r="L95" s="1257" t="str">
        <f>'LAP. PENJUALAN '!C223</f>
        <v>Tebs</v>
      </c>
      <c r="M95" s="56">
        <f>'WEEKLY FC'!E98</f>
        <v>3500</v>
      </c>
      <c r="N95" s="1257"/>
      <c r="O95" s="1259">
        <v>28</v>
      </c>
      <c r="P95" s="1257"/>
      <c r="Q95" s="1277"/>
      <c r="R95" s="1277"/>
      <c r="S95" s="1278"/>
      <c r="T95" s="1257"/>
      <c r="U95" s="1266"/>
      <c r="V95" s="1280"/>
      <c r="W95" s="1201"/>
      <c r="X95" s="641"/>
      <c r="Y95" s="1272"/>
      <c r="Z95" s="641"/>
      <c r="AA95" s="1272"/>
      <c r="AB95" s="641"/>
      <c r="AC95" s="1200"/>
      <c r="AD95" s="532"/>
      <c r="AE95" s="1199"/>
      <c r="AF95" s="532"/>
      <c r="AG95" s="1199"/>
      <c r="AH95" s="532"/>
      <c r="AI95" s="840"/>
      <c r="AJ95" s="532"/>
      <c r="AK95" s="1199"/>
      <c r="AL95" s="532"/>
      <c r="AM95" s="1199"/>
      <c r="AN95" s="532"/>
      <c r="AO95" s="840"/>
      <c r="AP95" s="2430"/>
      <c r="AQ95" s="2430"/>
      <c r="AR95" s="2430"/>
      <c r="AS95" s="2430"/>
      <c r="AT95" s="2430"/>
      <c r="AU95" s="2430"/>
    </row>
    <row r="96" spans="1:64" ht="18.5">
      <c r="A96" s="1122" t="s">
        <v>841</v>
      </c>
      <c r="B96" s="1129"/>
      <c r="D96" s="1122"/>
      <c r="E96" s="1236"/>
      <c r="G96" s="1122" t="s">
        <v>181</v>
      </c>
      <c r="H96" s="1123">
        <f>'WEEKLY FC'!E128</f>
        <v>192</v>
      </c>
      <c r="J96" s="1253"/>
      <c r="K96" s="1260">
        <v>9</v>
      </c>
      <c r="L96" s="1257" t="str">
        <f>'LAP. PENJUALAN '!C224</f>
        <v>S-tee</v>
      </c>
      <c r="M96" s="56">
        <f>'WEEKLY FC'!E115</f>
        <v>1583.97</v>
      </c>
      <c r="N96" s="1257"/>
      <c r="O96" s="1259">
        <v>29</v>
      </c>
      <c r="P96" s="1257" t="str">
        <f>'LAP. PENJUALAN '!C244</f>
        <v>Nestle Lemon Tea</v>
      </c>
      <c r="Q96" s="1277">
        <f>B45</f>
        <v>1657.4477861319999</v>
      </c>
      <c r="R96" s="1277"/>
      <c r="S96" s="1278"/>
      <c r="T96" s="1261"/>
      <c r="U96" s="1274"/>
      <c r="V96" s="1280"/>
      <c r="W96" s="1012"/>
      <c r="X96" s="532"/>
      <c r="Y96" s="573"/>
      <c r="Z96" s="532"/>
      <c r="AA96" s="573"/>
      <c r="AB96" s="532"/>
      <c r="AC96" s="573"/>
      <c r="AD96" s="641"/>
      <c r="AE96" s="1200"/>
      <c r="AF96" s="641"/>
      <c r="AG96" s="1200"/>
      <c r="AH96" s="532"/>
      <c r="AI96" s="1199"/>
      <c r="AJ96" s="641"/>
      <c r="AK96" s="1200"/>
      <c r="AL96" s="641"/>
      <c r="AM96" s="1200"/>
      <c r="AN96" s="641"/>
      <c r="AO96" s="1272"/>
      <c r="AP96" s="2430"/>
      <c r="AQ96" s="2430"/>
      <c r="AR96" s="2430"/>
      <c r="AS96" s="2430"/>
      <c r="AT96" s="2430"/>
      <c r="AU96" s="2430"/>
    </row>
    <row r="97" spans="1:47" ht="18.5">
      <c r="A97" s="1122" t="s">
        <v>925</v>
      </c>
      <c r="B97" s="1123">
        <f>B92</f>
        <v>1765.86466165414</v>
      </c>
      <c r="D97" s="1122" t="s">
        <v>841</v>
      </c>
      <c r="E97" s="1129"/>
      <c r="G97" s="1122" t="s">
        <v>926</v>
      </c>
      <c r="H97" s="1123">
        <f>'WEEKLY FC'!E139</f>
        <v>189</v>
      </c>
      <c r="J97" s="1141"/>
      <c r="K97" s="1260">
        <v>10</v>
      </c>
      <c r="L97" s="1257"/>
      <c r="M97" s="1263"/>
      <c r="N97" s="1261"/>
      <c r="O97" s="1259">
        <v>30</v>
      </c>
      <c r="P97" s="1257" t="str">
        <f>'LAP. PENJUALAN '!C245</f>
        <v>Milo</v>
      </c>
      <c r="Q97" s="1263">
        <f>B70</f>
        <v>3136.7994310099598</v>
      </c>
      <c r="R97" s="1263"/>
      <c r="S97" s="1281"/>
      <c r="T97" s="1257"/>
      <c r="U97" s="1264"/>
      <c r="V97" s="1276"/>
      <c r="W97" s="1194"/>
      <c r="X97" s="1194"/>
      <c r="Y97" s="1202"/>
      <c r="Z97" s="1194"/>
      <c r="AA97" s="1202"/>
      <c r="AB97" s="1194"/>
      <c r="AC97" s="1202"/>
      <c r="AD97" s="532"/>
      <c r="AE97" s="573"/>
      <c r="AF97" s="532"/>
      <c r="AG97" s="573"/>
      <c r="AH97" s="641"/>
      <c r="AI97" s="1200"/>
      <c r="AJ97" s="532"/>
      <c r="AK97" s="573"/>
      <c r="AL97" s="532"/>
      <c r="AM97" s="573"/>
      <c r="AN97" s="532"/>
      <c r="AO97" s="573"/>
      <c r="AP97" s="532"/>
      <c r="AQ97" s="840"/>
      <c r="AR97" s="532"/>
      <c r="AS97" s="840"/>
      <c r="AT97" s="532"/>
      <c r="AU97" s="840"/>
    </row>
    <row r="98" spans="1:47" ht="18.5">
      <c r="A98" s="1122" t="s">
        <v>843</v>
      </c>
      <c r="B98" s="1124">
        <f>B77</f>
        <v>373</v>
      </c>
      <c r="D98" s="1122" t="s">
        <v>927</v>
      </c>
      <c r="E98" s="1123">
        <f>E94</f>
        <v>7032.0772187461698</v>
      </c>
      <c r="G98" s="1122"/>
      <c r="H98" s="1136"/>
      <c r="J98" s="1141"/>
      <c r="K98" s="1260">
        <v>11</v>
      </c>
      <c r="L98" s="1257" t="str">
        <f>'LAP. PENJUALAN '!C226</f>
        <v>Juice Durian Float</v>
      </c>
      <c r="M98" s="1264">
        <f>E269+'WEEKLY FC'!E73</f>
        <v>253.157894736842</v>
      </c>
      <c r="N98" s="1257"/>
      <c r="O98" s="1259">
        <v>31</v>
      </c>
      <c r="P98" s="1257" t="str">
        <f>'LAP. PENJUALAN '!C246</f>
        <v>Ice Cream</v>
      </c>
      <c r="Q98" s="1264">
        <f>'WEEKLY FC'!E73</f>
        <v>0</v>
      </c>
      <c r="R98" s="1264"/>
      <c r="S98" s="1282"/>
      <c r="T98" s="1257"/>
      <c r="U98" s="1283"/>
      <c r="V98" s="1284"/>
      <c r="W98" s="532"/>
      <c r="X98" s="532"/>
      <c r="Y98" s="532"/>
      <c r="Z98" s="532"/>
      <c r="AA98" s="532"/>
      <c r="AB98" s="532"/>
      <c r="AC98" s="532"/>
      <c r="AD98" s="1194"/>
      <c r="AE98" s="1202"/>
      <c r="AF98" s="1194"/>
      <c r="AG98" s="1202"/>
      <c r="AH98" s="532"/>
      <c r="AI98" s="573"/>
      <c r="AJ98" s="1194"/>
      <c r="AK98" s="1202"/>
      <c r="AL98" s="1194"/>
      <c r="AM98" s="1202"/>
      <c r="AN98" s="1194"/>
      <c r="AO98" s="1202"/>
      <c r="AP98" s="532"/>
      <c r="AQ98" s="840"/>
      <c r="AR98" s="532"/>
      <c r="AS98" s="840"/>
      <c r="AT98" s="532"/>
      <c r="AU98" s="840"/>
    </row>
    <row r="99" spans="1:47" ht="18.5">
      <c r="A99" s="1122" t="s">
        <v>845</v>
      </c>
      <c r="B99" s="1124">
        <f>B78</f>
        <v>72.150000000000006</v>
      </c>
      <c r="D99" s="1122" t="s">
        <v>928</v>
      </c>
      <c r="E99" s="1123">
        <f>'WEEKLY FC'!E143</f>
        <v>259</v>
      </c>
      <c r="G99" s="1244" t="s">
        <v>920</v>
      </c>
      <c r="H99" s="1245">
        <f>SUM(H93:H97)</f>
        <v>6711.6703571428598</v>
      </c>
      <c r="J99" s="1141"/>
      <c r="K99" s="1260">
        <v>12</v>
      </c>
      <c r="L99" s="1257" t="str">
        <f>'LAP. PENJUALAN '!C227</f>
        <v>Juice Durian</v>
      </c>
      <c r="M99" s="1265">
        <f>E269</f>
        <v>253.157894736842</v>
      </c>
      <c r="N99" s="1257"/>
      <c r="O99" s="1259">
        <v>32</v>
      </c>
      <c r="P99" s="1257"/>
      <c r="Q99" s="1265"/>
      <c r="R99" s="1265"/>
      <c r="S99" s="1285"/>
      <c r="T99" s="1257"/>
      <c r="U99" s="1257"/>
      <c r="V99" s="1276"/>
      <c r="AD99" s="532"/>
      <c r="AE99" s="532"/>
      <c r="AF99" s="532"/>
      <c r="AG99" s="532"/>
      <c r="AH99" s="1194"/>
      <c r="AI99" s="1202"/>
      <c r="AP99" s="532"/>
      <c r="AQ99" s="840"/>
      <c r="AR99" s="532"/>
      <c r="AS99" s="840"/>
      <c r="AT99" s="532"/>
      <c r="AU99" s="840"/>
    </row>
    <row r="100" spans="1:47" ht="18.5">
      <c r="A100" s="1122" t="s">
        <v>846</v>
      </c>
      <c r="B100" s="1124">
        <f>B79</f>
        <v>47</v>
      </c>
      <c r="D100" s="1122" t="s">
        <v>902</v>
      </c>
      <c r="E100" s="1123">
        <f>E81</f>
        <v>407</v>
      </c>
      <c r="G100" s="1131"/>
      <c r="H100" s="1246"/>
      <c r="I100" s="1151"/>
      <c r="J100" s="1141"/>
      <c r="K100" s="1260">
        <v>13</v>
      </c>
      <c r="L100" s="1257" t="str">
        <f>'LAP. PENJUALAN '!C228</f>
        <v>Juice Melon Float</v>
      </c>
      <c r="M100" s="1266">
        <f>H204+Q98</f>
        <v>26.315789473684202</v>
      </c>
      <c r="N100" s="1257"/>
      <c r="O100" s="1259">
        <v>33</v>
      </c>
      <c r="P100" s="1257" t="str">
        <f>'LAP. PENJUALAN '!C248</f>
        <v>Es Teh</v>
      </c>
      <c r="Q100" s="1266">
        <f>B128</f>
        <v>878.01535087719299</v>
      </c>
      <c r="R100" s="1266"/>
      <c r="S100" s="1259"/>
      <c r="T100" s="1257"/>
      <c r="U100" s="1257"/>
      <c r="V100" s="1273"/>
      <c r="AP100" s="532"/>
      <c r="AQ100" s="840"/>
      <c r="AR100" s="532"/>
      <c r="AS100" s="840"/>
      <c r="AT100" s="532"/>
      <c r="AU100" s="840"/>
    </row>
    <row r="101" spans="1:47" ht="18.5">
      <c r="A101" s="1122"/>
      <c r="B101" s="1129"/>
      <c r="D101" s="1122" t="s">
        <v>182</v>
      </c>
      <c r="E101" s="1123">
        <f>'WEEKLY FC'!E133</f>
        <v>750.36</v>
      </c>
      <c r="J101" s="1141"/>
      <c r="K101" s="1260">
        <v>14</v>
      </c>
      <c r="L101" s="1257" t="str">
        <f>'LAP. PENJUALAN '!C229</f>
        <v>Juice Melon</v>
      </c>
      <c r="M101" s="1266">
        <f>H204</f>
        <v>26.315789473684202</v>
      </c>
      <c r="N101" s="1257"/>
      <c r="O101" s="1259">
        <v>34</v>
      </c>
      <c r="P101" s="1257" t="str">
        <f>'LAP. PENJUALAN '!C249</f>
        <v>Es Teh RC</v>
      </c>
      <c r="Q101" s="1266">
        <f>B301</f>
        <v>219.210526315789</v>
      </c>
      <c r="R101" s="1266"/>
      <c r="S101" s="1259"/>
      <c r="T101" s="1257"/>
      <c r="U101" s="1257"/>
      <c r="V101" s="1273"/>
      <c r="AP101" s="532"/>
      <c r="AQ101" s="840"/>
      <c r="AR101" s="532"/>
      <c r="AS101" s="840"/>
      <c r="AT101" s="532"/>
      <c r="AU101" s="840"/>
    </row>
    <row r="102" spans="1:47" ht="18.5">
      <c r="A102" s="1122" t="s">
        <v>929</v>
      </c>
      <c r="B102" s="1138">
        <f>SUM(B96:B100)</f>
        <v>2258.0146616541401</v>
      </c>
      <c r="D102" s="1122" t="s">
        <v>930</v>
      </c>
      <c r="E102" s="1123">
        <f>SUM(E98:E101)</f>
        <v>8448.4372187461595</v>
      </c>
      <c r="G102" s="2423" t="s">
        <v>931</v>
      </c>
      <c r="H102" s="2422"/>
      <c r="J102" s="1141"/>
      <c r="K102" s="1260">
        <v>15</v>
      </c>
      <c r="L102" s="1257" t="str">
        <f>'LAP. PENJUALAN '!C230</f>
        <v>Juice Strawberry Float</v>
      </c>
      <c r="M102" s="1266">
        <f>E219+Q98</f>
        <v>253.157894736842</v>
      </c>
      <c r="N102" s="1257"/>
      <c r="O102" s="1259">
        <v>35</v>
      </c>
      <c r="P102" s="1257"/>
      <c r="Q102" s="1257"/>
      <c r="R102" s="1257"/>
      <c r="S102" s="1259"/>
      <c r="T102" s="1257"/>
      <c r="U102" s="1257"/>
      <c r="V102" s="1273"/>
      <c r="AP102" s="641"/>
      <c r="AQ102" s="1272"/>
      <c r="AR102" s="641"/>
      <c r="AS102" s="1272"/>
      <c r="AT102" s="641"/>
      <c r="AU102" s="1272"/>
    </row>
    <row r="103" spans="1:47" ht="18.5">
      <c r="A103" s="1131"/>
      <c r="B103" s="1143"/>
      <c r="D103" s="1131"/>
      <c r="E103" s="1143"/>
      <c r="G103" s="1122" t="s">
        <v>932</v>
      </c>
      <c r="H103" s="1123">
        <f>'WEEKLY FC'!E329</f>
        <v>31280</v>
      </c>
      <c r="J103" s="1141"/>
      <c r="K103" s="1260">
        <v>16</v>
      </c>
      <c r="L103" s="1257" t="str">
        <f>'LAP. PENJUALAN '!C231</f>
        <v>Juice Strawberry</v>
      </c>
      <c r="M103" s="1266">
        <f>E219</f>
        <v>253.157894736842</v>
      </c>
      <c r="N103" s="1257"/>
      <c r="O103" s="1259">
        <v>36</v>
      </c>
      <c r="P103" s="1257" t="str">
        <f>'LAP. PENJUALAN '!C251</f>
        <v>Thai Green Tea</v>
      </c>
      <c r="Q103" s="1266">
        <f>H287</f>
        <v>4454.6684921763899</v>
      </c>
      <c r="R103" s="1257"/>
      <c r="S103" s="1259"/>
      <c r="T103" s="1257"/>
      <c r="U103" s="1257"/>
      <c r="V103" s="1273"/>
      <c r="AP103" s="532"/>
      <c r="AQ103" s="573"/>
      <c r="AR103" s="532"/>
      <c r="AS103" s="573"/>
      <c r="AT103" s="532"/>
      <c r="AU103" s="573"/>
    </row>
    <row r="104" spans="1:47" ht="18.5">
      <c r="G104" s="1122" t="s">
        <v>933</v>
      </c>
      <c r="H104" s="1123">
        <f>'WEEKLY FC'!E333/5000*300</f>
        <v>3958.08</v>
      </c>
      <c r="J104" s="1141"/>
      <c r="K104" s="1260">
        <v>17</v>
      </c>
      <c r="L104" s="1257" t="str">
        <f>'LAP. PENJUALAN '!C232</f>
        <v>Juice Mangga Float</v>
      </c>
      <c r="M104" s="1266">
        <f>E235+Q98</f>
        <v>433.33157894736797</v>
      </c>
      <c r="N104" s="1257"/>
      <c r="O104" s="1259">
        <v>37</v>
      </c>
      <c r="P104" s="1257" t="str">
        <f>'LAP. PENJUALAN '!C252</f>
        <v>Milky Mango</v>
      </c>
      <c r="Q104" s="1266">
        <f>H298</f>
        <v>4027.31849217639</v>
      </c>
      <c r="R104" s="1266"/>
      <c r="S104" s="1259"/>
      <c r="T104" s="1257"/>
      <c r="U104" s="1257"/>
      <c r="V104" s="1273"/>
      <c r="AP104" s="1194"/>
      <c r="AQ104" s="1202"/>
      <c r="AR104" s="1194"/>
      <c r="AS104" s="1202"/>
      <c r="AT104" s="1194"/>
      <c r="AU104" s="1202"/>
    </row>
    <row r="105" spans="1:47" ht="18.5">
      <c r="A105" s="2423" t="s">
        <v>934</v>
      </c>
      <c r="B105" s="2422"/>
      <c r="D105" s="2423" t="s">
        <v>935</v>
      </c>
      <c r="E105" s="2422"/>
      <c r="G105" s="1122" t="s">
        <v>936</v>
      </c>
      <c r="H105" s="1123">
        <f>'WEEKLY FC'!E55/180*100</f>
        <v>8833.3333333333303</v>
      </c>
      <c r="J105" s="1141"/>
      <c r="K105" s="1260">
        <v>18</v>
      </c>
      <c r="L105" s="1257" t="str">
        <f>'LAP. PENJUALAN '!C233</f>
        <v>Juice Mangga</v>
      </c>
      <c r="M105" s="1266">
        <f>E235</f>
        <v>433.33157894736797</v>
      </c>
      <c r="N105" s="1257"/>
      <c r="O105" s="1259">
        <v>38</v>
      </c>
      <c r="P105" s="1257" t="str">
        <f>'LAP. PENJUALAN '!C253</f>
        <v>Red Velvet</v>
      </c>
      <c r="Q105" s="1266">
        <f>H309</f>
        <v>4882.0184921763903</v>
      </c>
      <c r="R105" s="1257"/>
      <c r="S105" s="1259"/>
      <c r="T105" s="1257"/>
      <c r="U105" s="1257"/>
      <c r="V105" s="1273"/>
    </row>
    <row r="106" spans="1:47" ht="18.5">
      <c r="A106" s="1122" t="s">
        <v>937</v>
      </c>
      <c r="B106" s="1129"/>
      <c r="D106" s="1122" t="s">
        <v>938</v>
      </c>
      <c r="E106" s="1123">
        <f>('WEEKLY FC'!E11*3)/5</f>
        <v>3692.86153846154</v>
      </c>
      <c r="G106" s="1122" t="s">
        <v>939</v>
      </c>
      <c r="H106" s="1123">
        <f>'WEEKLY FC'!E57/150*17</f>
        <v>748</v>
      </c>
      <c r="J106" s="1141"/>
      <c r="K106" s="1260">
        <v>19</v>
      </c>
      <c r="L106" s="1257" t="str">
        <f>'LAP. PENJUALAN '!C234</f>
        <v>Juice Jambu Float</v>
      </c>
      <c r="M106" s="1266">
        <f>E252+Q98</f>
        <v>35.526315789473699</v>
      </c>
      <c r="N106" s="1257"/>
      <c r="O106" s="1259">
        <v>39</v>
      </c>
      <c r="P106" s="1257"/>
      <c r="Q106" s="1266"/>
      <c r="R106" s="1257"/>
      <c r="S106" s="1259"/>
      <c r="T106" s="1257"/>
      <c r="U106" s="1257"/>
      <c r="V106" s="1273"/>
    </row>
    <row r="107" spans="1:47" ht="18.5">
      <c r="A107" s="1122" t="s">
        <v>940</v>
      </c>
      <c r="B107" s="1136"/>
      <c r="D107" s="1122" t="s">
        <v>782</v>
      </c>
      <c r="E107" s="1123">
        <f>H38</f>
        <v>986.17467105263199</v>
      </c>
      <c r="G107" s="1122" t="s">
        <v>941</v>
      </c>
      <c r="H107" s="1247">
        <f>'WEEKLY FC'!E64/250*17</f>
        <v>693.6</v>
      </c>
      <c r="J107" s="1141"/>
      <c r="K107" s="1267">
        <v>20</v>
      </c>
      <c r="L107" s="1257" t="str">
        <f>'LAP. PENJUALAN '!C235</f>
        <v>Juice Jambu</v>
      </c>
      <c r="M107" s="1268">
        <f>E252</f>
        <v>35.526315789473699</v>
      </c>
      <c r="N107" s="1269"/>
      <c r="O107" s="1270">
        <v>40</v>
      </c>
      <c r="P107" s="1257"/>
      <c r="Q107" s="1268"/>
      <c r="R107" s="1269"/>
      <c r="S107" s="1270"/>
      <c r="T107" s="1269"/>
      <c r="U107" s="1269"/>
      <c r="V107" s="1286"/>
    </row>
    <row r="108" spans="1:47" ht="14.5">
      <c r="A108" s="1122" t="s">
        <v>942</v>
      </c>
      <c r="B108" s="1136"/>
      <c r="D108" s="1122" t="s">
        <v>877</v>
      </c>
      <c r="E108" s="1123">
        <f>E91</f>
        <v>606.10227272727298</v>
      </c>
      <c r="G108" s="1122" t="s">
        <v>943</v>
      </c>
      <c r="H108" s="1123">
        <f>'WEEKLY FC'!E300/1000*5</f>
        <v>140.5</v>
      </c>
      <c r="J108" s="1141"/>
      <c r="K108" s="1141"/>
      <c r="L108" s="1141"/>
      <c r="M108" s="1141"/>
    </row>
    <row r="109" spans="1:47" ht="14.5">
      <c r="A109" s="1122"/>
      <c r="B109" s="1136"/>
      <c r="D109" s="1122" t="s">
        <v>922</v>
      </c>
      <c r="E109" s="1136">
        <f>'WEEKLY FC'!E331/1000*20</f>
        <v>187.26</v>
      </c>
      <c r="G109" s="1122" t="s">
        <v>944</v>
      </c>
      <c r="H109" s="1123">
        <f>'WEEKLY FC'!E299/250*5</f>
        <v>700</v>
      </c>
      <c r="J109" s="1141"/>
      <c r="K109" s="1141"/>
      <c r="L109" s="1141"/>
      <c r="M109" s="1141"/>
    </row>
    <row r="110" spans="1:47" ht="14.5">
      <c r="A110" s="1122" t="s">
        <v>945</v>
      </c>
      <c r="B110" s="1136"/>
      <c r="D110" s="1122"/>
      <c r="E110" s="1136"/>
      <c r="G110" s="1122"/>
      <c r="H110" s="1136"/>
      <c r="J110" s="1141"/>
      <c r="K110" s="1141"/>
      <c r="L110" s="1141"/>
      <c r="M110" s="1141"/>
    </row>
    <row r="111" spans="1:47" ht="14.5">
      <c r="A111" s="1122" t="s">
        <v>946</v>
      </c>
      <c r="B111" s="1136"/>
      <c r="D111" s="1122" t="s">
        <v>947</v>
      </c>
      <c r="E111" s="1138">
        <f>SUM(E106:E110)</f>
        <v>5472.3984822414404</v>
      </c>
      <c r="G111" s="1237" t="s">
        <v>948</v>
      </c>
      <c r="H111" s="1248">
        <f>SUM(H103:H110)</f>
        <v>46353.5133333333</v>
      </c>
      <c r="J111" s="1141"/>
      <c r="K111" s="1141"/>
      <c r="L111" s="1141"/>
      <c r="M111" s="1141"/>
    </row>
    <row r="112" spans="1:47" ht="14.5">
      <c r="A112" s="1122" t="s">
        <v>823</v>
      </c>
      <c r="B112" s="1129"/>
      <c r="D112" s="1122"/>
      <c r="E112" s="1140"/>
      <c r="G112" s="1148" t="s">
        <v>61</v>
      </c>
      <c r="H112" s="1249">
        <f>H111/70</f>
        <v>662.193047619048</v>
      </c>
      <c r="J112" s="1141"/>
      <c r="K112" s="1141"/>
      <c r="L112" s="1141"/>
      <c r="M112" s="1141"/>
    </row>
    <row r="113" spans="1:13" ht="14.5">
      <c r="A113" s="1122" t="s">
        <v>949</v>
      </c>
      <c r="B113" s="1140"/>
      <c r="D113" s="1122"/>
      <c r="E113" s="1236"/>
      <c r="J113" s="1141"/>
      <c r="K113" s="1141"/>
      <c r="L113" s="1141"/>
      <c r="M113" s="1141"/>
    </row>
    <row r="114" spans="1:13" ht="14.5">
      <c r="A114" s="1122"/>
      <c r="B114" s="1129"/>
      <c r="D114" s="1122" t="s">
        <v>841</v>
      </c>
      <c r="E114" s="1129"/>
      <c r="G114" s="2423" t="s">
        <v>950</v>
      </c>
      <c r="H114" s="2422"/>
      <c r="J114" s="1141"/>
      <c r="K114" s="1141"/>
      <c r="L114" s="1141"/>
      <c r="M114" s="1141"/>
    </row>
    <row r="115" spans="1:13" ht="26">
      <c r="A115" s="1122" t="s">
        <v>841</v>
      </c>
      <c r="B115" s="1129"/>
      <c r="D115" s="1122" t="s">
        <v>927</v>
      </c>
      <c r="E115" s="1123">
        <f>E111</f>
        <v>5472.3984822414404</v>
      </c>
      <c r="G115" s="1122" t="s">
        <v>951</v>
      </c>
      <c r="H115" s="1123">
        <f>('WEEKLY FC'!E11/150)*2500</f>
        <v>102579.487179487</v>
      </c>
      <c r="J115" s="1141"/>
      <c r="K115" s="640" t="s">
        <v>569</v>
      </c>
      <c r="L115" s="1141"/>
      <c r="M115" s="1271"/>
    </row>
    <row r="116" spans="1:13" ht="26">
      <c r="A116" s="1122" t="s">
        <v>934</v>
      </c>
      <c r="B116" s="1136"/>
      <c r="D116" s="1122" t="s">
        <v>928</v>
      </c>
      <c r="E116" s="1123">
        <f>E99</f>
        <v>259</v>
      </c>
      <c r="G116" s="1122" t="s">
        <v>952</v>
      </c>
      <c r="H116" s="1123">
        <f>('WEEKLY FC'!E62*16)</f>
        <v>14928</v>
      </c>
      <c r="J116" s="1141"/>
      <c r="K116" s="640" t="s">
        <v>953</v>
      </c>
      <c r="L116" s="1141"/>
      <c r="M116" s="535"/>
    </row>
    <row r="117" spans="1:13" ht="26">
      <c r="A117" s="1122" t="s">
        <v>843</v>
      </c>
      <c r="B117" s="1129"/>
      <c r="D117" s="1122" t="s">
        <v>902</v>
      </c>
      <c r="E117" s="1123">
        <f>E100</f>
        <v>407</v>
      </c>
      <c r="G117" s="1122" t="s">
        <v>954</v>
      </c>
      <c r="H117" s="1123">
        <f>'WEEKLY FC'!E58/1000*100</f>
        <v>500</v>
      </c>
      <c r="K117" s="640" t="s">
        <v>955</v>
      </c>
      <c r="L117" s="1141"/>
      <c r="M117" s="535"/>
    </row>
    <row r="118" spans="1:13" ht="26">
      <c r="A118" s="1122" t="s">
        <v>845</v>
      </c>
      <c r="B118" s="1129"/>
      <c r="D118" s="1122" t="s">
        <v>182</v>
      </c>
      <c r="E118" s="1123">
        <f>E101</f>
        <v>750.36</v>
      </c>
      <c r="G118" s="1122" t="s">
        <v>956</v>
      </c>
      <c r="H118" s="1123">
        <f>'WEEKLY FC'!E57/250*50</f>
        <v>1320</v>
      </c>
      <c r="K118" s="640" t="s">
        <v>957</v>
      </c>
    </row>
    <row r="119" spans="1:13" ht="26">
      <c r="A119" s="1122" t="s">
        <v>846</v>
      </c>
      <c r="B119" s="1129"/>
      <c r="D119" s="1122" t="s">
        <v>930</v>
      </c>
      <c r="E119" s="1123">
        <f>SUM(E115:E118)</f>
        <v>6888.7584822414401</v>
      </c>
      <c r="G119" s="1122" t="s">
        <v>958</v>
      </c>
      <c r="H119" s="1123">
        <f>'WEEKLY FC'!E320*8</f>
        <v>14936</v>
      </c>
      <c r="K119" s="640" t="s">
        <v>959</v>
      </c>
    </row>
    <row r="120" spans="1:13" ht="14.5">
      <c r="A120" s="1122"/>
      <c r="B120" s="1129"/>
      <c r="D120" s="1131"/>
      <c r="E120" s="1143"/>
      <c r="G120" s="1122" t="s">
        <v>960</v>
      </c>
      <c r="H120" s="1123">
        <f>'WEEKLY FC'!E60/1000*35</f>
        <v>213.5</v>
      </c>
    </row>
    <row r="121" spans="1:13" ht="14.5">
      <c r="A121" s="1131" t="s">
        <v>961</v>
      </c>
      <c r="B121" s="1147"/>
      <c r="G121" s="1122" t="s">
        <v>962</v>
      </c>
      <c r="H121" s="1123">
        <f>'[2]HARGA '!D222</f>
        <v>0</v>
      </c>
    </row>
    <row r="122" spans="1:13" ht="14.5">
      <c r="G122" s="1122"/>
      <c r="H122" s="1136"/>
    </row>
    <row r="123" spans="1:13" ht="14.5">
      <c r="A123" s="2458" t="s">
        <v>963</v>
      </c>
      <c r="B123" s="2459"/>
      <c r="D123" s="2460" t="s">
        <v>831</v>
      </c>
      <c r="E123" s="2461"/>
      <c r="G123" s="1237" t="s">
        <v>964</v>
      </c>
      <c r="H123" s="1248">
        <f>SUM(H115:H122)</f>
        <v>134476.98717948701</v>
      </c>
    </row>
    <row r="124" spans="1:13" ht="14.5">
      <c r="A124" s="1250" t="s">
        <v>965</v>
      </c>
      <c r="B124" s="1123">
        <f>B26</f>
        <v>241.664473684211</v>
      </c>
      <c r="D124" s="1122"/>
      <c r="E124" s="1129"/>
      <c r="G124" s="1148" t="s">
        <v>966</v>
      </c>
      <c r="H124" s="1249">
        <f>H123/60</f>
        <v>2241.2831196581201</v>
      </c>
    </row>
    <row r="125" spans="1:13" ht="14.5">
      <c r="A125" s="1250" t="s">
        <v>967</v>
      </c>
      <c r="B125" s="1123">
        <f>B17/1500*40</f>
        <v>476.35087719298201</v>
      </c>
      <c r="D125" s="1122" t="s">
        <v>968</v>
      </c>
      <c r="E125" s="1123">
        <f>'WEEKLY FC'!E321*0.15</f>
        <v>9000</v>
      </c>
    </row>
    <row r="126" spans="1:13" ht="14.5">
      <c r="A126" s="1250" t="s">
        <v>969</v>
      </c>
      <c r="B126" s="1123">
        <f>B69</f>
        <v>160</v>
      </c>
      <c r="D126" s="1122" t="s">
        <v>970</v>
      </c>
      <c r="E126" s="1123">
        <f>'WEEKLY FC'!E302*0.08</f>
        <v>4160</v>
      </c>
      <c r="G126" s="2462" t="s">
        <v>971</v>
      </c>
      <c r="H126" s="2463"/>
    </row>
    <row r="127" spans="1:13" ht="14.5">
      <c r="A127" s="1250"/>
      <c r="B127" s="1136"/>
      <c r="D127" s="1122" t="s">
        <v>972</v>
      </c>
      <c r="E127" s="1123">
        <f>'WEEKLY FC'!E303*0.15</f>
        <v>7800</v>
      </c>
      <c r="G127" s="1251" t="s">
        <v>973</v>
      </c>
      <c r="H127" s="1123">
        <f>'WEEKLY FC'!E36</f>
        <v>2907.0833333333298</v>
      </c>
    </row>
    <row r="128" spans="1:13" ht="14.5">
      <c r="A128" s="1250" t="s">
        <v>748</v>
      </c>
      <c r="B128" s="1123">
        <f>SUM(B124:B126)</f>
        <v>878.01535087719299</v>
      </c>
      <c r="D128" s="1122" t="s">
        <v>974</v>
      </c>
      <c r="E128" s="1123">
        <f>'WEEKLY FC'!E311*0.03</f>
        <v>600</v>
      </c>
      <c r="G128" s="1251" t="s">
        <v>975</v>
      </c>
      <c r="H128" s="1123">
        <f>'WEEKLY FC'!E60/200*5</f>
        <v>152.5</v>
      </c>
      <c r="K128" s="1208"/>
    </row>
    <row r="129" spans="1:9" ht="14.5">
      <c r="A129" s="1250"/>
      <c r="B129" s="1123"/>
      <c r="D129" s="1122" t="s">
        <v>976</v>
      </c>
      <c r="E129" s="1123">
        <f>'WEEKLY FC'!E312*0.003</f>
        <v>60</v>
      </c>
      <c r="G129" s="1251" t="s">
        <v>977</v>
      </c>
      <c r="H129" s="1136">
        <v>100</v>
      </c>
    </row>
    <row r="130" spans="1:9" ht="14.5">
      <c r="A130" s="1250"/>
      <c r="B130" s="1290"/>
      <c r="D130" s="1122" t="s">
        <v>978</v>
      </c>
      <c r="E130" s="1123">
        <f>'WEEKLY FC'!E168*0.15</f>
        <v>3000.2062500000002</v>
      </c>
      <c r="G130" s="1251" t="s">
        <v>979</v>
      </c>
      <c r="H130" s="1136">
        <v>50</v>
      </c>
    </row>
    <row r="131" spans="1:9" ht="14.5">
      <c r="A131" s="1250"/>
      <c r="B131" s="1291"/>
      <c r="D131" s="1122" t="s">
        <v>980</v>
      </c>
      <c r="E131" s="1136">
        <v>2500</v>
      </c>
      <c r="G131" s="1251" t="s">
        <v>981</v>
      </c>
      <c r="H131" s="1123">
        <f>H112</f>
        <v>662.193047619048</v>
      </c>
    </row>
    <row r="132" spans="1:9" ht="14.5">
      <c r="A132" s="1292"/>
      <c r="B132" s="1136"/>
      <c r="D132" s="1122" t="s">
        <v>982</v>
      </c>
      <c r="E132" s="1123">
        <f>'WEEKLY FC'!E341</f>
        <v>1609.5</v>
      </c>
      <c r="G132" s="1251" t="s">
        <v>983</v>
      </c>
      <c r="H132" s="1123">
        <f>'WEEKLY FC'!E16</f>
        <v>3729.36029411765</v>
      </c>
    </row>
    <row r="133" spans="1:9" ht="14.5">
      <c r="A133" s="1250"/>
      <c r="B133" s="1123"/>
      <c r="D133" s="1122"/>
      <c r="E133" s="1136"/>
      <c r="G133" s="1251" t="s">
        <v>984</v>
      </c>
      <c r="H133" s="1123">
        <f>'WEEKLY FC'!E58/1000*5</f>
        <v>25</v>
      </c>
    </row>
    <row r="134" spans="1:9" ht="14.5">
      <c r="A134" s="1250"/>
      <c r="B134" s="1123"/>
      <c r="D134" s="1122" t="s">
        <v>985</v>
      </c>
      <c r="E134" s="1123">
        <f>SUM(E125:E133)</f>
        <v>28729.706249999999</v>
      </c>
      <c r="G134" s="1251"/>
      <c r="H134" s="1136"/>
    </row>
    <row r="135" spans="1:9" ht="14.5">
      <c r="A135" s="1250"/>
      <c r="B135" s="1123"/>
      <c r="D135" s="1122" t="s">
        <v>986</v>
      </c>
      <c r="E135" s="1123">
        <f>E134/20+250</f>
        <v>1686.4853125</v>
      </c>
      <c r="G135" s="1251" t="s">
        <v>987</v>
      </c>
      <c r="H135" s="1138">
        <f>SUM(H127:H134)</f>
        <v>7626.1366750700299</v>
      </c>
    </row>
    <row r="136" spans="1:9" ht="14.5">
      <c r="A136" s="1250"/>
      <c r="B136" s="1123"/>
      <c r="D136" s="1122"/>
      <c r="E136" s="1136"/>
      <c r="G136" s="1251" t="s">
        <v>988</v>
      </c>
      <c r="H136" s="1123">
        <f>'WEEKLY FC'!E138</f>
        <v>259</v>
      </c>
    </row>
    <row r="137" spans="1:9" ht="14.5">
      <c r="A137" s="1250"/>
      <c r="B137" s="1136"/>
      <c r="D137" s="1131"/>
      <c r="E137" s="1235"/>
      <c r="G137" s="1251" t="s">
        <v>731</v>
      </c>
      <c r="H137" s="1123">
        <f>E15</f>
        <v>407</v>
      </c>
    </row>
    <row r="138" spans="1:9" ht="14.5">
      <c r="A138" s="1293"/>
      <c r="B138" s="1138"/>
      <c r="G138" s="1244" t="s">
        <v>989</v>
      </c>
      <c r="H138" s="1294">
        <f>SUM(H135:H137)</f>
        <v>8292.1366750700308</v>
      </c>
    </row>
    <row r="139" spans="1:9" ht="14.5">
      <c r="A139" s="1295"/>
      <c r="B139" s="1143"/>
      <c r="D139" s="2423" t="s">
        <v>990</v>
      </c>
      <c r="E139" s="2422"/>
      <c r="G139" s="1251"/>
      <c r="H139" s="1136"/>
    </row>
    <row r="140" spans="1:9" ht="14.5">
      <c r="A140" s="1295"/>
      <c r="B140" s="1147"/>
      <c r="D140" s="1122" t="s">
        <v>991</v>
      </c>
      <c r="E140" s="1243">
        <f>'WEEKLY FC'!E339</f>
        <v>26488</v>
      </c>
      <c r="G140" s="1296"/>
      <c r="H140" s="1297"/>
    </row>
    <row r="141" spans="1:9" ht="14.5">
      <c r="D141" s="1122" t="s">
        <v>992</v>
      </c>
      <c r="E141" s="1243">
        <f>'WEEKLY FC'!E61*0.125</f>
        <v>1250</v>
      </c>
      <c r="H141" s="532"/>
      <c r="I141" s="532"/>
    </row>
    <row r="142" spans="1:9" ht="14.5">
      <c r="A142" s="2458" t="s">
        <v>993</v>
      </c>
      <c r="B142" s="2459"/>
      <c r="D142" s="1122" t="s">
        <v>994</v>
      </c>
      <c r="E142" s="1243">
        <f>'WEEKLY FC'!E312/1000*3</f>
        <v>60</v>
      </c>
      <c r="G142" s="2462" t="s">
        <v>995</v>
      </c>
      <c r="H142" s="2463"/>
      <c r="I142" s="532"/>
    </row>
    <row r="143" spans="1:9" ht="14.5">
      <c r="A143" s="1250" t="s">
        <v>965</v>
      </c>
      <c r="B143" s="1136">
        <f>B34</f>
        <v>136.64619883040899</v>
      </c>
      <c r="D143" s="1122" t="s">
        <v>996</v>
      </c>
      <c r="E143" s="1243">
        <f>'WEEKLY FC'!E303*0.03</f>
        <v>1560</v>
      </c>
      <c r="G143" s="1251" t="s">
        <v>973</v>
      </c>
      <c r="H143" s="1123">
        <f>H127</f>
        <v>2907.0833333333298</v>
      </c>
      <c r="I143" s="532"/>
    </row>
    <row r="144" spans="1:9" ht="14.5">
      <c r="A144" s="1250" t="s">
        <v>967</v>
      </c>
      <c r="B144" s="1136">
        <f>B125</f>
        <v>476.35087719298201</v>
      </c>
      <c r="D144" s="1122" t="s">
        <v>997</v>
      </c>
      <c r="E144" s="1243">
        <f>'WEEKLY FC'!E302*0.02</f>
        <v>1040</v>
      </c>
      <c r="G144" s="1251" t="s">
        <v>975</v>
      </c>
      <c r="H144" s="1123">
        <f>H128</f>
        <v>152.5</v>
      </c>
      <c r="I144" s="532"/>
    </row>
    <row r="145" spans="1:9" ht="14.5">
      <c r="A145" s="1250" t="s">
        <v>969</v>
      </c>
      <c r="B145" s="1136">
        <f>B126</f>
        <v>160</v>
      </c>
      <c r="D145" s="1122" t="s">
        <v>998</v>
      </c>
      <c r="E145" s="1243">
        <f>'WEEKLY FC'!E321*0.125</f>
        <v>7500</v>
      </c>
      <c r="G145" s="1251" t="s">
        <v>977</v>
      </c>
      <c r="H145" s="1136">
        <v>100</v>
      </c>
      <c r="I145" s="532"/>
    </row>
    <row r="146" spans="1:9" ht="14.5">
      <c r="A146" s="1250"/>
      <c r="B146" s="1136"/>
      <c r="D146" s="1122" t="s">
        <v>999</v>
      </c>
      <c r="E146" s="1243">
        <f>'WEEKLY FC'!E316*0.015</f>
        <v>450</v>
      </c>
      <c r="G146" s="1251" t="s">
        <v>979</v>
      </c>
      <c r="H146" s="1136">
        <v>50</v>
      </c>
      <c r="I146" s="532"/>
    </row>
    <row r="147" spans="1:9" ht="14.5">
      <c r="A147" s="1250" t="s">
        <v>748</v>
      </c>
      <c r="B147" s="1136">
        <f>SUM(B143:B145)</f>
        <v>772.99707602339095</v>
      </c>
      <c r="D147" s="1122" t="s">
        <v>1000</v>
      </c>
      <c r="E147" s="1298">
        <f>'WEEKLY FC'!E168/1000*40</f>
        <v>800.05499999999995</v>
      </c>
      <c r="G147" s="1251" t="s">
        <v>981</v>
      </c>
      <c r="H147" s="1123">
        <f>H131</f>
        <v>662.193047619048</v>
      </c>
      <c r="I147" s="532"/>
    </row>
    <row r="148" spans="1:9" ht="14.5">
      <c r="A148" s="1250"/>
      <c r="B148" s="1136"/>
      <c r="D148" s="1122"/>
      <c r="E148" s="1291"/>
      <c r="G148" s="1251" t="s">
        <v>983</v>
      </c>
      <c r="H148" s="1123">
        <f>'WEEKLY FC'!E16</f>
        <v>3729.36029411765</v>
      </c>
      <c r="I148" s="532"/>
    </row>
    <row r="149" spans="1:9" ht="14.5">
      <c r="A149" s="1250"/>
      <c r="B149" s="1291"/>
      <c r="D149" s="1151" t="s">
        <v>697</v>
      </c>
      <c r="E149" s="1299">
        <f>SUM(E140:E147)</f>
        <v>39148.055</v>
      </c>
      <c r="G149" s="1251" t="s">
        <v>984</v>
      </c>
      <c r="H149" s="1123">
        <f>H133</f>
        <v>25</v>
      </c>
      <c r="I149" s="532"/>
    </row>
    <row r="150" spans="1:9" ht="14.5">
      <c r="A150" s="1250"/>
      <c r="B150" s="1291"/>
      <c r="D150" s="1300" t="s">
        <v>1001</v>
      </c>
      <c r="E150" s="1301">
        <f>E149/32+250</f>
        <v>1473.37671875</v>
      </c>
      <c r="G150" s="1251" t="s">
        <v>1002</v>
      </c>
      <c r="H150" s="1123">
        <f>'WEEKLY FC'!E54</f>
        <v>858</v>
      </c>
      <c r="I150" s="532"/>
    </row>
    <row r="151" spans="1:9" ht="14.5">
      <c r="A151" s="1292"/>
      <c r="B151" s="1136"/>
      <c r="G151" s="1244" t="s">
        <v>987</v>
      </c>
      <c r="H151" s="1245">
        <f>SUM(H143:H150)</f>
        <v>8484.1366750700308</v>
      </c>
      <c r="I151" s="532"/>
    </row>
    <row r="152" spans="1:9" ht="14.5">
      <c r="A152" s="1250"/>
      <c r="B152" s="1136"/>
      <c r="D152" s="2464" t="s">
        <v>1003</v>
      </c>
      <c r="E152" s="2465"/>
      <c r="G152" s="1251" t="s">
        <v>988</v>
      </c>
      <c r="H152" s="1123">
        <f>H136</f>
        <v>259</v>
      </c>
      <c r="I152" s="532"/>
    </row>
    <row r="153" spans="1:9" ht="14.5">
      <c r="A153" s="1250"/>
      <c r="B153" s="1136"/>
      <c r="D153" s="1251" t="s">
        <v>1004</v>
      </c>
      <c r="E153" s="1302">
        <f>E198</f>
        <v>750.36</v>
      </c>
      <c r="G153" s="1251" t="s">
        <v>731</v>
      </c>
      <c r="H153" s="1123">
        <f>H137</f>
        <v>407</v>
      </c>
      <c r="I153" s="532"/>
    </row>
    <row r="154" spans="1:9" ht="14.5">
      <c r="A154" s="1250"/>
      <c r="B154" s="1136"/>
      <c r="D154" s="1251" t="s">
        <v>1005</v>
      </c>
      <c r="E154" s="1302">
        <f>E199</f>
        <v>193</v>
      </c>
      <c r="G154" s="1244" t="s">
        <v>989</v>
      </c>
      <c r="H154" s="1294">
        <f>SUM(H151:H153)</f>
        <v>9150.1366750700308</v>
      </c>
      <c r="I154" s="532"/>
    </row>
    <row r="155" spans="1:9" ht="14.5">
      <c r="A155" s="1250"/>
      <c r="B155" s="1123">
        <f>B119</f>
        <v>0</v>
      </c>
      <c r="D155" s="1251" t="s">
        <v>1006</v>
      </c>
      <c r="E155" s="1302">
        <f t="shared" ref="E155:E156" si="31">E200</f>
        <v>373</v>
      </c>
      <c r="G155" s="1251"/>
      <c r="H155" s="1136"/>
      <c r="I155" s="532"/>
    </row>
    <row r="156" spans="1:9" ht="14.5">
      <c r="A156" s="1250"/>
      <c r="B156" s="1136"/>
      <c r="D156" s="1251" t="s">
        <v>846</v>
      </c>
      <c r="E156" s="1302">
        <f t="shared" si="31"/>
        <v>47</v>
      </c>
      <c r="G156" s="1296"/>
      <c r="H156" s="1297"/>
      <c r="I156" s="532"/>
    </row>
    <row r="157" spans="1:9" ht="14.5">
      <c r="A157" s="1293"/>
      <c r="B157" s="1138">
        <f>SUM(B152:B155)</f>
        <v>0</v>
      </c>
      <c r="D157" s="1251" t="s">
        <v>1007</v>
      </c>
      <c r="E157" s="1302">
        <f>'WEEKLY FC'!E151*2</f>
        <v>448</v>
      </c>
    </row>
    <row r="158" spans="1:9" ht="14.5">
      <c r="A158" s="1295"/>
      <c r="B158" s="1143"/>
      <c r="D158" s="1251" t="s">
        <v>181</v>
      </c>
      <c r="E158" s="1302">
        <f>E203</f>
        <v>192</v>
      </c>
      <c r="G158" s="2423" t="s">
        <v>915</v>
      </c>
      <c r="H158" s="2422"/>
    </row>
    <row r="159" spans="1:9" ht="14.5">
      <c r="D159" s="1303"/>
      <c r="E159" s="1304">
        <f>SUM(E153:E158)</f>
        <v>2003.36</v>
      </c>
      <c r="G159" s="1122" t="s">
        <v>1008</v>
      </c>
      <c r="H159" s="1138">
        <f>'WEEKLY FC'!E320</f>
        <v>1867</v>
      </c>
    </row>
    <row r="160" spans="1:9" ht="14.5">
      <c r="A160" s="2462" t="s">
        <v>1009</v>
      </c>
      <c r="B160" s="2463"/>
      <c r="G160" s="1122" t="s">
        <v>1010</v>
      </c>
      <c r="H160" s="1138">
        <f>H84</f>
        <v>200.01374999999999</v>
      </c>
    </row>
    <row r="161" spans="1:21" ht="14.5">
      <c r="A161" s="1251" t="s">
        <v>1011</v>
      </c>
      <c r="B161" s="1123">
        <f>'WEEKLY FC'!E111</f>
        <v>4274</v>
      </c>
      <c r="D161" s="2464" t="s">
        <v>1012</v>
      </c>
      <c r="E161" s="2465"/>
      <c r="G161" s="1122"/>
      <c r="H161" s="1129"/>
    </row>
    <row r="162" spans="1:21" ht="14.5">
      <c r="A162" s="1251" t="s">
        <v>1013</v>
      </c>
      <c r="B162" s="1123">
        <f>B9*0.2</f>
        <v>52.631578947368403</v>
      </c>
      <c r="D162" s="1251" t="s">
        <v>1004</v>
      </c>
      <c r="E162" s="1302">
        <f>E153</f>
        <v>750.36</v>
      </c>
      <c r="G162" s="1122" t="s">
        <v>748</v>
      </c>
      <c r="H162" s="1144">
        <f>SUM(H159:H161)</f>
        <v>2067.0137500000001</v>
      </c>
    </row>
    <row r="163" spans="1:21" ht="14.5">
      <c r="A163" s="1251" t="s">
        <v>1014</v>
      </c>
      <c r="B163" s="1123">
        <f>'WEEKLY FC'!E78/10000*150</f>
        <v>240</v>
      </c>
      <c r="D163" s="1251" t="s">
        <v>1005</v>
      </c>
      <c r="E163" s="1302">
        <f>E154</f>
        <v>193</v>
      </c>
      <c r="G163" s="1122"/>
      <c r="H163" s="1305"/>
    </row>
    <row r="164" spans="1:21" ht="14.5">
      <c r="A164" s="1251"/>
      <c r="B164" s="1136"/>
      <c r="D164" s="1251" t="s">
        <v>1006</v>
      </c>
      <c r="E164" s="1302">
        <f t="shared" ref="E164:E165" si="32">E155</f>
        <v>373</v>
      </c>
      <c r="G164" s="1306"/>
      <c r="H164" s="1307"/>
    </row>
    <row r="165" spans="1:21" ht="14.5">
      <c r="A165" s="1251" t="s">
        <v>989</v>
      </c>
      <c r="B165" s="1123">
        <f>SUM(B161:B164)</f>
        <v>4566.6315789473701</v>
      </c>
      <c r="D165" s="1251" t="s">
        <v>846</v>
      </c>
      <c r="E165" s="1302">
        <f t="shared" si="32"/>
        <v>47</v>
      </c>
      <c r="K165" s="532" t="s">
        <v>61</v>
      </c>
    </row>
    <row r="166" spans="1:21" ht="14.5">
      <c r="A166" s="1308"/>
      <c r="B166" s="1309"/>
      <c r="D166" s="1251" t="s">
        <v>1015</v>
      </c>
      <c r="E166" s="1302"/>
      <c r="G166" s="2462"/>
      <c r="H166" s="2463"/>
    </row>
    <row r="167" spans="1:21" ht="14.5">
      <c r="A167" s="1250"/>
      <c r="B167" s="1123"/>
      <c r="D167" s="1251" t="s">
        <v>181</v>
      </c>
      <c r="E167" s="1302">
        <f>E158</f>
        <v>192</v>
      </c>
      <c r="G167" s="1251"/>
      <c r="H167" s="1123"/>
    </row>
    <row r="168" spans="1:21" ht="14.5">
      <c r="A168" s="1250"/>
      <c r="B168" s="1123"/>
      <c r="D168" s="1303"/>
      <c r="E168" s="1304">
        <f>SUM(E162:E167)</f>
        <v>1555.36</v>
      </c>
      <c r="G168" s="1251"/>
      <c r="H168" s="1123"/>
    </row>
    <row r="169" spans="1:21" ht="14.5">
      <c r="A169" s="1250"/>
      <c r="B169" s="1123"/>
      <c r="D169" s="1310"/>
      <c r="E169" s="1311"/>
      <c r="G169" s="1251"/>
      <c r="H169" s="1123"/>
      <c r="T169" s="571"/>
      <c r="U169" s="571"/>
    </row>
    <row r="170" spans="1:21" ht="14.5">
      <c r="A170" s="1251"/>
      <c r="B170" s="1123"/>
      <c r="D170" s="2464" t="s">
        <v>1016</v>
      </c>
      <c r="E170" s="2465"/>
      <c r="G170" s="1251"/>
      <c r="H170" s="1123"/>
      <c r="T170" s="571"/>
      <c r="U170" s="571"/>
    </row>
    <row r="171" spans="1:21" ht="14.5">
      <c r="A171" s="1251"/>
      <c r="B171" s="1136"/>
      <c r="D171" s="1251" t="s">
        <v>1017</v>
      </c>
      <c r="E171" s="1302">
        <f>'WEEKLY FC'!E138</f>
        <v>259</v>
      </c>
      <c r="G171" s="1251"/>
      <c r="H171" s="1123"/>
      <c r="T171" s="571"/>
      <c r="U171" s="571"/>
    </row>
    <row r="172" spans="1:21" ht="14.5">
      <c r="A172" s="1312"/>
      <c r="B172" s="1313"/>
      <c r="D172" s="1251" t="s">
        <v>1018</v>
      </c>
      <c r="E172" s="1302">
        <f>'WEEKLY FC'!E143</f>
        <v>259</v>
      </c>
      <c r="G172" s="1308"/>
      <c r="H172" s="1309"/>
      <c r="T172" s="571"/>
      <c r="U172" s="571"/>
    </row>
    <row r="173" spans="1:21" ht="14.5">
      <c r="A173" s="1250"/>
      <c r="B173" s="1298"/>
      <c r="D173" s="1251" t="s">
        <v>1006</v>
      </c>
      <c r="E173" s="1302">
        <f>E164</f>
        <v>373</v>
      </c>
      <c r="G173" s="1308"/>
      <c r="H173" s="1309"/>
      <c r="T173" s="571"/>
      <c r="U173" s="571"/>
    </row>
    <row r="174" spans="1:21" ht="14.5">
      <c r="A174" s="1312"/>
      <c r="B174" s="1314"/>
      <c r="D174" s="1251" t="s">
        <v>846</v>
      </c>
      <c r="E174" s="1302">
        <f>E165</f>
        <v>47</v>
      </c>
      <c r="G174" s="1250"/>
      <c r="H174" s="1123"/>
      <c r="T174" s="571"/>
      <c r="U174" s="571"/>
    </row>
    <row r="175" spans="1:21" ht="14.5">
      <c r="D175" s="1251"/>
      <c r="E175" s="1302"/>
      <c r="G175" s="1250"/>
      <c r="H175" s="1123"/>
      <c r="T175" s="571"/>
      <c r="U175" s="571"/>
    </row>
    <row r="176" spans="1:21" ht="14.5">
      <c r="A176" s="2462" t="s">
        <v>1019</v>
      </c>
      <c r="B176" s="2463"/>
      <c r="D176" s="1251" t="s">
        <v>181</v>
      </c>
      <c r="E176" s="1302">
        <f>E167</f>
        <v>192</v>
      </c>
      <c r="G176" s="1250"/>
      <c r="H176" s="1123"/>
      <c r="T176" s="571"/>
      <c r="U176" s="571"/>
    </row>
    <row r="177" spans="1:21" ht="14.5">
      <c r="A177" s="1251" t="s">
        <v>1011</v>
      </c>
      <c r="B177" s="1123">
        <f>'WEEKLY FC'!E112</f>
        <v>0</v>
      </c>
      <c r="D177" s="1303"/>
      <c r="E177" s="1304">
        <f>SUM(E171:E176)</f>
        <v>1130</v>
      </c>
      <c r="G177" s="1251"/>
      <c r="H177" s="1123"/>
      <c r="T177" s="571"/>
      <c r="U177" s="571"/>
    </row>
    <row r="178" spans="1:21" ht="14.5">
      <c r="A178" s="1251" t="s">
        <v>1013</v>
      </c>
      <c r="B178" s="1123">
        <f>B162</f>
        <v>52.631578947368403</v>
      </c>
      <c r="D178" s="1251"/>
      <c r="E178" s="1315"/>
      <c r="G178" s="1251"/>
      <c r="H178" s="1136"/>
      <c r="T178" s="571"/>
      <c r="U178" s="571"/>
    </row>
    <row r="179" spans="1:21" ht="14.5">
      <c r="A179" s="1251" t="s">
        <v>1014</v>
      </c>
      <c r="B179" s="1123">
        <f>B163</f>
        <v>240</v>
      </c>
      <c r="D179" s="2464" t="s">
        <v>1020</v>
      </c>
      <c r="E179" s="2465"/>
      <c r="G179" s="1312"/>
      <c r="H179" s="1313"/>
      <c r="T179" s="571"/>
      <c r="U179" s="571"/>
    </row>
    <row r="180" spans="1:21" ht="14.5">
      <c r="A180" s="1251"/>
      <c r="B180" s="1136"/>
      <c r="D180" s="1251" t="s">
        <v>1021</v>
      </c>
      <c r="E180" s="1302">
        <f>'WEEKLY FC'!E136</f>
        <v>610.5</v>
      </c>
      <c r="G180" s="1250"/>
      <c r="H180" s="1298"/>
      <c r="T180" s="571"/>
      <c r="U180" s="571"/>
    </row>
    <row r="181" spans="1:21" ht="14.5">
      <c r="A181" s="1251" t="s">
        <v>989</v>
      </c>
      <c r="B181" s="1123">
        <f>SUM(B177:B179)</f>
        <v>292.63157894736798</v>
      </c>
      <c r="D181" s="1251" t="s">
        <v>1022</v>
      </c>
      <c r="E181" s="1302">
        <f>'WEEKLY FC'!E132</f>
        <v>39</v>
      </c>
      <c r="G181" s="1316"/>
      <c r="H181" s="1314"/>
      <c r="T181" s="571"/>
      <c r="U181" s="571"/>
    </row>
    <row r="182" spans="1:21" ht="14.5">
      <c r="A182" s="1308"/>
      <c r="B182" s="1309"/>
      <c r="D182" s="1251" t="s">
        <v>1006</v>
      </c>
      <c r="E182" s="1302">
        <f t="shared" ref="E182:E183" si="33">E164</f>
        <v>373</v>
      </c>
      <c r="T182" s="571"/>
      <c r="U182" s="571"/>
    </row>
    <row r="183" spans="1:21" ht="14.5">
      <c r="A183" s="1250"/>
      <c r="B183" s="1123"/>
      <c r="D183" s="1251" t="s">
        <v>846</v>
      </c>
      <c r="E183" s="1302">
        <f t="shared" si="33"/>
        <v>47</v>
      </c>
      <c r="G183" s="2462" t="s">
        <v>1023</v>
      </c>
      <c r="H183" s="2463"/>
      <c r="T183" s="571"/>
      <c r="U183" s="571"/>
    </row>
    <row r="184" spans="1:21" ht="14.5">
      <c r="A184" s="1250"/>
      <c r="B184" s="1123"/>
      <c r="D184" s="1251" t="s">
        <v>193</v>
      </c>
      <c r="E184" s="1302">
        <f>'WEEKLY FC'!E139</f>
        <v>189</v>
      </c>
      <c r="G184" s="1251" t="s">
        <v>1024</v>
      </c>
      <c r="H184" s="354">
        <f>'WEEKLY FC'!E330/1000*500</f>
        <v>19027.62</v>
      </c>
      <c r="T184" s="571"/>
      <c r="U184" s="571"/>
    </row>
    <row r="185" spans="1:21" ht="14.5">
      <c r="A185" s="1250"/>
      <c r="B185" s="1123"/>
      <c r="D185" s="1251" t="s">
        <v>181</v>
      </c>
      <c r="E185" s="1302">
        <f>E176</f>
        <v>192</v>
      </c>
      <c r="G185" s="1251" t="s">
        <v>1025</v>
      </c>
      <c r="H185" s="354">
        <f>B9*1.5</f>
        <v>394.73684210526301</v>
      </c>
    </row>
    <row r="186" spans="1:21" ht="14.5">
      <c r="A186" s="1251"/>
      <c r="B186" s="1123"/>
      <c r="D186" s="1303"/>
      <c r="E186" s="1304">
        <f>SUM(E180:E185)</f>
        <v>1450.5</v>
      </c>
      <c r="G186" s="1251" t="s">
        <v>1026</v>
      </c>
      <c r="H186" s="354">
        <f>'WEEKLY FC'!E11*2.7</f>
        <v>16617.876923076899</v>
      </c>
    </row>
    <row r="187" spans="1:21" ht="14.5">
      <c r="A187" s="1251"/>
      <c r="B187" s="1136"/>
      <c r="D187" s="1251"/>
      <c r="E187" s="1315"/>
      <c r="G187" s="1251" t="s">
        <v>1027</v>
      </c>
      <c r="H187" s="354">
        <f>'WEEKLY FC'!E320*5</f>
        <v>9335</v>
      </c>
    </row>
    <row r="188" spans="1:21" ht="14.5">
      <c r="A188" s="1312"/>
      <c r="B188" s="1313"/>
      <c r="D188" s="2464" t="s">
        <v>1028</v>
      </c>
      <c r="E188" s="2465"/>
      <c r="G188" s="1251" t="s">
        <v>1029</v>
      </c>
      <c r="H188" s="354">
        <f>'WEEKLY FC'!E303/1000*50</f>
        <v>2600</v>
      </c>
    </row>
    <row r="189" spans="1:21" ht="14.5">
      <c r="A189" s="1250"/>
      <c r="B189" s="1317"/>
      <c r="D189" s="1122" t="s">
        <v>209</v>
      </c>
      <c r="E189" s="1302">
        <f>'WEEKLY FC'!E154</f>
        <v>3480</v>
      </c>
      <c r="G189" s="1251" t="s">
        <v>1030</v>
      </c>
      <c r="H189" s="354">
        <f>'WEEKLY FC'!E301/1000*125</f>
        <v>5250</v>
      </c>
    </row>
    <row r="190" spans="1:21" ht="14.5">
      <c r="A190" s="1312"/>
      <c r="B190" s="1318"/>
      <c r="D190" s="1122" t="s">
        <v>1031</v>
      </c>
      <c r="E190" s="1302">
        <f>'WEEKLY FC'!E130</f>
        <v>666</v>
      </c>
      <c r="G190" s="1251" t="s">
        <v>1032</v>
      </c>
      <c r="H190" s="354">
        <f>'WEEKLY FC'!E302/1000*12.5</f>
        <v>650</v>
      </c>
    </row>
    <row r="191" spans="1:21" ht="14.5">
      <c r="A191" s="1319"/>
      <c r="B191" s="1235"/>
      <c r="D191" s="1122" t="s">
        <v>1033</v>
      </c>
      <c r="E191" s="1302">
        <f>'WEEKLY FC'!E155</f>
        <v>540</v>
      </c>
      <c r="G191" s="1251" t="s">
        <v>1034</v>
      </c>
      <c r="H191" s="354">
        <f>'WEEKLY FC'!E342</f>
        <v>3108</v>
      </c>
    </row>
    <row r="192" spans="1:21" ht="14.5">
      <c r="D192" s="1251" t="s">
        <v>1006</v>
      </c>
      <c r="E192" s="1302">
        <f>'WEEKLY FC'!E144*4</f>
        <v>1492</v>
      </c>
      <c r="G192" s="1251"/>
      <c r="H192" s="1320"/>
    </row>
    <row r="193" spans="1:8" ht="14.5">
      <c r="A193" s="2462" t="s">
        <v>1035</v>
      </c>
      <c r="B193" s="2463"/>
      <c r="D193" s="1251" t="s">
        <v>1015</v>
      </c>
      <c r="E193" s="1302">
        <f>'WEEKLY FC'!E137*4</f>
        <v>616</v>
      </c>
      <c r="G193" s="1321" t="s">
        <v>1036</v>
      </c>
      <c r="H193" s="1322">
        <f>SUM(H184:H192)</f>
        <v>56983.233765182202</v>
      </c>
    </row>
    <row r="194" spans="1:8" ht="14.5">
      <c r="A194" s="1251" t="s">
        <v>1011</v>
      </c>
      <c r="B194" s="1123">
        <f>'WEEKLY FC'!E113</f>
        <v>0</v>
      </c>
      <c r="D194" s="1251" t="s">
        <v>846</v>
      </c>
      <c r="E194" s="1302">
        <f>E183*4</f>
        <v>188</v>
      </c>
      <c r="G194" s="1244" t="s">
        <v>966</v>
      </c>
      <c r="H194" s="1323">
        <f>H193/35</f>
        <v>1628.09239329092</v>
      </c>
    </row>
    <row r="195" spans="1:8" ht="14.5">
      <c r="A195" s="1251" t="s">
        <v>1013</v>
      </c>
      <c r="B195" s="1123">
        <f t="shared" ref="B195:B196" si="34">B178</f>
        <v>52.631578947368403</v>
      </c>
      <c r="D195" s="1303"/>
      <c r="E195" s="1324">
        <f>SUM(E189:E194)</f>
        <v>6982</v>
      </c>
      <c r="G195" s="1151" t="s">
        <v>400</v>
      </c>
      <c r="H195" s="1123">
        <f>'WEEKLY FC'!E168/33</f>
        <v>606.10227272727298</v>
      </c>
    </row>
    <row r="196" spans="1:8" ht="14.5">
      <c r="A196" s="1251" t="s">
        <v>1014</v>
      </c>
      <c r="B196" s="1123">
        <f t="shared" si="34"/>
        <v>240</v>
      </c>
      <c r="D196" s="1303"/>
      <c r="E196" s="1304"/>
      <c r="G196" s="1151" t="s">
        <v>1008</v>
      </c>
      <c r="H196" s="1123">
        <f>'WEEKLY FC'!E320/16/10</f>
        <v>11.668749999999999</v>
      </c>
    </row>
    <row r="197" spans="1:8" ht="14.5">
      <c r="A197" s="1251"/>
      <c r="B197" s="1136"/>
      <c r="D197" s="2464" t="s">
        <v>1037</v>
      </c>
      <c r="E197" s="2465"/>
      <c r="G197" s="1325" t="s">
        <v>1038</v>
      </c>
      <c r="H197" s="1326">
        <f>SUM(H194:H196)</f>
        <v>2245.86341601819</v>
      </c>
    </row>
    <row r="198" spans="1:8" ht="14.5">
      <c r="A198" s="1251" t="s">
        <v>989</v>
      </c>
      <c r="B198" s="1123">
        <f>SUM(B194:B196)</f>
        <v>292.63157894736798</v>
      </c>
      <c r="D198" s="1251" t="s">
        <v>1004</v>
      </c>
      <c r="E198" s="1302">
        <f>'WEEKLY FC'!E133</f>
        <v>750.36</v>
      </c>
    </row>
    <row r="199" spans="1:8" ht="14.5">
      <c r="A199" s="1308"/>
      <c r="B199" s="1309"/>
      <c r="D199" s="1251" t="s">
        <v>1005</v>
      </c>
      <c r="E199" s="1302">
        <f>'WEEKLY FC'!E132+'WEEKLY FC'!E137</f>
        <v>193</v>
      </c>
      <c r="G199" s="2462" t="s">
        <v>1039</v>
      </c>
      <c r="H199" s="2463"/>
    </row>
    <row r="200" spans="1:8" ht="14.5">
      <c r="A200" s="1250"/>
      <c r="B200" s="1123"/>
      <c r="D200" s="1251" t="s">
        <v>1006</v>
      </c>
      <c r="E200" s="1302">
        <f>'WEEKLY FC'!E144</f>
        <v>373</v>
      </c>
      <c r="G200" s="1251" t="s">
        <v>1040</v>
      </c>
      <c r="H200" s="1123">
        <f>'WEEKLY FC'!E105</f>
        <v>0</v>
      </c>
    </row>
    <row r="201" spans="1:8" ht="14.5">
      <c r="A201" s="1250"/>
      <c r="B201" s="1123"/>
      <c r="D201" s="1251" t="s">
        <v>846</v>
      </c>
      <c r="E201" s="1302">
        <f>'WEEKLY FC'!E131/500</f>
        <v>47</v>
      </c>
      <c r="G201" s="1251" t="s">
        <v>1041</v>
      </c>
      <c r="H201" s="1123">
        <f>B9/1000*100</f>
        <v>26.315789473684202</v>
      </c>
    </row>
    <row r="202" spans="1:8" ht="14.5">
      <c r="A202" s="1250"/>
      <c r="B202" s="1123"/>
      <c r="D202" s="1251"/>
      <c r="E202" s="1302"/>
      <c r="G202" s="1251" t="s">
        <v>1014</v>
      </c>
      <c r="H202" s="1136"/>
    </row>
    <row r="203" spans="1:8" ht="14.5">
      <c r="A203" s="1251"/>
      <c r="B203" s="1123"/>
      <c r="D203" s="1251" t="s">
        <v>181</v>
      </c>
      <c r="E203" s="1302">
        <f>'WEEKLY FC'!E128</f>
        <v>192</v>
      </c>
      <c r="G203" s="1251" t="s">
        <v>1042</v>
      </c>
      <c r="H203" s="1123">
        <f>E234</f>
        <v>0</v>
      </c>
    </row>
    <row r="204" spans="1:8" ht="14.5">
      <c r="A204" s="1251"/>
      <c r="B204" s="1123"/>
      <c r="D204" s="1303"/>
      <c r="E204" s="1304">
        <f>SUM(E198:E203)</f>
        <v>1555.36</v>
      </c>
      <c r="G204" s="1251" t="s">
        <v>989</v>
      </c>
      <c r="H204" s="1123">
        <f>SUM(H200:H203)</f>
        <v>26.315789473684202</v>
      </c>
    </row>
    <row r="205" spans="1:8" ht="14.5">
      <c r="A205" s="1312"/>
      <c r="B205" s="1313"/>
      <c r="G205" s="1308"/>
      <c r="H205" s="1309"/>
    </row>
    <row r="206" spans="1:8" ht="14.5">
      <c r="A206" s="1250"/>
      <c r="B206" s="1317"/>
      <c r="D206" s="2423" t="s">
        <v>1043</v>
      </c>
      <c r="E206" s="2422"/>
      <c r="G206" s="1308"/>
      <c r="H206" s="1309"/>
    </row>
    <row r="207" spans="1:8" ht="14.5">
      <c r="A207" s="1312"/>
      <c r="B207" s="1318"/>
      <c r="D207" s="1122" t="s">
        <v>1044</v>
      </c>
      <c r="E207" s="1138">
        <f>H28</f>
        <v>630.15263157894697</v>
      </c>
      <c r="G207" s="1250"/>
      <c r="H207" s="1123"/>
    </row>
    <row r="208" spans="1:8" ht="14.5">
      <c r="A208" s="1319"/>
      <c r="B208" s="1235"/>
      <c r="D208" s="1122" t="s">
        <v>1045</v>
      </c>
      <c r="E208" s="1138">
        <f>H21</f>
        <v>652.11315789473701</v>
      </c>
      <c r="G208" s="1250"/>
      <c r="H208" s="1123"/>
    </row>
    <row r="209" spans="1:12" ht="14.5">
      <c r="D209" s="1122"/>
      <c r="E209" s="1124"/>
      <c r="G209" s="1250"/>
      <c r="H209" s="1123"/>
    </row>
    <row r="210" spans="1:12" ht="14.5">
      <c r="A210" s="2462" t="s">
        <v>1046</v>
      </c>
      <c r="B210" s="2463"/>
      <c r="D210" s="1122" t="s">
        <v>748</v>
      </c>
      <c r="E210" s="1144">
        <f>SUM(E207:E209)</f>
        <v>1282.2657894736799</v>
      </c>
      <c r="G210" s="1251"/>
      <c r="H210" s="1123"/>
    </row>
    <row r="211" spans="1:12" ht="14.5">
      <c r="A211" s="1251" t="s">
        <v>1011</v>
      </c>
      <c r="B211" s="1123">
        <f>'WEEKLY FC'!E114</f>
        <v>2808</v>
      </c>
      <c r="D211" s="1122"/>
      <c r="E211" s="1305"/>
      <c r="G211" s="1251"/>
      <c r="H211" s="1136"/>
    </row>
    <row r="212" spans="1:12" ht="14.5">
      <c r="A212" s="1251" t="s">
        <v>1013</v>
      </c>
      <c r="B212" s="1123">
        <f t="shared" ref="B212:B213" si="35">B195</f>
        <v>52.631578947368403</v>
      </c>
      <c r="D212" s="1306"/>
      <c r="E212" s="1307"/>
      <c r="G212" s="1312"/>
      <c r="H212" s="1313"/>
    </row>
    <row r="213" spans="1:12" ht="14.5">
      <c r="A213" s="1251" t="s">
        <v>1014</v>
      </c>
      <c r="B213" s="1123">
        <f t="shared" si="35"/>
        <v>240</v>
      </c>
      <c r="G213" s="1250"/>
      <c r="H213" s="1298"/>
    </row>
    <row r="214" spans="1:12" ht="14.5">
      <c r="A214" s="1251"/>
      <c r="B214" s="1136"/>
      <c r="D214" s="2462" t="s">
        <v>1047</v>
      </c>
      <c r="E214" s="2463"/>
      <c r="G214" s="1316"/>
      <c r="H214" s="1314"/>
    </row>
    <row r="215" spans="1:12" ht="14.5">
      <c r="A215" s="1251" t="s">
        <v>989</v>
      </c>
      <c r="B215" s="1123">
        <f>SUM(B211:B213)</f>
        <v>3100.6315789473701</v>
      </c>
      <c r="D215" s="1251" t="s">
        <v>1040</v>
      </c>
      <c r="E215" s="1123">
        <f>'WEEKLY FC'!E106</f>
        <v>0</v>
      </c>
    </row>
    <row r="216" spans="1:12" ht="14.5">
      <c r="A216" s="1308"/>
      <c r="B216" s="1309"/>
      <c r="D216" s="1251" t="s">
        <v>1048</v>
      </c>
      <c r="E216" s="1123">
        <f>B9*0.05</f>
        <v>13.157894736842101</v>
      </c>
      <c r="G216" s="2462" t="s">
        <v>1049</v>
      </c>
      <c r="H216" s="2463"/>
    </row>
    <row r="217" spans="1:12" ht="14.5">
      <c r="A217" s="1250"/>
      <c r="B217" s="1123"/>
      <c r="D217" s="1251" t="s">
        <v>1014</v>
      </c>
      <c r="E217" s="1123">
        <f>B10*150</f>
        <v>240</v>
      </c>
      <c r="G217" s="1251"/>
      <c r="H217" s="1136"/>
    </row>
    <row r="218" spans="1:12" ht="14.5">
      <c r="A218" s="1250"/>
      <c r="B218" s="1123"/>
      <c r="D218" s="1251"/>
      <c r="E218" s="1136"/>
      <c r="G218" s="1251" t="s">
        <v>1050</v>
      </c>
      <c r="H218" s="1123">
        <f>'WEEKLY FC'!E43</f>
        <v>0</v>
      </c>
    </row>
    <row r="219" spans="1:12" ht="14.5">
      <c r="A219" s="1250"/>
      <c r="B219" s="1123"/>
      <c r="D219" s="1251" t="s">
        <v>989</v>
      </c>
      <c r="E219" s="1123">
        <f>SUM(E215:E218)</f>
        <v>253.157894736842</v>
      </c>
      <c r="G219" s="1251" t="s">
        <v>1051</v>
      </c>
      <c r="H219" s="1123">
        <f>B236</f>
        <v>4446.5365486763503</v>
      </c>
    </row>
    <row r="220" spans="1:12" ht="14.5">
      <c r="A220" s="1251"/>
      <c r="B220" s="1123"/>
      <c r="D220" s="1308"/>
      <c r="E220" s="1309"/>
      <c r="G220" s="1251" t="s">
        <v>1052</v>
      </c>
      <c r="H220" s="1123">
        <f>H51</f>
        <v>897.49759615384596</v>
      </c>
    </row>
    <row r="221" spans="1:12" ht="14.5">
      <c r="A221" s="1251"/>
      <c r="B221" s="1123"/>
      <c r="D221" s="1250"/>
      <c r="E221" s="1123"/>
      <c r="G221" s="1251"/>
      <c r="H221" s="1136"/>
    </row>
    <row r="222" spans="1:12" ht="14.5">
      <c r="A222" s="1312"/>
      <c r="B222" s="1313"/>
      <c r="D222" s="1250"/>
      <c r="E222" s="1123"/>
      <c r="G222" s="1244" t="s">
        <v>644</v>
      </c>
      <c r="H222" s="354">
        <f>SUM(H218:H220)</f>
        <v>5344.0341448301897</v>
      </c>
    </row>
    <row r="223" spans="1:12" ht="14.5">
      <c r="A223" s="1250"/>
      <c r="B223" s="1317"/>
      <c r="D223" s="1250"/>
      <c r="E223" s="1123"/>
      <c r="G223" s="1327" t="s">
        <v>1053</v>
      </c>
      <c r="H223" s="354">
        <f>H222+H162</f>
        <v>7411.0478948301898</v>
      </c>
      <c r="L223" s="532" t="s">
        <v>61</v>
      </c>
    </row>
    <row r="224" spans="1:12" ht="14.5">
      <c r="A224" s="1312"/>
      <c r="B224" s="1318"/>
      <c r="D224" s="1251"/>
      <c r="E224" s="1123"/>
      <c r="G224" s="1244"/>
      <c r="H224" s="1136"/>
    </row>
    <row r="225" spans="1:12" ht="14.5">
      <c r="A225" s="1319"/>
      <c r="B225" s="1235"/>
      <c r="D225" s="1251"/>
      <c r="E225" s="1136"/>
      <c r="G225" s="1250"/>
      <c r="H225" s="1136"/>
    </row>
    <row r="226" spans="1:12" ht="14.5">
      <c r="D226" s="1312"/>
      <c r="E226" s="1313"/>
      <c r="G226" s="1244" t="s">
        <v>841</v>
      </c>
      <c r="H226" s="1136"/>
    </row>
    <row r="227" spans="1:12" ht="14.5">
      <c r="A227" s="2423" t="s">
        <v>1054</v>
      </c>
      <c r="B227" s="2422"/>
      <c r="D227" s="1250"/>
      <c r="E227" s="1298"/>
      <c r="G227" s="1250" t="s">
        <v>1055</v>
      </c>
      <c r="H227" s="1123">
        <f>'WEEKLY FC'!E154</f>
        <v>3480</v>
      </c>
    </row>
    <row r="228" spans="1:12" ht="14.5">
      <c r="A228" s="1122" t="s">
        <v>1056</v>
      </c>
      <c r="B228" s="1123">
        <f>'WEEKLY FC'!E11/2</f>
        <v>3077.3846153846198</v>
      </c>
      <c r="D228" s="1316"/>
      <c r="E228" s="1314"/>
      <c r="G228" s="1250" t="s">
        <v>196</v>
      </c>
      <c r="H228" s="1123">
        <f>'WEEKLY FC'!E143</f>
        <v>259</v>
      </c>
    </row>
    <row r="229" spans="1:12" ht="14.5">
      <c r="A229" s="1122" t="s">
        <v>692</v>
      </c>
      <c r="B229" s="1123">
        <f>E10</f>
        <v>198.94202898550699</v>
      </c>
      <c r="G229" s="1251"/>
      <c r="H229" s="1136"/>
    </row>
    <row r="230" spans="1:12" ht="14.5">
      <c r="A230" s="1122" t="s">
        <v>276</v>
      </c>
      <c r="B230" s="1123">
        <f>E11</f>
        <v>327.70499999999998</v>
      </c>
      <c r="D230" s="2462" t="s">
        <v>1057</v>
      </c>
      <c r="E230" s="2463"/>
      <c r="G230" s="1244" t="s">
        <v>644</v>
      </c>
      <c r="H230" s="1123">
        <f>H222+H227+H228</f>
        <v>9083.0341448301897</v>
      </c>
    </row>
    <row r="231" spans="1:12" ht="14.5">
      <c r="A231" s="1122" t="s">
        <v>696</v>
      </c>
      <c r="B231" s="1130">
        <f>E12</f>
        <v>234.1</v>
      </c>
      <c r="D231" s="1251" t="s">
        <v>1040</v>
      </c>
      <c r="E231" s="1123">
        <f>'WEEKLY FC'!E108</f>
        <v>0</v>
      </c>
      <c r="G231" s="1328" t="s">
        <v>1053</v>
      </c>
      <c r="H231" s="1314">
        <f>H223+H227+H228</f>
        <v>11150.047894830201</v>
      </c>
    </row>
    <row r="232" spans="1:12" ht="14.5">
      <c r="A232" s="1122" t="s">
        <v>400</v>
      </c>
      <c r="B232" s="1130">
        <f>E13</f>
        <v>606.10227272727298</v>
      </c>
      <c r="D232" s="1251" t="s">
        <v>1048</v>
      </c>
      <c r="E232" s="1123">
        <f>B25*0.05</f>
        <v>193.331578947368</v>
      </c>
    </row>
    <row r="233" spans="1:12" ht="14.5">
      <c r="A233" s="1122" t="s">
        <v>721</v>
      </c>
      <c r="B233" s="1135">
        <f>E14</f>
        <v>2.3026315789473699</v>
      </c>
      <c r="D233" s="1251" t="s">
        <v>1014</v>
      </c>
      <c r="E233" s="1123">
        <f>E217</f>
        <v>240</v>
      </c>
      <c r="G233" s="2462" t="s">
        <v>1058</v>
      </c>
      <c r="H233" s="2463"/>
    </row>
    <row r="234" spans="1:12" ht="14.5">
      <c r="A234" s="1122"/>
      <c r="B234" s="1129"/>
      <c r="D234" s="1251" t="s">
        <v>1059</v>
      </c>
      <c r="E234" s="1123">
        <f>'WEEKLY FC'!E76/370*5</f>
        <v>0</v>
      </c>
      <c r="G234" s="1251"/>
      <c r="H234" s="1136"/>
    </row>
    <row r="235" spans="1:12" ht="14.5">
      <c r="A235" s="1122" t="s">
        <v>734</v>
      </c>
      <c r="B235" s="1137">
        <f>E16</f>
        <v>20.945</v>
      </c>
      <c r="D235" s="1251" t="s">
        <v>989</v>
      </c>
      <c r="E235" s="1123">
        <f>SUM(E231:E234)</f>
        <v>433.33157894736797</v>
      </c>
      <c r="G235" s="1251" t="s">
        <v>1050</v>
      </c>
      <c r="H235" s="1123">
        <f>H218</f>
        <v>0</v>
      </c>
    </row>
    <row r="236" spans="1:12" ht="14.5">
      <c r="A236" s="1327" t="s">
        <v>1060</v>
      </c>
      <c r="B236" s="1329">
        <f>SUM(B228:B234)</f>
        <v>4446.5365486763503</v>
      </c>
      <c r="D236" s="1308"/>
      <c r="E236" s="1309"/>
      <c r="G236" s="1251" t="s">
        <v>1051</v>
      </c>
      <c r="H236" s="1123">
        <f>H219</f>
        <v>4446.5365486763503</v>
      </c>
    </row>
    <row r="237" spans="1:12" ht="14.5">
      <c r="A237" s="1122"/>
      <c r="B237" s="1140"/>
      <c r="D237" s="1308"/>
      <c r="E237" s="1309"/>
      <c r="G237" s="1251" t="s">
        <v>261</v>
      </c>
      <c r="H237" s="1123">
        <f>E135</f>
        <v>1686.4853125</v>
      </c>
      <c r="L237" s="1332"/>
    </row>
    <row r="238" spans="1:12" ht="14.5">
      <c r="A238" s="1131"/>
      <c r="B238" s="1143"/>
      <c r="D238" s="1250"/>
      <c r="E238" s="1123"/>
      <c r="G238" s="1251"/>
      <c r="H238" s="1136"/>
    </row>
    <row r="239" spans="1:12" ht="14.5">
      <c r="D239" s="1250"/>
      <c r="E239" s="1123"/>
      <c r="G239" s="1244" t="s">
        <v>644</v>
      </c>
      <c r="H239" s="354">
        <f>SUM(H235:H237)</f>
        <v>6133.0218611763503</v>
      </c>
    </row>
    <row r="240" spans="1:12" ht="14.5">
      <c r="A240" s="2423" t="s">
        <v>89</v>
      </c>
      <c r="B240" s="2422"/>
      <c r="D240" s="1250"/>
      <c r="E240" s="1123"/>
      <c r="G240" s="1327" t="s">
        <v>1053</v>
      </c>
      <c r="H240" s="354">
        <f>H239+H162</f>
        <v>8200.0356111763504</v>
      </c>
    </row>
    <row r="241" spans="1:8" ht="14.5">
      <c r="A241" s="1122" t="s">
        <v>89</v>
      </c>
      <c r="B241" s="1123">
        <f>'WEEKLY FC'!E25</f>
        <v>35000</v>
      </c>
      <c r="D241" s="1251"/>
      <c r="E241" s="1123"/>
      <c r="G241" s="1244"/>
      <c r="H241" s="1136"/>
    </row>
    <row r="242" spans="1:8" ht="14.5">
      <c r="A242" s="1122" t="s">
        <v>692</v>
      </c>
      <c r="B242" s="1123">
        <f>'WEEKLY FC'!E324/60</f>
        <v>1372.7</v>
      </c>
      <c r="D242" s="1251"/>
      <c r="E242" s="1136"/>
      <c r="G242" s="1250"/>
      <c r="H242" s="1136"/>
    </row>
    <row r="243" spans="1:8" ht="14.5">
      <c r="A243" s="1122" t="s">
        <v>276</v>
      </c>
      <c r="B243" s="1123">
        <f>('WEEKLY FC'!E331*7)</f>
        <v>65541</v>
      </c>
      <c r="D243" s="1312"/>
      <c r="E243" s="1313"/>
      <c r="G243" s="1244" t="s">
        <v>841</v>
      </c>
      <c r="H243" s="1136"/>
    </row>
    <row r="244" spans="1:8" ht="14.5">
      <c r="A244" s="1122" t="s">
        <v>696</v>
      </c>
      <c r="B244" s="1130">
        <f>('WEEKLY FC'!E325*2)</f>
        <v>46820</v>
      </c>
      <c r="D244" s="1250"/>
      <c r="E244" s="1298"/>
      <c r="G244" s="1250" t="s">
        <v>1055</v>
      </c>
      <c r="H244" s="1123">
        <f>H227</f>
        <v>3480</v>
      </c>
    </row>
    <row r="245" spans="1:8" ht="14.5">
      <c r="A245" s="1122" t="s">
        <v>1061</v>
      </c>
      <c r="B245" s="1130">
        <f>'WEEKLY FC'!E344</f>
        <v>4189</v>
      </c>
      <c r="D245" s="1316"/>
      <c r="E245" s="1314"/>
      <c r="G245" s="1250"/>
      <c r="H245" s="1123"/>
    </row>
    <row r="246" spans="1:8" ht="14.5">
      <c r="A246" s="1122" t="s">
        <v>400</v>
      </c>
      <c r="B246" s="1130">
        <f>'WEEKLY FC'!E168/150</f>
        <v>133.3425</v>
      </c>
      <c r="G246" s="1250" t="s">
        <v>196</v>
      </c>
      <c r="H246" s="1123">
        <f>H228</f>
        <v>259</v>
      </c>
    </row>
    <row r="247" spans="1:8" ht="14.5">
      <c r="A247" s="1122" t="s">
        <v>721</v>
      </c>
      <c r="B247" s="1135">
        <f>('WEEKLY FC'!E77/19000)*1750</f>
        <v>460.52631578947398</v>
      </c>
      <c r="D247" s="2462" t="s">
        <v>1062</v>
      </c>
      <c r="E247" s="2463"/>
      <c r="G247" s="1251"/>
      <c r="H247" s="1136"/>
    </row>
    <row r="248" spans="1:8" ht="14.5">
      <c r="A248" s="1122" t="s">
        <v>1063</v>
      </c>
      <c r="B248" s="1330">
        <f>SUM(B243:B245)+(B247)</f>
        <v>117010.526315789</v>
      </c>
      <c r="D248" s="1251" t="s">
        <v>1040</v>
      </c>
      <c r="E248" s="1123">
        <f>'WEEKLY FC'!E104</f>
        <v>0</v>
      </c>
      <c r="G248" s="1244" t="s">
        <v>644</v>
      </c>
      <c r="H248" s="1123">
        <f>H239+H244+H246</f>
        <v>9872.0218611763503</v>
      </c>
    </row>
    <row r="249" spans="1:8" ht="14.5">
      <c r="A249" s="1122"/>
      <c r="B249" s="1137">
        <f>B248/25</f>
        <v>4680.4210526315801</v>
      </c>
      <c r="D249" s="1251" t="s">
        <v>1064</v>
      </c>
      <c r="E249" s="1123">
        <f>0.135*B9</f>
        <v>35.526315789473699</v>
      </c>
      <c r="G249" s="1328" t="s">
        <v>1053</v>
      </c>
      <c r="H249" s="1314">
        <f>H240+H244+H246</f>
        <v>11939.035611176299</v>
      </c>
    </row>
    <row r="250" spans="1:8" ht="14.5">
      <c r="A250" s="1327" t="s">
        <v>989</v>
      </c>
      <c r="B250" s="1329">
        <f>B241+B242+B246+B249</f>
        <v>41186.463552631598</v>
      </c>
      <c r="D250" s="1251" t="s">
        <v>1014</v>
      </c>
      <c r="E250" s="1136"/>
    </row>
    <row r="251" spans="1:8" ht="14.5">
      <c r="B251" s="1140"/>
      <c r="D251" s="1251" t="s">
        <v>1042</v>
      </c>
      <c r="E251" s="1123">
        <f>E234</f>
        <v>0</v>
      </c>
    </row>
    <row r="252" spans="1:8" ht="14.5">
      <c r="A252" s="1327" t="s">
        <v>1065</v>
      </c>
      <c r="B252" s="1140"/>
      <c r="D252" s="1251" t="s">
        <v>989</v>
      </c>
      <c r="E252" s="1123">
        <f>SUM(E248:E251)</f>
        <v>35.526315789473699</v>
      </c>
      <c r="G252" s="2423" t="s">
        <v>1066</v>
      </c>
      <c r="H252" s="2422"/>
    </row>
    <row r="253" spans="1:8" ht="14.5">
      <c r="A253" s="1122" t="s">
        <v>209</v>
      </c>
      <c r="B253" s="1140">
        <f>'WEEKLY FC'!E154</f>
        <v>3480</v>
      </c>
      <c r="D253" s="1308"/>
      <c r="E253" s="1309"/>
      <c r="G253" s="1122" t="s">
        <v>89</v>
      </c>
      <c r="H253" s="1123">
        <f>B241</f>
        <v>35000</v>
      </c>
    </row>
    <row r="254" spans="1:8" ht="14.5">
      <c r="A254" s="1122" t="s">
        <v>1031</v>
      </c>
      <c r="B254" s="1140">
        <f>'WEEKLY FC'!E130</f>
        <v>666</v>
      </c>
      <c r="D254" s="1308"/>
      <c r="E254" s="1309"/>
      <c r="G254" s="1122" t="s">
        <v>692</v>
      </c>
      <c r="H254" s="1123">
        <f>B242</f>
        <v>1372.7</v>
      </c>
    </row>
    <row r="255" spans="1:8" ht="14.5">
      <c r="A255" s="1122" t="s">
        <v>1033</v>
      </c>
      <c r="B255" s="1140">
        <f>'WEEKLY FC'!E155</f>
        <v>540</v>
      </c>
      <c r="D255" s="1250"/>
      <c r="E255" s="1123"/>
      <c r="G255" s="1122" t="s">
        <v>276</v>
      </c>
      <c r="H255" s="1123">
        <f>('WEEKLY FC'!K343*5)</f>
        <v>0</v>
      </c>
    </row>
    <row r="256" spans="1:8" ht="14.5">
      <c r="A256" s="1122"/>
      <c r="B256" s="1140"/>
      <c r="D256" s="1250"/>
      <c r="E256" s="1123"/>
      <c r="G256" s="1331" t="s">
        <v>1067</v>
      </c>
      <c r="H256" s="1130">
        <f>('WEEKLY FC'!K337*2)</f>
        <v>0</v>
      </c>
    </row>
    <row r="257" spans="1:8" ht="14.5">
      <c r="A257" s="1328" t="s">
        <v>1068</v>
      </c>
      <c r="B257" s="1333">
        <f>SUM(B250:B255)</f>
        <v>45872.463552631598</v>
      </c>
      <c r="D257" s="1250"/>
      <c r="E257" s="1123"/>
      <c r="G257" s="1122" t="s">
        <v>400</v>
      </c>
      <c r="H257" s="1130">
        <f>'WEEKLY FC'!E168/4</f>
        <v>5000.34375</v>
      </c>
    </row>
    <row r="258" spans="1:8" ht="14.5">
      <c r="D258" s="1251"/>
      <c r="E258" s="1123"/>
      <c r="G258" s="1122" t="s">
        <v>721</v>
      </c>
      <c r="H258" s="1130">
        <f>B247</f>
        <v>460.52631578947398</v>
      </c>
    </row>
    <row r="259" spans="1:8" ht="14.5">
      <c r="D259" s="1251"/>
      <c r="E259" s="1136"/>
      <c r="G259" s="1122" t="s">
        <v>1063</v>
      </c>
      <c r="H259" s="1135">
        <f>(H255+H256+H258)/25</f>
        <v>18.421052631578899</v>
      </c>
    </row>
    <row r="260" spans="1:8" ht="14.5">
      <c r="A260" s="2466" t="s">
        <v>1069</v>
      </c>
      <c r="B260" s="2466"/>
      <c r="D260" s="1312"/>
      <c r="E260" s="1313"/>
      <c r="G260" s="1122" t="s">
        <v>731</v>
      </c>
      <c r="H260" s="1330">
        <f>'WEEKLY FC'!E334*4</f>
        <v>804</v>
      </c>
    </row>
    <row r="261" spans="1:8" ht="14.5">
      <c r="A261" s="1331" t="s">
        <v>1070</v>
      </c>
      <c r="B261" s="1335">
        <f>'WEEKLY FC'!E348/444</f>
        <v>121</v>
      </c>
      <c r="D261" s="1250"/>
      <c r="E261" s="1298"/>
      <c r="G261" s="1122"/>
      <c r="H261" s="1137"/>
    </row>
    <row r="262" spans="1:8" ht="14.5">
      <c r="A262" s="1331" t="s">
        <v>1071</v>
      </c>
      <c r="B262" s="1335">
        <f>'WEEKLY FC'!E348/666</f>
        <v>80.6666666666667</v>
      </c>
      <c r="D262" s="1316"/>
      <c r="E262" s="1314"/>
      <c r="G262" s="1327" t="s">
        <v>989</v>
      </c>
      <c r="H262" s="1329">
        <f>H253+H254+H259+H260</f>
        <v>37195.121052631599</v>
      </c>
    </row>
    <row r="263" spans="1:8" ht="14.5">
      <c r="A263" s="1331" t="s">
        <v>692</v>
      </c>
      <c r="B263" s="1335">
        <f>E10</f>
        <v>198.94202898550699</v>
      </c>
      <c r="H263" s="1140"/>
    </row>
    <row r="264" spans="1:8" ht="14.5">
      <c r="A264" s="1331" t="s">
        <v>276</v>
      </c>
      <c r="B264" s="1335">
        <f>'WEEKLY FC'!E331*5</f>
        <v>46815</v>
      </c>
      <c r="D264" s="2462" t="s">
        <v>1072</v>
      </c>
      <c r="E264" s="2463"/>
      <c r="G264" s="1327" t="s">
        <v>1065</v>
      </c>
      <c r="H264" s="1140"/>
    </row>
    <row r="265" spans="1:8" ht="14.5">
      <c r="A265" s="1331" t="s">
        <v>1067</v>
      </c>
      <c r="B265" s="1336">
        <f>'WEEKLY FC'!E351</f>
        <v>150183</v>
      </c>
      <c r="D265" s="1251" t="s">
        <v>1040</v>
      </c>
      <c r="E265" s="1123">
        <f>'WEEKLY FC'!E109</f>
        <v>0</v>
      </c>
      <c r="G265" s="1122" t="s">
        <v>209</v>
      </c>
      <c r="H265" s="1140">
        <f>'WEEKLY FC'!K166</f>
        <v>0</v>
      </c>
    </row>
    <row r="266" spans="1:8" ht="14.5">
      <c r="A266" s="1331" t="s">
        <v>721</v>
      </c>
      <c r="B266" s="1336">
        <f>'WEEKLY FC'!E77/19000*1750</f>
        <v>460.52631578947398</v>
      </c>
      <c r="D266" s="1251" t="s">
        <v>1073</v>
      </c>
      <c r="E266" s="1123">
        <f>E216</f>
        <v>13.157894736842101</v>
      </c>
      <c r="G266" s="1122" t="s">
        <v>1031</v>
      </c>
      <c r="H266" s="1140">
        <f>'WEEKLY FC'!K142</f>
        <v>0</v>
      </c>
    </row>
    <row r="267" spans="1:8" ht="14.5">
      <c r="A267" s="1331" t="s">
        <v>1074</v>
      </c>
      <c r="B267" s="1337">
        <f>SUM(B264:B266)/130</f>
        <v>1518.91174089069</v>
      </c>
      <c r="D267" s="1251" t="s">
        <v>1014</v>
      </c>
      <c r="E267" s="1123">
        <f>E233</f>
        <v>240</v>
      </c>
      <c r="G267" s="1122" t="s">
        <v>1033</v>
      </c>
      <c r="H267" s="1140">
        <f>'WEEKLY FC'!K167</f>
        <v>0</v>
      </c>
    </row>
    <row r="268" spans="1:8" ht="14.5">
      <c r="A268" s="1331" t="s">
        <v>731</v>
      </c>
      <c r="B268" s="1338">
        <f>'WEEKLY FC'!E334</f>
        <v>201</v>
      </c>
      <c r="D268" s="1251" t="s">
        <v>1059</v>
      </c>
      <c r="E268" s="1123">
        <f>E251</f>
        <v>0</v>
      </c>
      <c r="G268" s="1122" t="s">
        <v>1075</v>
      </c>
      <c r="H268" s="1140"/>
    </row>
    <row r="269" spans="1:8" ht="14.5">
      <c r="A269" s="1331" t="s">
        <v>400</v>
      </c>
      <c r="B269" s="1339">
        <f>'WEEKLY FC'!E168/33</f>
        <v>606.10227272727298</v>
      </c>
      <c r="D269" s="1251" t="s">
        <v>989</v>
      </c>
      <c r="E269" s="1123">
        <f>SUM(E265:E268)</f>
        <v>253.157894736842</v>
      </c>
      <c r="G269" s="1328" t="s">
        <v>1068</v>
      </c>
      <c r="H269" s="1333">
        <f>SUM(H262:H267)</f>
        <v>37195.121052631599</v>
      </c>
    </row>
    <row r="270" spans="1:8" ht="14.5">
      <c r="A270" s="1331" t="s">
        <v>1076</v>
      </c>
      <c r="B270" s="1340">
        <f>SUM(B261+B263+B267+B268+B269)</f>
        <v>2645.95604260347</v>
      </c>
      <c r="D270" s="1308"/>
      <c r="E270" s="1309"/>
    </row>
    <row r="271" spans="1:8" ht="14.5">
      <c r="A271" s="1331" t="s">
        <v>1077</v>
      </c>
      <c r="B271" s="1341">
        <f>B262+B263+B267+B268+B269</f>
        <v>2605.6227092701301</v>
      </c>
      <c r="D271" s="1308"/>
      <c r="E271" s="1309"/>
      <c r="G271" s="2462" t="s">
        <v>1078</v>
      </c>
      <c r="H271" s="2463"/>
    </row>
    <row r="272" spans="1:8" ht="14.5">
      <c r="A272" s="1331" t="s">
        <v>1079</v>
      </c>
      <c r="B272" s="1342">
        <f>'WEEKLY FC'!E12+'HITUNGAN HPP PRODUK'!B270</f>
        <v>10031.6791195265</v>
      </c>
      <c r="D272" s="1250"/>
      <c r="E272" s="1123"/>
      <c r="G272" s="1251" t="s">
        <v>1040</v>
      </c>
      <c r="H272" s="1123">
        <f>'WEEKLY FC'!E107</f>
        <v>0</v>
      </c>
    </row>
    <row r="273" spans="1:8" ht="14.5">
      <c r="A273" s="1331" t="s">
        <v>1080</v>
      </c>
      <c r="B273" s="1343">
        <f>'WEEKLY FC'!E13+'HITUNGAN HPP PRODUK'!B270</f>
        <v>8595.56631183424</v>
      </c>
      <c r="D273" s="1250"/>
      <c r="E273" s="1123"/>
      <c r="G273" s="1251" t="s">
        <v>1081</v>
      </c>
      <c r="H273" s="1123">
        <f>H201</f>
        <v>26.315789473684202</v>
      </c>
    </row>
    <row r="274" spans="1:8" ht="14.5">
      <c r="A274" s="1331" t="s">
        <v>1082</v>
      </c>
      <c r="B274" s="1343">
        <f>B271+'WEEKLY FC'!E14</f>
        <v>6503.6419400393597</v>
      </c>
      <c r="D274" s="1250"/>
      <c r="E274" s="1123"/>
      <c r="G274" s="1251" t="s">
        <v>1083</v>
      </c>
      <c r="H274" s="1123">
        <f>B10*120</f>
        <v>192</v>
      </c>
    </row>
    <row r="275" spans="1:8" ht="14.5">
      <c r="A275" s="1331" t="s">
        <v>1084</v>
      </c>
      <c r="B275" s="1343">
        <f>B271+'WEEKLY FC'!E15</f>
        <v>6913.9611708085904</v>
      </c>
      <c r="D275" s="1251"/>
      <c r="E275" s="1123"/>
      <c r="G275" s="1251" t="s">
        <v>1059</v>
      </c>
      <c r="H275" s="1123">
        <f>E251</f>
        <v>0</v>
      </c>
    </row>
    <row r="276" spans="1:8" ht="14.5">
      <c r="A276" s="1122"/>
      <c r="D276" s="1251"/>
      <c r="E276" s="1136"/>
      <c r="G276" s="1251" t="s">
        <v>989</v>
      </c>
      <c r="H276" s="1123">
        <f>SUM(H272:H275)</f>
        <v>218.31578947368399</v>
      </c>
    </row>
    <row r="277" spans="1:8" ht="14.5">
      <c r="D277" s="1312"/>
      <c r="E277" s="1313"/>
      <c r="G277" s="1308"/>
      <c r="H277" s="1309"/>
    </row>
    <row r="278" spans="1:8" ht="14.5">
      <c r="A278" s="2466" t="s">
        <v>865</v>
      </c>
      <c r="B278" s="2466"/>
      <c r="D278" s="1250"/>
      <c r="E278" s="1298"/>
      <c r="G278" s="1308"/>
      <c r="H278" s="1309"/>
    </row>
    <row r="279" spans="1:8" ht="14.5">
      <c r="A279" s="1331" t="s">
        <v>1085</v>
      </c>
      <c r="B279" s="1335">
        <f>'WEEKLY FC'!E349/1000*300</f>
        <v>0</v>
      </c>
      <c r="D279" s="1316"/>
      <c r="E279" s="1314"/>
      <c r="G279" s="1250"/>
      <c r="H279" s="1123"/>
    </row>
    <row r="280" spans="1:8" ht="14.5">
      <c r="A280" s="1331" t="s">
        <v>293</v>
      </c>
      <c r="B280" s="1335">
        <f>'WEEKLY FC'!E347/100*90</f>
        <v>0</v>
      </c>
      <c r="G280" s="1344"/>
      <c r="H280" s="1345"/>
    </row>
    <row r="281" spans="1:8" ht="14.5">
      <c r="A281" s="1331" t="s">
        <v>1086</v>
      </c>
      <c r="B281" s="1335">
        <f>'WEEKLY FC'!E350/200</f>
        <v>0</v>
      </c>
      <c r="D281" s="2423" t="s">
        <v>1087</v>
      </c>
      <c r="E281" s="2422"/>
      <c r="G281" s="1250"/>
      <c r="H281" s="1123"/>
    </row>
    <row r="282" spans="1:8" ht="14.5">
      <c r="A282" s="1331" t="s">
        <v>877</v>
      </c>
      <c r="B282" s="1335">
        <f>'WEEKLY FC'!E168/80</f>
        <v>250.01718750000001</v>
      </c>
      <c r="D282" s="1122" t="s">
        <v>1088</v>
      </c>
      <c r="E282" s="1123">
        <f>'WEEKLY FC'!E20</f>
        <v>4904.8888888888896</v>
      </c>
      <c r="G282" s="2462" t="s">
        <v>1089</v>
      </c>
      <c r="H282" s="2463"/>
    </row>
    <row r="283" spans="1:8" ht="18.5">
      <c r="A283" s="1331"/>
      <c r="B283" s="1336"/>
      <c r="D283" s="1122" t="s">
        <v>692</v>
      </c>
      <c r="E283" s="1123">
        <f t="shared" ref="E283:E289" si="36">E10</f>
        <v>198.94202898550699</v>
      </c>
      <c r="G283" s="586" t="s">
        <v>1089</v>
      </c>
      <c r="H283" s="1123">
        <f>'WEEKLY FC'!E116</f>
        <v>3235.65</v>
      </c>
    </row>
    <row r="284" spans="1:8" ht="14.5">
      <c r="A284" s="1331" t="s">
        <v>1090</v>
      </c>
      <c r="B284" s="1336">
        <f>(B279+B280)/24</f>
        <v>0</v>
      </c>
      <c r="D284" s="1122" t="s">
        <v>276</v>
      </c>
      <c r="E284" s="1123">
        <f t="shared" si="36"/>
        <v>327.70499999999998</v>
      </c>
      <c r="G284" s="1251" t="s">
        <v>1081</v>
      </c>
      <c r="H284" s="1123">
        <f>H201</f>
        <v>26.315789473684202</v>
      </c>
    </row>
    <row r="285" spans="1:8" ht="14.5">
      <c r="A285" s="1331"/>
      <c r="B285" s="1337"/>
      <c r="D285" s="1122" t="s">
        <v>696</v>
      </c>
      <c r="E285" s="1130">
        <f t="shared" si="36"/>
        <v>234.1</v>
      </c>
      <c r="G285" s="1251" t="s">
        <v>1014</v>
      </c>
      <c r="H285" s="1123">
        <f>E233</f>
        <v>240</v>
      </c>
    </row>
    <row r="286" spans="1:8" ht="14.5">
      <c r="A286" s="1331" t="s">
        <v>748</v>
      </c>
      <c r="B286" s="1346">
        <f>B284+B282+B281</f>
        <v>250.01718750000001</v>
      </c>
      <c r="D286" s="1122" t="s">
        <v>400</v>
      </c>
      <c r="E286" s="1130">
        <f t="shared" si="36"/>
        <v>606.10227272727298</v>
      </c>
      <c r="G286" s="1251" t="s">
        <v>1091</v>
      </c>
      <c r="H286" s="1123">
        <f>'WEEKLY FC'!E81/370*25</f>
        <v>952.70270270270305</v>
      </c>
    </row>
    <row r="287" spans="1:8" ht="14.5">
      <c r="A287" s="1331"/>
      <c r="B287" s="1339"/>
      <c r="D287" s="1122" t="s">
        <v>721</v>
      </c>
      <c r="E287" s="1135">
        <f t="shared" si="36"/>
        <v>2.3026315789473699</v>
      </c>
      <c r="G287" s="1251" t="s">
        <v>989</v>
      </c>
      <c r="H287" s="1123">
        <f>SUM(H283:H286)</f>
        <v>4454.6684921763899</v>
      </c>
    </row>
    <row r="288" spans="1:8" ht="14.5">
      <c r="A288" s="1331"/>
      <c r="B288" s="1340"/>
      <c r="D288" s="1122" t="s">
        <v>731</v>
      </c>
      <c r="E288" s="1124">
        <f t="shared" si="36"/>
        <v>407</v>
      </c>
      <c r="G288" s="1308"/>
      <c r="H288" s="1309"/>
    </row>
    <row r="289" spans="1:10" ht="14.5">
      <c r="A289" s="1331"/>
      <c r="B289" s="1341"/>
      <c r="D289" s="1122" t="s">
        <v>734</v>
      </c>
      <c r="E289" s="1137">
        <f t="shared" si="36"/>
        <v>20.945</v>
      </c>
      <c r="G289" s="1308"/>
      <c r="H289" s="1309"/>
    </row>
    <row r="290" spans="1:10" ht="14.5">
      <c r="A290" s="1331"/>
      <c r="B290" s="1342"/>
      <c r="D290" s="1122" t="s">
        <v>741</v>
      </c>
      <c r="E290" s="1138">
        <f>SUM(E282:E289)</f>
        <v>6701.9858221806198</v>
      </c>
      <c r="G290" s="1250"/>
      <c r="H290" s="1123"/>
    </row>
    <row r="291" spans="1:10" ht="14.5">
      <c r="A291" s="1331"/>
      <c r="B291" s="1343"/>
      <c r="D291" s="1122"/>
      <c r="E291" s="1140"/>
      <c r="G291" s="1344"/>
      <c r="H291" s="1345"/>
    </row>
    <row r="292" spans="1:10" ht="14.5">
      <c r="A292" s="1331"/>
      <c r="B292" s="1343"/>
      <c r="D292" s="1131"/>
      <c r="E292" s="1143"/>
    </row>
    <row r="293" spans="1:10" ht="18.5">
      <c r="A293" s="1331"/>
      <c r="B293" s="1343"/>
      <c r="D293" s="1141"/>
      <c r="E293" s="1347"/>
      <c r="G293" s="2462" t="s">
        <v>1092</v>
      </c>
      <c r="H293" s="2463"/>
      <c r="J293" s="535"/>
    </row>
    <row r="294" spans="1:10" ht="18.5">
      <c r="G294" s="587" t="s">
        <v>1092</v>
      </c>
      <c r="H294" s="1123">
        <f>'WEEKLY FC'!E118</f>
        <v>2808.3</v>
      </c>
      <c r="J294" s="535"/>
    </row>
    <row r="295" spans="1:10" ht="14.5">
      <c r="A295" s="2462" t="s">
        <v>729</v>
      </c>
      <c r="B295" s="2463"/>
      <c r="D295" s="2423" t="s">
        <v>1093</v>
      </c>
      <c r="E295" s="2422"/>
      <c r="G295" s="1251" t="s">
        <v>1081</v>
      </c>
      <c r="H295" s="1123">
        <f>H284</f>
        <v>26.315789473684202</v>
      </c>
    </row>
    <row r="296" spans="1:10" ht="18.5">
      <c r="A296" s="586" t="s">
        <v>729</v>
      </c>
      <c r="B296" s="1123">
        <f>'WEEKLY FC'!E120</f>
        <v>0</v>
      </c>
      <c r="D296" s="1122" t="s">
        <v>689</v>
      </c>
      <c r="E296" s="1123">
        <f>'WEEKLY FC'!E21</f>
        <v>5722.3703703703704</v>
      </c>
      <c r="G296" s="1251" t="s">
        <v>1014</v>
      </c>
      <c r="H296" s="1123">
        <f>H285</f>
        <v>240</v>
      </c>
    </row>
    <row r="297" spans="1:10" ht="14.5">
      <c r="A297" s="1251" t="s">
        <v>1094</v>
      </c>
      <c r="B297" s="1123">
        <f>B9</f>
        <v>263.15789473684202</v>
      </c>
      <c r="D297" s="1122" t="s">
        <v>692</v>
      </c>
      <c r="E297" s="1123">
        <f t="shared" ref="E297:E303" si="37">E283</f>
        <v>198.94202898550699</v>
      </c>
      <c r="G297" s="1251" t="s">
        <v>1091</v>
      </c>
      <c r="H297" s="1123">
        <f>H286</f>
        <v>952.70270270270305</v>
      </c>
    </row>
    <row r="298" spans="1:10" ht="14.5">
      <c r="A298" s="1251" t="s">
        <v>1095</v>
      </c>
      <c r="B298" s="1123">
        <f>B9*8</f>
        <v>2105.2631578947398</v>
      </c>
      <c r="D298" s="1122" t="s">
        <v>276</v>
      </c>
      <c r="E298" s="1123">
        <f t="shared" si="37"/>
        <v>327.70499999999998</v>
      </c>
      <c r="G298" s="1251" t="s">
        <v>989</v>
      </c>
      <c r="H298" s="1123">
        <f>SUM(H294:H297)</f>
        <v>4027.31849217639</v>
      </c>
    </row>
    <row r="299" spans="1:10" ht="14.5">
      <c r="A299" s="1251" t="s">
        <v>1096</v>
      </c>
      <c r="B299" s="1123">
        <f>'WEEKLY FC'!E78/10000*100</f>
        <v>160</v>
      </c>
      <c r="D299" s="1122" t="s">
        <v>696</v>
      </c>
      <c r="E299" s="1130">
        <f t="shared" si="37"/>
        <v>234.1</v>
      </c>
      <c r="G299" s="1308"/>
      <c r="H299" s="1309"/>
    </row>
    <row r="300" spans="1:10" ht="14.5">
      <c r="A300" s="1251" t="s">
        <v>1097</v>
      </c>
      <c r="B300" s="1123">
        <f>SUM(B296:B298)/40</f>
        <v>59.210526315789501</v>
      </c>
      <c r="D300" s="1122" t="s">
        <v>400</v>
      </c>
      <c r="E300" s="1130">
        <f t="shared" si="37"/>
        <v>606.10227272727298</v>
      </c>
      <c r="G300" s="1308"/>
      <c r="H300" s="1309"/>
    </row>
    <row r="301" spans="1:10" ht="14.5">
      <c r="A301" s="1251" t="s">
        <v>989</v>
      </c>
      <c r="B301" s="1320">
        <f>B300+B299</f>
        <v>219.210526315789</v>
      </c>
      <c r="D301" s="1122" t="s">
        <v>721</v>
      </c>
      <c r="E301" s="1135">
        <f t="shared" si="37"/>
        <v>2.3026315789473699</v>
      </c>
      <c r="G301" s="1250"/>
      <c r="H301" s="1123"/>
    </row>
    <row r="302" spans="1:10" ht="14.5">
      <c r="A302" s="1308"/>
      <c r="B302" s="1309"/>
      <c r="D302" s="1122" t="s">
        <v>731</v>
      </c>
      <c r="E302" s="1124">
        <f t="shared" si="37"/>
        <v>407</v>
      </c>
      <c r="G302" s="1344"/>
      <c r="H302" s="1345"/>
    </row>
    <row r="303" spans="1:10" ht="14.5">
      <c r="A303" s="1250"/>
      <c r="B303" s="1123"/>
      <c r="D303" s="1122" t="s">
        <v>734</v>
      </c>
      <c r="E303" s="1137">
        <f t="shared" si="37"/>
        <v>20.945</v>
      </c>
    </row>
    <row r="304" spans="1:10" ht="14.5">
      <c r="A304" s="1344"/>
      <c r="B304" s="1345"/>
      <c r="D304" s="1122" t="s">
        <v>741</v>
      </c>
      <c r="E304" s="1138">
        <f>SUM(E296:E303)</f>
        <v>7519.4673036620998</v>
      </c>
      <c r="G304" s="2462" t="s">
        <v>1098</v>
      </c>
      <c r="H304" s="2463"/>
    </row>
    <row r="305" spans="4:8" ht="18.5">
      <c r="D305" s="1122"/>
      <c r="E305" s="1140"/>
      <c r="G305" s="588" t="s">
        <v>1098</v>
      </c>
      <c r="H305" s="1123">
        <f>'WEEKLY FC'!E117</f>
        <v>3663</v>
      </c>
    </row>
    <row r="306" spans="4:8" ht="14.5">
      <c r="D306" s="1131"/>
      <c r="E306" s="1143"/>
      <c r="G306" s="1251" t="s">
        <v>1081</v>
      </c>
      <c r="H306" s="1123">
        <f>H295</f>
        <v>26.315789473684202</v>
      </c>
    </row>
    <row r="307" spans="4:8" ht="14.5">
      <c r="G307" s="1251" t="s">
        <v>1014</v>
      </c>
      <c r="H307" s="1123">
        <f>H296</f>
        <v>240</v>
      </c>
    </row>
    <row r="308" spans="4:8" ht="14.5">
      <c r="D308" s="2423" t="s">
        <v>1099</v>
      </c>
      <c r="E308" s="2422"/>
      <c r="G308" s="1251" t="s">
        <v>1091</v>
      </c>
      <c r="H308" s="1123">
        <f>H297</f>
        <v>952.70270270270305</v>
      </c>
    </row>
    <row r="309" spans="4:8" ht="14.5">
      <c r="D309" s="1122" t="s">
        <v>750</v>
      </c>
      <c r="E309" s="1123">
        <f>'WEEKLY FC'!E22</f>
        <v>5313.6296296296296</v>
      </c>
      <c r="G309" s="1251" t="s">
        <v>989</v>
      </c>
      <c r="H309" s="1123">
        <f>SUM(H305:H308)</f>
        <v>4882.0184921763903</v>
      </c>
    </row>
    <row r="310" spans="4:8" ht="14.5">
      <c r="D310" s="1122" t="s">
        <v>692</v>
      </c>
      <c r="E310" s="1123">
        <f t="shared" ref="E310:E316" si="38">E297</f>
        <v>198.94202898550699</v>
      </c>
      <c r="G310" s="1308"/>
      <c r="H310" s="1309"/>
    </row>
    <row r="311" spans="4:8" ht="14.5">
      <c r="D311" s="1122" t="s">
        <v>276</v>
      </c>
      <c r="E311" s="1123">
        <f t="shared" si="38"/>
        <v>327.70499999999998</v>
      </c>
      <c r="G311" s="1308"/>
      <c r="H311" s="1309"/>
    </row>
    <row r="312" spans="4:8" ht="14.5">
      <c r="D312" s="1122" t="s">
        <v>696</v>
      </c>
      <c r="E312" s="1130">
        <f t="shared" si="38"/>
        <v>234.1</v>
      </c>
      <c r="G312" s="1250"/>
      <c r="H312" s="1123"/>
    </row>
    <row r="313" spans="4:8" ht="14.5">
      <c r="D313" s="1122" t="s">
        <v>400</v>
      </c>
      <c r="E313" s="1130">
        <f t="shared" si="38"/>
        <v>606.10227272727298</v>
      </c>
      <c r="G313" s="1344"/>
      <c r="H313" s="1345"/>
    </row>
    <row r="314" spans="4:8" ht="14.5">
      <c r="D314" s="1122" t="s">
        <v>721</v>
      </c>
      <c r="E314" s="1135">
        <f t="shared" si="38"/>
        <v>2.3026315789473699</v>
      </c>
    </row>
    <row r="315" spans="4:8" ht="14.5">
      <c r="D315" s="1122" t="s">
        <v>731</v>
      </c>
      <c r="E315" s="1124">
        <f t="shared" si="38"/>
        <v>407</v>
      </c>
    </row>
    <row r="316" spans="4:8" ht="14.5">
      <c r="D316" s="1122" t="s">
        <v>734</v>
      </c>
      <c r="E316" s="1137">
        <f t="shared" si="38"/>
        <v>20.945</v>
      </c>
    </row>
    <row r="317" spans="4:8" ht="14.5">
      <c r="D317" s="1122" t="s">
        <v>780</v>
      </c>
      <c r="E317" s="1144">
        <f>SUM(E309:E316)</f>
        <v>7110.7265629213598</v>
      </c>
    </row>
    <row r="318" spans="4:8" ht="14.5">
      <c r="D318" s="1122"/>
      <c r="E318" s="1140"/>
    </row>
    <row r="319" spans="4:8" ht="14.5">
      <c r="D319" s="1131"/>
      <c r="E319" s="1143"/>
    </row>
    <row r="321" spans="4:5" ht="14.5">
      <c r="D321" s="2423" t="s">
        <v>1100</v>
      </c>
      <c r="E321" s="2422"/>
    </row>
    <row r="322" spans="4:5" ht="14.5">
      <c r="D322" s="1122" t="s">
        <v>786</v>
      </c>
      <c r="E322" s="1123">
        <f>'WEEKLY FC'!E23</f>
        <v>3269.9259259259302</v>
      </c>
    </row>
    <row r="323" spans="4:5" ht="14.5">
      <c r="D323" s="1122" t="s">
        <v>692</v>
      </c>
      <c r="E323" s="1123">
        <f t="shared" ref="E323:E328" si="39">E310</f>
        <v>198.94202898550699</v>
      </c>
    </row>
    <row r="324" spans="4:5" ht="14.5">
      <c r="D324" s="1122" t="s">
        <v>276</v>
      </c>
      <c r="E324" s="1123">
        <f t="shared" si="39"/>
        <v>327.70499999999998</v>
      </c>
    </row>
    <row r="325" spans="4:5" ht="14.5">
      <c r="D325" s="1122" t="s">
        <v>696</v>
      </c>
      <c r="E325" s="1130">
        <f t="shared" si="39"/>
        <v>234.1</v>
      </c>
    </row>
    <row r="326" spans="4:5" ht="14.5">
      <c r="D326" s="1122" t="s">
        <v>400</v>
      </c>
      <c r="E326" s="1130">
        <f t="shared" si="39"/>
        <v>606.10227272727298</v>
      </c>
    </row>
    <row r="327" spans="4:5" ht="14.5">
      <c r="D327" s="1122" t="s">
        <v>721</v>
      </c>
      <c r="E327" s="1135">
        <f t="shared" si="39"/>
        <v>2.3026315789473699</v>
      </c>
    </row>
    <row r="328" spans="4:5" ht="14.5">
      <c r="D328" s="1122" t="s">
        <v>731</v>
      </c>
      <c r="E328" s="1123">
        <f t="shared" si="39"/>
        <v>407</v>
      </c>
    </row>
    <row r="329" spans="4:5" ht="14.5">
      <c r="D329" s="1122" t="s">
        <v>734</v>
      </c>
      <c r="E329" s="1137">
        <f>E303</f>
        <v>20.945</v>
      </c>
    </row>
    <row r="330" spans="4:5" ht="14.5">
      <c r="D330" s="1122" t="s">
        <v>818</v>
      </c>
      <c r="E330" s="1144">
        <f>SUM(E322:E329)</f>
        <v>5067.02285921766</v>
      </c>
    </row>
    <row r="331" spans="4:5" ht="14.5">
      <c r="D331" s="1122"/>
      <c r="E331" s="1140"/>
    </row>
    <row r="332" spans="4:5" ht="14.5">
      <c r="D332" s="1148"/>
      <c r="E332" s="1149"/>
    </row>
    <row r="334" spans="4:5" ht="14.5">
      <c r="D334" s="2423" t="s">
        <v>1101</v>
      </c>
      <c r="E334" s="2422"/>
    </row>
    <row r="335" spans="4:5" ht="14.5">
      <c r="D335" s="1122" t="s">
        <v>838</v>
      </c>
      <c r="E335" s="1123">
        <f>'WEEKLY FC'!E24</f>
        <v>3678.6666666666702</v>
      </c>
    </row>
    <row r="336" spans="4:5" ht="14.5">
      <c r="D336" s="1122" t="s">
        <v>692</v>
      </c>
      <c r="E336" s="1123">
        <f t="shared" ref="E336:E341" si="40">E323</f>
        <v>198.94202898550699</v>
      </c>
    </row>
    <row r="337" spans="4:5" ht="14.5">
      <c r="D337" s="1122" t="s">
        <v>276</v>
      </c>
      <c r="E337" s="1123">
        <f t="shared" si="40"/>
        <v>327.70499999999998</v>
      </c>
    </row>
    <row r="338" spans="4:5" ht="14.5">
      <c r="D338" s="1122" t="s">
        <v>696</v>
      </c>
      <c r="E338" s="1130">
        <f t="shared" si="40"/>
        <v>234.1</v>
      </c>
    </row>
    <row r="339" spans="4:5" ht="14.5">
      <c r="D339" s="1122" t="s">
        <v>400</v>
      </c>
      <c r="E339" s="1130">
        <f t="shared" si="40"/>
        <v>606.10227272727298</v>
      </c>
    </row>
    <row r="340" spans="4:5" ht="14.5">
      <c r="D340" s="1122" t="s">
        <v>721</v>
      </c>
      <c r="E340" s="1135">
        <f t="shared" si="40"/>
        <v>2.3026315789473699</v>
      </c>
    </row>
    <row r="341" spans="4:5" ht="14.5">
      <c r="D341" s="1122" t="s">
        <v>731</v>
      </c>
      <c r="E341" s="1123">
        <f t="shared" si="40"/>
        <v>407</v>
      </c>
    </row>
    <row r="342" spans="4:5" ht="14.5">
      <c r="D342" s="1122" t="s">
        <v>734</v>
      </c>
      <c r="E342" s="1137">
        <f>E303</f>
        <v>20.945</v>
      </c>
    </row>
    <row r="343" spans="4:5" ht="14.5">
      <c r="D343" s="1122" t="s">
        <v>854</v>
      </c>
      <c r="E343" s="1144">
        <f>SUM(E335:E342)</f>
        <v>5475.7635999583999</v>
      </c>
    </row>
    <row r="344" spans="4:5" ht="14.5">
      <c r="D344" s="1122"/>
      <c r="E344" s="1140"/>
    </row>
    <row r="345" spans="4:5" ht="14.5">
      <c r="D345" s="1148"/>
      <c r="E345" s="1149"/>
    </row>
  </sheetData>
  <mergeCells count="385">
    <mergeCell ref="AU68:BL69"/>
    <mergeCell ref="AZ7:BE8"/>
    <mergeCell ref="AS53:BF54"/>
    <mergeCell ref="AU36:BL37"/>
    <mergeCell ref="AS22:BF23"/>
    <mergeCell ref="AS7:AX8"/>
    <mergeCell ref="AD36:AI37"/>
    <mergeCell ref="J68:AA69"/>
    <mergeCell ref="X53:AQ54"/>
    <mergeCell ref="J50:U51"/>
    <mergeCell ref="BE57:BF57"/>
    <mergeCell ref="AL66:AM66"/>
    <mergeCell ref="AN66:AO66"/>
    <mergeCell ref="AP56:AQ56"/>
    <mergeCell ref="AS56:AT56"/>
    <mergeCell ref="AU56:AV56"/>
    <mergeCell ref="AW56:AX56"/>
    <mergeCell ref="AY56:AZ56"/>
    <mergeCell ref="BA56:BB56"/>
    <mergeCell ref="BC56:BD56"/>
    <mergeCell ref="BE56:BF56"/>
    <mergeCell ref="X57:Y57"/>
    <mergeCell ref="Z57:AA57"/>
    <mergeCell ref="AB57:AC57"/>
    <mergeCell ref="L3:AO5"/>
    <mergeCell ref="AL36:AS37"/>
    <mergeCell ref="J36:S37"/>
    <mergeCell ref="V36:AA37"/>
    <mergeCell ref="Z7:AQ8"/>
    <mergeCell ref="Z22:AG23"/>
    <mergeCell ref="J8:W9"/>
    <mergeCell ref="J22:W23"/>
    <mergeCell ref="AJ22:AQ23"/>
    <mergeCell ref="AF26:AG26"/>
    <mergeCell ref="AJ26:AK26"/>
    <mergeCell ref="AL26:AM26"/>
    <mergeCell ref="AN26:AO26"/>
    <mergeCell ref="AP26:AQ26"/>
    <mergeCell ref="AS26:AT26"/>
    <mergeCell ref="AN25:AO25"/>
    <mergeCell ref="AP25:AQ25"/>
    <mergeCell ref="AS25:AT25"/>
    <mergeCell ref="AL11:AM11"/>
    <mergeCell ref="AN11:AO11"/>
    <mergeCell ref="AP11:AQ11"/>
    <mergeCell ref="AS11:AT11"/>
    <mergeCell ref="D281:E281"/>
    <mergeCell ref="G282:H282"/>
    <mergeCell ref="G293:H293"/>
    <mergeCell ref="A295:B295"/>
    <mergeCell ref="D295:E295"/>
    <mergeCell ref="G304:H304"/>
    <mergeCell ref="D308:E308"/>
    <mergeCell ref="D321:E321"/>
    <mergeCell ref="D334:E334"/>
    <mergeCell ref="D230:E230"/>
    <mergeCell ref="G233:H233"/>
    <mergeCell ref="A240:B240"/>
    <mergeCell ref="D247:E247"/>
    <mergeCell ref="G252:H252"/>
    <mergeCell ref="A260:B260"/>
    <mergeCell ref="D264:E264"/>
    <mergeCell ref="G271:H271"/>
    <mergeCell ref="A278:B278"/>
    <mergeCell ref="D188:E188"/>
    <mergeCell ref="A193:B193"/>
    <mergeCell ref="D197:E197"/>
    <mergeCell ref="G199:H199"/>
    <mergeCell ref="D206:E206"/>
    <mergeCell ref="A210:B210"/>
    <mergeCell ref="D214:E214"/>
    <mergeCell ref="G216:H216"/>
    <mergeCell ref="A227:B227"/>
    <mergeCell ref="D152:E152"/>
    <mergeCell ref="G158:H158"/>
    <mergeCell ref="A160:B160"/>
    <mergeCell ref="D161:E161"/>
    <mergeCell ref="G166:H166"/>
    <mergeCell ref="D170:E170"/>
    <mergeCell ref="A176:B176"/>
    <mergeCell ref="D179:E179"/>
    <mergeCell ref="G183:H183"/>
    <mergeCell ref="G102:H102"/>
    <mergeCell ref="A105:B105"/>
    <mergeCell ref="D105:E105"/>
    <mergeCell ref="G114:H114"/>
    <mergeCell ref="A123:B123"/>
    <mergeCell ref="D123:E123"/>
    <mergeCell ref="G126:H126"/>
    <mergeCell ref="D139:E139"/>
    <mergeCell ref="A142:B142"/>
    <mergeCell ref="G142:H142"/>
    <mergeCell ref="AD91:AE91"/>
    <mergeCell ref="AF91:AG91"/>
    <mergeCell ref="AH91:AI91"/>
    <mergeCell ref="AP95:AQ95"/>
    <mergeCell ref="AR95:AS95"/>
    <mergeCell ref="AT95:AU95"/>
    <mergeCell ref="AP96:AQ96"/>
    <mergeCell ref="AR96:AS96"/>
    <mergeCell ref="AT96:AU96"/>
    <mergeCell ref="D88:E88"/>
    <mergeCell ref="X89:Y89"/>
    <mergeCell ref="Z89:AA89"/>
    <mergeCell ref="AB89:AC89"/>
    <mergeCell ref="AJ89:AK89"/>
    <mergeCell ref="AL89:AM89"/>
    <mergeCell ref="AN89:AO89"/>
    <mergeCell ref="X90:Y90"/>
    <mergeCell ref="Z90:AA90"/>
    <mergeCell ref="AB90:AC90"/>
    <mergeCell ref="AD90:AE90"/>
    <mergeCell ref="AF90:AG90"/>
    <mergeCell ref="AH90:AI90"/>
    <mergeCell ref="AJ90:AK90"/>
    <mergeCell ref="AL90:AM90"/>
    <mergeCell ref="AN90:AO90"/>
    <mergeCell ref="AD80:AE80"/>
    <mergeCell ref="AF80:AG80"/>
    <mergeCell ref="AH80:AI80"/>
    <mergeCell ref="A84:B84"/>
    <mergeCell ref="AP84:AQ84"/>
    <mergeCell ref="AR84:AS84"/>
    <mergeCell ref="AT84:AU84"/>
    <mergeCell ref="K85:V85"/>
    <mergeCell ref="AP85:AQ85"/>
    <mergeCell ref="AR85:AS85"/>
    <mergeCell ref="AT85:AU85"/>
    <mergeCell ref="G76:H76"/>
    <mergeCell ref="AB78:AC78"/>
    <mergeCell ref="AJ78:AK78"/>
    <mergeCell ref="AL78:AM78"/>
    <mergeCell ref="AN78:AO78"/>
    <mergeCell ref="AB79:AC79"/>
    <mergeCell ref="AD79:AE79"/>
    <mergeCell ref="AF79:AG79"/>
    <mergeCell ref="AH79:AI79"/>
    <mergeCell ref="AJ79:AK79"/>
    <mergeCell ref="AL79:AM79"/>
    <mergeCell ref="AN79:AO79"/>
    <mergeCell ref="AU73:AV73"/>
    <mergeCell ref="AW73:AX73"/>
    <mergeCell ref="AY73:AZ73"/>
    <mergeCell ref="BA73:BB73"/>
    <mergeCell ref="BC73:BD73"/>
    <mergeCell ref="BE73:BF73"/>
    <mergeCell ref="BG73:BH73"/>
    <mergeCell ref="BI73:BJ73"/>
    <mergeCell ref="BK73:BL73"/>
    <mergeCell ref="J73:K73"/>
    <mergeCell ref="L73:M73"/>
    <mergeCell ref="N73:O73"/>
    <mergeCell ref="P73:Q73"/>
    <mergeCell ref="R73:S73"/>
    <mergeCell ref="T73:U73"/>
    <mergeCell ref="V73:W73"/>
    <mergeCell ref="X73:Y73"/>
    <mergeCell ref="Z73:AA73"/>
    <mergeCell ref="AU72:AV72"/>
    <mergeCell ref="AW72:AX72"/>
    <mergeCell ref="AY72:AZ72"/>
    <mergeCell ref="BA72:BB72"/>
    <mergeCell ref="BC72:BD72"/>
    <mergeCell ref="BE72:BF72"/>
    <mergeCell ref="BG72:BH72"/>
    <mergeCell ref="BI72:BJ72"/>
    <mergeCell ref="BK72:BL72"/>
    <mergeCell ref="J72:K72"/>
    <mergeCell ref="L72:M72"/>
    <mergeCell ref="N72:O72"/>
    <mergeCell ref="P72:Q72"/>
    <mergeCell ref="R72:S72"/>
    <mergeCell ref="T72:U72"/>
    <mergeCell ref="V72:W72"/>
    <mergeCell ref="X72:Y72"/>
    <mergeCell ref="Z72:AA72"/>
    <mergeCell ref="G67:H67"/>
    <mergeCell ref="J67:K67"/>
    <mergeCell ref="L67:M67"/>
    <mergeCell ref="N67:O67"/>
    <mergeCell ref="P67:Q67"/>
    <mergeCell ref="R67:S67"/>
    <mergeCell ref="AD67:AE67"/>
    <mergeCell ref="AF67:AG67"/>
    <mergeCell ref="AH67:AI67"/>
    <mergeCell ref="A61:B61"/>
    <mergeCell ref="D62:E62"/>
    <mergeCell ref="V65:W65"/>
    <mergeCell ref="J66:K66"/>
    <mergeCell ref="L66:M66"/>
    <mergeCell ref="N66:O66"/>
    <mergeCell ref="P66:Q66"/>
    <mergeCell ref="R66:S66"/>
    <mergeCell ref="T66:U66"/>
    <mergeCell ref="V66:W66"/>
    <mergeCell ref="AW57:AX57"/>
    <mergeCell ref="AY57:AZ57"/>
    <mergeCell ref="BA57:BB57"/>
    <mergeCell ref="BC57:BD57"/>
    <mergeCell ref="X56:Y56"/>
    <mergeCell ref="Z56:AA56"/>
    <mergeCell ref="AB56:AC56"/>
    <mergeCell ref="AD56:AE56"/>
    <mergeCell ref="AF56:AG56"/>
    <mergeCell ref="AH56:AI56"/>
    <mergeCell ref="AJ56:AK56"/>
    <mergeCell ref="AL56:AM56"/>
    <mergeCell ref="AN56:AO56"/>
    <mergeCell ref="AD57:AE57"/>
    <mergeCell ref="AF57:AG57"/>
    <mergeCell ref="AH57:AI57"/>
    <mergeCell ref="AJ57:AK57"/>
    <mergeCell ref="AL57:AM57"/>
    <mergeCell ref="AN57:AO57"/>
    <mergeCell ref="AP57:AQ57"/>
    <mergeCell ref="AS57:AT57"/>
    <mergeCell ref="AU57:AV57"/>
    <mergeCell ref="J54:K54"/>
    <mergeCell ref="L54:M54"/>
    <mergeCell ref="N54:O54"/>
    <mergeCell ref="P54:Q54"/>
    <mergeCell ref="R54:S54"/>
    <mergeCell ref="T54:U54"/>
    <mergeCell ref="G55:H55"/>
    <mergeCell ref="J55:K55"/>
    <mergeCell ref="L55:M55"/>
    <mergeCell ref="N55:O55"/>
    <mergeCell ref="P55:Q55"/>
    <mergeCell ref="R55:S55"/>
    <mergeCell ref="T55:U55"/>
    <mergeCell ref="AN52:AO52"/>
    <mergeCell ref="AP52:AQ52"/>
    <mergeCell ref="AR52:AS52"/>
    <mergeCell ref="AT52:AU52"/>
    <mergeCell ref="J53:K53"/>
    <mergeCell ref="L53:M53"/>
    <mergeCell ref="N53:O53"/>
    <mergeCell ref="P53:Q53"/>
    <mergeCell ref="R53:S53"/>
    <mergeCell ref="T53:U53"/>
    <mergeCell ref="V53:W53"/>
    <mergeCell ref="G42:H42"/>
    <mergeCell ref="D47:E47"/>
    <mergeCell ref="T52:U52"/>
    <mergeCell ref="V52:W52"/>
    <mergeCell ref="X52:Y52"/>
    <mergeCell ref="Z52:AA52"/>
    <mergeCell ref="AB52:AC52"/>
    <mergeCell ref="AJ52:AK52"/>
    <mergeCell ref="AL52:AM52"/>
    <mergeCell ref="BA40:BB40"/>
    <mergeCell ref="BC40:BD40"/>
    <mergeCell ref="BE40:BF40"/>
    <mergeCell ref="BG40:BH40"/>
    <mergeCell ref="BI40:BJ40"/>
    <mergeCell ref="BK40:BL40"/>
    <mergeCell ref="AU41:AV41"/>
    <mergeCell ref="AW41:AX41"/>
    <mergeCell ref="AY41:AZ41"/>
    <mergeCell ref="BA41:BB41"/>
    <mergeCell ref="BC41:BD41"/>
    <mergeCell ref="BE41:BF41"/>
    <mergeCell ref="BG41:BH41"/>
    <mergeCell ref="BI41:BJ41"/>
    <mergeCell ref="BK41:BL41"/>
    <mergeCell ref="AF40:AG40"/>
    <mergeCell ref="AH40:AI40"/>
    <mergeCell ref="AL40:AM40"/>
    <mergeCell ref="AN40:AO40"/>
    <mergeCell ref="AP40:AQ40"/>
    <mergeCell ref="AR40:AS40"/>
    <mergeCell ref="AU40:AV40"/>
    <mergeCell ref="AW40:AX40"/>
    <mergeCell ref="AY40:AZ40"/>
    <mergeCell ref="J40:K40"/>
    <mergeCell ref="L40:M40"/>
    <mergeCell ref="N40:O40"/>
    <mergeCell ref="P40:Q40"/>
    <mergeCell ref="R40:S40"/>
    <mergeCell ref="V40:W40"/>
    <mergeCell ref="X40:Y40"/>
    <mergeCell ref="Z40:AA40"/>
    <mergeCell ref="AD40:AE40"/>
    <mergeCell ref="AY26:AZ26"/>
    <mergeCell ref="BA26:BB26"/>
    <mergeCell ref="BC26:BD26"/>
    <mergeCell ref="BE26:BF26"/>
    <mergeCell ref="A28:B28"/>
    <mergeCell ref="G31:H31"/>
    <mergeCell ref="D34:E34"/>
    <mergeCell ref="A36:B36"/>
    <mergeCell ref="J39:K39"/>
    <mergeCell ref="L39:M39"/>
    <mergeCell ref="N39:O39"/>
    <mergeCell ref="P39:Q39"/>
    <mergeCell ref="R39:S39"/>
    <mergeCell ref="V39:W39"/>
    <mergeCell ref="X39:Y39"/>
    <mergeCell ref="Z39:AA39"/>
    <mergeCell ref="AD39:AE39"/>
    <mergeCell ref="AF39:AG39"/>
    <mergeCell ref="AH39:AI39"/>
    <mergeCell ref="AL39:AM39"/>
    <mergeCell ref="AN39:AO39"/>
    <mergeCell ref="AP39:AQ39"/>
    <mergeCell ref="AR39:AS39"/>
    <mergeCell ref="AD26:AE26"/>
    <mergeCell ref="AU26:AV26"/>
    <mergeCell ref="AW26:AX26"/>
    <mergeCell ref="J26:K26"/>
    <mergeCell ref="L26:M26"/>
    <mergeCell ref="N26:O26"/>
    <mergeCell ref="P26:Q26"/>
    <mergeCell ref="R26:S26"/>
    <mergeCell ref="T26:U26"/>
    <mergeCell ref="V26:W26"/>
    <mergeCell ref="Z26:AA26"/>
    <mergeCell ref="AB26:AC26"/>
    <mergeCell ref="AU25:AV25"/>
    <mergeCell ref="AW25:AX25"/>
    <mergeCell ref="AY25:AZ25"/>
    <mergeCell ref="BA25:BB25"/>
    <mergeCell ref="BC25:BD25"/>
    <mergeCell ref="BE25:BF25"/>
    <mergeCell ref="R25:S25"/>
    <mergeCell ref="T25:U25"/>
    <mergeCell ref="V25:W25"/>
    <mergeCell ref="Z25:AA25"/>
    <mergeCell ref="AB25:AC25"/>
    <mergeCell ref="AD25:AE25"/>
    <mergeCell ref="AF25:AG25"/>
    <mergeCell ref="AJ25:AK25"/>
    <mergeCell ref="AL25:AM25"/>
    <mergeCell ref="A13:B13"/>
    <mergeCell ref="G15:H15"/>
    <mergeCell ref="A21:B21"/>
    <mergeCell ref="D21:E21"/>
    <mergeCell ref="G23:H23"/>
    <mergeCell ref="J25:K25"/>
    <mergeCell ref="L25:M25"/>
    <mergeCell ref="N25:O25"/>
    <mergeCell ref="P25:Q25"/>
    <mergeCell ref="AW11:AX11"/>
    <mergeCell ref="AZ11:BA11"/>
    <mergeCell ref="BB11:BC11"/>
    <mergeCell ref="BD11:BE11"/>
    <mergeCell ref="J12:K12"/>
    <mergeCell ref="L12:M12"/>
    <mergeCell ref="N12:O12"/>
    <mergeCell ref="P12:Q12"/>
    <mergeCell ref="R12:S12"/>
    <mergeCell ref="T12:U12"/>
    <mergeCell ref="V12:W12"/>
    <mergeCell ref="Z12:AA12"/>
    <mergeCell ref="AB12:AC12"/>
    <mergeCell ref="AD12:AE12"/>
    <mergeCell ref="AF12:AG12"/>
    <mergeCell ref="AH12:AI12"/>
    <mergeCell ref="AJ12:AK12"/>
    <mergeCell ref="AL12:AM12"/>
    <mergeCell ref="AN12:AO12"/>
    <mergeCell ref="AP12:AQ12"/>
    <mergeCell ref="AD11:AE11"/>
    <mergeCell ref="AF11:AG11"/>
    <mergeCell ref="AH11:AI11"/>
    <mergeCell ref="AJ11:AK11"/>
    <mergeCell ref="AU11:AV11"/>
    <mergeCell ref="J11:K11"/>
    <mergeCell ref="L11:M11"/>
    <mergeCell ref="N11:O11"/>
    <mergeCell ref="P11:Q11"/>
    <mergeCell ref="R11:S11"/>
    <mergeCell ref="T11:U11"/>
    <mergeCell ref="V11:W11"/>
    <mergeCell ref="Z11:AA11"/>
    <mergeCell ref="AB11:AC11"/>
    <mergeCell ref="A8:B8"/>
    <mergeCell ref="D8:E8"/>
    <mergeCell ref="G8:H8"/>
    <mergeCell ref="AS10:AT10"/>
    <mergeCell ref="AU10:AV10"/>
    <mergeCell ref="AW10:AX10"/>
    <mergeCell ref="AZ10:BA10"/>
    <mergeCell ref="BB10:BC10"/>
    <mergeCell ref="BD10:BE10"/>
  </mergeCells>
  <pageMargins left="0.7" right="0.7" top="0.75" bottom="0.75" header="0.3" footer="0.3"/>
  <pageSetup paperSize="10000" fitToWidth="0" fitToHeight="0"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F0"/>
  </sheetPr>
  <dimension ref="A1:P54"/>
  <sheetViews>
    <sheetView topLeftCell="A6" zoomScale="85" zoomScaleNormal="85" workbookViewId="0">
      <selection activeCell="G72" sqref="A1:P115"/>
    </sheetView>
  </sheetViews>
  <sheetFormatPr defaultColWidth="10" defaultRowHeight="13"/>
  <cols>
    <col min="1" max="1" width="25.7265625" style="532" customWidth="1"/>
    <col min="2" max="13" width="10.54296875" style="532" customWidth="1"/>
    <col min="14" max="14" width="12.54296875" style="532" customWidth="1"/>
    <col min="15" max="15" width="13.7265625" style="532" customWidth="1"/>
    <col min="16" max="16" width="12.54296875" style="532" customWidth="1"/>
  </cols>
  <sheetData>
    <row r="1" spans="1:16" ht="14.5">
      <c r="A1" s="1080" t="s">
        <v>61</v>
      </c>
      <c r="B1" s="1080"/>
      <c r="C1" s="1080"/>
      <c r="D1" s="1080"/>
      <c r="E1" s="1080"/>
      <c r="F1" s="1080"/>
      <c r="G1" s="1080"/>
      <c r="H1" s="1080"/>
      <c r="I1" s="1080"/>
      <c r="J1" s="1080"/>
      <c r="K1" s="1080"/>
      <c r="L1" s="1080"/>
      <c r="M1" s="1080"/>
      <c r="N1" s="1080"/>
      <c r="O1" s="1080"/>
      <c r="P1" s="1080"/>
    </row>
    <row r="2" spans="1:16" ht="26">
      <c r="A2" s="2480" t="s">
        <v>1102</v>
      </c>
      <c r="B2" s="2480"/>
      <c r="C2" s="2480"/>
      <c r="D2" s="2480"/>
      <c r="E2" s="2480"/>
      <c r="F2" s="2480"/>
      <c r="G2" s="2480"/>
      <c r="H2" s="2480"/>
      <c r="I2" s="2480"/>
      <c r="J2" s="2480"/>
      <c r="K2" s="2480"/>
      <c r="L2" s="2480"/>
      <c r="M2" s="2480"/>
      <c r="N2" s="2480"/>
      <c r="O2" s="2480"/>
      <c r="P2" s="1081"/>
    </row>
    <row r="3" spans="1:16" ht="14.5">
      <c r="A3" s="1080"/>
      <c r="B3" s="1080"/>
      <c r="C3" s="1080"/>
      <c r="D3" s="1080"/>
      <c r="E3" s="1080"/>
      <c r="F3" s="1080"/>
      <c r="G3" s="1080"/>
      <c r="H3" s="1080"/>
      <c r="I3" s="1080"/>
      <c r="K3" s="1080"/>
      <c r="L3" s="1102"/>
      <c r="M3" s="1102"/>
      <c r="N3" s="248" t="s">
        <v>1103</v>
      </c>
      <c r="O3" s="309" t="str">
        <f>LPKK!O4</f>
        <v>RC SAMATA GOWA</v>
      </c>
    </row>
    <row r="4" spans="1:16" ht="14.5">
      <c r="A4" s="1080"/>
      <c r="B4" s="1080"/>
      <c r="C4" s="1080"/>
      <c r="D4" s="1080"/>
      <c r="E4" s="1080"/>
      <c r="F4" s="1080"/>
      <c r="G4" s="1080"/>
      <c r="H4" s="1080"/>
      <c r="I4" s="1080"/>
      <c r="K4" s="61"/>
      <c r="L4" s="1102"/>
      <c r="M4" s="1102"/>
      <c r="N4" s="248" t="str">
        <f>[3]LP!K3</f>
        <v>PERIODE</v>
      </c>
      <c r="O4" s="1103" t="str">
        <f>LPKK!O5</f>
        <v>8-14 JANUARI 2025</v>
      </c>
    </row>
    <row r="5" spans="1:16" ht="14.5">
      <c r="A5" s="1080"/>
      <c r="B5" s="1080"/>
      <c r="C5" s="1080"/>
      <c r="D5" s="1080"/>
      <c r="E5" s="1080"/>
      <c r="F5" s="1080"/>
      <c r="G5" s="1080"/>
      <c r="H5" s="1080"/>
      <c r="I5" s="1080"/>
      <c r="J5" s="1080"/>
      <c r="K5" s="1080"/>
      <c r="L5" s="1080"/>
      <c r="M5" s="1080"/>
      <c r="N5" s="1080"/>
      <c r="O5" s="1080"/>
      <c r="P5" s="1080"/>
    </row>
    <row r="6" spans="1:16" ht="14.5">
      <c r="A6" s="1080"/>
      <c r="B6" s="1080"/>
      <c r="C6" s="1080"/>
      <c r="D6" s="1080"/>
      <c r="E6" s="1080"/>
      <c r="F6" s="1080"/>
      <c r="G6" s="1080"/>
      <c r="H6" s="1080"/>
      <c r="I6" s="1080"/>
      <c r="J6" s="1080"/>
      <c r="K6" s="1080"/>
      <c r="L6" s="1080"/>
      <c r="M6" s="1080"/>
      <c r="N6" s="1080"/>
      <c r="O6" s="1080"/>
      <c r="P6" s="1080"/>
    </row>
    <row r="7" spans="1:16" ht="14.5">
      <c r="A7" s="2482" t="s">
        <v>1104</v>
      </c>
      <c r="B7" s="1082" t="s">
        <v>460</v>
      </c>
      <c r="C7" s="1083" t="s">
        <v>361</v>
      </c>
      <c r="D7" s="1083" t="s">
        <v>361</v>
      </c>
      <c r="E7" s="1083" t="s">
        <v>361</v>
      </c>
      <c r="F7" s="1083" t="s">
        <v>361</v>
      </c>
      <c r="G7" s="1083" t="s">
        <v>361</v>
      </c>
      <c r="H7" s="1083" t="s">
        <v>361</v>
      </c>
      <c r="I7" s="1083" t="s">
        <v>361</v>
      </c>
      <c r="J7" s="1083" t="s">
        <v>361</v>
      </c>
      <c r="K7" s="1083" t="s">
        <v>361</v>
      </c>
      <c r="L7" s="1104" t="s">
        <v>361</v>
      </c>
      <c r="M7" s="2484" t="s">
        <v>310</v>
      </c>
      <c r="N7" s="1105" t="s">
        <v>460</v>
      </c>
      <c r="O7" s="2486" t="s">
        <v>459</v>
      </c>
      <c r="P7" s="2488" t="s">
        <v>1105</v>
      </c>
    </row>
    <row r="8" spans="1:16" ht="14.5">
      <c r="A8" s="2483"/>
      <c r="B8" s="1084" t="s">
        <v>466</v>
      </c>
      <c r="C8" s="1085">
        <v>46030</v>
      </c>
      <c r="D8" s="1085">
        <v>46031</v>
      </c>
      <c r="E8" s="1085">
        <v>46032</v>
      </c>
      <c r="F8" s="1085">
        <v>46033</v>
      </c>
      <c r="G8" s="1085">
        <v>46034</v>
      </c>
      <c r="H8" s="1085">
        <v>46035</v>
      </c>
      <c r="I8" s="1085">
        <v>46036</v>
      </c>
      <c r="J8" s="1085"/>
      <c r="K8" s="1085"/>
      <c r="L8" s="1085"/>
      <c r="M8" s="2485"/>
      <c r="N8" s="1106" t="s">
        <v>469</v>
      </c>
      <c r="O8" s="2487"/>
      <c r="P8" s="2489"/>
    </row>
    <row r="9" spans="1:16" ht="14.5">
      <c r="A9" s="111" t="s">
        <v>373</v>
      </c>
      <c r="B9" s="1086"/>
      <c r="C9" s="1087"/>
      <c r="D9" s="1088">
        <v>1</v>
      </c>
      <c r="E9" s="1088"/>
      <c r="F9" s="1088"/>
      <c r="G9" s="1088"/>
      <c r="H9" s="1088"/>
      <c r="I9" s="1088"/>
      <c r="J9" s="1088"/>
      <c r="K9" s="1088"/>
      <c r="L9" s="1088"/>
      <c r="M9" s="1107">
        <f>SUM(B9:L9)</f>
        <v>1</v>
      </c>
      <c r="N9" s="1108"/>
      <c r="O9" s="1109">
        <v>1</v>
      </c>
      <c r="P9" s="1110">
        <f>M9-N9-O9</f>
        <v>0</v>
      </c>
    </row>
    <row r="10" spans="1:16" ht="14.5">
      <c r="A10" s="202" t="s">
        <v>374</v>
      </c>
      <c r="B10" s="1089">
        <v>2</v>
      </c>
      <c r="C10" s="1090"/>
      <c r="D10" s="1091"/>
      <c r="E10" s="1091"/>
      <c r="F10" s="1091"/>
      <c r="G10" s="1091"/>
      <c r="H10" s="1091"/>
      <c r="I10" s="1091"/>
      <c r="J10" s="1091"/>
      <c r="K10" s="1091"/>
      <c r="L10" s="1091"/>
      <c r="M10" s="1111">
        <f t="shared" ref="M10:M40" si="0">SUM(C10:L10)</f>
        <v>0</v>
      </c>
      <c r="N10" s="1112"/>
      <c r="O10" s="1113"/>
      <c r="P10" s="1114">
        <f t="shared" ref="P10:P40" si="1">M10-N10-O10</f>
        <v>0</v>
      </c>
    </row>
    <row r="11" spans="1:16" ht="14.5">
      <c r="A11" s="202" t="s">
        <v>76</v>
      </c>
      <c r="B11" s="1089">
        <v>2</v>
      </c>
      <c r="C11" s="1090"/>
      <c r="D11" s="1091"/>
      <c r="E11" s="1091"/>
      <c r="F11" s="1091"/>
      <c r="G11" s="1091"/>
      <c r="H11" s="1091">
        <v>1</v>
      </c>
      <c r="I11" s="1091"/>
      <c r="J11" s="1091"/>
      <c r="K11" s="1091"/>
      <c r="L11" s="1091"/>
      <c r="M11" s="1111">
        <f t="shared" si="0"/>
        <v>1</v>
      </c>
      <c r="N11" s="1112"/>
      <c r="O11" s="1113">
        <v>1</v>
      </c>
      <c r="P11" s="1114">
        <f t="shared" si="1"/>
        <v>0</v>
      </c>
    </row>
    <row r="12" spans="1:16" ht="14.5">
      <c r="A12" s="202" t="s">
        <v>77</v>
      </c>
      <c r="B12" s="1089">
        <v>4</v>
      </c>
      <c r="C12" s="1090">
        <v>4</v>
      </c>
      <c r="D12" s="1091"/>
      <c r="E12" s="1091">
        <v>1</v>
      </c>
      <c r="F12" s="1091"/>
      <c r="G12" s="1091">
        <v>1</v>
      </c>
      <c r="H12" s="1091"/>
      <c r="I12" s="1091"/>
      <c r="J12" s="1091"/>
      <c r="K12" s="1091"/>
      <c r="L12" s="1091"/>
      <c r="M12" s="1111">
        <f t="shared" si="0"/>
        <v>6</v>
      </c>
      <c r="N12" s="1112"/>
      <c r="O12" s="1113">
        <v>6</v>
      </c>
      <c r="P12" s="1114">
        <f t="shared" si="1"/>
        <v>0</v>
      </c>
    </row>
    <row r="13" spans="1:16" ht="14.5">
      <c r="A13" s="202" t="s">
        <v>78</v>
      </c>
      <c r="B13" s="1089">
        <v>7</v>
      </c>
      <c r="C13" s="1090"/>
      <c r="D13" s="1091"/>
      <c r="E13" s="1091">
        <v>1</v>
      </c>
      <c r="F13" s="1091"/>
      <c r="G13" s="1091"/>
      <c r="H13" s="1091"/>
      <c r="I13" s="1091"/>
      <c r="J13" s="1091"/>
      <c r="K13" s="1091"/>
      <c r="L13" s="1091"/>
      <c r="M13" s="1111">
        <f t="shared" si="0"/>
        <v>1</v>
      </c>
      <c r="N13" s="1112"/>
      <c r="O13" s="1113">
        <v>1</v>
      </c>
      <c r="P13" s="1114">
        <f t="shared" si="1"/>
        <v>0</v>
      </c>
    </row>
    <row r="14" spans="1:16" ht="14.5">
      <c r="A14" s="202" t="s">
        <v>1106</v>
      </c>
      <c r="B14" s="1089"/>
      <c r="C14" s="1090"/>
      <c r="D14" s="1091"/>
      <c r="E14" s="1091"/>
      <c r="F14" s="1091"/>
      <c r="G14" s="1091"/>
      <c r="H14" s="1091"/>
      <c r="I14" s="1091"/>
      <c r="J14" s="1091"/>
      <c r="K14" s="1091"/>
      <c r="L14" s="1091"/>
      <c r="M14" s="1111">
        <f t="shared" si="0"/>
        <v>0</v>
      </c>
      <c r="N14" s="1112"/>
      <c r="O14" s="1113"/>
      <c r="P14" s="1114">
        <f t="shared" si="1"/>
        <v>0</v>
      </c>
    </row>
    <row r="15" spans="1:16" ht="14.5">
      <c r="A15" s="202" t="s">
        <v>1107</v>
      </c>
      <c r="B15" s="1089"/>
      <c r="C15" s="1090"/>
      <c r="D15" s="1091"/>
      <c r="E15" s="1091"/>
      <c r="F15" s="1091"/>
      <c r="G15" s="1091"/>
      <c r="H15" s="1091"/>
      <c r="I15" s="1091"/>
      <c r="J15" s="1091"/>
      <c r="K15" s="1091"/>
      <c r="L15" s="1091"/>
      <c r="M15" s="1111">
        <f t="shared" si="0"/>
        <v>0</v>
      </c>
      <c r="N15" s="1112"/>
      <c r="O15" s="1113"/>
      <c r="P15" s="1114">
        <f t="shared" si="1"/>
        <v>0</v>
      </c>
    </row>
    <row r="16" spans="1:16" ht="14.5">
      <c r="A16" s="202" t="s">
        <v>1108</v>
      </c>
      <c r="B16" s="1089"/>
      <c r="C16" s="1090"/>
      <c r="D16" s="1091"/>
      <c r="E16" s="1091"/>
      <c r="F16" s="1091"/>
      <c r="G16" s="1091"/>
      <c r="H16" s="1091"/>
      <c r="I16" s="1091"/>
      <c r="J16" s="1091"/>
      <c r="K16" s="1091"/>
      <c r="L16" s="1091"/>
      <c r="M16" s="1111">
        <f t="shared" si="0"/>
        <v>0</v>
      </c>
      <c r="N16" s="1112"/>
      <c r="O16" s="1113"/>
      <c r="P16" s="1114">
        <f t="shared" si="1"/>
        <v>0</v>
      </c>
    </row>
    <row r="17" spans="1:16" ht="14.5">
      <c r="A17" s="202" t="s">
        <v>857</v>
      </c>
      <c r="B17" s="1089"/>
      <c r="C17" s="1090"/>
      <c r="D17" s="1091"/>
      <c r="E17" s="1091"/>
      <c r="F17" s="1091"/>
      <c r="G17" s="1091"/>
      <c r="H17" s="1091"/>
      <c r="I17" s="1091"/>
      <c r="J17" s="1091"/>
      <c r="K17" s="1091"/>
      <c r="L17" s="1091"/>
      <c r="M17" s="1111">
        <f t="shared" si="0"/>
        <v>0</v>
      </c>
      <c r="N17" s="1112"/>
      <c r="O17" s="1113"/>
      <c r="P17" s="1114">
        <f t="shared" si="1"/>
        <v>0</v>
      </c>
    </row>
    <row r="18" spans="1:16" ht="14.5">
      <c r="A18" s="202" t="s">
        <v>1109</v>
      </c>
      <c r="B18" s="1089"/>
      <c r="C18" s="1090"/>
      <c r="D18" s="1091"/>
      <c r="E18" s="1091"/>
      <c r="F18" s="1091"/>
      <c r="G18" s="1091"/>
      <c r="H18" s="1091"/>
      <c r="I18" s="1091"/>
      <c r="J18" s="1091"/>
      <c r="K18" s="1091"/>
      <c r="L18" s="1091"/>
      <c r="M18" s="1111">
        <f t="shared" si="0"/>
        <v>0</v>
      </c>
      <c r="N18" s="1112"/>
      <c r="O18" s="1113"/>
      <c r="P18" s="1114">
        <f t="shared" si="1"/>
        <v>0</v>
      </c>
    </row>
    <row r="19" spans="1:16" ht="14.5">
      <c r="A19" s="202" t="s">
        <v>620</v>
      </c>
      <c r="B19" s="1089"/>
      <c r="C19" s="1090"/>
      <c r="D19" s="1091"/>
      <c r="E19" s="1091"/>
      <c r="F19" s="1091"/>
      <c r="G19" s="1091"/>
      <c r="H19" s="1091"/>
      <c r="I19" s="1091"/>
      <c r="J19" s="1091"/>
      <c r="K19" s="1091"/>
      <c r="L19" s="1091"/>
      <c r="M19" s="1111">
        <f t="shared" si="0"/>
        <v>0</v>
      </c>
      <c r="N19" s="1112"/>
      <c r="O19" s="1113"/>
      <c r="P19" s="1114">
        <f t="shared" si="1"/>
        <v>0</v>
      </c>
    </row>
    <row r="20" spans="1:16" ht="14.5">
      <c r="A20" s="202" t="s">
        <v>80</v>
      </c>
      <c r="B20" s="1092"/>
      <c r="C20" s="1093"/>
      <c r="D20" s="1093"/>
      <c r="E20" s="1093"/>
      <c r="F20" s="1093"/>
      <c r="G20" s="1093"/>
      <c r="H20" s="1093"/>
      <c r="I20" s="1093"/>
      <c r="J20" s="1093"/>
      <c r="K20" s="1093"/>
      <c r="L20" s="1093"/>
      <c r="M20" s="1111">
        <f t="shared" si="0"/>
        <v>0</v>
      </c>
      <c r="N20" s="1112"/>
      <c r="O20" s="1113"/>
      <c r="P20" s="1114">
        <f t="shared" si="1"/>
        <v>0</v>
      </c>
    </row>
    <row r="21" spans="1:16" ht="14.5">
      <c r="A21" s="202" t="s">
        <v>100</v>
      </c>
      <c r="B21" s="1092"/>
      <c r="C21" s="1093"/>
      <c r="D21" s="1093"/>
      <c r="E21" s="1093"/>
      <c r="F21" s="1093"/>
      <c r="G21" s="1093"/>
      <c r="H21" s="1093"/>
      <c r="I21" s="1093"/>
      <c r="J21" s="1093"/>
      <c r="K21" s="1093"/>
      <c r="L21" s="1093"/>
      <c r="M21" s="1111">
        <f t="shared" si="0"/>
        <v>0</v>
      </c>
      <c r="N21" s="1112"/>
      <c r="O21" s="1113"/>
      <c r="P21" s="1114">
        <f t="shared" si="1"/>
        <v>0</v>
      </c>
    </row>
    <row r="22" spans="1:16" ht="14.5">
      <c r="A22" s="202" t="s">
        <v>97</v>
      </c>
      <c r="B22" s="1092"/>
      <c r="C22" s="1093"/>
      <c r="D22" s="1093"/>
      <c r="E22" s="1093"/>
      <c r="F22" s="1093"/>
      <c r="G22" s="1093"/>
      <c r="H22" s="1093"/>
      <c r="I22" s="1093"/>
      <c r="J22" s="1093"/>
      <c r="K22" s="1093"/>
      <c r="L22" s="1093"/>
      <c r="M22" s="1111">
        <f t="shared" si="0"/>
        <v>0</v>
      </c>
      <c r="N22" s="1112"/>
      <c r="O22" s="1113"/>
      <c r="P22" s="1114">
        <f t="shared" si="1"/>
        <v>0</v>
      </c>
    </row>
    <row r="23" spans="1:16" ht="14.5">
      <c r="A23" s="202" t="s">
        <v>629</v>
      </c>
      <c r="B23" s="1092"/>
      <c r="C23" s="1093"/>
      <c r="D23" s="1093"/>
      <c r="E23" s="1093"/>
      <c r="F23" s="1093"/>
      <c r="G23" s="1093"/>
      <c r="H23" s="1093"/>
      <c r="I23" s="1093"/>
      <c r="J23" s="1093"/>
      <c r="K23" s="1093"/>
      <c r="L23" s="1093"/>
      <c r="M23" s="1111">
        <f t="shared" si="0"/>
        <v>0</v>
      </c>
      <c r="N23" s="1112"/>
      <c r="O23" s="1113"/>
      <c r="P23" s="1114">
        <f t="shared" si="1"/>
        <v>0</v>
      </c>
    </row>
    <row r="24" spans="1:16" ht="14.5">
      <c r="A24" s="202" t="s">
        <v>98</v>
      </c>
      <c r="B24" s="1092"/>
      <c r="C24" s="1093"/>
      <c r="D24" s="1093"/>
      <c r="E24" s="1093"/>
      <c r="F24" s="1093"/>
      <c r="G24" s="1093"/>
      <c r="H24" s="1093"/>
      <c r="I24" s="1093"/>
      <c r="J24" s="1093"/>
      <c r="K24" s="1093"/>
      <c r="L24" s="1093"/>
      <c r="M24" s="1111">
        <f t="shared" si="0"/>
        <v>0</v>
      </c>
      <c r="N24" s="1112"/>
      <c r="O24" s="1113"/>
      <c r="P24" s="1114">
        <f t="shared" si="1"/>
        <v>0</v>
      </c>
    </row>
    <row r="25" spans="1:16" ht="14.5">
      <c r="A25" s="202" t="s">
        <v>647</v>
      </c>
      <c r="B25" s="1092"/>
      <c r="C25" s="1093"/>
      <c r="D25" s="1093"/>
      <c r="E25" s="1093"/>
      <c r="F25" s="1093"/>
      <c r="G25" s="1093"/>
      <c r="H25" s="1093"/>
      <c r="I25" s="1093"/>
      <c r="J25" s="1093"/>
      <c r="K25" s="1093"/>
      <c r="L25" s="1093"/>
      <c r="M25" s="1111">
        <f t="shared" si="0"/>
        <v>0</v>
      </c>
      <c r="N25" s="1112"/>
      <c r="O25" s="1113"/>
      <c r="P25" s="1114">
        <f t="shared" si="1"/>
        <v>0</v>
      </c>
    </row>
    <row r="26" spans="1:16" ht="14.5">
      <c r="A26" s="202" t="s">
        <v>156</v>
      </c>
      <c r="B26" s="1092"/>
      <c r="C26" s="1093">
        <v>0.21</v>
      </c>
      <c r="D26" s="1093">
        <v>0.02</v>
      </c>
      <c r="E26" s="1093">
        <v>0.04</v>
      </c>
      <c r="F26" s="1093"/>
      <c r="G26" s="1093"/>
      <c r="H26" s="1093">
        <v>0.02</v>
      </c>
      <c r="I26" s="1093">
        <v>7.0000000000000007E-2</v>
      </c>
      <c r="J26" s="1093"/>
      <c r="K26" s="1093"/>
      <c r="L26" s="1093"/>
      <c r="M26" s="1111">
        <f t="shared" si="0"/>
        <v>0.36</v>
      </c>
      <c r="N26" s="1112"/>
      <c r="O26" s="1113"/>
      <c r="P26" s="1114">
        <f t="shared" si="1"/>
        <v>0.36</v>
      </c>
    </row>
    <row r="27" spans="1:16" ht="14.5">
      <c r="A27" s="202" t="s">
        <v>907</v>
      </c>
      <c r="B27" s="1092"/>
      <c r="C27" s="1093"/>
      <c r="D27" s="1093"/>
      <c r="E27" s="1093"/>
      <c r="F27" s="1093"/>
      <c r="G27" s="1093"/>
      <c r="H27" s="1093"/>
      <c r="I27" s="1093"/>
      <c r="J27" s="1093"/>
      <c r="K27" s="1093"/>
      <c r="L27" s="1093"/>
      <c r="M27" s="1111">
        <f t="shared" si="0"/>
        <v>0</v>
      </c>
      <c r="N27" s="1112"/>
      <c r="O27" s="1113"/>
      <c r="P27" s="1114">
        <f t="shared" si="1"/>
        <v>0</v>
      </c>
    </row>
    <row r="28" spans="1:16" ht="14.5">
      <c r="A28" s="202" t="s">
        <v>1110</v>
      </c>
      <c r="B28" s="1094"/>
      <c r="C28" s="1095"/>
      <c r="D28" s="1095"/>
      <c r="E28" s="1095"/>
      <c r="F28" s="1095"/>
      <c r="G28" s="1095"/>
      <c r="H28" s="1095"/>
      <c r="I28" s="1095"/>
      <c r="J28" s="1095"/>
      <c r="K28" s="1095"/>
      <c r="L28" s="1095"/>
      <c r="M28" s="1111">
        <f t="shared" si="0"/>
        <v>0</v>
      </c>
      <c r="N28" s="1112"/>
      <c r="O28" s="1113"/>
      <c r="P28" s="1114">
        <f t="shared" si="1"/>
        <v>0</v>
      </c>
    </row>
    <row r="29" spans="1:16" ht="14.5">
      <c r="A29" s="202" t="s">
        <v>1111</v>
      </c>
      <c r="B29" s="1094"/>
      <c r="C29" s="1095"/>
      <c r="D29" s="1095"/>
      <c r="E29" s="1095"/>
      <c r="F29" s="1095"/>
      <c r="G29" s="1095"/>
      <c r="H29" s="1095"/>
      <c r="I29" s="1095"/>
      <c r="J29" s="1095"/>
      <c r="K29" s="1095"/>
      <c r="L29" s="1095"/>
      <c r="M29" s="1111">
        <f t="shared" si="0"/>
        <v>0</v>
      </c>
      <c r="N29" s="1112"/>
      <c r="O29" s="1113"/>
      <c r="P29" s="1114">
        <f t="shared" si="1"/>
        <v>0</v>
      </c>
    </row>
    <row r="30" spans="1:16" ht="14.5">
      <c r="A30" s="202" t="s">
        <v>1040</v>
      </c>
      <c r="B30" s="1094"/>
      <c r="C30" s="1095"/>
      <c r="D30" s="1095"/>
      <c r="E30" s="1095"/>
      <c r="F30" s="1095"/>
      <c r="G30" s="1095"/>
      <c r="H30" s="1095"/>
      <c r="I30" s="1095"/>
      <c r="J30" s="1095"/>
      <c r="K30" s="1095"/>
      <c r="L30" s="1095"/>
      <c r="M30" s="1111">
        <f t="shared" si="0"/>
        <v>0</v>
      </c>
      <c r="N30" s="1112"/>
      <c r="O30" s="1113"/>
      <c r="P30" s="1114">
        <f t="shared" si="1"/>
        <v>0</v>
      </c>
    </row>
    <row r="31" spans="1:16" ht="14.5">
      <c r="A31" s="202" t="s">
        <v>1112</v>
      </c>
      <c r="B31" s="1094"/>
      <c r="C31" s="1095"/>
      <c r="D31" s="1095"/>
      <c r="E31" s="1095"/>
      <c r="F31" s="1095"/>
      <c r="G31" s="1095"/>
      <c r="H31" s="1095"/>
      <c r="I31" s="1095"/>
      <c r="J31" s="1095"/>
      <c r="K31" s="1095"/>
      <c r="L31" s="1095"/>
      <c r="M31" s="1111">
        <f t="shared" si="0"/>
        <v>0</v>
      </c>
      <c r="N31" s="1112"/>
      <c r="O31" s="1113"/>
      <c r="P31" s="1114">
        <f t="shared" si="1"/>
        <v>0</v>
      </c>
    </row>
    <row r="32" spans="1:16" ht="14.5">
      <c r="A32" s="202" t="s">
        <v>865</v>
      </c>
      <c r="B32" s="1094"/>
      <c r="C32" s="1095"/>
      <c r="D32" s="1095"/>
      <c r="E32" s="1095"/>
      <c r="F32" s="1095"/>
      <c r="G32" s="1095"/>
      <c r="H32" s="1095"/>
      <c r="I32" s="1095"/>
      <c r="J32" s="1095"/>
      <c r="K32" s="1095"/>
      <c r="L32" s="1095"/>
      <c r="M32" s="1111">
        <f t="shared" si="0"/>
        <v>0</v>
      </c>
      <c r="N32" s="1112"/>
      <c r="O32" s="1113"/>
      <c r="P32" s="1114">
        <f t="shared" si="1"/>
        <v>0</v>
      </c>
    </row>
    <row r="33" spans="1:16" ht="14.5">
      <c r="A33" s="202" t="s">
        <v>877</v>
      </c>
      <c r="B33" s="1094"/>
      <c r="C33" s="1095"/>
      <c r="D33" s="1095"/>
      <c r="E33" s="1095">
        <v>2.15</v>
      </c>
      <c r="F33" s="1095"/>
      <c r="G33" s="1095"/>
      <c r="H33" s="1095"/>
      <c r="I33" s="1095"/>
      <c r="J33" s="1095"/>
      <c r="K33" s="1095"/>
      <c r="L33" s="1095"/>
      <c r="M33" s="1111">
        <f t="shared" si="0"/>
        <v>2.15</v>
      </c>
      <c r="N33" s="1112"/>
      <c r="O33" s="1113"/>
      <c r="P33" s="1114">
        <f t="shared" si="1"/>
        <v>2.15</v>
      </c>
    </row>
    <row r="34" spans="1:16" ht="14.5">
      <c r="A34" s="1096" t="s">
        <v>89</v>
      </c>
      <c r="B34" s="1094"/>
      <c r="C34" s="1095"/>
      <c r="D34" s="1095"/>
      <c r="E34" s="1095"/>
      <c r="F34" s="1095"/>
      <c r="G34" s="1095"/>
      <c r="H34" s="1095"/>
      <c r="I34" s="1095"/>
      <c r="J34" s="1095"/>
      <c r="K34" s="1095"/>
      <c r="L34" s="1095"/>
      <c r="M34" s="1111">
        <f t="shared" si="0"/>
        <v>0</v>
      </c>
      <c r="N34" s="1112"/>
      <c r="O34" s="1113">
        <v>1</v>
      </c>
      <c r="P34" s="1114">
        <f t="shared" si="1"/>
        <v>-1</v>
      </c>
    </row>
    <row r="35" spans="1:16" ht="14.5">
      <c r="A35" s="1096" t="s">
        <v>1113</v>
      </c>
      <c r="B35" s="1094"/>
      <c r="C35" s="1095"/>
      <c r="D35" s="1095"/>
      <c r="E35" s="1095"/>
      <c r="F35" s="1095">
        <v>0.4</v>
      </c>
      <c r="G35" s="1095"/>
      <c r="H35" s="1095"/>
      <c r="I35" s="1095"/>
      <c r="J35" s="1095"/>
      <c r="K35" s="1095"/>
      <c r="L35" s="1095"/>
      <c r="M35" s="1111">
        <f t="shared" si="0"/>
        <v>0.4</v>
      </c>
      <c r="N35" s="1112"/>
      <c r="O35" s="1113"/>
      <c r="P35" s="1114">
        <f t="shared" si="1"/>
        <v>0.4</v>
      </c>
    </row>
    <row r="36" spans="1:16" ht="14.5">
      <c r="A36" s="1096"/>
      <c r="B36" s="1094"/>
      <c r="C36" s="1095"/>
      <c r="D36" s="1095"/>
      <c r="E36" s="1095"/>
      <c r="F36" s="1095"/>
      <c r="G36" s="1095"/>
      <c r="H36" s="1095"/>
      <c r="I36" s="1095"/>
      <c r="J36" s="1095"/>
      <c r="K36" s="1095"/>
      <c r="L36" s="1095"/>
      <c r="M36" s="1111">
        <f t="shared" si="0"/>
        <v>0</v>
      </c>
      <c r="N36" s="1112"/>
      <c r="O36" s="1113"/>
      <c r="P36" s="1114">
        <f t="shared" si="1"/>
        <v>0</v>
      </c>
    </row>
    <row r="37" spans="1:16" ht="14.5">
      <c r="A37" s="1096" t="s">
        <v>61</v>
      </c>
      <c r="B37" s="1094"/>
      <c r="C37" s="1095"/>
      <c r="D37" s="1095"/>
      <c r="E37" s="1095"/>
      <c r="F37" s="1095"/>
      <c r="G37" s="1095"/>
      <c r="H37" s="1095"/>
      <c r="I37" s="1095"/>
      <c r="J37" s="1095"/>
      <c r="K37" s="1095"/>
      <c r="L37" s="1095"/>
      <c r="M37" s="1111">
        <f t="shared" si="0"/>
        <v>0</v>
      </c>
      <c r="N37" s="1112"/>
      <c r="O37" s="1113"/>
      <c r="P37" s="1114">
        <f t="shared" si="1"/>
        <v>0</v>
      </c>
    </row>
    <row r="38" spans="1:16" ht="14.5">
      <c r="A38" s="1096"/>
      <c r="B38" s="1094"/>
      <c r="C38" s="1095"/>
      <c r="D38" s="1095"/>
      <c r="E38" s="1095"/>
      <c r="F38" s="1095"/>
      <c r="G38" s="1095"/>
      <c r="H38" s="1095"/>
      <c r="I38" s="1095"/>
      <c r="J38" s="1095"/>
      <c r="K38" s="1095"/>
      <c r="L38" s="1095"/>
      <c r="M38" s="1111">
        <f t="shared" si="0"/>
        <v>0</v>
      </c>
      <c r="N38" s="1112"/>
      <c r="O38" s="1113"/>
      <c r="P38" s="1114">
        <f t="shared" si="1"/>
        <v>0</v>
      </c>
    </row>
    <row r="39" spans="1:16" ht="14.5">
      <c r="A39" s="1097"/>
      <c r="B39" s="1094"/>
      <c r="C39" s="1095"/>
      <c r="D39" s="1095"/>
      <c r="E39" s="1095"/>
      <c r="F39" s="1095"/>
      <c r="G39" s="1095"/>
      <c r="H39" s="1095"/>
      <c r="I39" s="1095"/>
      <c r="J39" s="1095"/>
      <c r="K39" s="1095"/>
      <c r="L39" s="1095"/>
      <c r="M39" s="1111">
        <f t="shared" si="0"/>
        <v>0</v>
      </c>
      <c r="N39" s="1112"/>
      <c r="O39" s="1113"/>
      <c r="P39" s="1114">
        <f t="shared" si="1"/>
        <v>0</v>
      </c>
    </row>
    <row r="40" spans="1:16" ht="14.5">
      <c r="A40" s="1098"/>
      <c r="B40" s="1099"/>
      <c r="C40" s="1100"/>
      <c r="D40" s="1100"/>
      <c r="E40" s="1100"/>
      <c r="F40" s="1100"/>
      <c r="G40" s="1100"/>
      <c r="H40" s="1100"/>
      <c r="I40" s="1100"/>
      <c r="J40" s="1100"/>
      <c r="K40" s="1100"/>
      <c r="L40" s="1100"/>
      <c r="M40" s="1115">
        <f t="shared" si="0"/>
        <v>0</v>
      </c>
      <c r="N40" s="1116"/>
      <c r="O40" s="1117"/>
      <c r="P40" s="1118">
        <f t="shared" si="1"/>
        <v>0</v>
      </c>
    </row>
    <row r="41" spans="1:16" ht="14.5">
      <c r="A41" s="1080"/>
      <c r="B41" s="1080"/>
      <c r="C41" s="2481" t="s">
        <v>1114</v>
      </c>
      <c r="D41" s="2481"/>
      <c r="E41" s="1080"/>
      <c r="F41" s="1080"/>
      <c r="G41" s="1080"/>
      <c r="H41" s="1080"/>
      <c r="I41" s="1080"/>
      <c r="M41" s="1101"/>
      <c r="N41" s="2481" t="s">
        <v>1115</v>
      </c>
      <c r="O41" s="2481"/>
      <c r="P41" s="2481"/>
    </row>
    <row r="42" spans="1:16" ht="14.5">
      <c r="A42" s="1080"/>
      <c r="B42" s="1080"/>
      <c r="C42" s="1101"/>
      <c r="D42" s="1101"/>
      <c r="E42" s="1080"/>
      <c r="F42" s="1080"/>
      <c r="G42" s="1080"/>
      <c r="H42" s="1080"/>
      <c r="I42" s="1080"/>
      <c r="M42" s="1101"/>
      <c r="N42" s="1101"/>
      <c r="O42" s="1101"/>
      <c r="P42" s="1101"/>
    </row>
    <row r="43" spans="1:16" ht="14.5">
      <c r="A43" s="1080"/>
      <c r="B43" s="1080"/>
      <c r="C43" s="1101"/>
      <c r="D43" s="1101"/>
      <c r="E43" s="1080"/>
      <c r="F43" s="1080"/>
      <c r="G43" s="1080"/>
      <c r="H43" s="1080"/>
      <c r="I43" s="1080"/>
      <c r="M43" s="1101"/>
      <c r="N43" s="1101"/>
      <c r="O43" s="1101"/>
      <c r="P43" s="1101"/>
    </row>
    <row r="44" spans="1:16" ht="14.5">
      <c r="A44" s="1080"/>
      <c r="B44" s="1080"/>
      <c r="C44" s="1080"/>
      <c r="D44" s="1080"/>
      <c r="E44" s="1080"/>
      <c r="F44" s="1080"/>
      <c r="G44" s="1080"/>
      <c r="H44" s="1080"/>
      <c r="I44" s="1080"/>
      <c r="M44" s="1080"/>
      <c r="N44" s="1080"/>
      <c r="O44" s="1080"/>
      <c r="P44" s="1080"/>
    </row>
    <row r="45" spans="1:16" ht="14.5">
      <c r="C45" s="2481" t="s">
        <v>1116</v>
      </c>
      <c r="D45" s="2481"/>
      <c r="M45" s="1101"/>
      <c r="N45" s="2481" t="s">
        <v>1117</v>
      </c>
      <c r="O45" s="2481"/>
      <c r="P45" s="2481"/>
    </row>
    <row r="46" spans="1:16" ht="14.5">
      <c r="C46" s="1080"/>
      <c r="D46" s="1080"/>
      <c r="M46" s="1080"/>
      <c r="N46" s="1080"/>
      <c r="O46" s="1080"/>
      <c r="P46" s="1080"/>
    </row>
    <row r="47" spans="1:16">
      <c r="A47" s="655" t="s">
        <v>656</v>
      </c>
    </row>
    <row r="48" spans="1:16">
      <c r="A48" s="532" t="s">
        <v>1118</v>
      </c>
    </row>
    <row r="49" spans="1:1">
      <c r="A49" s="532" t="s">
        <v>1119</v>
      </c>
    </row>
    <row r="50" spans="1:1">
      <c r="A50" s="532" t="s">
        <v>1120</v>
      </c>
    </row>
    <row r="51" spans="1:1">
      <c r="A51" s="532" t="s">
        <v>1121</v>
      </c>
    </row>
    <row r="52" spans="1:1">
      <c r="A52" s="532" t="s">
        <v>1122</v>
      </c>
    </row>
    <row r="53" spans="1:1">
      <c r="A53" s="532" t="s">
        <v>1123</v>
      </c>
    </row>
    <row r="54" spans="1:1">
      <c r="A54" s="532" t="s">
        <v>1124</v>
      </c>
    </row>
  </sheetData>
  <sheetProtection algorithmName="SHA-512" hashValue="SYXvi5dqoFDOoklrgWfqRznLBoHXClJHrzrhYOzE/0Sc8rmlhjdDtvoAEq7Cw7pKtpZ9B6WV+B1j9R6Fy1MfNw==" saltValue="ETFr0Xl91I+DDh9sag9+dg==" spinCount="100000" sheet="1" objects="1" scenarios="1"/>
  <mergeCells count="9">
    <mergeCell ref="A2:O2"/>
    <mergeCell ref="C41:D41"/>
    <mergeCell ref="N41:P41"/>
    <mergeCell ref="C45:D45"/>
    <mergeCell ref="N45:P45"/>
    <mergeCell ref="A7:A8"/>
    <mergeCell ref="M7:M8"/>
    <mergeCell ref="O7:O8"/>
    <mergeCell ref="P7:P8"/>
  </mergeCells>
  <pageMargins left="0.7" right="0.7" top="0.75" bottom="0.75" header="0.3" footer="0.3"/>
  <pageSetup paperSize="9" fitToWidth="0" fitToHeight="0"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C000"/>
    <pageSetUpPr fitToPage="1"/>
  </sheetPr>
  <dimension ref="A2:R63"/>
  <sheetViews>
    <sheetView topLeftCell="A38" zoomScale="120" zoomScaleNormal="120" workbookViewId="0">
      <selection activeCell="G72" sqref="A1:N115"/>
    </sheetView>
  </sheetViews>
  <sheetFormatPr defaultColWidth="9.26953125" defaultRowHeight="13"/>
  <cols>
    <col min="1" max="2" width="2.54296875" style="692" customWidth="1"/>
    <col min="3" max="3" width="4.7265625" style="692" customWidth="1"/>
    <col min="4" max="4" width="21.7265625" style="692" customWidth="1"/>
    <col min="5" max="5" width="0.54296875" style="692" customWidth="1"/>
    <col min="6" max="6" width="12.26953125" style="692" customWidth="1"/>
    <col min="7" max="7" width="4.54296875" style="692" customWidth="1"/>
    <col min="8" max="8" width="6.7265625" style="692" customWidth="1"/>
    <col min="9" max="9" width="3.7265625" style="692" customWidth="1"/>
    <col min="10" max="11" width="9.26953125" style="692" customWidth="1"/>
    <col min="12" max="12" width="3.7265625" style="692" customWidth="1"/>
    <col min="13" max="14" width="9.26953125" style="692"/>
    <col min="15" max="15" width="2.7265625" style="692" customWidth="1"/>
    <col min="16" max="16384" width="9.26953125" style="692"/>
  </cols>
  <sheetData>
    <row r="2" spans="3:14" ht="12" customHeight="1"/>
    <row r="3" spans="3:14" hidden="1"/>
    <row r="4" spans="3:14" ht="37.5" customHeight="1">
      <c r="C4" s="2490" t="s">
        <v>1125</v>
      </c>
      <c r="D4" s="2490"/>
      <c r="E4" s="2490"/>
      <c r="F4" s="2490"/>
      <c r="G4" s="2490"/>
      <c r="H4" s="2490"/>
      <c r="I4" s="2490"/>
      <c r="J4" s="2490"/>
      <c r="K4" s="2490"/>
      <c r="L4" s="2490"/>
      <c r="M4" s="2490"/>
      <c r="N4" s="2490"/>
    </row>
    <row r="6" spans="3:14" ht="14.5">
      <c r="C6" s="743"/>
      <c r="D6" s="1072"/>
      <c r="J6" s="530" t="s">
        <v>394</v>
      </c>
      <c r="K6" s="2491" t="str">
        <f>LPKK!O4</f>
        <v>RC SAMATA GOWA</v>
      </c>
      <c r="L6" s="2491"/>
      <c r="M6" s="2491"/>
    </row>
    <row r="7" spans="3:14">
      <c r="J7" s="530" t="s">
        <v>396</v>
      </c>
      <c r="K7" s="2492" t="str">
        <f>LPKK!O5</f>
        <v>8-14 JANUARI 2025</v>
      </c>
      <c r="L7" s="2492"/>
      <c r="M7" s="2492"/>
    </row>
    <row r="9" spans="3:14">
      <c r="L9" s="339"/>
      <c r="M9" s="339"/>
      <c r="N9" s="339"/>
    </row>
    <row r="10" spans="3:14" ht="15.5">
      <c r="C10" s="1073" t="s">
        <v>1126</v>
      </c>
      <c r="D10" s="1073"/>
      <c r="F10" s="2493">
        <f>F14</f>
        <v>46030</v>
      </c>
      <c r="G10" s="2494"/>
      <c r="H10" s="2494"/>
      <c r="L10" s="1077" t="s">
        <v>1127</v>
      </c>
      <c r="M10" s="2495">
        <v>8049367</v>
      </c>
      <c r="N10" s="2495"/>
    </row>
    <row r="11" spans="3:14" ht="15.5">
      <c r="C11" s="1073"/>
      <c r="D11" s="1073"/>
      <c r="F11" s="1074"/>
      <c r="G11" s="754"/>
      <c r="H11" s="754"/>
      <c r="L11" s="1077"/>
      <c r="M11" s="1078"/>
      <c r="N11" s="1078"/>
    </row>
    <row r="12" spans="3:14" ht="15.5">
      <c r="C12" s="1073"/>
      <c r="D12" s="1073"/>
      <c r="F12" s="1074"/>
      <c r="G12" s="754"/>
      <c r="H12" s="754"/>
      <c r="L12" s="1077"/>
      <c r="M12" s="1078"/>
      <c r="N12" s="1078"/>
    </row>
    <row r="13" spans="3:14">
      <c r="C13" s="692" t="s">
        <v>1128</v>
      </c>
      <c r="L13" s="1077"/>
      <c r="M13" s="1078"/>
      <c r="N13" s="1078"/>
    </row>
    <row r="14" spans="3:14">
      <c r="D14" s="692" t="s">
        <v>1129</v>
      </c>
      <c r="F14" s="2496">
        <f>'LAPORAN KAS PERIODE'!C6</f>
        <v>46030</v>
      </c>
      <c r="G14" s="2496"/>
      <c r="I14" s="692" t="s">
        <v>483</v>
      </c>
      <c r="J14" s="2497">
        <f>'LAPORAN KAS PERIODE'!C16</f>
        <v>2978332</v>
      </c>
      <c r="K14" s="2497"/>
    </row>
    <row r="15" spans="3:14">
      <c r="D15" s="692" t="s">
        <v>1129</v>
      </c>
      <c r="F15" s="2496">
        <f>'LAPORAN KAS PERIODE'!D6</f>
        <v>46031</v>
      </c>
      <c r="G15" s="2496"/>
      <c r="I15" s="692" t="s">
        <v>483</v>
      </c>
      <c r="J15" s="2497">
        <f>'LAPORAN KAS PERIODE'!D16</f>
        <v>3887301</v>
      </c>
      <c r="K15" s="2497"/>
    </row>
    <row r="16" spans="3:14">
      <c r="D16" s="692" t="s">
        <v>1129</v>
      </c>
      <c r="F16" s="2496">
        <f>'LAPORAN KAS PERIODE'!E6</f>
        <v>46032</v>
      </c>
      <c r="G16" s="2496"/>
      <c r="I16" s="692" t="s">
        <v>483</v>
      </c>
      <c r="J16" s="2497">
        <f>'LAPORAN KAS PERIODE'!E16</f>
        <v>3654747</v>
      </c>
      <c r="K16" s="2497"/>
    </row>
    <row r="17" spans="1:14">
      <c r="D17" s="692" t="s">
        <v>1129</v>
      </c>
      <c r="F17" s="2496">
        <f>'LAPORAN KAS PERIODE'!F6</f>
        <v>46033</v>
      </c>
      <c r="G17" s="2496"/>
      <c r="I17" s="692" t="s">
        <v>483</v>
      </c>
      <c r="J17" s="2497">
        <f>'LAPORAN KAS PERIODE'!F16</f>
        <v>4004039</v>
      </c>
      <c r="K17" s="2497"/>
    </row>
    <row r="18" spans="1:14">
      <c r="D18" s="692" t="s">
        <v>1129</v>
      </c>
      <c r="F18" s="2496">
        <f>'LAPORAN KAS PERIODE'!G6</f>
        <v>46034</v>
      </c>
      <c r="G18" s="2496"/>
      <c r="I18" s="692" t="s">
        <v>483</v>
      </c>
      <c r="J18" s="2497">
        <f>'LAPORAN KAS PERIODE'!G16</f>
        <v>3624209</v>
      </c>
      <c r="K18" s="2497"/>
    </row>
    <row r="19" spans="1:14">
      <c r="D19" s="692" t="s">
        <v>1129</v>
      </c>
      <c r="F19" s="2496">
        <f>'LAPORAN KAS PERIODE'!H6</f>
        <v>46035</v>
      </c>
      <c r="G19" s="2496"/>
      <c r="I19" s="692" t="s">
        <v>483</v>
      </c>
      <c r="J19" s="2497">
        <f>'LAPORAN KAS PERIODE'!H16</f>
        <v>3031252</v>
      </c>
      <c r="K19" s="2497"/>
    </row>
    <row r="20" spans="1:14">
      <c r="D20" s="692" t="s">
        <v>1129</v>
      </c>
      <c r="F20" s="2496">
        <f>'LAPORAN KAS PERIODE'!I6</f>
        <v>46036</v>
      </c>
      <c r="G20" s="2496"/>
      <c r="I20" s="692" t="s">
        <v>483</v>
      </c>
      <c r="J20" s="2497">
        <f>'LAPORAN KAS PERIODE'!I16</f>
        <v>3975543</v>
      </c>
      <c r="K20" s="2497"/>
    </row>
    <row r="21" spans="1:14">
      <c r="D21" s="692" t="s">
        <v>1129</v>
      </c>
      <c r="F21" s="2496">
        <f>'LAPORAN KAS PERIODE'!J6</f>
        <v>0</v>
      </c>
      <c r="G21" s="2496"/>
      <c r="I21" s="692" t="s">
        <v>483</v>
      </c>
      <c r="J21" s="2497">
        <f>'LAPORAN KAS PERIODE'!J16</f>
        <v>0</v>
      </c>
      <c r="K21" s="2497"/>
    </row>
    <row r="22" spans="1:14">
      <c r="D22" s="692" t="s">
        <v>1129</v>
      </c>
      <c r="F22" s="2496">
        <f>'LAPORAN KAS PERIODE'!K6</f>
        <v>0</v>
      </c>
      <c r="G22" s="2496"/>
      <c r="I22" s="692" t="s">
        <v>483</v>
      </c>
      <c r="J22" s="2497">
        <f>'LAPORAN KAS PERIODE'!K16</f>
        <v>0</v>
      </c>
      <c r="K22" s="2497"/>
    </row>
    <row r="23" spans="1:14">
      <c r="D23" s="692" t="s">
        <v>1129</v>
      </c>
      <c r="F23" s="2496">
        <f>'LAPORAN KAS PERIODE'!L6</f>
        <v>0</v>
      </c>
      <c r="G23" s="2496"/>
      <c r="I23" s="692" t="s">
        <v>483</v>
      </c>
      <c r="J23" s="2497">
        <f>'LAPORAN KAS PERIODE'!L16</f>
        <v>0</v>
      </c>
      <c r="K23" s="2497"/>
    </row>
    <row r="24" spans="1:14">
      <c r="F24" s="699"/>
      <c r="G24" s="699"/>
      <c r="J24" s="699"/>
      <c r="K24" s="699"/>
    </row>
    <row r="25" spans="1:14">
      <c r="F25" s="699"/>
      <c r="G25" s="699"/>
      <c r="J25" s="699"/>
      <c r="K25" s="699"/>
      <c r="L25" s="339"/>
      <c r="M25" s="339"/>
      <c r="N25" s="339"/>
    </row>
    <row r="26" spans="1:14">
      <c r="F26" s="756" t="s">
        <v>1130</v>
      </c>
      <c r="J26" s="2498" t="s">
        <v>1131</v>
      </c>
      <c r="K26" s="2499"/>
      <c r="L26" s="339" t="s">
        <v>1132</v>
      </c>
      <c r="M26" s="2500">
        <f>SUM(J14:K23)</f>
        <v>25155423</v>
      </c>
      <c r="N26" s="2500"/>
    </row>
    <row r="27" spans="1:14">
      <c r="L27" s="756"/>
    </row>
    <row r="28" spans="1:14">
      <c r="C28" s="692" t="s">
        <v>1133</v>
      </c>
    </row>
    <row r="29" spans="1:14">
      <c r="J29" s="2501"/>
      <c r="K29" s="2501"/>
    </row>
    <row r="30" spans="1:14">
      <c r="A30" s="692" t="s">
        <v>508</v>
      </c>
      <c r="D30" s="1075" t="s">
        <v>1134</v>
      </c>
      <c r="E30" s="1075"/>
      <c r="F30" s="1075"/>
      <c r="I30" s="692" t="s">
        <v>483</v>
      </c>
      <c r="J30" s="2502">
        <v>26672</v>
      </c>
      <c r="K30" s="2502"/>
    </row>
    <row r="31" spans="1:14">
      <c r="D31" s="1075"/>
      <c r="E31" s="1075"/>
      <c r="F31" s="1075"/>
      <c r="I31" s="692" t="s">
        <v>483</v>
      </c>
      <c r="J31" s="2502"/>
      <c r="K31" s="2502"/>
    </row>
    <row r="32" spans="1:14">
      <c r="D32" s="1075"/>
      <c r="E32" s="1075"/>
      <c r="F32" s="1075"/>
      <c r="I32" s="692" t="s">
        <v>483</v>
      </c>
      <c r="J32" s="2502"/>
      <c r="K32" s="2502"/>
    </row>
    <row r="33" spans="3:18">
      <c r="I33" s="692" t="s">
        <v>1135</v>
      </c>
      <c r="J33" s="2501"/>
      <c r="K33" s="2501"/>
    </row>
    <row r="34" spans="3:18">
      <c r="K34" s="758"/>
      <c r="L34" s="339"/>
      <c r="M34" s="339"/>
      <c r="N34" s="339"/>
    </row>
    <row r="35" spans="3:18">
      <c r="F35" s="756" t="s">
        <v>61</v>
      </c>
      <c r="J35" s="2498" t="s">
        <v>1136</v>
      </c>
      <c r="K35" s="2499"/>
      <c r="L35" s="339" t="s">
        <v>1132</v>
      </c>
      <c r="M35" s="2500">
        <f>SUM(J29:K33)</f>
        <v>26672</v>
      </c>
      <c r="N35" s="2500"/>
    </row>
    <row r="36" spans="3:18">
      <c r="L36" s="339"/>
      <c r="M36" s="339"/>
      <c r="N36" s="339"/>
    </row>
    <row r="37" spans="3:18">
      <c r="F37" s="756" t="s">
        <v>1137</v>
      </c>
      <c r="J37" s="2499" t="s">
        <v>1138</v>
      </c>
      <c r="K37" s="2499"/>
      <c r="L37" s="339" t="s">
        <v>1132</v>
      </c>
      <c r="M37" s="2500">
        <f>M10+M26+M35</f>
        <v>33231462</v>
      </c>
      <c r="N37" s="2500"/>
    </row>
    <row r="38" spans="3:18">
      <c r="C38" s="692" t="s">
        <v>1139</v>
      </c>
      <c r="L38" s="339"/>
      <c r="M38" s="339"/>
      <c r="N38" s="339"/>
    </row>
    <row r="39" spans="3:18">
      <c r="L39" s="339"/>
      <c r="M39" s="339"/>
      <c r="N39" s="339"/>
    </row>
    <row r="40" spans="3:18">
      <c r="D40" s="692" t="s">
        <v>1140</v>
      </c>
      <c r="F40" s="2503">
        <f>F14</f>
        <v>46030</v>
      </c>
      <c r="G40" s="2503"/>
      <c r="I40" s="692" t="s">
        <v>483</v>
      </c>
      <c r="J40" s="2497">
        <f>VENDOR!I249</f>
        <v>7349237</v>
      </c>
      <c r="K40" s="2497"/>
      <c r="L40" s="339"/>
      <c r="M40" s="339"/>
      <c r="N40" s="339"/>
    </row>
    <row r="41" spans="3:18">
      <c r="D41" s="692" t="s">
        <v>1140</v>
      </c>
      <c r="F41" s="2503">
        <f t="shared" ref="F41:F49" si="0">F15</f>
        <v>46031</v>
      </c>
      <c r="G41" s="2503"/>
      <c r="I41" s="692" t="s">
        <v>483</v>
      </c>
      <c r="J41" s="2497">
        <f>VENDOR!K249</f>
        <v>2970401</v>
      </c>
      <c r="K41" s="2497"/>
      <c r="L41" s="339"/>
      <c r="M41" s="339"/>
      <c r="N41" s="339"/>
    </row>
    <row r="42" spans="3:18">
      <c r="D42" s="692" t="s">
        <v>1140</v>
      </c>
      <c r="F42" s="2503">
        <f t="shared" si="0"/>
        <v>46032</v>
      </c>
      <c r="G42" s="2503"/>
      <c r="I42" s="692" t="s">
        <v>483</v>
      </c>
      <c r="J42" s="2497">
        <f>VENDOR!M249</f>
        <v>2875247</v>
      </c>
      <c r="K42" s="2497"/>
      <c r="L42" s="339"/>
      <c r="M42" s="339"/>
      <c r="N42" s="339"/>
    </row>
    <row r="43" spans="3:18">
      <c r="D43" s="692" t="s">
        <v>1140</v>
      </c>
      <c r="F43" s="2503">
        <f t="shared" si="0"/>
        <v>46033</v>
      </c>
      <c r="G43" s="2503"/>
      <c r="I43" s="692" t="s">
        <v>483</v>
      </c>
      <c r="J43" s="2497">
        <f>VENDOR!O249</f>
        <v>3546485</v>
      </c>
      <c r="K43" s="2497"/>
      <c r="L43" s="339"/>
      <c r="M43" s="339"/>
      <c r="N43" s="339"/>
    </row>
    <row r="44" spans="3:18">
      <c r="D44" s="692" t="s">
        <v>1140</v>
      </c>
      <c r="F44" s="2503">
        <f t="shared" si="0"/>
        <v>46034</v>
      </c>
      <c r="G44" s="2503"/>
      <c r="I44" s="692" t="s">
        <v>483</v>
      </c>
      <c r="J44" s="2497">
        <f>VENDOR!Q249</f>
        <v>2482710</v>
      </c>
      <c r="K44" s="2497"/>
      <c r="L44" s="339"/>
      <c r="M44" s="339"/>
      <c r="N44" s="339"/>
    </row>
    <row r="45" spans="3:18">
      <c r="D45" s="692" t="s">
        <v>1140</v>
      </c>
      <c r="F45" s="2503">
        <f t="shared" si="0"/>
        <v>46035</v>
      </c>
      <c r="G45" s="2503"/>
      <c r="I45" s="692" t="s">
        <v>483</v>
      </c>
      <c r="J45" s="2497">
        <f>VENDOR!S249</f>
        <v>4372444</v>
      </c>
      <c r="K45" s="2497"/>
      <c r="L45" s="339"/>
      <c r="M45" s="339"/>
      <c r="N45" s="339"/>
    </row>
    <row r="46" spans="3:18">
      <c r="D46" s="692" t="s">
        <v>1140</v>
      </c>
      <c r="F46" s="2503">
        <f t="shared" si="0"/>
        <v>46036</v>
      </c>
      <c r="G46" s="2503"/>
      <c r="I46" s="692" t="s">
        <v>483</v>
      </c>
      <c r="J46" s="2497">
        <f>VENDOR!U249</f>
        <v>8216838</v>
      </c>
      <c r="K46" s="2497"/>
      <c r="L46" s="339"/>
      <c r="M46" s="339"/>
      <c r="N46" s="339"/>
    </row>
    <row r="47" spans="3:18">
      <c r="D47" s="692" t="s">
        <v>1140</v>
      </c>
      <c r="F47" s="2503">
        <f t="shared" si="0"/>
        <v>0</v>
      </c>
      <c r="G47" s="2503"/>
      <c r="I47" s="692" t="s">
        <v>483</v>
      </c>
      <c r="J47" s="2497">
        <f>VENDOR!W249</f>
        <v>0</v>
      </c>
      <c r="K47" s="2497"/>
      <c r="L47" s="339"/>
      <c r="M47" s="339"/>
      <c r="N47" s="339"/>
    </row>
    <row r="48" spans="3:18">
      <c r="D48" s="692" t="s">
        <v>1140</v>
      </c>
      <c r="F48" s="2503">
        <f t="shared" si="0"/>
        <v>0</v>
      </c>
      <c r="G48" s="2503"/>
      <c r="I48" s="692" t="s">
        <v>483</v>
      </c>
      <c r="J48" s="2497">
        <f>VENDOR!Y249</f>
        <v>0</v>
      </c>
      <c r="K48" s="2497"/>
      <c r="L48" s="339"/>
      <c r="M48" s="339"/>
      <c r="N48" s="339"/>
      <c r="R48" s="692" t="s">
        <v>60</v>
      </c>
    </row>
    <row r="49" spans="3:16">
      <c r="D49" s="692" t="s">
        <v>1140</v>
      </c>
      <c r="F49" s="2503">
        <f t="shared" si="0"/>
        <v>0</v>
      </c>
      <c r="G49" s="2503"/>
      <c r="I49" s="692" t="s">
        <v>483</v>
      </c>
      <c r="J49" s="2497">
        <f>VENDOR!AA249</f>
        <v>0</v>
      </c>
      <c r="K49" s="2497"/>
      <c r="L49" s="339"/>
      <c r="M49" s="339"/>
      <c r="N49" s="339"/>
    </row>
    <row r="50" spans="3:16">
      <c r="F50" s="758"/>
      <c r="I50" s="1079"/>
      <c r="J50" s="699"/>
      <c r="K50" s="699"/>
      <c r="L50" s="339"/>
      <c r="M50" s="339"/>
      <c r="N50" s="339"/>
    </row>
    <row r="51" spans="3:16">
      <c r="F51" s="758"/>
      <c r="I51" s="1079"/>
      <c r="J51" s="699"/>
      <c r="K51" s="699"/>
      <c r="L51" s="339"/>
      <c r="M51" s="339"/>
      <c r="N51" s="339"/>
    </row>
    <row r="52" spans="3:16">
      <c r="F52" s="2504"/>
      <c r="G52" s="2505"/>
      <c r="I52" s="1079"/>
      <c r="J52" s="2501"/>
      <c r="K52" s="2501"/>
      <c r="L52" s="339"/>
      <c r="M52" s="339"/>
      <c r="N52" s="339"/>
    </row>
    <row r="53" spans="3:16">
      <c r="F53" s="756" t="s">
        <v>1141</v>
      </c>
      <c r="J53" s="2499" t="s">
        <v>1138</v>
      </c>
      <c r="K53" s="2499"/>
      <c r="L53" s="339" t="s">
        <v>1132</v>
      </c>
      <c r="M53" s="2500">
        <f>SUM(J40:K49)</f>
        <v>31813362</v>
      </c>
      <c r="N53" s="2500"/>
    </row>
    <row r="54" spans="3:16">
      <c r="L54" s="339"/>
      <c r="M54" s="339"/>
      <c r="N54" s="339"/>
    </row>
    <row r="55" spans="3:16" ht="15.5">
      <c r="C55" s="1073" t="s">
        <v>1142</v>
      </c>
      <c r="F55" s="2494"/>
      <c r="G55" s="2494"/>
      <c r="H55" s="2494"/>
      <c r="J55" s="2499" t="s">
        <v>1138</v>
      </c>
      <c r="K55" s="2499"/>
      <c r="L55" s="339" t="s">
        <v>1132</v>
      </c>
      <c r="M55" s="2500">
        <f>M37-M53</f>
        <v>1418100</v>
      </c>
      <c r="N55" s="2500"/>
    </row>
    <row r="56" spans="3:16">
      <c r="L56" s="339"/>
      <c r="M56" s="339"/>
      <c r="N56" s="339"/>
    </row>
    <row r="57" spans="3:16" ht="6" customHeight="1">
      <c r="L57" s="339"/>
      <c r="M57" s="339"/>
      <c r="N57" s="339"/>
    </row>
    <row r="58" spans="3:16">
      <c r="C58" s="532"/>
      <c r="D58" s="2430" t="s">
        <v>391</v>
      </c>
      <c r="E58" s="2430"/>
      <c r="F58" s="2430"/>
    </row>
    <row r="59" spans="3:16">
      <c r="D59" s="756"/>
      <c r="E59" s="756"/>
      <c r="F59" s="756"/>
    </row>
    <row r="60" spans="3:16">
      <c r="D60" s="754"/>
      <c r="E60" s="756"/>
      <c r="F60" s="756"/>
    </row>
    <row r="61" spans="3:16">
      <c r="C61" s="561"/>
      <c r="D61" s="2499" t="s">
        <v>1143</v>
      </c>
      <c r="E61" s="2499"/>
      <c r="F61" s="2499"/>
      <c r="P61" s="692" t="s">
        <v>61</v>
      </c>
    </row>
    <row r="63" spans="3:16">
      <c r="C63" s="1076" t="s">
        <v>1144</v>
      </c>
      <c r="D63" s="1076"/>
      <c r="E63" s="1076"/>
      <c r="F63" s="1076"/>
      <c r="G63" s="1076"/>
    </row>
  </sheetData>
  <sheetProtection algorithmName="SHA-512" hashValue="By6is351oh8ZT7TUE3ij1wrlx0oXdBtVN1SyV4yYaRrkHhWTAqieIVroMqwvW3WjryTW9CuXAZVXaJIDBOXH2A==" saltValue="qm+dJenk7NKDcgpgD4F9Rw==" spinCount="100000" sheet="1" objects="1" scenarios="1"/>
  <mergeCells count="65">
    <mergeCell ref="D58:F58"/>
    <mergeCell ref="D61:F61"/>
    <mergeCell ref="F52:G52"/>
    <mergeCell ref="J52:K52"/>
    <mergeCell ref="J53:K53"/>
    <mergeCell ref="M53:N53"/>
    <mergeCell ref="F55:H55"/>
    <mergeCell ref="J55:K55"/>
    <mergeCell ref="M55:N55"/>
    <mergeCell ref="F47:G47"/>
    <mergeCell ref="J47:K47"/>
    <mergeCell ref="F48:G48"/>
    <mergeCell ref="J48:K48"/>
    <mergeCell ref="F49:G49"/>
    <mergeCell ref="J49:K49"/>
    <mergeCell ref="F44:G44"/>
    <mergeCell ref="J44:K44"/>
    <mergeCell ref="F45:G45"/>
    <mergeCell ref="J45:K45"/>
    <mergeCell ref="F46:G46"/>
    <mergeCell ref="J46:K46"/>
    <mergeCell ref="F41:G41"/>
    <mergeCell ref="J41:K41"/>
    <mergeCell ref="F42:G42"/>
    <mergeCell ref="J42:K42"/>
    <mergeCell ref="F43:G43"/>
    <mergeCell ref="J43:K43"/>
    <mergeCell ref="M35:N35"/>
    <mergeCell ref="J37:K37"/>
    <mergeCell ref="M37:N37"/>
    <mergeCell ref="F40:G40"/>
    <mergeCell ref="J40:K40"/>
    <mergeCell ref="J30:K30"/>
    <mergeCell ref="J31:K31"/>
    <mergeCell ref="J32:K32"/>
    <mergeCell ref="J33:K33"/>
    <mergeCell ref="J35:K35"/>
    <mergeCell ref="F23:G23"/>
    <mergeCell ref="J23:K23"/>
    <mergeCell ref="J26:K26"/>
    <mergeCell ref="M26:N26"/>
    <mergeCell ref="J29:K29"/>
    <mergeCell ref="F20:G20"/>
    <mergeCell ref="J20:K20"/>
    <mergeCell ref="F21:G21"/>
    <mergeCell ref="J21:K21"/>
    <mergeCell ref="F22:G22"/>
    <mergeCell ref="J22:K22"/>
    <mergeCell ref="F17:G17"/>
    <mergeCell ref="J17:K17"/>
    <mergeCell ref="F18:G18"/>
    <mergeCell ref="J18:K18"/>
    <mergeCell ref="F19:G19"/>
    <mergeCell ref="J19:K19"/>
    <mergeCell ref="F14:G14"/>
    <mergeCell ref="J14:K14"/>
    <mergeCell ref="F15:G15"/>
    <mergeCell ref="J15:K15"/>
    <mergeCell ref="F16:G16"/>
    <mergeCell ref="J16:K16"/>
    <mergeCell ref="C4:N4"/>
    <mergeCell ref="K6:M6"/>
    <mergeCell ref="K7:M7"/>
    <mergeCell ref="F10:H10"/>
    <mergeCell ref="M10:N10"/>
  </mergeCells>
  <printOptions horizontalCentered="1" verticalCentered="1"/>
  <pageMargins left="0" right="0" top="0" bottom="0" header="0.31" footer="0.31"/>
  <pageSetup paperSize="10000" orientation="portrait"/>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pageSetUpPr fitToPage="1"/>
  </sheetPr>
  <dimension ref="A1:IU60"/>
  <sheetViews>
    <sheetView topLeftCell="A17" zoomScale="90" zoomScaleNormal="90" workbookViewId="0">
      <selection activeCell="G72" sqref="A1:N115"/>
    </sheetView>
  </sheetViews>
  <sheetFormatPr defaultColWidth="9.26953125" defaultRowHeight="13"/>
  <cols>
    <col min="1" max="1" width="5" style="532" customWidth="1"/>
    <col min="2" max="2" width="13.7265625" style="532" customWidth="1"/>
    <col min="3" max="3" width="6.7265625" style="532" customWidth="1"/>
    <col min="4" max="4" width="11.26953125" style="532" customWidth="1"/>
    <col min="5" max="5" width="13.453125" style="532" customWidth="1"/>
    <col min="6" max="6" width="6.7265625" style="532" customWidth="1"/>
    <col min="7" max="7" width="12.54296875" style="532" customWidth="1"/>
    <col min="8" max="8" width="6.7265625" style="1012" customWidth="1"/>
    <col min="9" max="9" width="10.54296875" style="532" customWidth="1"/>
    <col min="10" max="10" width="13.7265625" style="532" customWidth="1"/>
    <col min="11" max="12" width="10.54296875" style="532" customWidth="1"/>
    <col min="13" max="13" width="9" style="532" customWidth="1"/>
    <col min="14" max="14" width="11.453125" style="532" customWidth="1"/>
    <col min="15" max="255" width="9.26953125" style="532" customWidth="1"/>
    <col min="256" max="16384" width="9.26953125" style="571"/>
  </cols>
  <sheetData>
    <row r="1" spans="1:17" ht="26.25" customHeight="1"/>
    <row r="2" spans="1:17" ht="22.5" customHeight="1">
      <c r="A2" s="2506" t="s">
        <v>1145</v>
      </c>
      <c r="B2" s="2506"/>
      <c r="C2" s="2506"/>
      <c r="D2" s="2506"/>
      <c r="E2" s="2506"/>
      <c r="F2" s="2506"/>
      <c r="G2" s="2506"/>
      <c r="H2" s="2506"/>
      <c r="I2" s="2506"/>
      <c r="J2" s="2506"/>
      <c r="K2" s="2506"/>
      <c r="L2" s="2506"/>
      <c r="M2" s="2506"/>
      <c r="N2" s="2506"/>
    </row>
    <row r="3" spans="1:17" hidden="1">
      <c r="A3" s="1013"/>
      <c r="C3" s="1013"/>
      <c r="D3" s="1013"/>
    </row>
    <row r="4" spans="1:17" hidden="1">
      <c r="A4" s="1013"/>
      <c r="C4" s="1013"/>
      <c r="D4" s="1013"/>
    </row>
    <row r="5" spans="1:17" hidden="1">
      <c r="A5" s="1013"/>
      <c r="C5" s="1013"/>
      <c r="D5" s="1013"/>
    </row>
    <row r="6" spans="1:17" hidden="1">
      <c r="A6" s="1013"/>
    </row>
    <row r="7" spans="1:17" ht="23.5">
      <c r="A7" s="2188" t="s">
        <v>1146</v>
      </c>
      <c r="B7" s="2188"/>
      <c r="C7" s="2188"/>
      <c r="D7" s="2188"/>
      <c r="E7" s="2188"/>
      <c r="F7" s="2188"/>
      <c r="G7" s="2188"/>
      <c r="H7" s="2188"/>
      <c r="I7" s="2188"/>
      <c r="J7" s="2188"/>
      <c r="K7" s="2188"/>
      <c r="L7" s="2188"/>
      <c r="M7" s="2188"/>
      <c r="N7" s="2188"/>
    </row>
    <row r="8" spans="1:17" ht="15.5">
      <c r="A8" s="1013"/>
      <c r="I8" s="911"/>
      <c r="L8" s="1045" t="s">
        <v>394</v>
      </c>
      <c r="M8" s="2507" t="str">
        <f>LPKK!O4</f>
        <v>RC SAMATA GOWA</v>
      </c>
      <c r="N8" s="2507"/>
    </row>
    <row r="9" spans="1:17" ht="15.5">
      <c r="A9" s="911"/>
      <c r="I9" s="911"/>
      <c r="L9" s="1045" t="s">
        <v>1147</v>
      </c>
      <c r="M9" s="2508" t="s">
        <v>1148</v>
      </c>
      <c r="N9" s="2508"/>
    </row>
    <row r="10" spans="1:17" ht="7.5" customHeight="1">
      <c r="A10" s="911"/>
      <c r="I10" s="911"/>
      <c r="K10" s="1010"/>
    </row>
    <row r="11" spans="1:17" ht="20.149999999999999" customHeight="1">
      <c r="A11" s="2223" t="s">
        <v>398</v>
      </c>
      <c r="B11" s="2223" t="s">
        <v>1149</v>
      </c>
      <c r="C11" s="2219" t="s">
        <v>1150</v>
      </c>
      <c r="D11" s="2223" t="s">
        <v>1151</v>
      </c>
      <c r="E11" s="2509" t="s">
        <v>1152</v>
      </c>
      <c r="F11" s="2510"/>
      <c r="G11" s="2223" t="s">
        <v>1153</v>
      </c>
      <c r="H11" s="2512" t="s">
        <v>1154</v>
      </c>
      <c r="I11" s="1016" t="s">
        <v>1155</v>
      </c>
      <c r="J11" s="1015" t="s">
        <v>1156</v>
      </c>
      <c r="K11" s="2509" t="s">
        <v>1157</v>
      </c>
      <c r="L11" s="2511"/>
      <c r="M11" s="2511"/>
      <c r="N11" s="2510"/>
    </row>
    <row r="12" spans="1:17" ht="47.25" customHeight="1">
      <c r="A12" s="2224"/>
      <c r="B12" s="2224"/>
      <c r="C12" s="2221"/>
      <c r="D12" s="2224"/>
      <c r="E12" s="1017" t="s">
        <v>1158</v>
      </c>
      <c r="F12" s="1018" t="s">
        <v>1150</v>
      </c>
      <c r="G12" s="2224"/>
      <c r="H12" s="2513"/>
      <c r="I12" s="1016" t="s">
        <v>1149</v>
      </c>
      <c r="J12" s="1016" t="s">
        <v>1159</v>
      </c>
      <c r="K12" s="1046" t="s">
        <v>1160</v>
      </c>
      <c r="L12" s="1047" t="s">
        <v>1161</v>
      </c>
      <c r="M12" s="1047" t="s">
        <v>1162</v>
      </c>
      <c r="N12" s="1048" t="s">
        <v>1163</v>
      </c>
    </row>
    <row r="13" spans="1:17" ht="20.149999999999999" customHeight="1">
      <c r="A13" s="1019">
        <v>1</v>
      </c>
      <c r="B13" s="1020">
        <v>6536645</v>
      </c>
      <c r="C13" s="1021">
        <v>170</v>
      </c>
      <c r="D13" s="1022">
        <f>B13/C13</f>
        <v>38450.852941176498</v>
      </c>
      <c r="E13" s="1023">
        <f>B13</f>
        <v>6536645</v>
      </c>
      <c r="F13" s="1023">
        <f>C13</f>
        <v>170</v>
      </c>
      <c r="G13" s="1021">
        <v>5500000</v>
      </c>
      <c r="H13" s="1024">
        <f>E13/G13</f>
        <v>1.1884809090909101</v>
      </c>
      <c r="I13" s="1049">
        <f>E13/A13</f>
        <v>6536645</v>
      </c>
      <c r="J13" s="1050">
        <v>4332790</v>
      </c>
      <c r="K13" s="1051">
        <v>38</v>
      </c>
      <c r="L13" s="1052">
        <f>K13</f>
        <v>38</v>
      </c>
      <c r="M13" s="1053">
        <v>2</v>
      </c>
      <c r="N13" s="1054">
        <f>L13*M13</f>
        <v>76</v>
      </c>
      <c r="O13" s="840">
        <f>E13-J13</f>
        <v>2203855</v>
      </c>
      <c r="P13" s="840">
        <f>B13*1.3%</f>
        <v>84976.384999999995</v>
      </c>
      <c r="Q13" s="1071"/>
    </row>
    <row r="14" spans="1:17" ht="20.149999999999999" customHeight="1">
      <c r="A14" s="1025">
        <f>+A13+1</f>
        <v>2</v>
      </c>
      <c r="B14" s="1026">
        <v>5541514</v>
      </c>
      <c r="C14" s="1027">
        <v>163</v>
      </c>
      <c r="D14" s="1028">
        <f t="shared" ref="D14:D43" si="0">B14/C14</f>
        <v>33997.018404907998</v>
      </c>
      <c r="E14" s="1029">
        <f>E13+B14</f>
        <v>12078159</v>
      </c>
      <c r="F14" s="1029">
        <f>F13+C14</f>
        <v>333</v>
      </c>
      <c r="G14" s="1027">
        <v>11000000</v>
      </c>
      <c r="H14" s="1030">
        <f t="shared" ref="H14:H24" si="1">E14/G14</f>
        <v>1.09801445454545</v>
      </c>
      <c r="I14" s="1055">
        <f>E14/A14</f>
        <v>6039079.5</v>
      </c>
      <c r="J14" s="1056">
        <v>8146157</v>
      </c>
      <c r="K14" s="1057">
        <v>32</v>
      </c>
      <c r="L14" s="1058">
        <f>L13+K14</f>
        <v>70</v>
      </c>
      <c r="M14" s="1053">
        <v>3</v>
      </c>
      <c r="N14" s="1059">
        <f t="shared" ref="N14:N43" si="2">L14*M14</f>
        <v>210</v>
      </c>
      <c r="O14" s="840">
        <f t="shared" ref="O14:O43" si="3">E14-J14</f>
        <v>3932002</v>
      </c>
      <c r="P14" s="840">
        <f t="shared" ref="P14:P43" si="4">B14*1.3%</f>
        <v>72039.682000000001</v>
      </c>
      <c r="Q14" s="840"/>
    </row>
    <row r="15" spans="1:17" ht="20.149999999999999" customHeight="1">
      <c r="A15" s="1025">
        <f t="shared" ref="A15:A43" si="5">+A14+1</f>
        <v>3</v>
      </c>
      <c r="B15" s="1026">
        <v>5079513</v>
      </c>
      <c r="C15" s="1027">
        <v>127</v>
      </c>
      <c r="D15" s="1028">
        <f t="shared" si="0"/>
        <v>39996.165354330697</v>
      </c>
      <c r="E15" s="1029">
        <f>E14+B15</f>
        <v>17157672</v>
      </c>
      <c r="F15" s="1028">
        <f t="shared" ref="F15:F33" si="6">F14+C15</f>
        <v>460</v>
      </c>
      <c r="G15" s="1027">
        <f>G14+G13</f>
        <v>16500000</v>
      </c>
      <c r="H15" s="1030">
        <f t="shared" si="1"/>
        <v>1.0398589090909101</v>
      </c>
      <c r="I15" s="1055">
        <f>E15/A15</f>
        <v>5719224</v>
      </c>
      <c r="J15" s="1056">
        <v>12230311</v>
      </c>
      <c r="K15" s="1057"/>
      <c r="L15" s="1058">
        <f t="shared" ref="L15:L34" si="7">L14+K15</f>
        <v>70</v>
      </c>
      <c r="M15" s="1053"/>
      <c r="N15" s="1059">
        <f t="shared" si="2"/>
        <v>0</v>
      </c>
      <c r="O15" s="840">
        <f t="shared" si="3"/>
        <v>4927361</v>
      </c>
      <c r="P15" s="840">
        <f t="shared" si="4"/>
        <v>66033.668999999994</v>
      </c>
    </row>
    <row r="16" spans="1:17" ht="20.149999999999999" customHeight="1">
      <c r="A16" s="1025">
        <f t="shared" si="5"/>
        <v>4</v>
      </c>
      <c r="B16" s="1026">
        <v>5991915</v>
      </c>
      <c r="C16" s="1027">
        <v>178</v>
      </c>
      <c r="D16" s="1028">
        <f t="shared" si="0"/>
        <v>33662.443820224697</v>
      </c>
      <c r="E16" s="1029">
        <f t="shared" ref="E16:E33" si="8">E15+B16</f>
        <v>23149587</v>
      </c>
      <c r="F16" s="1028">
        <f t="shared" si="6"/>
        <v>638</v>
      </c>
      <c r="G16" s="1027">
        <f>G15+G13</f>
        <v>22000000</v>
      </c>
      <c r="H16" s="1030">
        <f t="shared" si="1"/>
        <v>1.0522539545454499</v>
      </c>
      <c r="I16" s="1055">
        <f t="shared" ref="I16:I33" si="9">E16/A16</f>
        <v>5787396.75</v>
      </c>
      <c r="J16" s="1056">
        <v>17824934</v>
      </c>
      <c r="K16" s="1057">
        <v>25</v>
      </c>
      <c r="L16" s="1058">
        <f t="shared" si="7"/>
        <v>95</v>
      </c>
      <c r="M16" s="1053">
        <v>5</v>
      </c>
      <c r="N16" s="1059">
        <f t="shared" si="2"/>
        <v>475</v>
      </c>
      <c r="O16" s="840">
        <f t="shared" si="3"/>
        <v>5324653</v>
      </c>
      <c r="P16" s="840">
        <f t="shared" si="4"/>
        <v>77894.895000000004</v>
      </c>
    </row>
    <row r="17" spans="1:21" ht="20.149999999999999" customHeight="1">
      <c r="A17" s="1025">
        <f t="shared" si="5"/>
        <v>5</v>
      </c>
      <c r="B17" s="1026">
        <v>4231255</v>
      </c>
      <c r="C17" s="1027">
        <v>130</v>
      </c>
      <c r="D17" s="1028">
        <f t="shared" si="0"/>
        <v>32548.115384615401</v>
      </c>
      <c r="E17" s="1029">
        <f t="shared" si="8"/>
        <v>27380842</v>
      </c>
      <c r="F17" s="1028">
        <f t="shared" si="6"/>
        <v>768</v>
      </c>
      <c r="G17" s="1027">
        <f>G16+G13</f>
        <v>27500000</v>
      </c>
      <c r="H17" s="1030">
        <f t="shared" si="1"/>
        <v>0.99566698181818203</v>
      </c>
      <c r="I17" s="1055">
        <f t="shared" si="9"/>
        <v>5476168.4000000004</v>
      </c>
      <c r="J17" s="1056">
        <v>21774055</v>
      </c>
      <c r="K17" s="1057">
        <v>22</v>
      </c>
      <c r="L17" s="1058">
        <f t="shared" si="7"/>
        <v>117</v>
      </c>
      <c r="M17" s="1053">
        <v>5</v>
      </c>
      <c r="N17" s="1059">
        <f t="shared" si="2"/>
        <v>585</v>
      </c>
      <c r="O17" s="840">
        <f t="shared" si="3"/>
        <v>5606787</v>
      </c>
      <c r="P17" s="840">
        <f t="shared" si="4"/>
        <v>55006.315000000002</v>
      </c>
    </row>
    <row r="18" spans="1:21" ht="20.149999999999999" customHeight="1">
      <c r="A18" s="1025">
        <f t="shared" si="5"/>
        <v>6</v>
      </c>
      <c r="B18" s="1026">
        <v>3279995</v>
      </c>
      <c r="C18" s="1027">
        <v>98</v>
      </c>
      <c r="D18" s="1028">
        <f t="shared" si="0"/>
        <v>33469.336734693898</v>
      </c>
      <c r="E18" s="1029">
        <f t="shared" si="8"/>
        <v>30660837</v>
      </c>
      <c r="F18" s="1028">
        <f t="shared" si="6"/>
        <v>866</v>
      </c>
      <c r="G18" s="1027">
        <f>G17+G13</f>
        <v>33000000</v>
      </c>
      <c r="H18" s="1030">
        <f t="shared" si="1"/>
        <v>0.92911627272727304</v>
      </c>
      <c r="I18" s="1055">
        <f t="shared" si="9"/>
        <v>5110139.5</v>
      </c>
      <c r="J18" s="1056">
        <v>25885802</v>
      </c>
      <c r="K18" s="1057"/>
      <c r="L18" s="1058">
        <f t="shared" si="7"/>
        <v>117</v>
      </c>
      <c r="M18" s="1053"/>
      <c r="N18" s="1059">
        <f t="shared" si="2"/>
        <v>0</v>
      </c>
      <c r="O18" s="840">
        <f t="shared" si="3"/>
        <v>4775035</v>
      </c>
      <c r="P18" s="840">
        <f t="shared" si="4"/>
        <v>42639.934999999998</v>
      </c>
    </row>
    <row r="19" spans="1:21" ht="20.149999999999999" customHeight="1">
      <c r="A19" s="1025">
        <f t="shared" si="5"/>
        <v>7</v>
      </c>
      <c r="B19" s="1026">
        <v>4000430</v>
      </c>
      <c r="C19" s="1027">
        <v>107</v>
      </c>
      <c r="D19" s="1028">
        <f t="shared" si="0"/>
        <v>37387.196261682198</v>
      </c>
      <c r="E19" s="1029">
        <f t="shared" si="8"/>
        <v>34661267</v>
      </c>
      <c r="F19" s="1028">
        <f t="shared" si="6"/>
        <v>973</v>
      </c>
      <c r="G19" s="1027">
        <f>G18+G13</f>
        <v>38500000</v>
      </c>
      <c r="H19" s="1030">
        <f t="shared" si="1"/>
        <v>0.90029264935064901</v>
      </c>
      <c r="I19" s="1055">
        <f t="shared" si="9"/>
        <v>4951609.57142857</v>
      </c>
      <c r="J19" s="1056">
        <v>30016480</v>
      </c>
      <c r="K19" s="1057"/>
      <c r="L19" s="1058">
        <f t="shared" si="7"/>
        <v>117</v>
      </c>
      <c r="M19" s="1053">
        <v>3</v>
      </c>
      <c r="N19" s="1059">
        <f t="shared" si="2"/>
        <v>351</v>
      </c>
      <c r="O19" s="840">
        <f t="shared" si="3"/>
        <v>4644787</v>
      </c>
      <c r="P19" s="840">
        <f t="shared" si="4"/>
        <v>52005.59</v>
      </c>
      <c r="Q19" s="1071"/>
    </row>
    <row r="20" spans="1:21" ht="20.149999999999999" customHeight="1">
      <c r="A20" s="1025">
        <f t="shared" si="5"/>
        <v>8</v>
      </c>
      <c r="B20" s="1026">
        <v>2978322</v>
      </c>
      <c r="C20" s="1027">
        <v>101</v>
      </c>
      <c r="D20" s="1028">
        <f t="shared" si="0"/>
        <v>29488.336633663399</v>
      </c>
      <c r="E20" s="1029">
        <f t="shared" si="8"/>
        <v>37639589</v>
      </c>
      <c r="F20" s="1028">
        <f t="shared" si="6"/>
        <v>1074</v>
      </c>
      <c r="G20" s="1027">
        <f>G19+G13</f>
        <v>44000000</v>
      </c>
      <c r="H20" s="1030">
        <f t="shared" si="1"/>
        <v>0.85544520454545503</v>
      </c>
      <c r="I20" s="1055">
        <f t="shared" si="9"/>
        <v>4704948.625</v>
      </c>
      <c r="J20" s="1056">
        <v>34508078</v>
      </c>
      <c r="K20" s="1057">
        <v>8</v>
      </c>
      <c r="L20" s="1058">
        <f t="shared" si="7"/>
        <v>125</v>
      </c>
      <c r="M20" s="1053">
        <v>4</v>
      </c>
      <c r="N20" s="1059">
        <f t="shared" si="2"/>
        <v>500</v>
      </c>
      <c r="O20" s="840">
        <f t="shared" si="3"/>
        <v>3131511</v>
      </c>
      <c r="P20" s="840">
        <f t="shared" si="4"/>
        <v>38718.186000000002</v>
      </c>
    </row>
    <row r="21" spans="1:21" ht="20.149999999999999" customHeight="1">
      <c r="A21" s="1025">
        <f t="shared" si="5"/>
        <v>9</v>
      </c>
      <c r="B21" s="1026">
        <v>3887301</v>
      </c>
      <c r="C21" s="1027">
        <v>110</v>
      </c>
      <c r="D21" s="1028">
        <f t="shared" si="0"/>
        <v>35339.1</v>
      </c>
      <c r="E21" s="1029">
        <f t="shared" si="8"/>
        <v>41526890</v>
      </c>
      <c r="F21" s="1028">
        <f t="shared" si="6"/>
        <v>1184</v>
      </c>
      <c r="G21" s="1027">
        <f>G20+G13</f>
        <v>49500000</v>
      </c>
      <c r="H21" s="1030">
        <f t="shared" si="1"/>
        <v>0.83892707070707095</v>
      </c>
      <c r="I21" s="1055">
        <f t="shared" si="9"/>
        <v>4614098.8888888899</v>
      </c>
      <c r="J21" s="1056">
        <v>39520736</v>
      </c>
      <c r="K21" s="1057">
        <v>18</v>
      </c>
      <c r="L21" s="1058">
        <f t="shared" si="7"/>
        <v>143</v>
      </c>
      <c r="M21" s="1053">
        <v>5</v>
      </c>
      <c r="N21" s="1059">
        <f t="shared" si="2"/>
        <v>715</v>
      </c>
      <c r="O21" s="840">
        <f t="shared" si="3"/>
        <v>2006154</v>
      </c>
      <c r="P21" s="840">
        <f t="shared" si="4"/>
        <v>50534.913</v>
      </c>
      <c r="T21" s="532">
        <v>3624209</v>
      </c>
    </row>
    <row r="22" spans="1:21" ht="20.149999999999999" customHeight="1">
      <c r="A22" s="1025">
        <f t="shared" si="5"/>
        <v>10</v>
      </c>
      <c r="B22" s="1026">
        <v>3654747</v>
      </c>
      <c r="C22" s="1027">
        <v>105</v>
      </c>
      <c r="D22" s="1028">
        <f t="shared" si="0"/>
        <v>34807.114285714299</v>
      </c>
      <c r="E22" s="1029">
        <f t="shared" si="8"/>
        <v>45181637</v>
      </c>
      <c r="F22" s="1028">
        <f t="shared" si="6"/>
        <v>1289</v>
      </c>
      <c r="G22" s="1027">
        <f>G21+G13</f>
        <v>55000000</v>
      </c>
      <c r="H22" s="1030">
        <f t="shared" si="1"/>
        <v>0.82148430909090897</v>
      </c>
      <c r="I22" s="1055">
        <f t="shared" si="9"/>
        <v>4518163.7</v>
      </c>
      <c r="J22" s="1056">
        <v>43164696</v>
      </c>
      <c r="K22" s="1057"/>
      <c r="L22" s="1058">
        <f t="shared" si="7"/>
        <v>143</v>
      </c>
      <c r="M22" s="1053"/>
      <c r="N22" s="1059">
        <f t="shared" si="2"/>
        <v>0</v>
      </c>
      <c r="O22" s="840">
        <f t="shared" si="3"/>
        <v>2016941</v>
      </c>
      <c r="P22" s="840">
        <f t="shared" si="4"/>
        <v>47511.711000000003</v>
      </c>
    </row>
    <row r="23" spans="1:21" ht="20.149999999999999" customHeight="1">
      <c r="A23" s="1025">
        <f t="shared" si="5"/>
        <v>11</v>
      </c>
      <c r="B23" s="1026">
        <v>4004039</v>
      </c>
      <c r="C23" s="1027">
        <v>125</v>
      </c>
      <c r="D23" s="1028">
        <f t="shared" si="0"/>
        <v>32032.312000000002</v>
      </c>
      <c r="E23" s="1029">
        <f t="shared" si="8"/>
        <v>49185676</v>
      </c>
      <c r="F23" s="1028">
        <f t="shared" si="6"/>
        <v>1414</v>
      </c>
      <c r="G23" s="1027">
        <f>G22+G13</f>
        <v>60500000</v>
      </c>
      <c r="H23" s="1030">
        <f t="shared" si="1"/>
        <v>0.81298638016528901</v>
      </c>
      <c r="I23" s="1055">
        <f t="shared" si="9"/>
        <v>4471425.0909090899</v>
      </c>
      <c r="J23" s="1056">
        <v>47867685</v>
      </c>
      <c r="K23" s="1057"/>
      <c r="L23" s="1058">
        <f t="shared" si="7"/>
        <v>143</v>
      </c>
      <c r="M23" s="1053"/>
      <c r="N23" s="1059">
        <f t="shared" si="2"/>
        <v>0</v>
      </c>
      <c r="O23" s="840">
        <f t="shared" si="3"/>
        <v>1317991</v>
      </c>
      <c r="P23" s="840">
        <f t="shared" si="4"/>
        <v>52052.506999999998</v>
      </c>
      <c r="Q23" s="840">
        <f>E21-J21</f>
        <v>2006154</v>
      </c>
    </row>
    <row r="24" spans="1:21" ht="20.149999999999999" customHeight="1">
      <c r="A24" s="1025">
        <f t="shared" si="5"/>
        <v>12</v>
      </c>
      <c r="B24" s="1026">
        <v>3624209</v>
      </c>
      <c r="C24" s="1027">
        <v>116</v>
      </c>
      <c r="D24" s="1028">
        <f t="shared" si="0"/>
        <v>31243.181034482801</v>
      </c>
      <c r="E24" s="1029">
        <f t="shared" si="8"/>
        <v>52809885</v>
      </c>
      <c r="F24" s="1028">
        <f t="shared" si="6"/>
        <v>1530</v>
      </c>
      <c r="G24" s="1027">
        <f>G23+G13</f>
        <v>66000000</v>
      </c>
      <c r="H24" s="1030">
        <f t="shared" si="1"/>
        <v>0.80014977272727295</v>
      </c>
      <c r="I24" s="1055">
        <f t="shared" si="9"/>
        <v>4400823.75</v>
      </c>
      <c r="J24" s="1056">
        <v>51732349</v>
      </c>
      <c r="K24" s="1057"/>
      <c r="L24" s="1058">
        <f t="shared" si="7"/>
        <v>143</v>
      </c>
      <c r="M24" s="1053"/>
      <c r="N24" s="1059">
        <f t="shared" si="2"/>
        <v>0</v>
      </c>
      <c r="O24" s="840">
        <f t="shared" si="3"/>
        <v>1077536</v>
      </c>
      <c r="P24" s="840">
        <f t="shared" si="4"/>
        <v>47114.716999999997</v>
      </c>
      <c r="Q24" s="532" t="s">
        <v>61</v>
      </c>
    </row>
    <row r="25" spans="1:21" ht="20.149999999999999" customHeight="1">
      <c r="A25" s="1025">
        <f t="shared" si="5"/>
        <v>13</v>
      </c>
      <c r="B25" s="1026">
        <v>3031252</v>
      </c>
      <c r="C25" s="1027">
        <v>104</v>
      </c>
      <c r="D25" s="1028">
        <f t="shared" si="0"/>
        <v>29146.6538461538</v>
      </c>
      <c r="E25" s="1029">
        <f t="shared" si="8"/>
        <v>55841137</v>
      </c>
      <c r="F25" s="1028">
        <f t="shared" si="6"/>
        <v>1634</v>
      </c>
      <c r="G25" s="1027">
        <f>G24+G13</f>
        <v>71500000</v>
      </c>
      <c r="H25" s="1030">
        <f t="shared" ref="H25:H43" si="10">E25/G25</f>
        <v>0.78099492307692298</v>
      </c>
      <c r="I25" s="1055">
        <f t="shared" si="9"/>
        <v>4295472.0769230798</v>
      </c>
      <c r="J25" s="1056">
        <v>55794830</v>
      </c>
      <c r="K25" s="1057"/>
      <c r="L25" s="1058">
        <f t="shared" si="7"/>
        <v>143</v>
      </c>
      <c r="M25" s="1053"/>
      <c r="N25" s="1059">
        <f t="shared" si="2"/>
        <v>0</v>
      </c>
      <c r="O25" s="840">
        <f t="shared" si="3"/>
        <v>46307</v>
      </c>
      <c r="P25" s="840">
        <f t="shared" si="4"/>
        <v>39406.275999999998</v>
      </c>
    </row>
    <row r="26" spans="1:21" ht="20.149999999999999" customHeight="1">
      <c r="A26" s="1025">
        <f t="shared" si="5"/>
        <v>14</v>
      </c>
      <c r="B26" s="1026">
        <v>3975543</v>
      </c>
      <c r="C26" s="1027">
        <v>118</v>
      </c>
      <c r="D26" s="1028">
        <f t="shared" si="0"/>
        <v>33691.042372881398</v>
      </c>
      <c r="E26" s="1029">
        <f t="shared" si="8"/>
        <v>59816680</v>
      </c>
      <c r="F26" s="1028">
        <f t="shared" si="6"/>
        <v>1752</v>
      </c>
      <c r="G26" s="1027">
        <f>G25+G13</f>
        <v>77000000</v>
      </c>
      <c r="H26" s="1030">
        <f t="shared" si="10"/>
        <v>0.77683999999999997</v>
      </c>
      <c r="I26" s="1055">
        <f t="shared" si="9"/>
        <v>4272620</v>
      </c>
      <c r="J26" s="1056">
        <v>61012310</v>
      </c>
      <c r="K26" s="1057">
        <v>13</v>
      </c>
      <c r="L26" s="1058">
        <f t="shared" si="7"/>
        <v>156</v>
      </c>
      <c r="M26" s="1053"/>
      <c r="N26" s="1059">
        <f t="shared" si="2"/>
        <v>0</v>
      </c>
      <c r="O26" s="840">
        <f t="shared" si="3"/>
        <v>-1195630</v>
      </c>
      <c r="P26" s="840">
        <f t="shared" si="4"/>
        <v>51682.059000000001</v>
      </c>
      <c r="Q26" s="840"/>
      <c r="S26" s="532">
        <v>4004039</v>
      </c>
    </row>
    <row r="27" spans="1:21" ht="20.149999999999999" customHeight="1">
      <c r="A27" s="1025">
        <f t="shared" si="5"/>
        <v>15</v>
      </c>
      <c r="B27" s="1026"/>
      <c r="C27" s="1027"/>
      <c r="D27" s="1028" t="e">
        <f t="shared" si="0"/>
        <v>#DIV/0!</v>
      </c>
      <c r="E27" s="1029">
        <f t="shared" si="8"/>
        <v>59816680</v>
      </c>
      <c r="F27" s="1028">
        <f t="shared" si="6"/>
        <v>1752</v>
      </c>
      <c r="G27" s="1027">
        <f>G26+G13</f>
        <v>82500000</v>
      </c>
      <c r="H27" s="1030">
        <f t="shared" si="10"/>
        <v>0.72505066666666695</v>
      </c>
      <c r="I27" s="1055">
        <f t="shared" si="9"/>
        <v>3987778.6666666698</v>
      </c>
      <c r="J27" s="1056">
        <v>65158654</v>
      </c>
      <c r="K27" s="1057"/>
      <c r="L27" s="1058">
        <f t="shared" si="7"/>
        <v>156</v>
      </c>
      <c r="M27" s="1053"/>
      <c r="N27" s="1059">
        <f t="shared" si="2"/>
        <v>0</v>
      </c>
      <c r="O27" s="840">
        <f t="shared" si="3"/>
        <v>-5341974</v>
      </c>
      <c r="P27" s="840">
        <f t="shared" si="4"/>
        <v>0</v>
      </c>
      <c r="S27" s="840"/>
    </row>
    <row r="28" spans="1:21" ht="20.149999999999999" customHeight="1">
      <c r="A28" s="1025">
        <f t="shared" si="5"/>
        <v>16</v>
      </c>
      <c r="B28" s="1026"/>
      <c r="C28" s="1027"/>
      <c r="D28" s="1028" t="e">
        <f t="shared" si="0"/>
        <v>#DIV/0!</v>
      </c>
      <c r="E28" s="1029">
        <f t="shared" si="8"/>
        <v>59816680</v>
      </c>
      <c r="F28" s="1028">
        <f t="shared" si="6"/>
        <v>1752</v>
      </c>
      <c r="G28" s="1027">
        <f>G27+G13</f>
        <v>88000000</v>
      </c>
      <c r="H28" s="1030">
        <f t="shared" si="10"/>
        <v>0.67973499999999998</v>
      </c>
      <c r="I28" s="1055">
        <f t="shared" si="9"/>
        <v>3738542.5</v>
      </c>
      <c r="J28" s="1056">
        <v>69464312</v>
      </c>
      <c r="K28" s="1057"/>
      <c r="L28" s="1058">
        <f t="shared" si="7"/>
        <v>156</v>
      </c>
      <c r="M28" s="1053"/>
      <c r="N28" s="1059">
        <f t="shared" si="2"/>
        <v>0</v>
      </c>
      <c r="O28" s="840">
        <f t="shared" si="3"/>
        <v>-9647632</v>
      </c>
      <c r="P28" s="840">
        <f t="shared" si="4"/>
        <v>0</v>
      </c>
    </row>
    <row r="29" spans="1:21" ht="20.149999999999999" customHeight="1">
      <c r="A29" s="1025">
        <f t="shared" si="5"/>
        <v>17</v>
      </c>
      <c r="B29" s="1026"/>
      <c r="C29" s="1027"/>
      <c r="D29" s="1028" t="e">
        <f t="shared" si="0"/>
        <v>#DIV/0!</v>
      </c>
      <c r="E29" s="1029">
        <f t="shared" si="8"/>
        <v>59816680</v>
      </c>
      <c r="F29" s="1028">
        <f t="shared" si="6"/>
        <v>1752</v>
      </c>
      <c r="G29" s="1027">
        <f>G28+G13</f>
        <v>93500000</v>
      </c>
      <c r="H29" s="1030">
        <f t="shared" si="10"/>
        <v>0.63975058823529396</v>
      </c>
      <c r="I29" s="1055">
        <f t="shared" si="9"/>
        <v>3518628.2352941199</v>
      </c>
      <c r="J29" s="1056">
        <v>75161776</v>
      </c>
      <c r="K29" s="1057"/>
      <c r="L29" s="1058">
        <f t="shared" si="7"/>
        <v>156</v>
      </c>
      <c r="M29" s="1053"/>
      <c r="N29" s="1059">
        <f t="shared" si="2"/>
        <v>0</v>
      </c>
      <c r="O29" s="840">
        <f t="shared" si="3"/>
        <v>-15345096</v>
      </c>
      <c r="P29" s="840">
        <f t="shared" si="4"/>
        <v>0</v>
      </c>
    </row>
    <row r="30" spans="1:21" ht="20.149999999999999" customHeight="1">
      <c r="A30" s="1025">
        <f t="shared" si="5"/>
        <v>18</v>
      </c>
      <c r="B30" s="1026"/>
      <c r="C30" s="1027"/>
      <c r="D30" s="1028" t="e">
        <f t="shared" si="0"/>
        <v>#DIV/0!</v>
      </c>
      <c r="E30" s="1029">
        <f t="shared" si="8"/>
        <v>59816680</v>
      </c>
      <c r="F30" s="1028">
        <f t="shared" si="6"/>
        <v>1752</v>
      </c>
      <c r="G30" s="1027">
        <f>G29+G13</f>
        <v>99000000</v>
      </c>
      <c r="H30" s="1030">
        <f t="shared" si="10"/>
        <v>0.60420888888888902</v>
      </c>
      <c r="I30" s="1055">
        <f t="shared" si="9"/>
        <v>3323148.8888888899</v>
      </c>
      <c r="J30" s="1056">
        <v>79300766</v>
      </c>
      <c r="K30" s="1057"/>
      <c r="L30" s="1058">
        <f t="shared" si="7"/>
        <v>156</v>
      </c>
      <c r="M30" s="1053"/>
      <c r="N30" s="1059">
        <f t="shared" si="2"/>
        <v>0</v>
      </c>
      <c r="O30" s="840">
        <f t="shared" si="3"/>
        <v>-19484086</v>
      </c>
      <c r="P30" s="840">
        <f t="shared" si="4"/>
        <v>0</v>
      </c>
      <c r="U30" s="840"/>
    </row>
    <row r="31" spans="1:21" ht="20.149999999999999" customHeight="1">
      <c r="A31" s="1025">
        <f t="shared" si="5"/>
        <v>19</v>
      </c>
      <c r="B31" s="1026"/>
      <c r="C31" s="1027"/>
      <c r="D31" s="1028" t="e">
        <f t="shared" si="0"/>
        <v>#DIV/0!</v>
      </c>
      <c r="E31" s="1029">
        <f t="shared" si="8"/>
        <v>59816680</v>
      </c>
      <c r="F31" s="1028">
        <f t="shared" si="6"/>
        <v>1752</v>
      </c>
      <c r="G31" s="1027">
        <f>G30+G13</f>
        <v>104500000</v>
      </c>
      <c r="H31" s="1030">
        <f t="shared" si="10"/>
        <v>0.57240842105263201</v>
      </c>
      <c r="I31" s="1055">
        <f t="shared" si="9"/>
        <v>3148246.31578947</v>
      </c>
      <c r="J31" s="1056">
        <v>84271649</v>
      </c>
      <c r="K31" s="1057"/>
      <c r="L31" s="1058">
        <f t="shared" si="7"/>
        <v>156</v>
      </c>
      <c r="M31" s="1053"/>
      <c r="N31" s="1059">
        <f t="shared" si="2"/>
        <v>0</v>
      </c>
      <c r="O31" s="840">
        <f t="shared" si="3"/>
        <v>-24454969</v>
      </c>
      <c r="P31" s="840">
        <f t="shared" si="4"/>
        <v>0</v>
      </c>
    </row>
    <row r="32" spans="1:21" ht="20.149999999999999" customHeight="1">
      <c r="A32" s="1025">
        <f t="shared" si="5"/>
        <v>20</v>
      </c>
      <c r="B32" s="1026"/>
      <c r="C32" s="1027"/>
      <c r="D32" s="1028" t="e">
        <f t="shared" si="0"/>
        <v>#DIV/0!</v>
      </c>
      <c r="E32" s="1029">
        <f t="shared" si="8"/>
        <v>59816680</v>
      </c>
      <c r="F32" s="1028">
        <f t="shared" si="6"/>
        <v>1752</v>
      </c>
      <c r="G32" s="1027">
        <f>G31+G13</f>
        <v>110000000</v>
      </c>
      <c r="H32" s="1030">
        <f t="shared" si="10"/>
        <v>0.54378800000000005</v>
      </c>
      <c r="I32" s="1055">
        <f t="shared" si="9"/>
        <v>2990834</v>
      </c>
      <c r="J32" s="1056">
        <v>87227067</v>
      </c>
      <c r="K32" s="1057"/>
      <c r="L32" s="1058">
        <f t="shared" si="7"/>
        <v>156</v>
      </c>
      <c r="M32" s="1053"/>
      <c r="N32" s="1059">
        <f t="shared" si="2"/>
        <v>0</v>
      </c>
      <c r="O32" s="840">
        <f t="shared" si="3"/>
        <v>-27410387</v>
      </c>
      <c r="P32" s="840">
        <f t="shared" si="4"/>
        <v>0</v>
      </c>
    </row>
    <row r="33" spans="1:19" ht="20.149999999999999" customHeight="1">
      <c r="A33" s="1025">
        <f t="shared" si="5"/>
        <v>21</v>
      </c>
      <c r="B33" s="1026"/>
      <c r="C33" s="1027"/>
      <c r="D33" s="1028" t="e">
        <f t="shared" si="0"/>
        <v>#DIV/0!</v>
      </c>
      <c r="E33" s="1029">
        <f t="shared" si="8"/>
        <v>59816680</v>
      </c>
      <c r="F33" s="1028">
        <f t="shared" si="6"/>
        <v>1752</v>
      </c>
      <c r="G33" s="1027">
        <f>G32+G13</f>
        <v>115500000</v>
      </c>
      <c r="H33" s="1030">
        <f t="shared" si="10"/>
        <v>0.51789333333333298</v>
      </c>
      <c r="I33" s="1055">
        <f t="shared" si="9"/>
        <v>2848413.3333333302</v>
      </c>
      <c r="J33" s="1056">
        <v>92842414</v>
      </c>
      <c r="K33" s="1057"/>
      <c r="L33" s="1058">
        <f t="shared" si="7"/>
        <v>156</v>
      </c>
      <c r="M33" s="1053"/>
      <c r="N33" s="1059">
        <f t="shared" si="2"/>
        <v>0</v>
      </c>
      <c r="O33" s="840">
        <f t="shared" si="3"/>
        <v>-33025734</v>
      </c>
      <c r="P33" s="840">
        <f t="shared" si="4"/>
        <v>0</v>
      </c>
      <c r="Q33" s="1071"/>
    </row>
    <row r="34" spans="1:19" ht="20.149999999999999" customHeight="1">
      <c r="A34" s="1025">
        <f t="shared" si="5"/>
        <v>22</v>
      </c>
      <c r="B34" s="1026"/>
      <c r="C34" s="1027"/>
      <c r="D34" s="1028" t="e">
        <f t="shared" si="0"/>
        <v>#DIV/0!</v>
      </c>
      <c r="E34" s="1029">
        <f t="shared" ref="E34:E43" si="11">E33+B34</f>
        <v>59816680</v>
      </c>
      <c r="F34" s="1028">
        <f t="shared" ref="F34:F43" si="12">F33+C34</f>
        <v>1752</v>
      </c>
      <c r="G34" s="1027">
        <f>G33+G13</f>
        <v>121000000</v>
      </c>
      <c r="H34" s="1030">
        <f t="shared" si="10"/>
        <v>0.494352727272727</v>
      </c>
      <c r="I34" s="1055">
        <f t="shared" ref="I34:I43" si="13">E34/A34</f>
        <v>2718940</v>
      </c>
      <c r="J34" s="1056">
        <v>97742968</v>
      </c>
      <c r="K34" s="1057"/>
      <c r="L34" s="1058">
        <f t="shared" si="7"/>
        <v>156</v>
      </c>
      <c r="M34" s="1053"/>
      <c r="N34" s="1059">
        <f t="shared" si="2"/>
        <v>0</v>
      </c>
      <c r="O34" s="840">
        <f t="shared" si="3"/>
        <v>-37926288</v>
      </c>
      <c r="P34" s="840">
        <f t="shared" si="4"/>
        <v>0</v>
      </c>
    </row>
    <row r="35" spans="1:19" ht="20.149999999999999" customHeight="1">
      <c r="A35" s="1025">
        <f t="shared" si="5"/>
        <v>23</v>
      </c>
      <c r="B35" s="1026"/>
      <c r="C35" s="1027"/>
      <c r="D35" s="1028" t="e">
        <f t="shared" si="0"/>
        <v>#DIV/0!</v>
      </c>
      <c r="E35" s="1029">
        <f t="shared" si="11"/>
        <v>59816680</v>
      </c>
      <c r="F35" s="1028">
        <f t="shared" si="12"/>
        <v>1752</v>
      </c>
      <c r="G35" s="1027">
        <f>G34+G13</f>
        <v>126500000</v>
      </c>
      <c r="H35" s="1030">
        <f t="shared" si="10"/>
        <v>0.472859130434783</v>
      </c>
      <c r="I35" s="1055">
        <f t="shared" si="13"/>
        <v>2600725.2173913</v>
      </c>
      <c r="J35" s="1056">
        <v>102201945</v>
      </c>
      <c r="K35" s="1057"/>
      <c r="L35" s="1058">
        <f t="shared" ref="L35:L43" si="14">L34+K35</f>
        <v>156</v>
      </c>
      <c r="M35" s="1053"/>
      <c r="N35" s="1059">
        <f t="shared" si="2"/>
        <v>0</v>
      </c>
      <c r="O35" s="840">
        <f t="shared" si="3"/>
        <v>-42385265</v>
      </c>
      <c r="P35" s="840">
        <f t="shared" si="4"/>
        <v>0</v>
      </c>
    </row>
    <row r="36" spans="1:19" ht="20.149999999999999" customHeight="1">
      <c r="A36" s="1025">
        <f t="shared" si="5"/>
        <v>24</v>
      </c>
      <c r="B36" s="1026"/>
      <c r="C36" s="1027"/>
      <c r="D36" s="1028" t="e">
        <f t="shared" si="0"/>
        <v>#DIV/0!</v>
      </c>
      <c r="E36" s="1029">
        <f t="shared" si="11"/>
        <v>59816680</v>
      </c>
      <c r="F36" s="1028">
        <f t="shared" si="12"/>
        <v>1752</v>
      </c>
      <c r="G36" s="1027">
        <f>G35+G13</f>
        <v>132000000</v>
      </c>
      <c r="H36" s="1030">
        <f t="shared" si="10"/>
        <v>0.45315666666666699</v>
      </c>
      <c r="I36" s="1055">
        <f t="shared" si="13"/>
        <v>2492361.6666666698</v>
      </c>
      <c r="J36" s="1056">
        <v>108013339</v>
      </c>
      <c r="K36" s="1057"/>
      <c r="L36" s="1058">
        <f t="shared" si="14"/>
        <v>156</v>
      </c>
      <c r="M36" s="1053"/>
      <c r="N36" s="1059">
        <f t="shared" si="2"/>
        <v>0</v>
      </c>
      <c r="O36" s="840">
        <f t="shared" si="3"/>
        <v>-48196659</v>
      </c>
      <c r="P36" s="840">
        <f t="shared" si="4"/>
        <v>0</v>
      </c>
    </row>
    <row r="37" spans="1:19" ht="20.149999999999999" customHeight="1">
      <c r="A37" s="1025">
        <f t="shared" si="5"/>
        <v>25</v>
      </c>
      <c r="B37" s="864"/>
      <c r="C37" s="1027"/>
      <c r="D37" s="1028" t="e">
        <f t="shared" si="0"/>
        <v>#DIV/0!</v>
      </c>
      <c r="E37" s="1029">
        <f t="shared" si="11"/>
        <v>59816680</v>
      </c>
      <c r="F37" s="1028">
        <f t="shared" si="12"/>
        <v>1752</v>
      </c>
      <c r="G37" s="1027">
        <f>G36+G13</f>
        <v>137500000</v>
      </c>
      <c r="H37" s="1030">
        <f t="shared" si="10"/>
        <v>0.43503039999999998</v>
      </c>
      <c r="I37" s="1055">
        <f t="shared" si="13"/>
        <v>2392667.2000000002</v>
      </c>
      <c r="J37" s="1056">
        <v>111890580</v>
      </c>
      <c r="K37" s="1057"/>
      <c r="L37" s="1058">
        <f t="shared" si="14"/>
        <v>156</v>
      </c>
      <c r="M37" s="1053"/>
      <c r="N37" s="1059">
        <f t="shared" si="2"/>
        <v>0</v>
      </c>
      <c r="O37" s="840">
        <f t="shared" si="3"/>
        <v>-52073900</v>
      </c>
      <c r="P37" s="840">
        <f t="shared" si="4"/>
        <v>0</v>
      </c>
    </row>
    <row r="38" spans="1:19" ht="20.149999999999999" customHeight="1">
      <c r="A38" s="1025">
        <f t="shared" si="5"/>
        <v>26</v>
      </c>
      <c r="B38" s="1026"/>
      <c r="C38" s="1027"/>
      <c r="D38" s="1028" t="e">
        <f t="shared" si="0"/>
        <v>#DIV/0!</v>
      </c>
      <c r="E38" s="1029">
        <f t="shared" si="11"/>
        <v>59816680</v>
      </c>
      <c r="F38" s="1028">
        <f t="shared" si="12"/>
        <v>1752</v>
      </c>
      <c r="G38" s="1027">
        <f>G37+G13</f>
        <v>143000000</v>
      </c>
      <c r="H38" s="1030">
        <f t="shared" si="10"/>
        <v>0.41829846153846201</v>
      </c>
      <c r="I38" s="1055">
        <f t="shared" si="13"/>
        <v>2300641.5384615399</v>
      </c>
      <c r="J38" s="1056">
        <v>116663606</v>
      </c>
      <c r="K38" s="1057"/>
      <c r="L38" s="1058">
        <f t="shared" si="14"/>
        <v>156</v>
      </c>
      <c r="M38" s="1053"/>
      <c r="N38" s="1059">
        <f t="shared" si="2"/>
        <v>0</v>
      </c>
      <c r="O38" s="840">
        <f t="shared" si="3"/>
        <v>-56846926</v>
      </c>
      <c r="P38" s="840">
        <f t="shared" si="4"/>
        <v>0</v>
      </c>
    </row>
    <row r="39" spans="1:19" ht="20.149999999999999" customHeight="1">
      <c r="A39" s="1025">
        <f t="shared" si="5"/>
        <v>27</v>
      </c>
      <c r="B39" s="1026"/>
      <c r="C39" s="1027"/>
      <c r="D39" s="1028" t="e">
        <f t="shared" si="0"/>
        <v>#DIV/0!</v>
      </c>
      <c r="E39" s="1029">
        <f t="shared" si="11"/>
        <v>59816680</v>
      </c>
      <c r="F39" s="1028">
        <f t="shared" si="12"/>
        <v>1752</v>
      </c>
      <c r="G39" s="1027">
        <f>G38+G13</f>
        <v>148500000</v>
      </c>
      <c r="H39" s="1030">
        <f t="shared" si="10"/>
        <v>0.40280592592592601</v>
      </c>
      <c r="I39" s="1055">
        <f t="shared" si="13"/>
        <v>2215432.59259259</v>
      </c>
      <c r="J39" s="1056">
        <v>120629521</v>
      </c>
      <c r="K39" s="1057"/>
      <c r="L39" s="1058">
        <f t="shared" si="14"/>
        <v>156</v>
      </c>
      <c r="M39" s="1053"/>
      <c r="N39" s="1059">
        <f t="shared" si="2"/>
        <v>0</v>
      </c>
      <c r="O39" s="840">
        <f t="shared" si="3"/>
        <v>-60812841</v>
      </c>
      <c r="P39" s="840">
        <f t="shared" si="4"/>
        <v>0</v>
      </c>
    </row>
    <row r="40" spans="1:19" ht="20.149999999999999" customHeight="1">
      <c r="A40" s="1025">
        <f t="shared" si="5"/>
        <v>28</v>
      </c>
      <c r="B40" s="1026"/>
      <c r="C40" s="1027"/>
      <c r="D40" s="1028" t="e">
        <f t="shared" si="0"/>
        <v>#DIV/0!</v>
      </c>
      <c r="E40" s="1029">
        <f t="shared" si="11"/>
        <v>59816680</v>
      </c>
      <c r="F40" s="1028">
        <f t="shared" si="12"/>
        <v>1752</v>
      </c>
      <c r="G40" s="1027">
        <f>G39+G13</f>
        <v>154000000</v>
      </c>
      <c r="H40" s="1030">
        <f t="shared" si="10"/>
        <v>0.38841999999999999</v>
      </c>
      <c r="I40" s="1055">
        <f t="shared" si="13"/>
        <v>2136310</v>
      </c>
      <c r="J40" s="1056">
        <v>124672879</v>
      </c>
      <c r="K40" s="1057"/>
      <c r="L40" s="1058">
        <f t="shared" si="14"/>
        <v>156</v>
      </c>
      <c r="M40" s="1053"/>
      <c r="N40" s="1059">
        <f t="shared" si="2"/>
        <v>0</v>
      </c>
      <c r="O40" s="840">
        <f t="shared" si="3"/>
        <v>-64856199</v>
      </c>
      <c r="P40" s="840">
        <f t="shared" si="4"/>
        <v>0</v>
      </c>
    </row>
    <row r="41" spans="1:19" ht="20.149999999999999" customHeight="1">
      <c r="A41" s="1025">
        <f t="shared" si="5"/>
        <v>29</v>
      </c>
      <c r="B41" s="1026"/>
      <c r="C41" s="1027"/>
      <c r="D41" s="1028" t="e">
        <f t="shared" si="0"/>
        <v>#DIV/0!</v>
      </c>
      <c r="E41" s="1029">
        <f t="shared" si="11"/>
        <v>59816680</v>
      </c>
      <c r="F41" s="1028">
        <f t="shared" si="12"/>
        <v>1752</v>
      </c>
      <c r="G41" s="1027">
        <f>G40+G13</f>
        <v>159500000</v>
      </c>
      <c r="H41" s="1030">
        <f t="shared" si="10"/>
        <v>0.37502620689655197</v>
      </c>
      <c r="I41" s="1055">
        <f t="shared" si="13"/>
        <v>2062644.13793103</v>
      </c>
      <c r="J41" s="1056">
        <v>128247761</v>
      </c>
      <c r="K41" s="1057"/>
      <c r="L41" s="1058">
        <f t="shared" si="14"/>
        <v>156</v>
      </c>
      <c r="M41" s="1053"/>
      <c r="N41" s="1059">
        <f t="shared" si="2"/>
        <v>0</v>
      </c>
      <c r="O41" s="840">
        <f t="shared" si="3"/>
        <v>-68431081</v>
      </c>
      <c r="P41" s="840">
        <f t="shared" si="4"/>
        <v>0</v>
      </c>
    </row>
    <row r="42" spans="1:19" ht="20.149999999999999" customHeight="1">
      <c r="A42" s="1025">
        <f t="shared" si="5"/>
        <v>30</v>
      </c>
      <c r="B42" s="1026"/>
      <c r="C42" s="1027"/>
      <c r="D42" s="1028" t="e">
        <f t="shared" si="0"/>
        <v>#DIV/0!</v>
      </c>
      <c r="E42" s="1029">
        <f t="shared" si="11"/>
        <v>59816680</v>
      </c>
      <c r="F42" s="1028">
        <f t="shared" si="12"/>
        <v>1752</v>
      </c>
      <c r="G42" s="1027">
        <f>G41+G13</f>
        <v>165000000</v>
      </c>
      <c r="H42" s="1030">
        <f t="shared" si="10"/>
        <v>0.36252533333333298</v>
      </c>
      <c r="I42" s="1055">
        <f t="shared" si="13"/>
        <v>1993889.33333333</v>
      </c>
      <c r="J42" s="1056">
        <v>132322166</v>
      </c>
      <c r="K42" s="1057"/>
      <c r="L42" s="1058">
        <f t="shared" si="14"/>
        <v>156</v>
      </c>
      <c r="M42" s="1053"/>
      <c r="N42" s="1059">
        <f t="shared" si="2"/>
        <v>0</v>
      </c>
      <c r="O42" s="840">
        <f t="shared" si="3"/>
        <v>-72505486</v>
      </c>
      <c r="P42" s="840">
        <f t="shared" si="4"/>
        <v>0</v>
      </c>
      <c r="S42" s="840"/>
    </row>
    <row r="43" spans="1:19" ht="20.149999999999999" customHeight="1">
      <c r="A43" s="1031">
        <f t="shared" si="5"/>
        <v>31</v>
      </c>
      <c r="B43" s="1032"/>
      <c r="C43" s="1033"/>
      <c r="D43" s="1034" t="e">
        <f t="shared" si="0"/>
        <v>#DIV/0!</v>
      </c>
      <c r="E43" s="1034">
        <f t="shared" si="11"/>
        <v>59816680</v>
      </c>
      <c r="F43" s="1034">
        <f t="shared" si="12"/>
        <v>1752</v>
      </c>
      <c r="G43" s="1035">
        <f>G42+G13</f>
        <v>170500000</v>
      </c>
      <c r="H43" s="1036">
        <f t="shared" si="10"/>
        <v>0.35083096774193601</v>
      </c>
      <c r="I43" s="1060">
        <f t="shared" si="13"/>
        <v>1929570.32258065</v>
      </c>
      <c r="J43" s="1061">
        <v>137886696</v>
      </c>
      <c r="K43" s="1062"/>
      <c r="L43" s="1063">
        <f t="shared" si="14"/>
        <v>156</v>
      </c>
      <c r="M43" s="1064"/>
      <c r="N43" s="1065">
        <f t="shared" si="2"/>
        <v>0</v>
      </c>
      <c r="O43" s="840">
        <f t="shared" si="3"/>
        <v>-78070016</v>
      </c>
      <c r="P43" s="840">
        <f t="shared" si="4"/>
        <v>0</v>
      </c>
      <c r="Q43" s="840">
        <f>SUM(P13:P43)</f>
        <v>777616.84</v>
      </c>
    </row>
    <row r="44" spans="1:19" ht="4.5" customHeight="1">
      <c r="N44" s="920"/>
    </row>
    <row r="45" spans="1:19">
      <c r="A45" s="655"/>
      <c r="L45" s="2232" t="s">
        <v>1164</v>
      </c>
      <c r="M45" s="2514"/>
    </row>
    <row r="46" spans="1:19">
      <c r="B46" s="2219" t="s">
        <v>1165</v>
      </c>
      <c r="C46" s="2515"/>
      <c r="D46" s="2515"/>
      <c r="E46" s="2515"/>
      <c r="F46" s="2515"/>
      <c r="G46" s="2515"/>
      <c r="H46" s="2515"/>
      <c r="I46" s="2515"/>
      <c r="J46" s="2220"/>
      <c r="N46" s="1067"/>
      <c r="O46" s="840"/>
    </row>
    <row r="47" spans="1:19">
      <c r="B47" s="1037"/>
      <c r="C47" s="48"/>
      <c r="D47" s="1038" t="s">
        <v>1</v>
      </c>
      <c r="E47" s="310" t="s">
        <v>1149</v>
      </c>
      <c r="F47" s="310" t="s">
        <v>359</v>
      </c>
      <c r="G47" s="310" t="s">
        <v>1166</v>
      </c>
      <c r="H47" s="1039"/>
      <c r="I47" s="310"/>
      <c r="J47" s="1068"/>
    </row>
    <row r="48" spans="1:19">
      <c r="B48" s="1037"/>
      <c r="C48" s="48"/>
      <c r="D48" s="1038" t="s">
        <v>6</v>
      </c>
      <c r="E48" s="310" t="s">
        <v>1167</v>
      </c>
      <c r="F48" s="310" t="s">
        <v>359</v>
      </c>
      <c r="G48" s="310" t="s">
        <v>1168</v>
      </c>
      <c r="H48" s="1039"/>
      <c r="I48" s="310"/>
      <c r="J48" s="1068"/>
      <c r="L48" s="2200" t="s">
        <v>1143</v>
      </c>
      <c r="M48" s="2200"/>
    </row>
    <row r="49" spans="2:15">
      <c r="B49" s="1037"/>
      <c r="C49" s="48"/>
      <c r="D49" s="1038" t="s">
        <v>13</v>
      </c>
      <c r="E49" s="310" t="s">
        <v>1169</v>
      </c>
      <c r="F49" s="310" t="s">
        <v>359</v>
      </c>
      <c r="G49" s="310" t="s">
        <v>1170</v>
      </c>
      <c r="H49" s="1039"/>
      <c r="I49" s="310"/>
      <c r="J49" s="1068"/>
      <c r="O49" s="532">
        <f>E26-J26</f>
        <v>-1195630</v>
      </c>
    </row>
    <row r="50" spans="2:15">
      <c r="B50" s="1037"/>
      <c r="C50" s="48"/>
      <c r="D50" s="1038" t="s">
        <v>16</v>
      </c>
      <c r="E50" s="310" t="s">
        <v>1171</v>
      </c>
      <c r="F50" s="310" t="s">
        <v>359</v>
      </c>
      <c r="G50" s="310" t="s">
        <v>1172</v>
      </c>
      <c r="H50" s="1039"/>
      <c r="I50" s="310"/>
      <c r="J50" s="1068"/>
      <c r="N50" s="840"/>
    </row>
    <row r="51" spans="2:15">
      <c r="B51" s="1037"/>
      <c r="C51" s="48"/>
      <c r="D51" s="1038" t="s">
        <v>21</v>
      </c>
      <c r="E51" s="310" t="s">
        <v>1154</v>
      </c>
      <c r="F51" s="310" t="s">
        <v>359</v>
      </c>
      <c r="G51" s="2516" t="s">
        <v>1169</v>
      </c>
      <c r="H51" s="2516"/>
      <c r="I51" s="2514" t="s">
        <v>1173</v>
      </c>
      <c r="J51" s="1068"/>
    </row>
    <row r="52" spans="2:15">
      <c r="B52" s="1037"/>
      <c r="C52" s="48"/>
      <c r="D52" s="1038"/>
      <c r="E52" s="310"/>
      <c r="F52" s="310"/>
      <c r="G52" s="2514" t="s">
        <v>1174</v>
      </c>
      <c r="H52" s="2514"/>
      <c r="I52" s="2514"/>
      <c r="J52" s="1068"/>
    </row>
    <row r="53" spans="2:15">
      <c r="B53" s="1037"/>
      <c r="C53" s="48"/>
      <c r="D53" s="1038" t="s">
        <v>25</v>
      </c>
      <c r="E53" s="310" t="s">
        <v>1175</v>
      </c>
      <c r="F53" s="310" t="s">
        <v>359</v>
      </c>
      <c r="G53" s="310" t="s">
        <v>1176</v>
      </c>
      <c r="H53" s="1039"/>
      <c r="I53" s="310"/>
      <c r="J53" s="1068"/>
    </row>
    <row r="54" spans="2:15">
      <c r="B54" s="1040"/>
      <c r="C54" s="1041"/>
      <c r="D54" s="1042" t="s">
        <v>30</v>
      </c>
      <c r="E54" s="1043" t="s">
        <v>1177</v>
      </c>
      <c r="F54" s="1043" t="s">
        <v>359</v>
      </c>
      <c r="G54" s="1043" t="s">
        <v>1178</v>
      </c>
      <c r="H54" s="1044"/>
      <c r="I54" s="1043"/>
      <c r="J54" s="1070"/>
    </row>
    <row r="57" spans="2:15">
      <c r="J57" s="532">
        <v>-2076105</v>
      </c>
    </row>
    <row r="58" spans="2:15">
      <c r="J58" s="561">
        <v>-1918005</v>
      </c>
    </row>
    <row r="59" spans="2:15">
      <c r="J59" s="840">
        <f>E38-J38</f>
        <v>-56846926</v>
      </c>
    </row>
    <row r="60" spans="2:15">
      <c r="J60" s="840">
        <f>E39-J39</f>
        <v>-60812841</v>
      </c>
    </row>
  </sheetData>
  <sheetProtection password="C62F" sheet="1"/>
  <mergeCells count="18">
    <mergeCell ref="L45:M45"/>
    <mergeCell ref="B46:J46"/>
    <mergeCell ref="L48:M48"/>
    <mergeCell ref="G51:H51"/>
    <mergeCell ref="G52:H52"/>
    <mergeCell ref="I51:I52"/>
    <mergeCell ref="A2:N2"/>
    <mergeCell ref="A7:N7"/>
    <mergeCell ref="M8:N8"/>
    <mergeCell ref="M9:N9"/>
    <mergeCell ref="E11:F11"/>
    <mergeCell ref="K11:N11"/>
    <mergeCell ref="A11:A12"/>
    <mergeCell ref="B11:B12"/>
    <mergeCell ref="C11:C12"/>
    <mergeCell ref="D11:D12"/>
    <mergeCell ref="G11:G12"/>
    <mergeCell ref="H11:H12"/>
  </mergeCells>
  <printOptions horizontalCentered="1"/>
  <pageMargins left="0.12" right="0.12" top="0.2" bottom="0.12" header="0.31" footer="0.31"/>
  <pageSetup paperSize="10000" scale="89" orientation="portrait"/>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C000"/>
    <pageSetUpPr fitToPage="1"/>
  </sheetPr>
  <dimension ref="A1:AG115"/>
  <sheetViews>
    <sheetView topLeftCell="A52" zoomScale="85" zoomScaleNormal="85" workbookViewId="0">
      <selection activeCell="G72" sqref="A1:K115"/>
    </sheetView>
  </sheetViews>
  <sheetFormatPr defaultColWidth="9" defaultRowHeight="13"/>
  <cols>
    <col min="1" max="1" width="4.453125" style="532" customWidth="1"/>
    <col min="2" max="2" width="30" style="532" customWidth="1"/>
    <col min="3" max="9" width="13.7265625" style="891" customWidth="1"/>
    <col min="10" max="10" width="13.7265625" style="532" customWidth="1"/>
    <col min="11" max="11" width="7.26953125" style="532" customWidth="1"/>
    <col min="12" max="12" width="15.1796875" style="532" customWidth="1"/>
    <col min="13" max="13" width="10.1796875" style="532" customWidth="1"/>
    <col min="14" max="14" width="11.26953125" style="532" customWidth="1"/>
    <col min="15" max="15" width="10.26953125" style="532" customWidth="1"/>
    <col min="16" max="16" width="12" style="532" customWidth="1"/>
    <col min="17" max="17" width="11.26953125" style="532" customWidth="1"/>
    <col min="18" max="18" width="9.54296875" style="532" customWidth="1"/>
    <col min="19" max="19" width="7.7265625" style="532" customWidth="1"/>
    <col min="20" max="20" width="11.7265625" style="532"/>
    <col min="21" max="16384" width="9" style="532"/>
  </cols>
  <sheetData>
    <row r="1" spans="1:26">
      <c r="A1" s="532" t="s">
        <v>61</v>
      </c>
    </row>
    <row r="2" spans="1:26" s="889" customFormat="1" ht="25.15" customHeight="1">
      <c r="B2" s="2517" t="s">
        <v>14</v>
      </c>
      <c r="C2" s="2517"/>
      <c r="D2" s="2517"/>
      <c r="E2" s="2517"/>
      <c r="F2" s="2517"/>
      <c r="G2" s="2517"/>
      <c r="H2" s="2517"/>
      <c r="I2" s="2517"/>
      <c r="J2" s="2517"/>
      <c r="K2" s="910"/>
      <c r="L2" s="910"/>
      <c r="M2" s="910"/>
      <c r="N2" s="910"/>
      <c r="O2" s="910"/>
      <c r="P2" s="910"/>
      <c r="Q2" s="910"/>
      <c r="R2" s="910"/>
      <c r="S2" s="910"/>
    </row>
    <row r="3" spans="1:26" ht="7.5" customHeight="1"/>
    <row r="4" spans="1:26" ht="20.149999999999999" customHeight="1">
      <c r="H4" s="892" t="s">
        <v>394</v>
      </c>
      <c r="I4" s="2518" t="str">
        <f>LPKK!O4</f>
        <v>RC SAMATA GOWA</v>
      </c>
      <c r="J4" s="2518"/>
    </row>
    <row r="5" spans="1:26" ht="20.149999999999999" customHeight="1">
      <c r="A5" s="2519"/>
      <c r="B5" s="2519"/>
      <c r="C5" s="893"/>
      <c r="D5" s="893"/>
      <c r="E5" s="893"/>
      <c r="G5" s="571"/>
      <c r="H5" s="892" t="s">
        <v>396</v>
      </c>
      <c r="I5" s="2520" t="str">
        <f>LPKK!O5</f>
        <v>8-14 JANUARI 2025</v>
      </c>
      <c r="J5" s="2520"/>
    </row>
    <row r="6" spans="1:26" ht="9" customHeight="1">
      <c r="A6" s="2519"/>
      <c r="B6" s="2519"/>
      <c r="C6" s="893"/>
      <c r="D6" s="893"/>
      <c r="E6" s="893"/>
      <c r="G6" s="894"/>
      <c r="H6" s="895"/>
      <c r="I6" s="894"/>
      <c r="J6" s="911"/>
    </row>
    <row r="7" spans="1:26" s="890" customFormat="1" ht="15.75" customHeight="1">
      <c r="A7" s="2528" t="s">
        <v>1179</v>
      </c>
      <c r="B7" s="2530" t="s">
        <v>1180</v>
      </c>
      <c r="C7" s="2532" t="s">
        <v>1181</v>
      </c>
      <c r="D7" s="2534" t="s">
        <v>1182</v>
      </c>
      <c r="E7" s="2532" t="s">
        <v>1183</v>
      </c>
      <c r="F7" s="2534" t="s">
        <v>1184</v>
      </c>
      <c r="G7" s="2536" t="s">
        <v>1185</v>
      </c>
      <c r="H7" s="2534" t="s">
        <v>1186</v>
      </c>
      <c r="I7" s="2536" t="s">
        <v>1187</v>
      </c>
      <c r="J7" s="2544" t="s">
        <v>1188</v>
      </c>
      <c r="L7" s="912"/>
    </row>
    <row r="8" spans="1:26" s="890" customFormat="1" ht="15.75" customHeight="1">
      <c r="A8" s="2529"/>
      <c r="B8" s="2531"/>
      <c r="C8" s="2533"/>
      <c r="D8" s="2535"/>
      <c r="E8" s="2533"/>
      <c r="F8" s="2535"/>
      <c r="G8" s="2537"/>
      <c r="H8" s="2535"/>
      <c r="I8" s="2537"/>
      <c r="J8" s="2545"/>
    </row>
    <row r="9" spans="1:26" ht="18.75" customHeight="1">
      <c r="A9" s="896">
        <v>1</v>
      </c>
      <c r="B9" s="897" t="str">
        <f>VENDOR!D10</f>
        <v>DADA MENTOK</v>
      </c>
      <c r="C9" s="898">
        <f>VENDOR!H10</f>
        <v>133</v>
      </c>
      <c r="D9" s="899">
        <f>VENDOR!AJ10</f>
        <v>118</v>
      </c>
      <c r="E9" s="899">
        <f>VENDOR!AL10</f>
        <v>112.3</v>
      </c>
      <c r="F9" s="899">
        <f>C9+D9-E9</f>
        <v>138.69999999999999</v>
      </c>
      <c r="G9" s="900">
        <f>Q10</f>
        <v>49.1</v>
      </c>
      <c r="H9" s="899">
        <f>G9-(F9-I9)</f>
        <v>-89.6</v>
      </c>
      <c r="I9" s="913"/>
      <c r="J9" s="914">
        <f>SUM(H9:H11)</f>
        <v>-0.59999999999999398</v>
      </c>
      <c r="L9" s="915" t="s">
        <v>1104</v>
      </c>
      <c r="M9" s="916" t="s">
        <v>1189</v>
      </c>
      <c r="N9" s="916" t="s">
        <v>1190</v>
      </c>
      <c r="O9" s="916" t="s">
        <v>1191</v>
      </c>
      <c r="P9" s="916" t="s">
        <v>1192</v>
      </c>
      <c r="Q9" s="938" t="s">
        <v>310</v>
      </c>
    </row>
    <row r="10" spans="1:26" ht="18.75" customHeight="1">
      <c r="A10" s="901">
        <v>2</v>
      </c>
      <c r="B10" s="902" t="str">
        <f>VENDOR!D11</f>
        <v>DADA</v>
      </c>
      <c r="C10" s="898">
        <f>VENDOR!H11</f>
        <v>247</v>
      </c>
      <c r="D10" s="903">
        <f>VENDOR!AJ11</f>
        <v>253</v>
      </c>
      <c r="E10" s="903">
        <f>VENDOR!AL11</f>
        <v>208</v>
      </c>
      <c r="F10" s="903">
        <f t="shared" ref="F10:F83" si="0">C10+D10-E10</f>
        <v>292</v>
      </c>
      <c r="G10" s="2538">
        <f>Q11</f>
        <v>680</v>
      </c>
      <c r="H10" s="2540">
        <f>G10-((F10+F11)-I10)</f>
        <v>89</v>
      </c>
      <c r="I10" s="2542">
        <f>'LEFT OVER'!M9+'LEFT OVER'!M10+'LEFT OVER'!M11</f>
        <v>2</v>
      </c>
      <c r="J10" s="917"/>
      <c r="K10" s="918">
        <f>SUM(J9:J22)</f>
        <v>0.40000000000000602</v>
      </c>
      <c r="L10" s="919" t="s">
        <v>73</v>
      </c>
      <c r="M10" s="920"/>
      <c r="N10" s="920"/>
      <c r="O10" s="920"/>
      <c r="P10" s="920"/>
      <c r="Q10" s="939">
        <f>V14</f>
        <v>49.1</v>
      </c>
      <c r="S10" s="940" t="s">
        <v>373</v>
      </c>
      <c r="T10" s="941" t="s">
        <v>1193</v>
      </c>
      <c r="U10" s="942">
        <f>'LAP. PENJUALAN '!N185+'LAP. PENJUALAN '!N186</f>
        <v>14</v>
      </c>
      <c r="V10" s="943">
        <f>U10*2/5</f>
        <v>5.6</v>
      </c>
      <c r="W10" s="2553" t="s">
        <v>1194</v>
      </c>
      <c r="X10" s="944">
        <f>U10/30</f>
        <v>0.46666666666666701</v>
      </c>
      <c r="Y10" s="2549">
        <f>X10+X11</f>
        <v>1.11666666666667</v>
      </c>
    </row>
    <row r="11" spans="1:26" ht="18.75" customHeight="1">
      <c r="A11" s="901">
        <v>3</v>
      </c>
      <c r="B11" s="902" t="str">
        <f>VENDOR!D12</f>
        <v>PAHA ATAS</v>
      </c>
      <c r="C11" s="898">
        <f>VENDOR!H12</f>
        <v>249</v>
      </c>
      <c r="D11" s="903">
        <f>VENDOR!AJ12</f>
        <v>260</v>
      </c>
      <c r="E11" s="903">
        <f>VENDOR!AL12</f>
        <v>208</v>
      </c>
      <c r="F11" s="903">
        <f t="shared" si="0"/>
        <v>301</v>
      </c>
      <c r="G11" s="2539"/>
      <c r="H11" s="2541"/>
      <c r="I11" s="2543"/>
      <c r="J11" s="917"/>
      <c r="L11" s="921" t="s">
        <v>75</v>
      </c>
      <c r="M11" s="2546">
        <f>'LAP. PENJUALAN '!J293</f>
        <v>565</v>
      </c>
      <c r="N11" s="2546">
        <f>'LAP. PENJUALAN GRAB FOOD'!J259</f>
        <v>71</v>
      </c>
      <c r="O11" s="2546">
        <f>'LAP. PENJUALAN GO FOOD'!J258</f>
        <v>31</v>
      </c>
      <c r="P11" s="2546">
        <f>'LAP. PENJUALAN SHOPEE FOOD'!M254</f>
        <v>13</v>
      </c>
      <c r="Q11" s="2551">
        <f>SUM(M11:P12)</f>
        <v>680</v>
      </c>
      <c r="S11" s="945"/>
      <c r="T11" s="930" t="s">
        <v>1195</v>
      </c>
      <c r="U11" s="946">
        <f>'LAP. PENJUALAN '!N12+'LAP. PENJUALAN '!N49+'LAP. PENJUALAN GRAB FOOD'!N12+'LAP. PENJUALAN GRAB FOOD'!N39+'LAP. PENJUALAN GO FOOD'!N39+'LAP. PENJUALAN GO FOOD'!N12+'LAP. PENJUALAN SHOPEE FOOD'!N39+'LAP. PENJUALAN SHOPEE FOOD'!N12+'LAP. PENJUALAN GRAB FOOD'!N169+'LAP. PENJUALAN GRAB FOOD'!N230+'LAP. PENJUALAN '!N196+'LAP. PENJUALAN '!N199+'LAP. PENJUALAN '!N208+'LAP. PENJUALAN '!N201+'LAP. PENJUALAN '!N30+'LAP. PENJUALAN '!N38+'LAP. PENJUALAN '!N43+'LAP. PENJUALAN '!N48</f>
        <v>13</v>
      </c>
      <c r="V11" s="947">
        <f>U11*4/5</f>
        <v>10.4</v>
      </c>
      <c r="W11" s="2554"/>
      <c r="X11" s="944">
        <f>U11/20</f>
        <v>0.65</v>
      </c>
      <c r="Y11" s="2550"/>
    </row>
    <row r="12" spans="1:26" ht="18.75" customHeight="1">
      <c r="A12" s="901">
        <v>4</v>
      </c>
      <c r="B12" s="902" t="str">
        <f>VENDOR!D13</f>
        <v>PAHA BAWAH</v>
      </c>
      <c r="C12" s="898">
        <f>VENDOR!H13</f>
        <v>273</v>
      </c>
      <c r="D12" s="903">
        <f>VENDOR!AJ13</f>
        <v>210</v>
      </c>
      <c r="E12" s="903">
        <f>VENDOR!AL13</f>
        <v>240</v>
      </c>
      <c r="F12" s="903">
        <f t="shared" si="0"/>
        <v>243</v>
      </c>
      <c r="G12" s="905">
        <f>Q13</f>
        <v>240</v>
      </c>
      <c r="H12" s="903">
        <f t="shared" ref="H12:H86" si="1">G12-(F12-I12)</f>
        <v>3</v>
      </c>
      <c r="I12" s="922">
        <f>'LEFT OVER'!M12</f>
        <v>6</v>
      </c>
      <c r="J12" s="923" cm="1">
        <f t="array" ref="J12:J13">H12:H13</f>
        <v>3</v>
      </c>
      <c r="L12" s="921" t="s">
        <v>76</v>
      </c>
      <c r="M12" s="2547"/>
      <c r="N12" s="2547"/>
      <c r="O12" s="2547"/>
      <c r="P12" s="2547"/>
      <c r="Q12" s="2552"/>
      <c r="S12" s="945"/>
      <c r="T12" s="930" t="s">
        <v>1196</v>
      </c>
      <c r="U12" s="946">
        <f>'LAP. PENJUALAN '!N13+'LAP. PENJUALAN '!N35+'LAP. PENJUALAN '!N47+'LAP. PENJUALAN '!N168+'LAP. PENJUALAN '!N168+'LAP. PENJUALAN GRAB FOOD'!N13+'LAP. PENJUALAN GRAB FOOD'!N35+'LAP. PENJUALAN GRAB FOOD'!N42+'LAP. PENJUALAN GRAB FOOD'!N47+'LAP. PENJUALAN GO FOOD'!N13+'LAP. PENJUALAN GO FOOD'!N35+'LAP. PENJUALAN GO FOOD'!N42+'LAP. PENJUALAN GO FOOD'!N47+'LAP. PENJUALAN SHOPEE FOOD'!N13+'LAP. PENJUALAN SHOPEE FOOD'!N35+'LAP. PENJUALAN SHOPEE FOOD'!N42+'LAP. PENJUALAN SHOPEE FOOD'!N47+'LAP. PENJUALAN GRAB FOOD'!N155+'LAP. PENJUALAN GRAB FOOD'!N163+'LAP. PENJUALAN '!N194+'LAP. PENJUALAN '!N197+'LAP. PENJUALAN '!N195+'LAP. PENJUALAN '!N198+'LAP. PENJUALAN '!N207+'LAP. PENJUALAN '!N209+'LAP. PENJUALAN '!N41+'LAP. PENJUALAN '!N26</f>
        <v>49</v>
      </c>
      <c r="V12" s="948">
        <f>U12/2</f>
        <v>24.5</v>
      </c>
      <c r="W12" s="949" t="s">
        <v>1197</v>
      </c>
      <c r="X12" s="950">
        <f>U12/12</f>
        <v>4.0833333333333304</v>
      </c>
      <c r="Y12" s="990"/>
    </row>
    <row r="13" spans="1:26" ht="18.75" customHeight="1">
      <c r="A13" s="901">
        <v>5</v>
      </c>
      <c r="B13" s="902" t="str">
        <f>VENDOR!D14</f>
        <v>SAYAP</v>
      </c>
      <c r="C13" s="898">
        <f>VENDOR!H14</f>
        <v>252</v>
      </c>
      <c r="D13" s="903">
        <f>VENDOR!AJ14</f>
        <v>260</v>
      </c>
      <c r="E13" s="903">
        <f>VENDOR!AL14</f>
        <v>210</v>
      </c>
      <c r="F13" s="903">
        <f t="shared" si="0"/>
        <v>302</v>
      </c>
      <c r="G13" s="905">
        <f>Q14</f>
        <v>299</v>
      </c>
      <c r="H13" s="903">
        <f t="shared" si="1"/>
        <v>-2</v>
      </c>
      <c r="I13" s="922">
        <f>'LEFT OVER'!M13</f>
        <v>1</v>
      </c>
      <c r="J13" s="917">
        <v>-2</v>
      </c>
      <c r="L13" s="921" t="s">
        <v>77</v>
      </c>
      <c r="M13" s="924">
        <f>'LAP. PENJUALAN '!J294</f>
        <v>192</v>
      </c>
      <c r="N13" s="924">
        <f>'LAP. PENJUALAN GRAB FOOD'!J260</f>
        <v>30</v>
      </c>
      <c r="O13" s="924">
        <f>'LAP. PENJUALAN GO FOOD'!J259</f>
        <v>8</v>
      </c>
      <c r="P13" s="924">
        <f>'LAP. PENJUALAN SHOPEE FOOD'!M255</f>
        <v>10</v>
      </c>
      <c r="Q13" s="951">
        <f t="shared" ref="Q13:Q19" si="2">SUM(M13:P13)</f>
        <v>240</v>
      </c>
      <c r="S13" s="945"/>
      <c r="T13" s="930" t="s">
        <v>724</v>
      </c>
      <c r="U13" s="946">
        <f>'LAP. PENJUALAN '!N22+'LAP. PENJUALAN '!N38+'LAP. PENJUALAN '!N45+'LAP. PENJUALAN '!N165+'LAP. PENJUALAN GRAB FOOD'!N22+'LAP. PENJUALAN GRAB FOOD'!N38+'LAP. PENJUALAN GRAB FOOD'!N45+'LAP. PENJUALAN GO FOOD'!N22+'LAP. PENJUALAN GO FOOD'!N38+'LAP. PENJUALAN GO FOOD'!N45+'LAP. PENJUALAN SHOPEE FOOD'!N22+'LAP. PENJUALAN SHOPEE FOOD'!N38+'LAP. PENJUALAN SHOPEE FOOD'!N45</f>
        <v>43</v>
      </c>
      <c r="V13" s="948">
        <f>U13/5</f>
        <v>8.6</v>
      </c>
      <c r="W13" s="952"/>
      <c r="X13" s="952"/>
    </row>
    <row r="14" spans="1:26" ht="18.75" customHeight="1">
      <c r="A14" s="901">
        <v>6</v>
      </c>
      <c r="B14" s="902" t="str">
        <f>VENDOR!D15</f>
        <v>CHICKEN PATTY</v>
      </c>
      <c r="C14" s="898">
        <f>VENDOR!H15</f>
        <v>6</v>
      </c>
      <c r="D14" s="903">
        <f>VENDOR!AJ15</f>
        <v>69</v>
      </c>
      <c r="E14" s="903">
        <f>VENDOR!AL15</f>
        <v>11</v>
      </c>
      <c r="F14" s="903">
        <f t="shared" si="0"/>
        <v>64</v>
      </c>
      <c r="G14" s="905">
        <f>M28</f>
        <v>66</v>
      </c>
      <c r="H14" s="903">
        <f t="shared" si="1"/>
        <v>2</v>
      </c>
      <c r="I14" s="925"/>
      <c r="J14" s="917"/>
      <c r="L14" s="921" t="s">
        <v>78</v>
      </c>
      <c r="M14" s="924">
        <f>'LAP. PENJUALAN '!J295</f>
        <v>236</v>
      </c>
      <c r="N14" s="924">
        <f>'LAP. PENJUALAN GRAB FOOD'!J261</f>
        <v>42</v>
      </c>
      <c r="O14" s="924">
        <f>'LAP. PENJUALAN GO FOOD'!J260</f>
        <v>10</v>
      </c>
      <c r="P14" s="924">
        <f>'LAP. PENJUALAN SHOPEE FOOD'!M256</f>
        <v>11</v>
      </c>
      <c r="Q14" s="951">
        <f t="shared" si="2"/>
        <v>299</v>
      </c>
      <c r="S14" s="949"/>
      <c r="T14" s="953"/>
      <c r="U14" s="953"/>
      <c r="V14" s="954">
        <f>SUM(V10:V13)</f>
        <v>49.1</v>
      </c>
      <c r="W14" s="952"/>
      <c r="X14" s="952"/>
    </row>
    <row r="15" spans="1:26" ht="18.75" customHeight="1">
      <c r="A15" s="901">
        <v>7</v>
      </c>
      <c r="B15" s="902" t="str">
        <f>VENDOR!D16</f>
        <v>SAYAP TANPA KOLAR</v>
      </c>
      <c r="C15" s="898">
        <f>VENDOR!H16</f>
        <v>0</v>
      </c>
      <c r="D15" s="899">
        <f>VENDOR!AJ16</f>
        <v>0</v>
      </c>
      <c r="E15" s="899">
        <f>VENDOR!AL16</f>
        <v>0</v>
      </c>
      <c r="F15" s="899">
        <f t="shared" si="0"/>
        <v>0</v>
      </c>
      <c r="G15" s="905"/>
      <c r="H15" s="899">
        <f t="shared" si="1"/>
        <v>0</v>
      </c>
      <c r="I15" s="925"/>
      <c r="J15" s="917"/>
      <c r="L15" s="921" t="s">
        <v>80</v>
      </c>
      <c r="M15" s="924"/>
      <c r="N15" s="924"/>
      <c r="O15" s="924"/>
      <c r="P15" s="924"/>
      <c r="Q15" s="951">
        <f t="shared" si="2"/>
        <v>0</v>
      </c>
    </row>
    <row r="16" spans="1:26" ht="18.75" customHeight="1">
      <c r="A16" s="901">
        <v>8</v>
      </c>
      <c r="B16" s="902" t="str">
        <f>VENDOR!D17</f>
        <v>PATTY BEEF</v>
      </c>
      <c r="C16" s="898">
        <f>VENDOR!H17</f>
        <v>0</v>
      </c>
      <c r="D16" s="899">
        <f>VENDOR!AJ17</f>
        <v>0</v>
      </c>
      <c r="E16" s="899">
        <f>VENDOR!AL17</f>
        <v>0</v>
      </c>
      <c r="F16" s="899">
        <f t="shared" ref="F16:F23" si="3">C16+D16-E16</f>
        <v>0</v>
      </c>
      <c r="G16" s="905"/>
      <c r="H16" s="899">
        <f t="shared" ref="H16:H23" si="4">G16-(F16-I16)</f>
        <v>0</v>
      </c>
      <c r="I16" s="925"/>
      <c r="J16" s="917"/>
      <c r="L16" s="921" t="s">
        <v>1198</v>
      </c>
      <c r="M16" s="926"/>
      <c r="N16" s="926"/>
      <c r="O16" s="926"/>
      <c r="P16" s="926"/>
      <c r="Q16" s="951">
        <f t="shared" si="2"/>
        <v>0</v>
      </c>
      <c r="S16" s="955" t="s">
        <v>96</v>
      </c>
      <c r="T16" s="956" t="s">
        <v>1189</v>
      </c>
      <c r="U16" s="956" t="s">
        <v>1190</v>
      </c>
      <c r="V16" s="956" t="s">
        <v>1191</v>
      </c>
      <c r="W16" s="957" t="s">
        <v>1192</v>
      </c>
      <c r="X16" s="952"/>
      <c r="Y16" s="952"/>
      <c r="Z16" s="952"/>
    </row>
    <row r="17" spans="1:33" ht="18.75" customHeight="1">
      <c r="A17" s="901">
        <v>9</v>
      </c>
      <c r="B17" s="902" t="str">
        <f>VENDOR!D18</f>
        <v>BEEF STEAK</v>
      </c>
      <c r="C17" s="898">
        <f>VENDOR!H18</f>
        <v>0</v>
      </c>
      <c r="D17" s="899">
        <f>VENDOR!AJ18</f>
        <v>0</v>
      </c>
      <c r="E17" s="899">
        <f>VENDOR!AL18</f>
        <v>0</v>
      </c>
      <c r="F17" s="899">
        <f t="shared" si="3"/>
        <v>0</v>
      </c>
      <c r="G17" s="905"/>
      <c r="H17" s="899">
        <f t="shared" si="4"/>
        <v>0</v>
      </c>
      <c r="I17" s="925"/>
      <c r="J17" s="917"/>
      <c r="L17" s="921" t="s">
        <v>82</v>
      </c>
      <c r="M17" s="926"/>
      <c r="N17" s="926"/>
      <c r="O17" s="926"/>
      <c r="P17" s="926"/>
      <c r="Q17" s="951">
        <f t="shared" si="2"/>
        <v>0</v>
      </c>
      <c r="S17" s="958" t="s">
        <v>1199</v>
      </c>
      <c r="T17" s="946">
        <f>'LAP. PENJUALAN '!N16+'LAP. PENJUALAN '!N34+'LAP. PENJUALAN '!N35+'LAP. PENJUALAN '!N37+'LAP. PENJUALAN '!N39+'LAP. PENJUALAN '!N40+'LAP. PENJUALAN '!N41+'LAP. PENJUALAN '!N42+'LAP. PENJUALAN '!N46+'LAP. PENJUALAN '!N47+'LAP. PENJUALAN '!N48+'LAP. PENJUALAN '!N51+'LAP. PENJUALAN '!N52+'LAP. PENJUALAN '!N53+'LAP. PENJUALAN '!N59+'LAP. PENJUALAN '!N60+'LAP. PENJUALAN '!N61+'LAP. PENJUALAN '!N67+'LAP. PENJUALAN '!N68+'LAP. PENJUALAN '!N69+'LAP. PENJUALAN '!N75+'LAP. PENJUALAN '!N76+'LAP. PENJUALAN '!N77+'LAP. PENJUALAN '!N83+'LAP. PENJUALAN '!N84+'LAP. PENJUALAN '!N85+'LAP. PENJUALAN '!N86+'LAP. PENJUALAN '!N89+'LAP. PENJUALAN '!N90+'LAP. PENJUALAN '!N124+'LAP. PENJUALAN '!N125+'LAP. PENJUALAN '!N126+'LAP. PENJUALAN '!N127+'LAP. PENJUALAN '!N174+'LAP. PENJUALAN '!N175+'LAP. PENJUALAN '!N176+'LAP. PENJUALAN '!N177+'LAP. PENJUALAN '!N178+'LAP. PENJUALAN '!N186+'LAP. PENJUALAN '!N181+45+'LAP. PENJUALAN '!N194+'LAP. PENJUALAN '!N195+'LAP. PENJUALAN '!N196+'LAP. PENJUALAN '!N197+'LAP. PENJUALAN '!N198+'LAP. PENJUALAN '!N199+'LAP. PENJUALAN '!N201+'LAP. PENJUALAN '!N201+'LAP. PENJUALAN '!N201+'LAP. PENJUALAN '!N201+'LAP. PENJUALAN '!N202+'LAP. PENJUALAN '!N202+'LAP. PENJUALAN '!N202+'LAP. PENJUALAN '!N202+'LAP. PENJUALAN '!N210+'LAP. PENJUALAN '!N201+'LAP. PENJUALAN '!N201+'LAP. PENJUALAN '!N201+'LAP. PENJUALAN '!N201+'LAP. PENJUALAN '!N202+'LAP. PENJUALAN '!N202+'LAP. PENJUALAN '!N202+'LAP. PENJUALAN '!N202+'LAP. PENJUALAN '!N203+'LAP. PENJUALAN '!N203+'LAP. PENJUALAN '!N203+'LAP. PENJUALAN '!N25+'LAP. PENJUALAN '!N26+'LAP. PENJUALAN '!N28+'LAP. PENJUALAN '!N29+'LAP. PENJUALAN '!N30+'LAP. PENJUALAN '!N31</f>
        <v>676</v>
      </c>
      <c r="U17" s="946">
        <f>'LAP. PENJUALAN GRAB FOOD'!N16+'LAP. PENJUALAN GRAB FOOD'!N34+'LAP. PENJUALAN GRAB FOOD'!N35+'LAP. PENJUALAN GRAB FOOD'!N37+'LAP. PENJUALAN GRAB FOOD'!N39+'LAP. PENJUALAN GRAB FOOD'!N40+'LAP. PENJUALAN GRAB FOOD'!N41+'LAP. PENJUALAN GRAB FOOD'!N43+'LAP. PENJUALAN GRAB FOOD'!N45+'LAP. PENJUALAN GRAB FOOD'!N46+'LAP. PENJUALAN GRAB FOOD'!N47+'LAP. PENJUALAN GRAB FOOD'!N48+'LAP. PENJUALAN GRAB FOOD'!N49+'LAP. PENJUALAN GRAB FOOD'!N51+'LAP. PENJUALAN GRAB FOOD'!N52+'LAP. PENJUALAN GRAB FOOD'!N53+'LAP. PENJUALAN GRAB FOOD'!N59+'LAP. PENJUALAN GRAB FOOD'!N60+'LAP. PENJUALAN GRAB FOOD'!N61+'LAP. PENJUALAN GRAB FOOD'!N67+'LAP. PENJUALAN GRAB FOOD'!N68+'LAP. PENJUALAN GRAB FOOD'!N69+'LAP. PENJUALAN GRAB FOOD'!N75+'LAP. PENJUALAN GRAB FOOD'!N76+'LAP. PENJUALAN GRAB FOOD'!N77+'LAP. PENJUALAN GRAB FOOD'!N122+'LAP. PENJUALAN GRAB FOOD'!N123+'LAP. PENJUALAN GRAB FOOD'!N124+'LAP. PENJUALAN GRAB FOOD'!N151+'LAP. PENJUALAN GRAB FOOD'!N154+'LAP. PENJUALAN GRAB FOOD'!N155+'LAP. PENJUALAN GRAB FOOD'!N156+'LAP. PENJUALAN GRAB FOOD'!N157+'LAP. PENJUALAN GRAB FOOD'!N158+'LAP. PENJUALAN GRAB FOOD'!N167+'LAP. PENJUALAN GRAB FOOD'!N173+'LAP. PENJUALAN GRAB FOOD'!N175+'LAP. PENJUALAN GRAB FOOD'!N179+'LAP. PENJUALAN GRAB FOOD'!N183+'LAP. PENJUALAN GRAB FOOD'!N229+'LAP. PENJUALAN GRAB FOOD'!N230+'LAP. PENJUALAN GRAB FOOD'!N231+'LAP. PENJUALAN GRAB FOOD'!N234+'LAP. PENJUALAN GRAB FOOD'!N235+'LAP. PENJUALAN GRAB FOOD'!N237+'LAP. PENJUALAN GRAB FOOD'!N238</f>
        <v>90</v>
      </c>
      <c r="V17" s="946">
        <f>'LAP. PENJUALAN GO FOOD'!N16+'LAP. PENJUALAN GO FOOD'!N34+'LAP. PENJUALAN GO FOOD'!N35+'LAP. PENJUALAN GO FOOD'!N37+'LAP. PENJUALAN GO FOOD'!N39+'LAP. PENJUALAN GO FOOD'!N40+'LAP. PENJUALAN GO FOOD'!N41+'LAP. PENJUALAN GO FOOD'!N42+'LAP. PENJUALAN GO FOOD'!N43+'LAP. PENJUALAN GO FOOD'!N46+'LAP. PENJUALAN GO FOOD'!N47+'LAP. PENJUALAN GO FOOD'!N48+'LAP. PENJUALAN GO FOOD'!N49+'LAP. PENJUALAN GO FOOD'!N51+'LAP. PENJUALAN GO FOOD'!N52+'LAP. PENJUALAN GO FOOD'!N53+'LAP. PENJUALAN GO FOOD'!N59+'LAP. PENJUALAN GO FOOD'!N60+'LAP. PENJUALAN GO FOOD'!N61+'LAP. PENJUALAN GO FOOD'!N67+'LAP. PENJUALAN GO FOOD'!N68+'LAP. PENJUALAN GO FOOD'!N69+'LAP. PENJUALAN GO FOOD'!N75+'LAP. PENJUALAN GO FOOD'!N76+'LAP. PENJUALAN GO FOOD'!N77+'LAP. PENJUALAN GO FOOD'!N83+'LAP. PENJUALAN GO FOOD'!N85+'LAP. PENJUALAN GO FOOD'!N86+'LAP. PENJUALAN GO FOOD'!N129+'LAP. PENJUALAN GO FOOD'!N130+'LAP. PENJUALAN GO FOOD'!N131</f>
        <v>27</v>
      </c>
      <c r="W17" s="959">
        <f>'LAP. PENJUALAN SHOPEE FOOD'!N16+'LAP. PENJUALAN SHOPEE FOOD'!N34+'LAP. PENJUALAN SHOPEE FOOD'!N35+'LAP. PENJUALAN SHOPEE FOOD'!N37+'LAP. PENJUALAN SHOPEE FOOD'!N39+'LAP. PENJUALAN SHOPEE FOOD'!N40+'LAP. PENJUALAN SHOPEE FOOD'!N41+'LAP. PENJUALAN SHOPEE FOOD'!N42+'LAP. PENJUALAN SHOPEE FOOD'!N43+'LAP. PENJUALAN SHOPEE FOOD'!N46+'LAP. PENJUALAN SHOPEE FOOD'!N47+'LAP. PENJUALAN SHOPEE FOOD'!N48+'LAP. PENJUALAN SHOPEE FOOD'!N49+'LAP. PENJUALAN SHOPEE FOOD'!N51+'LAP. PENJUALAN SHOPEE FOOD'!N52+'LAP. PENJUALAN SHOPEE FOOD'!N53+'LAP. PENJUALAN SHOPEE FOOD'!N59+'LAP. PENJUALAN SHOPEE FOOD'!N60+'LAP. PENJUALAN SHOPEE FOOD'!N61+'LAP. PENJUALAN SHOPEE FOOD'!N67+'LAP. PENJUALAN SHOPEE FOOD'!N68+'LAP. PENJUALAN SHOPEE FOOD'!N69+'LAP. PENJUALAN SHOPEE FOOD'!N75+'LAP. PENJUALAN SHOPEE FOOD'!N76+'LAP. PENJUALAN SHOPEE FOOD'!N77+'LAP. PENJUALAN SHOPEE FOOD'!N83+'LAP. PENJUALAN SHOPEE FOOD'!N85+'LAP. PENJUALAN SHOPEE FOOD'!N86+'LAP. PENJUALAN SHOPEE FOOD'!N122+'LAP. PENJUALAN SHOPEE FOOD'!N123+'LAP. PENJUALAN SHOPEE FOOD'!N124</f>
        <v>23</v>
      </c>
      <c r="X17" s="952" t="s">
        <v>1200</v>
      </c>
      <c r="Y17" s="979"/>
      <c r="Z17" s="979"/>
      <c r="AC17" s="840"/>
      <c r="AD17" s="840"/>
      <c r="AE17" s="840"/>
    </row>
    <row r="18" spans="1:33" ht="18.75" customHeight="1">
      <c r="A18" s="901">
        <v>10</v>
      </c>
      <c r="B18" s="902" t="str">
        <f>VENDOR!D19</f>
        <v>DADA MENTOK TAKJIL</v>
      </c>
      <c r="C18" s="898">
        <f>VENDOR!H19</f>
        <v>0</v>
      </c>
      <c r="D18" s="899">
        <f>VENDOR!AJ19</f>
        <v>0</v>
      </c>
      <c r="E18" s="899">
        <f>VENDOR!AL19</f>
        <v>0</v>
      </c>
      <c r="F18" s="899">
        <f t="shared" si="3"/>
        <v>0</v>
      </c>
      <c r="G18" s="905">
        <f>M19</f>
        <v>0</v>
      </c>
      <c r="H18" s="899">
        <f t="shared" si="4"/>
        <v>0</v>
      </c>
      <c r="I18" s="925"/>
      <c r="J18" s="927">
        <f>SUM(H18:H20)</f>
        <v>0</v>
      </c>
      <c r="L18" s="921" t="s">
        <v>83</v>
      </c>
      <c r="M18" s="926"/>
      <c r="N18" s="926"/>
      <c r="O18" s="926"/>
      <c r="P18" s="926"/>
      <c r="Q18" s="951">
        <f t="shared" si="2"/>
        <v>0</v>
      </c>
      <c r="S18" s="958" t="s">
        <v>304</v>
      </c>
      <c r="T18" s="946">
        <f>'LAP. PENJUALAN '!N155+'LAP. PENJUALAN '!N156+'LAP. PENJUALAN '!N157+'LAP. PENJUALAN '!N158+'LAP. PENJUALAN '!N159+'LAP. PENJUALAN '!N160+'LAP. PENJUALAN '!N161+'LAP. PENJUALAN '!N162+'LAP. PENJUALAN '!N163+'LAP. PENJUALAN '!N164+'LAP. PENJUALAN '!N166+'LAP. PENJUALAN '!N167+'LAP. PENJUALAN '!N168+'LAP. PENJUALAN '!N169+'LAP. PENJUALAN '!N179</f>
        <v>0</v>
      </c>
      <c r="U18" s="930"/>
      <c r="V18" s="930"/>
      <c r="W18" s="960"/>
      <c r="X18" s="952" t="s">
        <v>1201</v>
      </c>
      <c r="Y18" s="952"/>
      <c r="Z18" s="952"/>
      <c r="AD18" s="840"/>
      <c r="AE18" s="840"/>
    </row>
    <row r="19" spans="1:33" ht="18.75" customHeight="1">
      <c r="A19" s="901">
        <v>11</v>
      </c>
      <c r="B19" s="902" t="str">
        <f>VENDOR!D20</f>
        <v>DADA TAKJIL</v>
      </c>
      <c r="C19" s="898">
        <f>VENDOR!H20</f>
        <v>0</v>
      </c>
      <c r="D19" s="899">
        <f>VENDOR!AJ20</f>
        <v>0</v>
      </c>
      <c r="E19" s="899">
        <f>VENDOR!AL20</f>
        <v>0</v>
      </c>
      <c r="F19" s="899">
        <f t="shared" si="3"/>
        <v>0</v>
      </c>
      <c r="G19" s="905"/>
      <c r="H19" s="899">
        <f t="shared" si="4"/>
        <v>0</v>
      </c>
      <c r="I19" s="925"/>
      <c r="J19" s="917"/>
      <c r="K19" s="918"/>
      <c r="L19" s="921" t="s">
        <v>84</v>
      </c>
      <c r="M19" s="2548">
        <f>'LAP. PENJUALAN '!N156+'LAP. PENJUALAN '!N158+'LAP. PENJUALAN '!N160+'LAP. PENJUALAN '!N162+'LAP. PENJUALAN '!N164+'LAP. PENJUALAN '!N166</f>
        <v>0</v>
      </c>
      <c r="N19" s="926"/>
      <c r="O19" s="926"/>
      <c r="P19" s="926"/>
      <c r="Q19" s="2551">
        <f t="shared" si="2"/>
        <v>0</v>
      </c>
      <c r="S19" s="958" t="s">
        <v>1202</v>
      </c>
      <c r="T19" s="946">
        <f>U13</f>
        <v>43</v>
      </c>
      <c r="U19" s="930"/>
      <c r="V19" s="930"/>
      <c r="W19" s="960"/>
      <c r="X19" s="952" t="s">
        <v>1200</v>
      </c>
      <c r="Y19" s="952"/>
      <c r="Z19" s="952"/>
      <c r="AD19" s="840"/>
      <c r="AE19" s="840"/>
    </row>
    <row r="20" spans="1:33" ht="18.75" customHeight="1">
      <c r="A20" s="901">
        <v>12</v>
      </c>
      <c r="B20" s="902" t="str">
        <f>VENDOR!D21</f>
        <v>PAHA ATAS TAKJIL</v>
      </c>
      <c r="C20" s="898">
        <f>VENDOR!H21</f>
        <v>0</v>
      </c>
      <c r="D20" s="899">
        <f>VENDOR!AJ21</f>
        <v>0</v>
      </c>
      <c r="E20" s="899">
        <f>VENDOR!AL21</f>
        <v>0</v>
      </c>
      <c r="F20" s="899">
        <f t="shared" si="3"/>
        <v>0</v>
      </c>
      <c r="G20" s="905"/>
      <c r="H20" s="899">
        <f t="shared" si="4"/>
        <v>0</v>
      </c>
      <c r="I20" s="925"/>
      <c r="J20" s="917"/>
      <c r="L20" s="921" t="s">
        <v>85</v>
      </c>
      <c r="M20" s="2548"/>
      <c r="N20" s="926"/>
      <c r="O20" s="926"/>
      <c r="P20" s="926"/>
      <c r="Q20" s="2551"/>
      <c r="S20" s="961" t="s">
        <v>1203</v>
      </c>
      <c r="T20" s="962">
        <f>'LAP. PENJUALAN '!N105+'LAP. PENJUALAN '!N105+'LAP. PENJUALAN '!N105+'LAP. PENJUALAN '!N105+'LAP. PENJUALAN '!N106+'LAP. PENJUALAN '!N106+'LAP. PENJUALAN '!N106+'LAP. PENJUALAN '!N106+'LAP. PENJUALAN '!N107+'LAP. PENJUALAN '!N107+'LAP. PENJUALAN '!N107+'LAP. PENJUALAN '!N107</f>
        <v>4</v>
      </c>
      <c r="U20" s="963">
        <f>T20*4</f>
        <v>16</v>
      </c>
      <c r="V20" s="963"/>
      <c r="W20" s="964">
        <f>(SUM(T17:W17)/11)+(SUM(T18:W18)/15)+(SUM(T19:W19)/11)+(U20/11)</f>
        <v>79.545454545454504</v>
      </c>
      <c r="X20" s="952"/>
      <c r="Y20" s="952"/>
      <c r="Z20" s="952"/>
      <c r="AB20" s="840" t="str">
        <f>B9</f>
        <v>DADA MENTOK</v>
      </c>
      <c r="AD20" s="840"/>
      <c r="AE20" s="840">
        <v>3</v>
      </c>
      <c r="AF20" s="840">
        <f>'WEEKLY FC'!E11</f>
        <v>6154.7692307692296</v>
      </c>
      <c r="AG20" s="840">
        <f>AF20*AE20</f>
        <v>18464.307692307699</v>
      </c>
    </row>
    <row r="21" spans="1:33" ht="18.75" customHeight="1">
      <c r="A21" s="901">
        <v>13</v>
      </c>
      <c r="B21" s="902" t="str">
        <f>VENDOR!D22</f>
        <v>PAHA BAWAH TAKJIL</v>
      </c>
      <c r="C21" s="898">
        <f>VENDOR!H22</f>
        <v>0</v>
      </c>
      <c r="D21" s="899">
        <f>VENDOR!AJ22</f>
        <v>0</v>
      </c>
      <c r="E21" s="899">
        <f>VENDOR!AL22</f>
        <v>0</v>
      </c>
      <c r="F21" s="899">
        <f t="shared" si="3"/>
        <v>0</v>
      </c>
      <c r="G21" s="905">
        <f>M22</f>
        <v>0</v>
      </c>
      <c r="H21" s="899">
        <f t="shared" si="4"/>
        <v>0</v>
      </c>
      <c r="I21" s="925"/>
      <c r="J21" s="927">
        <f>SUM(H21:H22)</f>
        <v>0</v>
      </c>
      <c r="L21" s="921" t="s">
        <v>86</v>
      </c>
      <c r="M21" s="2548"/>
      <c r="N21" s="926"/>
      <c r="O21" s="926"/>
      <c r="P21" s="926"/>
      <c r="Q21" s="2551"/>
      <c r="S21" s="952"/>
      <c r="T21" s="952"/>
      <c r="U21" s="952"/>
      <c r="V21" s="952"/>
      <c r="W21" s="952" t="s">
        <v>61</v>
      </c>
      <c r="X21" s="952"/>
      <c r="Y21" s="952"/>
      <c r="Z21" s="979"/>
      <c r="AB21" s="840" t="str">
        <f>B49</f>
        <v>AIR MINERAL BOTOL (AMB)</v>
      </c>
      <c r="AD21" s="991"/>
      <c r="AE21" s="840">
        <v>9</v>
      </c>
      <c r="AF21" s="840">
        <f>'WEEKLY FC'!E99</f>
        <v>1667</v>
      </c>
      <c r="AG21" s="840">
        <f>AF21*AE21</f>
        <v>15003</v>
      </c>
    </row>
    <row r="22" spans="1:33" ht="18.75" customHeight="1">
      <c r="A22" s="901">
        <v>14</v>
      </c>
      <c r="B22" s="902" t="str">
        <f>VENDOR!D23</f>
        <v>SAYAP TAKJIL</v>
      </c>
      <c r="C22" s="898">
        <f>VENDOR!H23</f>
        <v>0</v>
      </c>
      <c r="D22" s="899">
        <f>VENDOR!AJ23</f>
        <v>0</v>
      </c>
      <c r="E22" s="899">
        <f>VENDOR!AL23</f>
        <v>0</v>
      </c>
      <c r="F22" s="899">
        <f t="shared" si="3"/>
        <v>0</v>
      </c>
      <c r="G22" s="905"/>
      <c r="H22" s="899">
        <f t="shared" si="4"/>
        <v>0</v>
      </c>
      <c r="I22" s="925"/>
      <c r="J22" s="917"/>
      <c r="L22" s="921" t="s">
        <v>87</v>
      </c>
      <c r="M22" s="2546">
        <f>'LAP. PENJUALAN '!N155+'LAP. PENJUALAN '!N157+'LAP. PENJUALAN '!N159+'LAP. PENJUALAN '!N161+'LAP. PENJUALAN '!N163+'LAP. PENJUALAN '!N179+'LAP. PENJUALAN '!N166</f>
        <v>0</v>
      </c>
      <c r="N22" s="926"/>
      <c r="O22" s="926"/>
      <c r="P22" s="926"/>
      <c r="Q22" s="2551">
        <f t="shared" ref="Q22:Q25" si="5">SUM(M22:P22)</f>
        <v>0</v>
      </c>
      <c r="S22" s="955"/>
      <c r="T22" s="956"/>
      <c r="U22" s="956"/>
      <c r="V22" s="956" t="s">
        <v>1191</v>
      </c>
      <c r="W22" s="956" t="s">
        <v>1192</v>
      </c>
      <c r="X22" s="957" t="s">
        <v>1204</v>
      </c>
      <c r="Y22" s="952"/>
      <c r="Z22" s="952"/>
      <c r="AE22" s="840"/>
      <c r="AG22" s="840">
        <f>AG20+AG21</f>
        <v>33467.307692307702</v>
      </c>
    </row>
    <row r="23" spans="1:33" ht="18.75" customHeight="1">
      <c r="A23" s="901">
        <v>15</v>
      </c>
      <c r="B23" s="902" t="str">
        <f>VENDOR!D24</f>
        <v>AYAM UTUH</v>
      </c>
      <c r="C23" s="898">
        <f>VENDOR!H24</f>
        <v>9</v>
      </c>
      <c r="D23" s="899">
        <f>VENDOR!AJ24</f>
        <v>30</v>
      </c>
      <c r="E23" s="899">
        <f>VENDOR!AL24</f>
        <v>30</v>
      </c>
      <c r="F23" s="899">
        <f t="shared" si="3"/>
        <v>9</v>
      </c>
      <c r="G23" s="905">
        <f>Q24</f>
        <v>9</v>
      </c>
      <c r="H23" s="899">
        <f t="shared" si="4"/>
        <v>0</v>
      </c>
      <c r="I23" s="925"/>
      <c r="J23" s="917"/>
      <c r="L23" s="921" t="s">
        <v>88</v>
      </c>
      <c r="M23" s="2546"/>
      <c r="N23" s="926"/>
      <c r="O23" s="926"/>
      <c r="P23" s="926"/>
      <c r="Q23" s="2551"/>
      <c r="S23" s="958" t="s">
        <v>1205</v>
      </c>
      <c r="T23" s="946">
        <f>N44</f>
        <v>199</v>
      </c>
      <c r="U23" s="946"/>
      <c r="V23" s="946"/>
      <c r="W23" s="946"/>
      <c r="X23" s="965">
        <f>SUM(T23:W23)/42*0.5</f>
        <v>2.36904761904762</v>
      </c>
      <c r="Y23" s="952" t="s">
        <v>1206</v>
      </c>
      <c r="Z23" s="952"/>
    </row>
    <row r="24" spans="1:33" ht="18.75" customHeight="1">
      <c r="A24" s="901"/>
      <c r="B24" s="902"/>
      <c r="C24" s="898"/>
      <c r="D24" s="899"/>
      <c r="E24" s="899"/>
      <c r="F24" s="899"/>
      <c r="G24" s="905"/>
      <c r="H24" s="899"/>
      <c r="I24" s="925"/>
      <c r="J24" s="917"/>
      <c r="L24" s="921" t="s">
        <v>89</v>
      </c>
      <c r="M24" s="924">
        <f>'LAP. PENJUALAN '!N102+'LAP. PENJUALAN '!N103+'LAP. PENJUALAN '!N104+'LAP. PENJUALAN '!N105+'LAP. PENJUALAN '!N106+'LAP. PENJUALAN '!N107+'LAP. PENJUALAN '!N108+'LAP. PENJUALAN '!N109</f>
        <v>3</v>
      </c>
      <c r="N24" s="924">
        <f>'LAP. PENJUALAN GRAB FOOD'!N102+'LAP. PENJUALAN GRAB FOOD'!N103+'LAP. PENJUALAN GRAB FOOD'!N104+'LAP. PENJUALAN GRAB FOOD'!N105+'LAP. PENJUALAN GRAB FOOD'!N106+'LAP. PENJUALAN GRAB FOOD'!N107+'LAP. PENJUALAN GRAB FOOD'!N181+'LAP. PENJUALAN GRAB FOOD'!N182</f>
        <v>2</v>
      </c>
      <c r="O24" s="924">
        <f>'LAP. PENJUALAN GO FOOD'!N102+'LAP. PENJUALAN GO FOOD'!N103+'LAP. PENJUALAN GO FOOD'!N104+'LAP. PENJUALAN GO FOOD'!N105+'LAP. PENJUALAN GO FOOD'!N106+'LAP. PENJUALAN GO FOOD'!N107+'LAP. PENJUALAN GO FOOD'!N108</f>
        <v>1</v>
      </c>
      <c r="P24" s="924">
        <f>'LAP. PENJUALAN SHOPEE FOOD'!N102+'LAP. PENJUALAN SHOPEE FOOD'!N103+'LAP. PENJUALAN SHOPEE FOOD'!N104+'LAP. PENJUALAN SHOPEE FOOD'!N105+'LAP. PENJUALAN SHOPEE FOOD'!N106+'LAP. PENJUALAN SHOPEE FOOD'!N107+'LAP. PENJUALAN SHOPEE FOOD'!N108</f>
        <v>3</v>
      </c>
      <c r="Q24" s="951">
        <f t="shared" si="5"/>
        <v>9</v>
      </c>
      <c r="S24" s="958" t="s">
        <v>1207</v>
      </c>
      <c r="T24" s="946"/>
      <c r="U24" s="946"/>
      <c r="V24" s="946"/>
      <c r="W24" s="946"/>
      <c r="X24" s="965">
        <f>SUM(T24:W24)/37*0.9</f>
        <v>0</v>
      </c>
      <c r="Y24" s="952" t="s">
        <v>1208</v>
      </c>
      <c r="Z24" s="979">
        <f>SUM(T24:W24)</f>
        <v>0</v>
      </c>
    </row>
    <row r="25" spans="1:33" ht="18.75" customHeight="1">
      <c r="A25" s="901">
        <v>16</v>
      </c>
      <c r="B25" s="902" t="str">
        <f>VENDOR!D26</f>
        <v>VEGETABLE MIX</v>
      </c>
      <c r="C25" s="906">
        <f>VENDOR!H26</f>
        <v>3.25</v>
      </c>
      <c r="D25" s="907">
        <f>VENDOR!AJ26</f>
        <v>0</v>
      </c>
      <c r="E25" s="907">
        <f>VENDOR!AL26</f>
        <v>2.5</v>
      </c>
      <c r="F25" s="899">
        <f t="shared" si="0"/>
        <v>0.75</v>
      </c>
      <c r="G25" s="905">
        <f>M25</f>
        <v>0.98</v>
      </c>
      <c r="H25" s="899">
        <f t="shared" si="1"/>
        <v>0.23</v>
      </c>
      <c r="I25" s="925"/>
      <c r="J25" s="917"/>
      <c r="L25" s="921" t="s">
        <v>1209</v>
      </c>
      <c r="M25" s="924">
        <f>U12*20/1000</f>
        <v>0.98</v>
      </c>
      <c r="N25" s="926"/>
      <c r="O25" s="926"/>
      <c r="P25" s="926"/>
      <c r="Q25" s="951">
        <f t="shared" si="5"/>
        <v>0.98</v>
      </c>
      <c r="S25" s="958" t="s">
        <v>1210</v>
      </c>
      <c r="T25" s="946"/>
      <c r="U25" s="930"/>
      <c r="V25" s="946"/>
      <c r="W25" s="930"/>
      <c r="X25" s="960">
        <f>SUM(T25:W25)/36*1.44</f>
        <v>0</v>
      </c>
      <c r="Y25" s="952" t="s">
        <v>1211</v>
      </c>
      <c r="Z25" s="952"/>
    </row>
    <row r="26" spans="1:33" ht="18.75" customHeight="1">
      <c r="A26" s="901">
        <v>17</v>
      </c>
      <c r="B26" s="902" t="str">
        <f>VENDOR!D27</f>
        <v>BERAS</v>
      </c>
      <c r="C26" s="906">
        <f>VENDOR!H27</f>
        <v>59</v>
      </c>
      <c r="D26" s="907">
        <f>VENDOR!AJ27</f>
        <v>95.272727272727295</v>
      </c>
      <c r="E26" s="907">
        <f>VENDOR!AL27</f>
        <v>78</v>
      </c>
      <c r="F26" s="899">
        <f t="shared" si="0"/>
        <v>76.272727272727295</v>
      </c>
      <c r="G26" s="905">
        <f>W20</f>
        <v>79.545454545454504</v>
      </c>
      <c r="H26" s="899">
        <f t="shared" si="1"/>
        <v>3.2727272727272099</v>
      </c>
      <c r="I26" s="925"/>
      <c r="J26" s="917"/>
      <c r="L26" s="921" t="s">
        <v>96</v>
      </c>
      <c r="M26" s="926"/>
      <c r="N26" s="926"/>
      <c r="O26" s="926"/>
      <c r="P26" s="926"/>
      <c r="Q26" s="951"/>
      <c r="S26" s="958" t="s">
        <v>1212</v>
      </c>
      <c r="T26" s="930"/>
      <c r="U26" s="930"/>
      <c r="V26" s="930"/>
      <c r="W26" s="930"/>
      <c r="X26" s="960">
        <f>SUM(T26:W26)*0.02</f>
        <v>0</v>
      </c>
      <c r="Y26" s="952" t="s">
        <v>1213</v>
      </c>
      <c r="Z26" s="952"/>
    </row>
    <row r="27" spans="1:33" ht="18.75" customHeight="1">
      <c r="A27" s="901">
        <v>18</v>
      </c>
      <c r="B27" s="902" t="str">
        <f>VENDOR!D28</f>
        <v>FRENCH FRIES</v>
      </c>
      <c r="C27" s="906">
        <f>VENDOR!H28</f>
        <v>5</v>
      </c>
      <c r="D27" s="907">
        <f>VENDOR!AJ28</f>
        <v>0</v>
      </c>
      <c r="E27" s="907">
        <f>VENDOR!AL28</f>
        <v>2.2999999999999998</v>
      </c>
      <c r="F27" s="903">
        <f t="shared" si="0"/>
        <v>2.7</v>
      </c>
      <c r="G27" s="905">
        <f>Q27</f>
        <v>3</v>
      </c>
      <c r="H27" s="903">
        <f t="shared" si="1"/>
        <v>0.3</v>
      </c>
      <c r="I27" s="928"/>
      <c r="J27" s="923"/>
      <c r="K27" s="929"/>
      <c r="L27" s="921" t="s">
        <v>97</v>
      </c>
      <c r="M27" s="924">
        <f>'LAP. PENJUALAN '!N15+'LAP. PENJUALAN GRAB FOOD'!N15+'LAP. PENJUALAN GO FOOD'!N15+'LAP. PENJUALAN SHOPEE FOOD'!N15+'LAP. PENJUALAN GRAB FOOD'!N153+'LAP. PENJUALAN '!N202+'LAP. PENJUALAN '!N203</f>
        <v>30</v>
      </c>
      <c r="N27" s="924"/>
      <c r="O27" s="924"/>
      <c r="P27" s="924"/>
      <c r="Q27" s="951">
        <f>SUM(M27:P27)/10</f>
        <v>3</v>
      </c>
      <c r="S27" s="961"/>
      <c r="T27" s="963"/>
      <c r="U27" s="963"/>
      <c r="V27" s="963"/>
      <c r="W27" s="963"/>
      <c r="X27" s="966">
        <f>SUM(X23:X26)/1.5</f>
        <v>1.57936507936508</v>
      </c>
      <c r="Y27" s="952"/>
      <c r="Z27" s="952"/>
    </row>
    <row r="28" spans="1:33" ht="18.75" customHeight="1">
      <c r="A28" s="901">
        <v>19</v>
      </c>
      <c r="B28" s="902" t="str">
        <f>VENDOR!D29</f>
        <v>ROTI BURGER</v>
      </c>
      <c r="C28" s="906">
        <f>VENDOR!H29</f>
        <v>128</v>
      </c>
      <c r="D28" s="907">
        <f>VENDOR!AJ29</f>
        <v>0</v>
      </c>
      <c r="E28" s="907">
        <f>VENDOR!AL29</f>
        <v>69</v>
      </c>
      <c r="F28" s="903">
        <f t="shared" si="0"/>
        <v>59</v>
      </c>
      <c r="G28" s="905">
        <f>M28</f>
        <v>66</v>
      </c>
      <c r="H28" s="903">
        <f t="shared" si="1"/>
        <v>7</v>
      </c>
      <c r="I28" s="928"/>
      <c r="J28" s="923"/>
      <c r="L28" s="921" t="s">
        <v>98</v>
      </c>
      <c r="M28" s="924">
        <f>'LAP. PENJUALAN '!N18+'LAP. PENJUALAN '!N19+'LAP. PENJUALAN '!N84+'LAP. PENJUALAN GRAB FOOD'!N84+'LAP. PENJUALAN GRAB FOOD'!N36+'LAP. PENJUALAN GRAB FOOD'!N18+'LAP. PENJUALAN GRAB FOOD'!N19+'LAP. PENJUALAN GO FOOD'!N84+'LAP. PENJUALAN GO FOOD'!N36+'LAP. PENJUALAN GO FOOD'!N18+'LAP. PENJUALAN GO FOOD'!N19+'LAP. PENJUALAN SHOPEE FOOD'!N84+'LAP. PENJUALAN SHOPEE FOOD'!N36+'LAP. PENJUALAN SHOPEE FOOD'!N19+'LAP. PENJUALAN SHOPEE FOOD'!N18+'LAP. PENJUALAN GRAB FOOD'!N164+'LAP. PENJUALAN GRAB FOOD'!N165+'LAP. PENJUALAN '!N203+'LAP. PENJUALAN '!N27</f>
        <v>66</v>
      </c>
      <c r="N28" s="926"/>
      <c r="O28" s="926"/>
      <c r="P28" s="926"/>
      <c r="Q28" s="951">
        <f t="shared" ref="Q28:Q33" si="6">SUM(M28:P28)</f>
        <v>66</v>
      </c>
      <c r="S28" s="952"/>
      <c r="T28" s="952"/>
      <c r="U28" s="952"/>
      <c r="V28" s="952"/>
      <c r="W28" s="952"/>
      <c r="X28" s="952"/>
      <c r="Y28" s="952"/>
      <c r="Z28" s="952"/>
    </row>
    <row r="29" spans="1:33" ht="18.75" customHeight="1">
      <c r="A29" s="901">
        <v>20</v>
      </c>
      <c r="B29" s="902" t="str">
        <f>VENDOR!D30</f>
        <v>SOSIS</v>
      </c>
      <c r="C29" s="906">
        <f>VENDOR!H30</f>
        <v>0</v>
      </c>
      <c r="D29" s="907">
        <f>VENDOR!AJ30</f>
        <v>0</v>
      </c>
      <c r="E29" s="907">
        <f>VENDOR!AL30</f>
        <v>0</v>
      </c>
      <c r="F29" s="899">
        <f t="shared" si="0"/>
        <v>0</v>
      </c>
      <c r="G29" s="905"/>
      <c r="H29" s="899">
        <f t="shared" si="1"/>
        <v>0</v>
      </c>
      <c r="I29" s="925"/>
      <c r="J29" s="917"/>
      <c r="L29" s="921" t="s">
        <v>100</v>
      </c>
      <c r="M29" s="924">
        <f>'LAP. PENJUALAN '!N17+'LAP. PENJUALAN GRAB FOOD'!N17+'LAP. PENJUALAN GO FOOD'!N17+'LAP. PENJUALAN SHOPEE FOOD'!N17+'LAP. PENJUALAN SHOPEE FOOD'!N157+'LAP. PENJUALAN SHOPEE FOOD'!N158+'LAP. PENJUALAN GRAB FOOD'!N152</f>
        <v>78</v>
      </c>
      <c r="N29" s="924"/>
      <c r="O29" s="926"/>
      <c r="P29" s="926"/>
      <c r="Q29" s="951">
        <f t="shared" si="6"/>
        <v>78</v>
      </c>
      <c r="S29" s="940" t="s">
        <v>1214</v>
      </c>
      <c r="T29" s="967"/>
      <c r="U29" s="968"/>
      <c r="V29" s="969" t="s">
        <v>1215</v>
      </c>
      <c r="W29" s="970"/>
      <c r="X29" s="970"/>
      <c r="Y29" s="940" t="s">
        <v>1216</v>
      </c>
      <c r="Z29" s="968"/>
    </row>
    <row r="30" spans="1:33" ht="18.75" customHeight="1">
      <c r="A30" s="901">
        <v>21</v>
      </c>
      <c r="B30" s="902" t="str">
        <f>VENDOR!D31</f>
        <v>PERKEDEL</v>
      </c>
      <c r="C30" s="906">
        <f>VENDOR!H31</f>
        <v>7</v>
      </c>
      <c r="D30" s="907">
        <f>VENDOR!AJ31</f>
        <v>140</v>
      </c>
      <c r="E30" s="907">
        <f>VENDOR!AL31</f>
        <v>72</v>
      </c>
      <c r="F30" s="903">
        <f t="shared" si="0"/>
        <v>75</v>
      </c>
      <c r="G30" s="905">
        <f>M29</f>
        <v>78</v>
      </c>
      <c r="H30" s="903">
        <f t="shared" si="1"/>
        <v>3</v>
      </c>
      <c r="I30" s="928">
        <f>'LEFT OVER'!M21</f>
        <v>0</v>
      </c>
      <c r="J30" s="923"/>
      <c r="L30" s="921" t="s">
        <v>101</v>
      </c>
      <c r="M30" s="930"/>
      <c r="N30" s="926"/>
      <c r="O30" s="926"/>
      <c r="P30" s="926"/>
      <c r="Q30" s="951">
        <f t="shared" si="6"/>
        <v>0</v>
      </c>
      <c r="S30" s="945" t="s">
        <v>1217</v>
      </c>
      <c r="T30" s="946">
        <f>Q11+Q13+Q14+Q19+Q20+Q21+Q22+Q23+Q85+Q86+Q87+Q88+Q89+Q10+Q24+U12</f>
        <v>1326.1</v>
      </c>
      <c r="U30" s="971">
        <f>(T30-V30)/200*7+(V30/130*5)</f>
        <v>46.4931153846154</v>
      </c>
      <c r="V30" s="972">
        <f>SUM('[1]LAP. PENJUALAN'!M121:M130,'[1]LAP. PENJUALAN'!M77:M82,'[1]LAP. PENJUALAN GRAB FOOD'!M104:M109,'[1]LAP. PENJUALAN GOJEK'!M104:M109,'[1]LAP. PENJUALAN SHOPEE FOOD'!M104:M109)</f>
        <v>23</v>
      </c>
      <c r="W30" s="970"/>
      <c r="X30" s="973"/>
      <c r="Y30" s="992" t="s">
        <v>74</v>
      </c>
      <c r="Z30" s="947">
        <f>T30/200*2</f>
        <v>13.260999999999999</v>
      </c>
    </row>
    <row r="31" spans="1:33" ht="18.75" customHeight="1">
      <c r="A31" s="901">
        <v>22</v>
      </c>
      <c r="B31" s="902" t="str">
        <f>VENDOR!D32</f>
        <v>CRINKLE</v>
      </c>
      <c r="C31" s="906">
        <f>VENDOR!H32</f>
        <v>1.9</v>
      </c>
      <c r="D31" s="907">
        <f>VENDOR!AJ32</f>
        <v>0</v>
      </c>
      <c r="E31" s="907">
        <f>VENDOR!AL32</f>
        <v>0.7</v>
      </c>
      <c r="F31" s="903">
        <f t="shared" si="0"/>
        <v>1.2</v>
      </c>
      <c r="G31" s="905">
        <v>2</v>
      </c>
      <c r="H31" s="903">
        <f t="shared" si="1"/>
        <v>0.8</v>
      </c>
      <c r="I31" s="928"/>
      <c r="J31" s="923"/>
      <c r="L31" s="921" t="s">
        <v>102</v>
      </c>
      <c r="M31" s="926"/>
      <c r="N31" s="926"/>
      <c r="O31" s="926"/>
      <c r="P31" s="926"/>
      <c r="Q31" s="951">
        <f t="shared" si="6"/>
        <v>0</v>
      </c>
      <c r="S31" s="945" t="s">
        <v>1218</v>
      </c>
      <c r="T31" s="946">
        <f>U11</f>
        <v>13</v>
      </c>
      <c r="U31" s="948">
        <f>T31*0.04</f>
        <v>0.52</v>
      </c>
      <c r="V31" s="974"/>
      <c r="W31" s="975"/>
      <c r="X31" s="970"/>
      <c r="Y31" s="945" t="s">
        <v>1219</v>
      </c>
      <c r="Z31" s="971">
        <f>Q24/25</f>
        <v>0.36</v>
      </c>
    </row>
    <row r="32" spans="1:33" ht="18.75" customHeight="1">
      <c r="A32" s="901">
        <v>23</v>
      </c>
      <c r="B32" s="902" t="str">
        <f>VENDOR!D33</f>
        <v>NUGGET COIN</v>
      </c>
      <c r="C32" s="906">
        <f>VENDOR!H33</f>
        <v>0</v>
      </c>
      <c r="D32" s="907">
        <f>VENDOR!AJ33</f>
        <v>0</v>
      </c>
      <c r="E32" s="907">
        <f>VENDOR!AL33</f>
        <v>0</v>
      </c>
      <c r="F32" s="899">
        <f t="shared" si="0"/>
        <v>0</v>
      </c>
      <c r="G32" s="905"/>
      <c r="H32" s="899">
        <f t="shared" si="1"/>
        <v>0</v>
      </c>
      <c r="I32" s="925"/>
      <c r="J32" s="917"/>
      <c r="L32" s="921" t="s">
        <v>103</v>
      </c>
      <c r="M32" s="926"/>
      <c r="N32" s="926"/>
      <c r="O32" s="926"/>
      <c r="P32" s="926"/>
      <c r="Q32" s="951">
        <f t="shared" si="6"/>
        <v>0</v>
      </c>
      <c r="S32" s="945" t="s">
        <v>1220</v>
      </c>
      <c r="T32" s="930">
        <f>U12</f>
        <v>49</v>
      </c>
      <c r="U32" s="948">
        <f>T32*0.04</f>
        <v>1.96</v>
      </c>
      <c r="V32" s="970"/>
      <c r="W32" s="975"/>
      <c r="X32" s="970"/>
      <c r="Y32" s="949"/>
      <c r="Z32" s="993">
        <f>SUM(Z30:Z31)</f>
        <v>13.621</v>
      </c>
    </row>
    <row r="33" spans="1:26" ht="18.75" customHeight="1">
      <c r="A33" s="901">
        <v>24</v>
      </c>
      <c r="B33" s="902" t="str">
        <f>VENDOR!D34</f>
        <v>NUGGET STICK</v>
      </c>
      <c r="C33" s="906">
        <f>VENDOR!H34</f>
        <v>0</v>
      </c>
      <c r="D33" s="907">
        <f>VENDOR!AJ34</f>
        <v>0</v>
      </c>
      <c r="E33" s="907">
        <f>VENDOR!AL34</f>
        <v>0</v>
      </c>
      <c r="F33" s="899">
        <f t="shared" si="0"/>
        <v>0</v>
      </c>
      <c r="G33" s="905"/>
      <c r="H33" s="899">
        <f t="shared" si="1"/>
        <v>0</v>
      </c>
      <c r="I33" s="925"/>
      <c r="J33" s="917"/>
      <c r="L33" s="921" t="s">
        <v>104</v>
      </c>
      <c r="M33" s="926"/>
      <c r="N33" s="926"/>
      <c r="O33" s="926"/>
      <c r="P33" s="926"/>
      <c r="Q33" s="951">
        <f t="shared" si="6"/>
        <v>0</v>
      </c>
      <c r="S33" s="976" t="s">
        <v>1221</v>
      </c>
      <c r="T33" s="977">
        <f>Q24</f>
        <v>9</v>
      </c>
      <c r="U33" s="978">
        <f>T33/25*7</f>
        <v>2.52</v>
      </c>
      <c r="V33" s="952" t="s">
        <v>1222</v>
      </c>
      <c r="W33" s="979">
        <f>T30/200</f>
        <v>6.6304999999999996</v>
      </c>
      <c r="X33" s="952"/>
      <c r="Y33" s="952"/>
      <c r="Z33" s="952"/>
    </row>
    <row r="34" spans="1:26" ht="18.75" customHeight="1">
      <c r="A34" s="901">
        <v>25</v>
      </c>
      <c r="B34" s="902" t="str">
        <f>VENDOR!D35</f>
        <v>SOSIS MINI JUMBO</v>
      </c>
      <c r="C34" s="906">
        <f>VENDOR!H35</f>
        <v>0</v>
      </c>
      <c r="D34" s="907">
        <f>VENDOR!AJ35</f>
        <v>0</v>
      </c>
      <c r="E34" s="907">
        <f>VENDOR!AL35</f>
        <v>0</v>
      </c>
      <c r="F34" s="899">
        <f t="shared" si="0"/>
        <v>0</v>
      </c>
      <c r="G34" s="905"/>
      <c r="H34" s="899">
        <f t="shared" si="1"/>
        <v>0</v>
      </c>
      <c r="I34" s="925"/>
      <c r="J34" s="917"/>
      <c r="L34" s="921" t="s">
        <v>130</v>
      </c>
      <c r="M34" s="926"/>
      <c r="N34" s="926"/>
      <c r="O34" s="926"/>
      <c r="P34" s="926"/>
      <c r="Q34" s="951">
        <f>X27</f>
        <v>1.57936507936508</v>
      </c>
      <c r="S34" s="980"/>
      <c r="T34" s="981"/>
      <c r="U34" s="954">
        <f>SUM(U30:U33)</f>
        <v>51.4931153846154</v>
      </c>
      <c r="V34" s="952"/>
      <c r="W34" s="952"/>
      <c r="X34" s="952"/>
      <c r="Y34" s="952"/>
      <c r="Z34" s="952"/>
    </row>
    <row r="35" spans="1:26" ht="18.75" customHeight="1">
      <c r="A35" s="901">
        <v>26</v>
      </c>
      <c r="B35" s="902" t="str">
        <f>VENDOR!D36</f>
        <v>INDOMIE GORENG</v>
      </c>
      <c r="C35" s="906">
        <f>VENDOR!H36</f>
        <v>0</v>
      </c>
      <c r="D35" s="907">
        <f>VENDOR!AJ36</f>
        <v>0</v>
      </c>
      <c r="E35" s="907">
        <f>VENDOR!AL36</f>
        <v>0</v>
      </c>
      <c r="F35" s="903">
        <f t="shared" si="0"/>
        <v>0</v>
      </c>
      <c r="G35" s="905"/>
      <c r="H35" s="903">
        <f t="shared" si="1"/>
        <v>0</v>
      </c>
      <c r="I35" s="928"/>
      <c r="J35" s="923"/>
      <c r="L35" s="921" t="s">
        <v>497</v>
      </c>
      <c r="M35" s="924"/>
      <c r="N35" s="926"/>
      <c r="O35" s="926"/>
      <c r="P35" s="926"/>
      <c r="Q35" s="951">
        <f t="shared" ref="Q35:Q42" si="7">SUM(M35:P35)</f>
        <v>0</v>
      </c>
      <c r="S35" s="982" t="s">
        <v>400</v>
      </c>
      <c r="T35" s="983"/>
      <c r="U35" s="983"/>
      <c r="V35" s="957"/>
      <c r="W35" s="952"/>
      <c r="X35" s="952"/>
      <c r="Y35" s="952"/>
      <c r="Z35" s="952"/>
    </row>
    <row r="36" spans="1:26" ht="18.75" customHeight="1">
      <c r="A36" s="901">
        <v>27</v>
      </c>
      <c r="B36" s="902" t="str">
        <f>VENDOR!D37</f>
        <v>KERUPUK UDANG</v>
      </c>
      <c r="C36" s="906">
        <f>VENDOR!H37</f>
        <v>0</v>
      </c>
      <c r="D36" s="907">
        <f>VENDOR!AJ37</f>
        <v>0</v>
      </c>
      <c r="E36" s="907">
        <f>VENDOR!AL37</f>
        <v>0</v>
      </c>
      <c r="F36" s="903">
        <f t="shared" si="0"/>
        <v>0</v>
      </c>
      <c r="G36" s="905"/>
      <c r="H36" s="903">
        <f t="shared" si="1"/>
        <v>0</v>
      </c>
      <c r="I36" s="928"/>
      <c r="J36" s="923"/>
      <c r="L36" s="921" t="s">
        <v>149</v>
      </c>
      <c r="M36" s="924"/>
      <c r="N36" s="924">
        <f>'LAP. PENJUALAN '!N219+'LAP. PENJUALAN '!N45+'LAP. PENJUALAN '!N46+'LAP. PENJUALAN '!N47+'LAP. PENJUALAN '!N48+'LAP. PENJUALAN '!N49+'LAP. PENJUALAN GO FOOD'!N47+'LAP. PENJUALAN GO FOOD'!N187</f>
        <v>8</v>
      </c>
      <c r="O36" s="926"/>
      <c r="P36" s="926"/>
      <c r="Q36" s="951">
        <f t="shared" si="7"/>
        <v>8</v>
      </c>
      <c r="S36" s="958" t="s">
        <v>408</v>
      </c>
      <c r="T36" s="946">
        <f>T30</f>
        <v>1326.1</v>
      </c>
      <c r="U36" s="930" t="s">
        <v>1223</v>
      </c>
      <c r="V36" s="959">
        <f>SUM(W45:W47)</f>
        <v>7.2211538461538494E-2</v>
      </c>
      <c r="W36" s="979">
        <f>T30+Q29+M27+Q24</f>
        <v>1443.1</v>
      </c>
      <c r="X36" s="952"/>
      <c r="Y36" s="952"/>
      <c r="Z36" s="952"/>
    </row>
    <row r="37" spans="1:26" ht="18.75" customHeight="1">
      <c r="A37" s="901">
        <v>28</v>
      </c>
      <c r="B37" s="902" t="str">
        <f>VENDOR!D38</f>
        <v>BUN BURGER BEEF</v>
      </c>
      <c r="C37" s="906">
        <f>VENDOR!H38</f>
        <v>0</v>
      </c>
      <c r="D37" s="907">
        <f>VENDOR!AJ38</f>
        <v>0</v>
      </c>
      <c r="E37" s="907">
        <f>VENDOR!AL38</f>
        <v>0</v>
      </c>
      <c r="F37" s="903">
        <f t="shared" si="0"/>
        <v>0</v>
      </c>
      <c r="G37" s="905"/>
      <c r="H37" s="903">
        <f t="shared" si="1"/>
        <v>0</v>
      </c>
      <c r="I37" s="928"/>
      <c r="J37" s="923"/>
      <c r="L37" s="921" t="s">
        <v>150</v>
      </c>
      <c r="M37" s="926"/>
      <c r="N37" s="926"/>
      <c r="O37" s="926"/>
      <c r="P37" s="926"/>
      <c r="Q37" s="951">
        <f t="shared" si="7"/>
        <v>0</v>
      </c>
      <c r="S37" s="958" t="s">
        <v>1224</v>
      </c>
      <c r="T37" s="930">
        <f t="shared" ref="T37:T38" si="8">T31</f>
        <v>13</v>
      </c>
      <c r="U37" s="930" t="s">
        <v>724</v>
      </c>
      <c r="V37" s="960">
        <f>U13*0.01</f>
        <v>0.43</v>
      </c>
      <c r="W37" s="952"/>
      <c r="X37" s="952"/>
      <c r="Y37" s="952"/>
      <c r="Z37" s="952"/>
    </row>
    <row r="38" spans="1:26" ht="18.75" customHeight="1">
      <c r="A38" s="901">
        <v>29</v>
      </c>
      <c r="B38" s="902" t="str">
        <f>VENDOR!D39</f>
        <v>CHEESE UNTUK BEEF</v>
      </c>
      <c r="C38" s="906">
        <f>VENDOR!H39</f>
        <v>0</v>
      </c>
      <c r="D38" s="907">
        <f>VENDOR!AJ39</f>
        <v>0</v>
      </c>
      <c r="E38" s="907">
        <f>VENDOR!AL39</f>
        <v>0</v>
      </c>
      <c r="F38" s="903">
        <f t="shared" si="0"/>
        <v>0</v>
      </c>
      <c r="G38" s="905"/>
      <c r="H38" s="903">
        <f t="shared" si="1"/>
        <v>0</v>
      </c>
      <c r="I38" s="928"/>
      <c r="J38" s="923"/>
      <c r="L38" s="921" t="s">
        <v>151</v>
      </c>
      <c r="M38" s="926"/>
      <c r="N38" s="924">
        <f>'LAP. PENJUALAN '!N221+'LAP. PENJUALAN GRAB FOOD'!N192</f>
        <v>2</v>
      </c>
      <c r="O38" s="926"/>
      <c r="P38" s="924">
        <f>'LAP. PENJUALAN GO FOOD'!N189</f>
        <v>0</v>
      </c>
      <c r="Q38" s="951">
        <f t="shared" si="7"/>
        <v>2</v>
      </c>
      <c r="S38" s="958" t="s">
        <v>1196</v>
      </c>
      <c r="T38" s="930">
        <f t="shared" si="8"/>
        <v>49</v>
      </c>
      <c r="U38" s="930" t="s">
        <v>1225</v>
      </c>
      <c r="V38" s="965">
        <f>Q24*8/33</f>
        <v>2.1818181818181799</v>
      </c>
      <c r="W38" s="952"/>
      <c r="X38" s="952"/>
      <c r="Y38" s="952"/>
      <c r="Z38" s="952"/>
    </row>
    <row r="39" spans="1:26" ht="18.75" customHeight="1">
      <c r="A39" s="901"/>
      <c r="B39" s="902"/>
      <c r="C39" s="908"/>
      <c r="D39" s="909"/>
      <c r="E39" s="909"/>
      <c r="F39" s="903"/>
      <c r="G39" s="905"/>
      <c r="H39" s="903"/>
      <c r="I39" s="928"/>
      <c r="J39" s="923"/>
      <c r="L39" s="921" t="s">
        <v>152</v>
      </c>
      <c r="M39" s="926"/>
      <c r="N39" s="926"/>
      <c r="O39" s="926"/>
      <c r="P39" s="926"/>
      <c r="Q39" s="951">
        <f t="shared" si="7"/>
        <v>0</v>
      </c>
      <c r="S39" s="958" t="s">
        <v>866</v>
      </c>
      <c r="T39" s="930">
        <f>M27</f>
        <v>30</v>
      </c>
      <c r="U39" s="930"/>
      <c r="V39" s="960"/>
      <c r="W39" s="952"/>
      <c r="X39" s="952"/>
      <c r="Y39" s="952"/>
      <c r="Z39" s="952"/>
    </row>
    <row r="40" spans="1:26" ht="18.75" customHeight="1">
      <c r="A40" s="901">
        <v>30</v>
      </c>
      <c r="B40" s="902" t="str">
        <f>VENDOR!D46</f>
        <v>GULA PASIR</v>
      </c>
      <c r="C40" s="908">
        <f>VENDOR!H46</f>
        <v>4.5</v>
      </c>
      <c r="D40" s="909">
        <f>VENDOR!AJ46</f>
        <v>5</v>
      </c>
      <c r="E40" s="909">
        <f>VENDOR!AL46</f>
        <v>3</v>
      </c>
      <c r="F40" s="903">
        <f t="shared" si="0"/>
        <v>6.5</v>
      </c>
      <c r="G40" s="905">
        <v>7</v>
      </c>
      <c r="H40" s="903">
        <f t="shared" si="1"/>
        <v>0.5</v>
      </c>
      <c r="I40" s="928"/>
      <c r="J40" s="923"/>
      <c r="L40" s="921" t="s">
        <v>153</v>
      </c>
      <c r="M40" s="926"/>
      <c r="N40" s="926"/>
      <c r="O40" s="926"/>
      <c r="P40" s="926"/>
      <c r="Q40" s="951">
        <f t="shared" si="7"/>
        <v>0</v>
      </c>
      <c r="S40" s="958" t="s">
        <v>100</v>
      </c>
      <c r="T40" s="930">
        <f>M29</f>
        <v>78</v>
      </c>
      <c r="U40" s="930"/>
      <c r="V40" s="960"/>
      <c r="W40" s="952"/>
      <c r="X40" s="952"/>
      <c r="Y40" s="952"/>
      <c r="Z40" s="952"/>
    </row>
    <row r="41" spans="1:26" ht="18.75" customHeight="1">
      <c r="A41" s="901">
        <v>31</v>
      </c>
      <c r="B41" s="902" t="str">
        <f>VENDOR!D47</f>
        <v>ICE CREAM</v>
      </c>
      <c r="C41" s="908">
        <f>VENDOR!H47</f>
        <v>0</v>
      </c>
      <c r="D41" s="909">
        <f>VENDOR!AJ47</f>
        <v>0</v>
      </c>
      <c r="E41" s="909">
        <f>VENDOR!AL47</f>
        <v>0</v>
      </c>
      <c r="F41" s="903">
        <f t="shared" si="0"/>
        <v>0</v>
      </c>
      <c r="G41" s="905"/>
      <c r="H41" s="903">
        <f t="shared" si="1"/>
        <v>0</v>
      </c>
      <c r="I41" s="928"/>
      <c r="J41" s="923"/>
      <c r="L41" s="921" t="s">
        <v>154</v>
      </c>
      <c r="M41" s="924"/>
      <c r="N41" s="924">
        <f>'LAP. PENJUALAN '!N216+'LAP. PENJUALAN '!N173+'LAP. PENJUALAN GRAB FOOD'!N187+'LAP. PENJUALAN GO FOOD'!N184+'LAP. PENJUALAN SHOPEE FOOD'!N181+'LAP. PENJUALAN '!N262</f>
        <v>47</v>
      </c>
      <c r="O41" s="926"/>
      <c r="P41" s="926"/>
      <c r="Q41" s="951">
        <f t="shared" si="7"/>
        <v>47</v>
      </c>
      <c r="S41" s="958" t="s">
        <v>1226</v>
      </c>
      <c r="T41" s="930">
        <f>M15</f>
        <v>0</v>
      </c>
      <c r="U41" s="930"/>
      <c r="V41" s="960"/>
      <c r="W41" s="952"/>
      <c r="X41" s="952"/>
      <c r="Y41" s="952"/>
      <c r="Z41" s="952"/>
    </row>
    <row r="42" spans="1:26" ht="18.75" customHeight="1">
      <c r="A42" s="901">
        <v>32</v>
      </c>
      <c r="B42" s="902" t="str">
        <f>VENDOR!D48</f>
        <v>ICE CREAM  EMBER</v>
      </c>
      <c r="C42" s="908">
        <f>VENDOR!H48</f>
        <v>0</v>
      </c>
      <c r="D42" s="909">
        <f>VENDOR!AJ48</f>
        <v>0</v>
      </c>
      <c r="E42" s="909">
        <f>VENDOR!AL48</f>
        <v>0</v>
      </c>
      <c r="F42" s="899">
        <f t="shared" si="0"/>
        <v>0</v>
      </c>
      <c r="G42" s="905"/>
      <c r="H42" s="899">
        <f t="shared" si="1"/>
        <v>0</v>
      </c>
      <c r="I42" s="925"/>
      <c r="J42" s="917"/>
      <c r="L42" s="921" t="s">
        <v>155</v>
      </c>
      <c r="M42" s="924"/>
      <c r="N42" s="924"/>
      <c r="O42" s="926"/>
      <c r="P42" s="926"/>
      <c r="Q42" s="951">
        <f t="shared" si="7"/>
        <v>0</v>
      </c>
      <c r="S42" s="961" t="s">
        <v>310</v>
      </c>
      <c r="T42" s="963">
        <f>SUM(T36:T41)/33</f>
        <v>45.3363636363636</v>
      </c>
      <c r="U42" s="963"/>
      <c r="V42" s="984">
        <f>T42+V36+V37+V38</f>
        <v>48.020393356643403</v>
      </c>
      <c r="W42" s="952"/>
      <c r="X42" s="952"/>
      <c r="Y42" s="952"/>
      <c r="Z42" s="952"/>
    </row>
    <row r="43" spans="1:26" ht="18.75" customHeight="1">
      <c r="A43" s="901"/>
      <c r="B43" s="902"/>
      <c r="C43" s="906"/>
      <c r="D43" s="907"/>
      <c r="E43" s="907"/>
      <c r="F43" s="899"/>
      <c r="G43" s="905"/>
      <c r="H43" s="899"/>
      <c r="I43" s="925"/>
      <c r="J43" s="917"/>
      <c r="L43" s="921" t="s">
        <v>156</v>
      </c>
      <c r="M43" s="924"/>
      <c r="N43" s="924">
        <f>'LAP. PENJUALAN '!N83+'LAP. PENJUALAN '!N84+'LAP. PENJUALAN '!N85+'LAP. PENJUALAN '!N86+'LAP. PENJUALAN '!N41+'LAP. PENJUALAN '!N245+'LAP. PENJUALAN GRAB FOOD'!N216+'LAP. PENJUALAN GRAB FOOD'!N83+'LAP. PENJUALAN GRAB FOOD'!N84+'LAP. PENJUALAN GRAB FOOD'!N85+'LAP. PENJUALAN GRAB FOOD'!N86+'LAP. PENJUALAN GRAB FOOD'!N41+'LAP. PENJUALAN GO FOOD'!N213+'LAP. PENJUALAN GO FOOD'!N83+'LAP. PENJUALAN GO FOOD'!N84+'LAP. PENJUALAN GO FOOD'!N85+'LAP. PENJUALAN GO FOOD'!N86+'LAP. PENJUALAN GO FOOD'!N87+'LAP. PENJUALAN GO FOOD'!N41+'LAP. PENJUALAN SHOPEE FOOD'!N210+'LAP. PENJUALAN SHOPEE FOOD'!N83+'LAP. PENJUALAN SHOPEE FOOD'!N84+'LAP. PENJUALAN SHOPEE FOOD'!N85+'LAP. PENJUALAN SHOPEE FOOD'!N86+'LAP. PENJUALAN SHOPEE FOOD'!N41</f>
        <v>12</v>
      </c>
      <c r="O43" s="926"/>
      <c r="P43" s="926"/>
      <c r="Q43" s="951">
        <f>N43/37</f>
        <v>0.32432432432432401</v>
      </c>
      <c r="S43" s="952"/>
      <c r="T43" s="952"/>
      <c r="U43" s="952"/>
      <c r="V43" s="952"/>
      <c r="W43" s="952"/>
      <c r="X43" s="952"/>
      <c r="Y43" s="952"/>
      <c r="Z43" s="952"/>
    </row>
    <row r="44" spans="1:26" ht="18.75" customHeight="1">
      <c r="A44" s="901">
        <v>33</v>
      </c>
      <c r="B44" s="902" t="str">
        <f>VENDOR!D51</f>
        <v>TEH BOTOL SOSRO (TBS)</v>
      </c>
      <c r="C44" s="906">
        <f>VENDOR!H51</f>
        <v>16</v>
      </c>
      <c r="D44" s="907">
        <f>VENDOR!AJ51</f>
        <v>48</v>
      </c>
      <c r="E44" s="907">
        <f>VENDOR!AL51</f>
        <v>56</v>
      </c>
      <c r="F44" s="899">
        <f t="shared" si="0"/>
        <v>8</v>
      </c>
      <c r="G44" s="905">
        <f>N36</f>
        <v>8</v>
      </c>
      <c r="H44" s="899">
        <f t="shared" si="1"/>
        <v>0</v>
      </c>
      <c r="I44" s="925"/>
      <c r="J44" s="917"/>
      <c r="L44" s="921" t="s">
        <v>157</v>
      </c>
      <c r="M44" s="926"/>
      <c r="N44" s="924">
        <f>'LAP. PENJUALAN '!N39+'LAP. PENJUALAN '!N40+'LAP. PENJUALAN '!N42+'LAP. PENJUALAN '!N51+'LAP. PENJUALAN '!N52+'LAP. PENJUALAN '!N53+'LAP. PENJUALAN '!N59+'LAP. PENJUALAN '!N60+'LAP. PENJUALAN '!N61+'LAP. PENJUALAN '!N67+'LAP. PENJUALAN '!N68+'LAP. PENJUALAN '!N69+'LAP. PENJUALAN '!N75+'LAP. PENJUALAN '!N76+'LAP. PENJUALAN '!N77+'LAP. PENJUALAN '!N105+'LAP. PENJUALAN '!N105+'LAP. PENJUALAN '!N105+'LAP. PENJUALAN '!N105+'LAP. PENJUALAN '!N122+'LAP. PENJUALAN '!N123+'LAP. PENJUALAN '!N124+'LAP. PENJUALAN '!N244+'LAP. PENJUALAN GRAB FOOD'!N40+'LAP. PENJUALAN GRAB FOOD'!N51+'LAP. PENJUALAN GRAB FOOD'!N52+'LAP. PENJUALAN GRAB FOOD'!N53+'LAP. PENJUALAN GRAB FOOD'!N59+'LAP. PENJUALAN GRAB FOOD'!N60+'LAP. PENJUALAN GRAB FOOD'!N61+'LAP. PENJUALAN GRAB FOOD'!N67+'LAP. PENJUALAN GRAB FOOD'!N68+'LAP. PENJUALAN GRAB FOOD'!N69+'LAP. PENJUALAN GRAB FOOD'!N75+'LAP. PENJUALAN GRAB FOOD'!N76+'LAP. PENJUALAN GRAB FOOD'!N77+'LAP. PENJUALAN GRAB FOOD'!N105+'LAP. PENJUALAN GRAB FOOD'!N105+'LAP. PENJUALAN GRAB FOOD'!N105+'LAP. PENJUALAN GRAB FOOD'!N105+'LAP. PENJUALAN GRAB FOOD'!N106+'LAP. PENJUALAN GRAB FOOD'!N106+'LAP. PENJUALAN GRAB FOOD'!N106+'LAP. PENJUALAN GRAB FOOD'!N106+'LAP. PENJUALAN GRAB FOOD'!N215+'LAP. PENJUALAN GO FOOD'!N42+'LAP. PENJUALAN GO FOOD'!N51+'LAP. PENJUALAN GO FOOD'!N52+'LAP. PENJUALAN GO FOOD'!N53+'LAP. PENJUALAN GO FOOD'!N59+'LAP. PENJUALAN GO FOOD'!N60+'LAP. PENJUALAN GO FOOD'!N61+'LAP. PENJUALAN GO FOOD'!N67+'LAP. PENJUALAN GO FOOD'!N68+'LAP. PENJUALAN GO FOOD'!N69+'LAP. PENJUALAN GO FOOD'!N75+'LAP. PENJUALAN GO FOOD'!N76+'LAP. PENJUALAN GO FOOD'!N77+'LAP. PENJUALAN GO FOOD'!N122+'LAP. PENJUALAN GO FOOD'!N124+'LAP. PENJUALAN GO FOOD'!N212+'LAP. PENJUALAN SHOPEE FOOD'!N40+'LAP. PENJUALAN SHOPEE FOOD'!N51+'LAP. PENJUALAN SHOPEE FOOD'!N52+'LAP. PENJUALAN SHOPEE FOOD'!N53+'LAP. PENJUALAN SHOPEE FOOD'!N60+'LAP. PENJUALAN SHOPEE FOOD'!N61+'LAP. PENJUALAN SHOPEE FOOD'!N62+'LAP. PENJUALAN SHOPEE FOOD'!N67+'LAP. PENJUALAN SHOPEE FOOD'!N68+'LAP. PENJUALAN SHOPEE FOOD'!N69+'LAP. PENJUALAN SHOPEE FOOD'!N75+'LAP. PENJUALAN SHOPEE FOOD'!N76+'LAP. PENJUALAN SHOPEE FOOD'!N77+'LAP. PENJUALAN SHOPEE FOOD'!N107+'LAP. PENJUALAN SHOPEE FOOD'!N107+'LAP. PENJUALAN SHOPEE FOOD'!N107+'LAP. PENJUALAN SHOPEE FOOD'!N107+'LAP. PENJUALAN SHOPEE FOOD'!N107</f>
        <v>199</v>
      </c>
      <c r="O44" s="926"/>
      <c r="P44" s="926"/>
      <c r="Q44" s="951">
        <f>T23/42</f>
        <v>4.7380952380952399</v>
      </c>
      <c r="S44" s="955" t="s">
        <v>1227</v>
      </c>
      <c r="T44" s="956" t="s">
        <v>1228</v>
      </c>
      <c r="U44" s="957" t="s">
        <v>1229</v>
      </c>
      <c r="V44" s="985" t="s">
        <v>1230</v>
      </c>
      <c r="W44" s="985" t="s">
        <v>400</v>
      </c>
      <c r="X44" s="2521" t="s">
        <v>1231</v>
      </c>
      <c r="Y44" s="2522"/>
      <c r="Z44" s="952"/>
    </row>
    <row r="45" spans="1:26" ht="18.75" customHeight="1">
      <c r="A45" s="901">
        <v>34</v>
      </c>
      <c r="B45" s="902" t="str">
        <f>VENDOR!D52</f>
        <v>TEH SOSRO POUCH (TBO)</v>
      </c>
      <c r="C45" s="906">
        <f>VENDOR!H52</f>
        <v>0</v>
      </c>
      <c r="D45" s="907">
        <f>VENDOR!AJ52</f>
        <v>48</v>
      </c>
      <c r="E45" s="907">
        <f>VENDOR!AL52</f>
        <v>48</v>
      </c>
      <c r="F45" s="909">
        <f t="shared" si="0"/>
        <v>0</v>
      </c>
      <c r="G45" s="905">
        <f>'LAP. PENJUALAN '!N266</f>
        <v>0</v>
      </c>
      <c r="H45" s="904">
        <f t="shared" si="1"/>
        <v>0</v>
      </c>
      <c r="I45" s="931"/>
      <c r="J45" s="923"/>
      <c r="L45" s="921" t="s">
        <v>158</v>
      </c>
      <c r="M45" s="926"/>
      <c r="N45" s="926"/>
      <c r="O45" s="926"/>
      <c r="P45" s="926"/>
      <c r="Q45" s="951">
        <f>SUM(M45:P45)/35</f>
        <v>0</v>
      </c>
      <c r="S45" s="958" t="s">
        <v>1232</v>
      </c>
      <c r="T45" s="946">
        <f>SUM(V45+X45)*1</f>
        <v>0.15384615384615399</v>
      </c>
      <c r="U45" s="960"/>
      <c r="V45" s="986">
        <f>SUM('[1]LAP. PENJUALAN'!M42:M48,'[1]LAP. PENJUALAN'!M136:M137,'[1]LAP. PENJUALAN GRAB FOOD'!M42:M48,'[1]LAP. PENJUALAN GOJEK'!M43:M48,'[1]LAP. PENJUALAN SHOPEE FOOD'!M42:M48,'[1]LAP. PENJUALAN'!M138)/65</f>
        <v>0.15384615384615399</v>
      </c>
      <c r="W45" s="987">
        <f>SUM(X45,V45)*0.25</f>
        <v>3.8461538461538498E-2</v>
      </c>
      <c r="X45" s="2523">
        <f>SUM('[1]LAP. PENJUALAN'!M116,'[1]LAP. PENJUALAN'!M113,'[1]LAP. PENJUALAN GRAB FOOD'!M78,'[1]LAP. PENJUALAN GRAB FOOD'!M81,'[1]LAP. PENJUALAN GOJEK'!M79,'[1]LAP. PENJUALAN GOJEK'!M81,'[1]LAP. PENJUALAN SHOPEE FOOD'!M78,'[1]LAP. PENJUALAN SHOPEE FOOD'!M81)*5</f>
        <v>0</v>
      </c>
      <c r="Y45" s="2524"/>
      <c r="Z45" s="952"/>
    </row>
    <row r="46" spans="1:26" ht="18.75" customHeight="1">
      <c r="A46" s="901">
        <v>35</v>
      </c>
      <c r="B46" s="902" t="str">
        <f>VENDOR!D53</f>
        <v>FRUIT TEA BOTOL</v>
      </c>
      <c r="C46" s="906">
        <f>VENDOR!H53</f>
        <v>3</v>
      </c>
      <c r="D46" s="907">
        <f>VENDOR!AJ53</f>
        <v>12</v>
      </c>
      <c r="E46" s="907">
        <f>VENDOR!AL53</f>
        <v>13</v>
      </c>
      <c r="F46" s="903">
        <f t="shared" si="0"/>
        <v>2</v>
      </c>
      <c r="G46" s="905">
        <f>Q38</f>
        <v>2</v>
      </c>
      <c r="H46" s="909">
        <f t="shared" si="1"/>
        <v>0</v>
      </c>
      <c r="I46" s="932"/>
      <c r="J46" s="933"/>
      <c r="L46" s="921" t="s">
        <v>159</v>
      </c>
      <c r="M46" s="926"/>
      <c r="N46" s="926"/>
      <c r="O46" s="926"/>
      <c r="P46" s="926"/>
      <c r="Q46" s="951">
        <f t="shared" ref="Q46:Q51" si="9">SUM(M46:P46)</f>
        <v>0</v>
      </c>
      <c r="S46" s="958" t="s">
        <v>738</v>
      </c>
      <c r="T46" s="937">
        <f>V46*0.15</f>
        <v>1.4999999999999999E-2</v>
      </c>
      <c r="U46" s="960"/>
      <c r="V46" s="986">
        <f>SUM('[1]LAP. PENJUALAN'!M50:M52,'[1]LAP. PENJUALAN'!M56,'[1]LAP. PENJUALAN GRAB FOOD'!M50:M52,'[1]LAP. PENJUALAN GRAB FOOD'!M55,'[1]LAP. PENJUALAN GOJEK'!M50:M52,'[1]LAP. PENJUALAN GOJEK'!M56,'[1]LAP. PENJUALAN SHOPEE FOOD'!M50:M52,'[1]LAP. PENJUALAN SHOPEE FOOD'!M56)/20</f>
        <v>0.1</v>
      </c>
      <c r="W46" s="987">
        <f>V46*0.15</f>
        <v>1.4999999999999999E-2</v>
      </c>
      <c r="X46" s="2525"/>
      <c r="Y46" s="2526"/>
      <c r="Z46" s="952"/>
    </row>
    <row r="47" spans="1:26" ht="18.75" customHeight="1">
      <c r="A47" s="901">
        <v>36</v>
      </c>
      <c r="B47" s="902" t="str">
        <f>VENDOR!D54</f>
        <v>FRUIT TEA POUCH (FTG)</v>
      </c>
      <c r="C47" s="906">
        <f>VENDOR!H54</f>
        <v>0</v>
      </c>
      <c r="D47" s="907">
        <f>VENDOR!AJ54</f>
        <v>0</v>
      </c>
      <c r="E47" s="907">
        <f>VENDOR!AL54</f>
        <v>0</v>
      </c>
      <c r="F47" s="903">
        <f t="shared" si="0"/>
        <v>0</v>
      </c>
      <c r="G47" s="905"/>
      <c r="H47" s="903">
        <f t="shared" si="1"/>
        <v>0</v>
      </c>
      <c r="I47" s="928"/>
      <c r="J47" s="923"/>
      <c r="L47" s="921" t="s">
        <v>160</v>
      </c>
      <c r="M47" s="926"/>
      <c r="N47" s="926"/>
      <c r="O47" s="926"/>
      <c r="P47" s="926"/>
      <c r="Q47" s="951">
        <f t="shared" si="9"/>
        <v>0</v>
      </c>
      <c r="S47" s="958" t="s">
        <v>1233</v>
      </c>
      <c r="T47" s="930">
        <f>V47*0.125</f>
        <v>5.859375E-2</v>
      </c>
      <c r="U47" s="960"/>
      <c r="V47" s="986">
        <f>SUM('[1]LAP. PENJUALAN'!M58:M64,'[1]LAP. PENJUALAN GRAB FOOD'!M58:M64,'[1]LAP. PENJUALAN GOJEK'!M58:M64,'[1]LAP. PENJUALAN SHOPEE FOOD'!M58:M64)/32</f>
        <v>0.46875</v>
      </c>
      <c r="W47" s="987">
        <f>V47*0.04</f>
        <v>1.8749999999999999E-2</v>
      </c>
      <c r="X47" s="2525"/>
      <c r="Y47" s="2526"/>
      <c r="Z47" s="952"/>
    </row>
    <row r="48" spans="1:26" ht="18.75" customHeight="1">
      <c r="A48" s="901">
        <v>37</v>
      </c>
      <c r="B48" s="902" t="str">
        <f>VENDOR!D55</f>
        <v>TEBS</v>
      </c>
      <c r="C48" s="906">
        <f>VENDOR!H55</f>
        <v>2</v>
      </c>
      <c r="D48" s="907">
        <f>VENDOR!AJ55</f>
        <v>12</v>
      </c>
      <c r="E48" s="907">
        <f>VENDOR!AL55</f>
        <v>14</v>
      </c>
      <c r="F48" s="903">
        <f t="shared" si="0"/>
        <v>0</v>
      </c>
      <c r="G48" s="905">
        <f>'LAP. PENJUALAN '!N223+'LAP. PENJUALAN GRAB FOOD'!N194+'LAP. PENJUALAN GO FOOD'!N191+'LAP. PENJUALAN SHOPEE FOOD'!N188</f>
        <v>0</v>
      </c>
      <c r="H48" s="903">
        <f t="shared" si="1"/>
        <v>0</v>
      </c>
      <c r="I48" s="928"/>
      <c r="J48" s="923"/>
      <c r="L48" s="921" t="s">
        <v>1234</v>
      </c>
      <c r="M48" s="926"/>
      <c r="N48" s="926"/>
      <c r="O48" s="926"/>
      <c r="P48" s="926"/>
      <c r="Q48" s="951">
        <f t="shared" si="9"/>
        <v>0</v>
      </c>
      <c r="S48" s="961"/>
      <c r="T48" s="988">
        <f>SUM(T45:T47)</f>
        <v>0.22743990384615401</v>
      </c>
      <c r="U48" s="966">
        <f ca="1">SUM(U45:U461)</f>
        <v>0</v>
      </c>
      <c r="V48" s="989"/>
      <c r="W48" s="989"/>
      <c r="X48" s="2525"/>
      <c r="Y48" s="2526"/>
      <c r="Z48" s="952"/>
    </row>
    <row r="49" spans="1:26" ht="18.75" customHeight="1">
      <c r="A49" s="901">
        <v>38</v>
      </c>
      <c r="B49" s="902" t="str">
        <f>VENDOR!D56</f>
        <v>AIR MINERAL BOTOL (AMB)</v>
      </c>
      <c r="C49" s="906">
        <f>VENDOR!H56</f>
        <v>218</v>
      </c>
      <c r="D49" s="907">
        <f>VENDOR!AJ56</f>
        <v>104</v>
      </c>
      <c r="E49" s="907">
        <f>VENDOR!AL56</f>
        <v>275</v>
      </c>
      <c r="F49" s="903">
        <f t="shared" si="0"/>
        <v>47</v>
      </c>
      <c r="G49" s="905">
        <f>N41</f>
        <v>47</v>
      </c>
      <c r="H49" s="903">
        <f t="shared" si="1"/>
        <v>0</v>
      </c>
      <c r="I49" s="928"/>
      <c r="J49" s="923"/>
      <c r="L49" s="921" t="s">
        <v>162</v>
      </c>
      <c r="M49" s="926"/>
      <c r="N49" s="926"/>
      <c r="O49" s="926"/>
      <c r="P49" s="926"/>
      <c r="Q49" s="951">
        <f t="shared" si="9"/>
        <v>0</v>
      </c>
      <c r="S49" s="952"/>
      <c r="T49" s="952"/>
      <c r="U49" s="952"/>
      <c r="V49" s="952"/>
      <c r="W49" s="952"/>
      <c r="X49" s="952"/>
      <c r="Y49" s="952"/>
      <c r="Z49" s="952"/>
    </row>
    <row r="50" spans="1:26" ht="18.75" customHeight="1">
      <c r="A50" s="901">
        <v>39</v>
      </c>
      <c r="B50" s="902" t="str">
        <f>VENDOR!D57</f>
        <v>AIR MINERAL CUP (AMC)</v>
      </c>
      <c r="C50" s="906">
        <f>VENDOR!H57</f>
        <v>46</v>
      </c>
      <c r="D50" s="907">
        <f>VENDOR!AJ57</f>
        <v>0</v>
      </c>
      <c r="E50" s="907">
        <f>VENDOR!AL57</f>
        <v>46</v>
      </c>
      <c r="F50" s="903">
        <f t="shared" si="0"/>
        <v>0</v>
      </c>
      <c r="G50" s="905">
        <f>N42+'LAP. PENJUALAN '!J163</f>
        <v>0</v>
      </c>
      <c r="H50" s="903">
        <f t="shared" si="1"/>
        <v>0</v>
      </c>
      <c r="I50" s="928"/>
      <c r="J50" s="923"/>
      <c r="L50" s="921" t="s">
        <v>163</v>
      </c>
      <c r="M50" s="926"/>
      <c r="N50" s="926"/>
      <c r="O50" s="926"/>
      <c r="P50" s="926"/>
      <c r="Q50" s="951">
        <f t="shared" si="9"/>
        <v>0</v>
      </c>
      <c r="S50" s="955" t="s">
        <v>1008</v>
      </c>
      <c r="T50" s="956"/>
      <c r="U50" s="957"/>
      <c r="V50" s="952"/>
      <c r="W50" s="952"/>
      <c r="X50" s="952"/>
      <c r="Y50" s="952"/>
      <c r="Z50" s="952"/>
    </row>
    <row r="51" spans="1:26" ht="18.75" customHeight="1">
      <c r="A51" s="901">
        <v>40</v>
      </c>
      <c r="B51" s="902" t="str">
        <f>VENDOR!D58</f>
        <v>MILO</v>
      </c>
      <c r="C51" s="906">
        <f>VENDOR!H58</f>
        <v>4.91</v>
      </c>
      <c r="D51" s="907">
        <f>VENDOR!AJ58</f>
        <v>0</v>
      </c>
      <c r="E51" s="907">
        <f>VENDOR!AL58</f>
        <v>3.69</v>
      </c>
      <c r="F51" s="899">
        <f t="shared" si="0"/>
        <v>1.22</v>
      </c>
      <c r="G51" s="905">
        <f>Q43+0.5</f>
        <v>0.82432432432432401</v>
      </c>
      <c r="H51" s="899">
        <f t="shared" si="1"/>
        <v>-3.5675675675675998E-2</v>
      </c>
      <c r="I51" s="925">
        <f>'LEFT OVER'!M26</f>
        <v>0.36</v>
      </c>
      <c r="J51" s="917"/>
      <c r="L51" s="921" t="s">
        <v>164</v>
      </c>
      <c r="M51" s="926"/>
      <c r="N51" s="926"/>
      <c r="O51" s="926"/>
      <c r="P51" s="926"/>
      <c r="Q51" s="951">
        <f t="shared" si="9"/>
        <v>0</v>
      </c>
      <c r="S51" s="958" t="s">
        <v>1235</v>
      </c>
      <c r="T51" s="930">
        <f>M29</f>
        <v>78</v>
      </c>
      <c r="U51" s="960">
        <f>T51/10</f>
        <v>7.8</v>
      </c>
      <c r="V51" s="952"/>
      <c r="W51" s="952"/>
      <c r="X51" s="952"/>
      <c r="Y51" s="952"/>
      <c r="Z51" s="952"/>
    </row>
    <row r="52" spans="1:26" ht="18.75" customHeight="1">
      <c r="A52" s="901">
        <v>41</v>
      </c>
      <c r="B52" s="902" t="str">
        <f>VENDOR!D59</f>
        <v>NESTEA</v>
      </c>
      <c r="C52" s="906">
        <f>VENDOR!H59</f>
        <v>5.79</v>
      </c>
      <c r="D52" s="907">
        <f>VENDOR!AJ59</f>
        <v>0</v>
      </c>
      <c r="E52" s="907">
        <f>VENDOR!AL59</f>
        <v>3.2</v>
      </c>
      <c r="F52" s="903">
        <f t="shared" si="0"/>
        <v>2.59</v>
      </c>
      <c r="G52" s="905">
        <f>Q44</f>
        <v>4.7380952380952399</v>
      </c>
      <c r="H52" s="903">
        <f t="shared" si="1"/>
        <v>2.1480952380952401</v>
      </c>
      <c r="I52" s="928"/>
      <c r="J52" s="923"/>
      <c r="L52" s="921" t="s">
        <v>1236</v>
      </c>
      <c r="M52" s="926"/>
      <c r="N52" s="924">
        <f>'LAP. PENJUALAN '!N34+'LAP. PENJUALAN '!N35+'LAP. PENJUALAN '!N36+'LAP. PENJUALAN '!N37+'LAP. PENJUALAN '!N38+'LAP. PENJUALAN '!N125+'LAP. PENJUALAN '!N126+'LAP. PENJUALAN '!N127+'LAP. PENJUALAN '!N248+'LAP. PENJUALAN GRAB FOOD'!N34+'LAP. PENJUALAN GRAB FOOD'!N35+'LAP. PENJUALAN GRAB FOOD'!N36+'LAP. PENJUALAN GRAB FOOD'!N37+'LAP. PENJUALAN GRAB FOOD'!N38+'LAP. PENJUALAN GRAB FOOD'!N219+'LAP. PENJUALAN GO FOOD'!N34+'LAP. PENJUALAN GO FOOD'!N35+'LAP. PENJUALAN GO FOOD'!N36+'LAP. PENJUALAN GO FOOD'!N37+'LAP. PENJUALAN GO FOOD'!N38+'LAP. PENJUALAN GO FOOD'!N216+'LAP. PENJUALAN SHOPEE FOOD'!N34+'LAP. PENJUALAN SHOPEE FOOD'!N35+'LAP. PENJUALAN SHOPEE FOOD'!N36+'LAP. PENJUALAN SHOPEE FOOD'!N37+'LAP. PENJUALAN SHOPEE FOOD'!N38+'LAP. PENJUALAN SHOPEE FOOD'!N213</f>
        <v>185</v>
      </c>
      <c r="O52" s="926"/>
      <c r="P52" s="926"/>
      <c r="Q52" s="951">
        <f>SUM(M52:P52)/36</f>
        <v>5.1388888888888902</v>
      </c>
      <c r="S52" s="958" t="s">
        <v>1237</v>
      </c>
      <c r="T52" s="930">
        <f>U12</f>
        <v>49</v>
      </c>
      <c r="U52" s="960">
        <f>T52/5</f>
        <v>9.8000000000000007</v>
      </c>
      <c r="V52" s="952"/>
      <c r="W52" s="952"/>
      <c r="X52" s="952"/>
      <c r="Y52" s="952"/>
      <c r="Z52" s="952"/>
    </row>
    <row r="53" spans="1:26" ht="18.75" customHeight="1">
      <c r="A53" s="901">
        <v>42</v>
      </c>
      <c r="B53" s="902" t="str">
        <f>VENDOR!D60</f>
        <v>ORANGE</v>
      </c>
      <c r="C53" s="906">
        <f>VENDOR!H60</f>
        <v>0</v>
      </c>
      <c r="D53" s="907">
        <f>VENDOR!AJ60</f>
        <v>0</v>
      </c>
      <c r="E53" s="907">
        <f>VENDOR!AL60</f>
        <v>0</v>
      </c>
      <c r="F53" s="903">
        <f t="shared" si="0"/>
        <v>0</v>
      </c>
      <c r="G53" s="905"/>
      <c r="H53" s="903">
        <f t="shared" si="1"/>
        <v>0</v>
      </c>
      <c r="I53" s="928"/>
      <c r="J53" s="923"/>
      <c r="L53" s="921" t="s">
        <v>166</v>
      </c>
      <c r="M53" s="924"/>
      <c r="N53" s="924"/>
      <c r="O53" s="924"/>
      <c r="P53" s="924"/>
      <c r="Q53" s="951">
        <f t="shared" ref="Q53:Q69" si="10">SUM(M53:P53)</f>
        <v>0</v>
      </c>
      <c r="S53" s="958" t="s">
        <v>1238</v>
      </c>
      <c r="T53" s="930">
        <f>U13</f>
        <v>43</v>
      </c>
      <c r="U53" s="960">
        <f>T53*1.5</f>
        <v>64.5</v>
      </c>
      <c r="V53" s="952"/>
      <c r="W53" s="952"/>
      <c r="X53" s="952"/>
      <c r="Y53" s="952"/>
      <c r="Z53" s="952"/>
    </row>
    <row r="54" spans="1:26" ht="18.75" customHeight="1">
      <c r="A54" s="901">
        <v>43</v>
      </c>
      <c r="B54" s="902" t="str">
        <f>VENDOR!D61</f>
        <v>BUAH FROZEN JAMBU</v>
      </c>
      <c r="C54" s="906">
        <f>VENDOR!H61</f>
        <v>0</v>
      </c>
      <c r="D54" s="907">
        <f>VENDOR!AJ61</f>
        <v>0</v>
      </c>
      <c r="E54" s="907">
        <f>VENDOR!AL61</f>
        <v>0</v>
      </c>
      <c r="F54" s="903">
        <f t="shared" si="0"/>
        <v>0</v>
      </c>
      <c r="G54" s="905"/>
      <c r="H54" s="903">
        <f t="shared" si="1"/>
        <v>0</v>
      </c>
      <c r="I54" s="928"/>
      <c r="J54" s="923"/>
      <c r="L54" s="921" t="s">
        <v>167</v>
      </c>
      <c r="M54" s="926"/>
      <c r="N54" s="926"/>
      <c r="O54" s="926"/>
      <c r="P54" s="926"/>
      <c r="Q54" s="951">
        <f t="shared" si="10"/>
        <v>0</v>
      </c>
      <c r="S54" s="958" t="s">
        <v>1239</v>
      </c>
      <c r="T54" s="930">
        <f>M15</f>
        <v>0</v>
      </c>
      <c r="U54" s="960">
        <f>T54/9</f>
        <v>0</v>
      </c>
      <c r="V54" s="952"/>
      <c r="W54" s="952"/>
      <c r="X54" s="952"/>
      <c r="Y54" s="952"/>
      <c r="Z54" s="952"/>
    </row>
    <row r="55" spans="1:26" ht="18.75" customHeight="1">
      <c r="A55" s="901">
        <v>44</v>
      </c>
      <c r="B55" s="902" t="str">
        <f>VENDOR!D62</f>
        <v>BUAH FROZEN MELON</v>
      </c>
      <c r="C55" s="906">
        <f>VENDOR!H62</f>
        <v>0</v>
      </c>
      <c r="D55" s="907">
        <f>VENDOR!AJ62</f>
        <v>0</v>
      </c>
      <c r="E55" s="907">
        <f>VENDOR!AL62</f>
        <v>0</v>
      </c>
      <c r="F55" s="903">
        <f t="shared" si="0"/>
        <v>0</v>
      </c>
      <c r="G55" s="905"/>
      <c r="H55" s="903">
        <f t="shared" si="1"/>
        <v>0</v>
      </c>
      <c r="I55" s="928"/>
      <c r="J55" s="923"/>
      <c r="L55" s="921" t="s">
        <v>168</v>
      </c>
      <c r="M55" s="926"/>
      <c r="N55" s="926"/>
      <c r="O55" s="926"/>
      <c r="P55" s="926"/>
      <c r="Q55" s="951">
        <f t="shared" si="10"/>
        <v>0</v>
      </c>
      <c r="S55" s="961"/>
      <c r="T55" s="963"/>
      <c r="U55" s="966">
        <f>SUM(U51:U54)</f>
        <v>82.1</v>
      </c>
      <c r="V55" s="952"/>
      <c r="W55" s="952"/>
      <c r="X55" s="952"/>
      <c r="Y55" s="952"/>
      <c r="Z55" s="952"/>
    </row>
    <row r="56" spans="1:26" ht="18.75" customHeight="1">
      <c r="A56" s="901">
        <v>45</v>
      </c>
      <c r="B56" s="902" t="str">
        <f>VENDOR!D63</f>
        <v>BUAH FROZEN STRAWBERRY</v>
      </c>
      <c r="C56" s="906">
        <f>VENDOR!H63</f>
        <v>0</v>
      </c>
      <c r="D56" s="907">
        <f>VENDOR!AJ63</f>
        <v>0</v>
      </c>
      <c r="E56" s="907">
        <f>VENDOR!AL63</f>
        <v>0</v>
      </c>
      <c r="F56" s="903">
        <f t="shared" si="0"/>
        <v>0</v>
      </c>
      <c r="G56" s="905"/>
      <c r="H56" s="903">
        <f t="shared" si="1"/>
        <v>0</v>
      </c>
      <c r="I56" s="928"/>
      <c r="J56" s="923"/>
      <c r="L56" s="921" t="s">
        <v>169</v>
      </c>
      <c r="M56" s="924"/>
      <c r="N56" s="924"/>
      <c r="O56" s="924"/>
      <c r="P56" s="924"/>
      <c r="Q56" s="951">
        <f t="shared" si="10"/>
        <v>0</v>
      </c>
    </row>
    <row r="57" spans="1:26" ht="18.75" customHeight="1">
      <c r="A57" s="901">
        <v>46</v>
      </c>
      <c r="B57" s="902" t="str">
        <f>VENDOR!D64</f>
        <v>BUAH FROZEN SIRSAK</v>
      </c>
      <c r="C57" s="906">
        <f>VENDOR!H64</f>
        <v>0</v>
      </c>
      <c r="D57" s="907">
        <f>VENDOR!AJ64</f>
        <v>0</v>
      </c>
      <c r="E57" s="907">
        <f>VENDOR!AL64</f>
        <v>0</v>
      </c>
      <c r="F57" s="899">
        <f t="shared" si="0"/>
        <v>0</v>
      </c>
      <c r="G57" s="905"/>
      <c r="H57" s="899">
        <f t="shared" si="1"/>
        <v>0</v>
      </c>
      <c r="I57" s="925"/>
      <c r="J57" s="917"/>
      <c r="L57" s="921" t="s">
        <v>170</v>
      </c>
      <c r="M57" s="924"/>
      <c r="N57" s="924"/>
      <c r="O57" s="926"/>
      <c r="P57" s="926"/>
      <c r="Q57" s="951">
        <f t="shared" si="10"/>
        <v>0</v>
      </c>
      <c r="T57" s="532" t="s">
        <v>1240</v>
      </c>
      <c r="U57" s="840">
        <f>SUM('LAP. PENJUALAN '!N51:N57)+'LAP. PENJUALAN '!N170+'LAP. PENJUALAN GRAB FOOD'!N51+'LAP. PENJUALAN GRAB FOOD'!N52+'LAP. PENJUALAN GRAB FOOD'!N53+'LAP. PENJUALAN GRAB FOOD'!N54+'LAP. PENJUALAN GRAB FOOD'!N55+'LAP. PENJUALAN GRAB FOOD'!N56+'LAP. PENJUALAN GRAB FOOD'!N57+'LAP. PENJUALAN GRAB FOOD'!N157+'LAP. PENJUALAN GRAB FOOD'!N168+'LAP. PENJUALAN GRAB FOOD'!N181*4+'LAP. PENJUALAN GRAB FOOD'!N235+'LAP. PENJUALAN GRAB FOOD'!N236+'LAP. PENJUALAN GO FOOD'!N51+'LAP. PENJUALAN GO FOOD'!N52+'LAP. PENJUALAN GO FOOD'!N53+'LAP. PENJUALAN GO FOOD'!N54+'LAP. PENJUALAN GO FOOD'!N55+'LAP. PENJUALAN GO FOOD'!N56+'LAP. PENJUALAN GO FOOD'!N57+'LAP. PENJUALAN SHOPEE FOOD'!N51+'LAP. PENJUALAN SHOPEE FOOD'!N53+'LAP. PENJUALAN SHOPEE FOOD'!N53+'LAP. PENJUALAN SHOPEE FOOD'!N54+'LAP. PENJUALAN SHOPEE FOOD'!N55+'LAP. PENJUALAN SHOPEE FOOD'!N56+'LAP. PENJUALAN SHOPEE FOOD'!N57+'LAP. PENJUALAN GRAB FOOD'!N236+'LAP. PENJUALAN GRAB FOOD'!N235+'LAP. PENJUALAN GRAB FOOD'!N157+'LAP. PENJUALAN GRAB FOOD'!N181+'LAP. PENJUALAN GRAB FOOD'!N181+'LAP. PENJUALAN GRAB FOOD'!N181+'LAP. PENJUALAN GRAB FOOD'!N181</f>
        <v>145</v>
      </c>
      <c r="V57" s="840">
        <f>U57/65</f>
        <v>2.2307692307692299</v>
      </c>
    </row>
    <row r="58" spans="1:26" ht="18.75" customHeight="1">
      <c r="A58" s="901">
        <v>47</v>
      </c>
      <c r="B58" s="902" t="str">
        <f>VENDOR!D65</f>
        <v>BUAH FROZEN MANGGA</v>
      </c>
      <c r="C58" s="906">
        <f>VENDOR!H65</f>
        <v>0</v>
      </c>
      <c r="D58" s="907">
        <f>VENDOR!AJ65</f>
        <v>0</v>
      </c>
      <c r="E58" s="907">
        <f>VENDOR!AL65</f>
        <v>0</v>
      </c>
      <c r="F58" s="899">
        <f t="shared" si="0"/>
        <v>0</v>
      </c>
      <c r="G58" s="905"/>
      <c r="H58" s="899">
        <f t="shared" si="1"/>
        <v>0</v>
      </c>
      <c r="I58" s="925"/>
      <c r="J58" s="917"/>
      <c r="L58" s="921" t="s">
        <v>171</v>
      </c>
      <c r="M58" s="926"/>
      <c r="N58" s="926"/>
      <c r="O58" s="926"/>
      <c r="P58" s="926"/>
      <c r="Q58" s="951">
        <f t="shared" si="10"/>
        <v>0</v>
      </c>
      <c r="T58" s="532" t="s">
        <v>1241</v>
      </c>
      <c r="U58" s="840">
        <f>SUM('LAP. PENJUALAN '!N59:N65)+'LAP. PENJUALAN '!N171+'LAP. PENJUALAN GRAB FOOD'!N59+'LAP. PENJUALAN GRAB FOOD'!N60+'LAP. PENJUALAN GRAB FOOD'!N61+'LAP. PENJUALAN GRAB FOOD'!N62+'LAP. PENJUALAN GRAB FOOD'!N63+'LAP. PENJUALAN GRAB FOOD'!N64+'LAP. PENJUALAN GRAB FOOD'!N65+'LAP. PENJUALAN GRAB FOOD'!N176+'LAP. PENJUALAN GRAB FOOD'!N232+'LAP. PENJUALAN GO FOOD'!N60+'LAP. PENJUALAN GO FOOD'!N59+'LAP. PENJUALAN GO FOOD'!N61+'LAP. PENJUALAN GO FOOD'!N62+'LAP. PENJUALAN GO FOOD'!N63+'LAP. PENJUALAN GO FOOD'!N64+'LAP. PENJUALAN GO FOOD'!N65+'LAP. PENJUALAN SHOPEE FOOD'!N59+'LAP. PENJUALAN SHOPEE FOOD'!N60+'LAP. PENJUALAN SHOPEE FOOD'!N61+'LAP. PENJUALAN SHOPEE FOOD'!N63+'LAP. PENJUALAN SHOPEE FOOD'!N62+'LAP. PENJUALAN SHOPEE FOOD'!N64+'LAP. PENJUALAN SHOPEE FOOD'!N65</f>
        <v>79</v>
      </c>
      <c r="V58" s="840">
        <f>U58/20</f>
        <v>3.95</v>
      </c>
    </row>
    <row r="59" spans="1:26" ht="18.75" customHeight="1">
      <c r="A59" s="901">
        <v>48</v>
      </c>
      <c r="B59" s="902" t="str">
        <f>VENDOR!D66</f>
        <v>BUAH FROZEN DURIAN</v>
      </c>
      <c r="C59" s="906">
        <f>VENDOR!H66</f>
        <v>0</v>
      </c>
      <c r="D59" s="907">
        <f>VENDOR!AJ66</f>
        <v>0</v>
      </c>
      <c r="E59" s="907">
        <f>VENDOR!AL66</f>
        <v>0</v>
      </c>
      <c r="F59" s="899">
        <f t="shared" si="0"/>
        <v>0</v>
      </c>
      <c r="G59" s="905"/>
      <c r="H59" s="899">
        <f t="shared" si="1"/>
        <v>0</v>
      </c>
      <c r="I59" s="925"/>
      <c r="J59" s="917"/>
      <c r="L59" s="921" t="s">
        <v>172</v>
      </c>
      <c r="M59" s="924"/>
      <c r="N59" s="926"/>
      <c r="O59" s="926"/>
      <c r="P59" s="926"/>
      <c r="Q59" s="951">
        <f t="shared" si="10"/>
        <v>0</v>
      </c>
      <c r="T59" s="532" t="s">
        <v>1242</v>
      </c>
      <c r="U59" s="840">
        <f>'LAP. PENJUALAN '!N67+'LAP. PENJUALAN '!N68+'LAP. PENJUALAN '!N69+'LAP. PENJUALAN '!N70+'LAP. PENJUALAN '!N71+'LAP. PENJUALAN '!N72+'LAP. PENJUALAN '!N73+'LAP. PENJUALAN GRAB FOOD'!N67+'LAP. PENJUALAN GRAB FOOD'!N68+'LAP. PENJUALAN GRAB FOOD'!N69+'LAP. PENJUALAN GRAB FOOD'!N70+'LAP. PENJUALAN GRAB FOOD'!N71+'LAP. PENJUALAN GRAB FOOD'!N72+'LAP. PENJUALAN GRAB FOOD'!N73+'LAP. PENJUALAN GRAB FOOD'!N237+'LAP. PENJUALAN GO FOOD'!N67+'LAP. PENJUALAN GO FOOD'!N68+'LAP. PENJUALAN GO FOOD'!N69+'LAP. PENJUALAN GO FOOD'!N70+'LAP. PENJUALAN GO FOOD'!N71+'LAP. PENJUALAN GO FOOD'!N72+'LAP. PENJUALAN GO FOOD'!N73+'LAP. PENJUALAN SHOPEE FOOD'!N67+'LAP. PENJUALAN SHOPEE FOOD'!N68+'LAP. PENJUALAN SHOPEE FOOD'!N69+'LAP. PENJUALAN SHOPEE FOOD'!N70+'LAP. PENJUALAN SHOPEE FOOD'!N71+'LAP. PENJUALAN SHOPEE FOOD'!N72+'LAP. PENJUALAN SHOPEE FOOD'!N73</f>
        <v>22</v>
      </c>
      <c r="V59" s="840">
        <f>U59/32</f>
        <v>0.6875</v>
      </c>
    </row>
    <row r="60" spans="1:26" ht="18.75" customHeight="1">
      <c r="A60" s="901">
        <v>49</v>
      </c>
      <c r="B60" s="902" t="str">
        <f>VENDOR!D67</f>
        <v>TEH POCI KUNING / VANILA</v>
      </c>
      <c r="C60" s="906">
        <f>VENDOR!H67</f>
        <v>73</v>
      </c>
      <c r="D60" s="907">
        <f>VENDOR!AJ67</f>
        <v>0</v>
      </c>
      <c r="E60" s="907">
        <f>VENDOR!AL67</f>
        <v>64</v>
      </c>
      <c r="F60" s="899">
        <f t="shared" si="0"/>
        <v>9</v>
      </c>
      <c r="G60" s="905">
        <f>Q52+5</f>
        <v>10.1388888888889</v>
      </c>
      <c r="H60" s="899">
        <f t="shared" si="1"/>
        <v>1.1388888888888999</v>
      </c>
      <c r="I60" s="925"/>
      <c r="J60" s="917"/>
      <c r="L60" s="921" t="s">
        <v>173</v>
      </c>
      <c r="M60" s="924"/>
      <c r="N60" s="926"/>
      <c r="O60" s="926"/>
      <c r="P60" s="926"/>
      <c r="Q60" s="951">
        <f t="shared" si="10"/>
        <v>0</v>
      </c>
      <c r="T60" s="532" t="s">
        <v>1243</v>
      </c>
      <c r="U60" s="840">
        <f>V57*1</f>
        <v>2.2307692307692299</v>
      </c>
    </row>
    <row r="61" spans="1:26" ht="18.75" customHeight="1">
      <c r="A61" s="901">
        <v>50</v>
      </c>
      <c r="B61" s="902" t="str">
        <f>VENDOR!D68</f>
        <v>MILK SHAKE COKLAT</v>
      </c>
      <c r="C61" s="906">
        <f>VENDOR!H68</f>
        <v>15</v>
      </c>
      <c r="D61" s="907">
        <f>VENDOR!AJ68</f>
        <v>0</v>
      </c>
      <c r="E61" s="907">
        <f>VENDOR!AL68</f>
        <v>14</v>
      </c>
      <c r="F61" s="907">
        <f t="shared" si="0"/>
        <v>1</v>
      </c>
      <c r="G61" s="905">
        <f>'LAP. PENJUALAN '!N240</f>
        <v>1</v>
      </c>
      <c r="H61" s="907">
        <f t="shared" si="1"/>
        <v>0</v>
      </c>
      <c r="I61" s="934"/>
      <c r="J61" s="917"/>
      <c r="L61" s="921" t="s">
        <v>174</v>
      </c>
      <c r="M61" s="926"/>
      <c r="N61" s="926"/>
      <c r="O61" s="926"/>
      <c r="P61" s="926"/>
      <c r="Q61" s="951">
        <f t="shared" si="10"/>
        <v>0</v>
      </c>
      <c r="U61" s="840">
        <f>V58*0.15</f>
        <v>0.59250000000000003</v>
      </c>
    </row>
    <row r="62" spans="1:26" ht="18.75" customHeight="1">
      <c r="A62" s="901">
        <v>51</v>
      </c>
      <c r="B62" s="902" t="str">
        <f>VENDOR!D69</f>
        <v>MILK SHAKE CAPPUCINO</v>
      </c>
      <c r="C62" s="906">
        <f>VENDOR!H69</f>
        <v>0</v>
      </c>
      <c r="D62" s="907">
        <f>VENDOR!AJ69</f>
        <v>0</v>
      </c>
      <c r="E62" s="907">
        <f>VENDOR!AL69</f>
        <v>0</v>
      </c>
      <c r="F62" s="899">
        <f t="shared" si="0"/>
        <v>0</v>
      </c>
      <c r="G62" s="905"/>
      <c r="H62" s="899">
        <f t="shared" si="1"/>
        <v>0</v>
      </c>
      <c r="I62" s="935"/>
      <c r="J62" s="936"/>
      <c r="L62" s="921">
        <v>0</v>
      </c>
      <c r="M62" s="926"/>
      <c r="N62" s="926"/>
      <c r="O62" s="926"/>
      <c r="P62" s="926"/>
      <c r="Q62" s="951">
        <f t="shared" si="10"/>
        <v>0</v>
      </c>
      <c r="U62" s="840">
        <f>V59*0.125</f>
        <v>8.59375E-2</v>
      </c>
    </row>
    <row r="63" spans="1:26" ht="18.75" customHeight="1">
      <c r="A63" s="901">
        <v>52</v>
      </c>
      <c r="B63" s="902" t="str">
        <f>VENDOR!D70</f>
        <v>MILK SHAKE MANGGA</v>
      </c>
      <c r="C63" s="906">
        <f>VENDOR!H70</f>
        <v>0</v>
      </c>
      <c r="D63" s="907">
        <f>VENDOR!AJ70</f>
        <v>0</v>
      </c>
      <c r="E63" s="907">
        <f>VENDOR!AL70</f>
        <v>0</v>
      </c>
      <c r="F63" s="899">
        <f t="shared" si="0"/>
        <v>0</v>
      </c>
      <c r="G63" s="905"/>
      <c r="H63" s="899">
        <f t="shared" si="1"/>
        <v>0</v>
      </c>
      <c r="I63" s="925"/>
      <c r="J63" s="917"/>
      <c r="L63" s="921" t="s">
        <v>270</v>
      </c>
      <c r="M63" s="840"/>
      <c r="Q63" s="951">
        <f t="shared" si="10"/>
        <v>0</v>
      </c>
      <c r="U63" s="840">
        <f>SUM(U60:U62)</f>
        <v>2.9092067307692302</v>
      </c>
    </row>
    <row r="64" spans="1:26" ht="18.75" customHeight="1">
      <c r="A64" s="901">
        <v>53</v>
      </c>
      <c r="B64" s="902" t="str">
        <f>VENDOR!D71</f>
        <v>MILK SHAKE STRAWBERRY</v>
      </c>
      <c r="C64" s="906">
        <f>VENDOR!H71</f>
        <v>0</v>
      </c>
      <c r="D64" s="907">
        <f>VENDOR!AJ71</f>
        <v>0</v>
      </c>
      <c r="E64" s="907">
        <f>VENDOR!AL71</f>
        <v>0</v>
      </c>
      <c r="F64" s="899">
        <f t="shared" si="0"/>
        <v>0</v>
      </c>
      <c r="G64" s="905">
        <f>'LAP. PENJUALAN '!N242</f>
        <v>0</v>
      </c>
      <c r="H64" s="899">
        <f t="shared" si="1"/>
        <v>0</v>
      </c>
      <c r="I64" s="925"/>
      <c r="J64" s="917"/>
      <c r="L64" s="921" t="s">
        <v>271</v>
      </c>
      <c r="M64" s="937"/>
      <c r="Q64" s="951">
        <f t="shared" si="10"/>
        <v>0</v>
      </c>
    </row>
    <row r="65" spans="1:17" ht="18.75" customHeight="1">
      <c r="A65" s="901">
        <v>54</v>
      </c>
      <c r="B65" s="902" t="str">
        <f>VENDOR!D72</f>
        <v>STEE</v>
      </c>
      <c r="C65" s="906">
        <f>VENDOR!H72</f>
        <v>112</v>
      </c>
      <c r="D65" s="907">
        <f>VENDOR!AJ72</f>
        <v>240</v>
      </c>
      <c r="E65" s="907">
        <f>VENDOR!AL72</f>
        <v>159</v>
      </c>
      <c r="F65" s="899">
        <f t="shared" si="0"/>
        <v>193</v>
      </c>
      <c r="G65" s="905">
        <f>'LAP. PENJUALAN '!N182+'LAP. PENJUALAN '!N219</f>
        <v>193</v>
      </c>
      <c r="H65" s="899">
        <f t="shared" si="1"/>
        <v>0</v>
      </c>
      <c r="I65" s="925"/>
      <c r="J65" s="917"/>
      <c r="L65" s="921" t="s">
        <v>1244</v>
      </c>
      <c r="Q65" s="951">
        <f t="shared" si="10"/>
        <v>0</v>
      </c>
    </row>
    <row r="66" spans="1:17" ht="18.75" customHeight="1">
      <c r="A66" s="901">
        <v>55</v>
      </c>
      <c r="B66" s="902" t="str">
        <f>VENDOR!D73</f>
        <v>THAI GREEN TEA</v>
      </c>
      <c r="C66" s="906">
        <f>VENDOR!H73</f>
        <v>1</v>
      </c>
      <c r="D66" s="907">
        <f>VENDOR!AJ73</f>
        <v>0</v>
      </c>
      <c r="E66" s="907">
        <f>VENDOR!AL73</f>
        <v>0</v>
      </c>
      <c r="F66" s="899">
        <f t="shared" si="0"/>
        <v>1</v>
      </c>
      <c r="G66" s="905">
        <f>'LAP. PENJUALAN '!N251+'LAP. PENJUALAN GRAB FOOD'!N222+'LAP. PENJUALAN GO FOOD'!N219+'LAP. PENJUALAN SHOPEE FOOD'!N216</f>
        <v>1</v>
      </c>
      <c r="H66" s="899">
        <f t="shared" si="1"/>
        <v>0</v>
      </c>
      <c r="I66" s="925"/>
      <c r="J66" s="917"/>
      <c r="L66" s="921" t="s">
        <v>273</v>
      </c>
      <c r="M66" s="840">
        <f>U13</f>
        <v>43</v>
      </c>
      <c r="Q66" s="951">
        <f t="shared" si="10"/>
        <v>43</v>
      </c>
    </row>
    <row r="67" spans="1:17" ht="18.75" customHeight="1">
      <c r="A67" s="901">
        <v>56</v>
      </c>
      <c r="B67" s="902" t="str">
        <f>VENDOR!D74</f>
        <v>RED VALVET</v>
      </c>
      <c r="C67" s="906">
        <f>VENDOR!H74</f>
        <v>11</v>
      </c>
      <c r="D67" s="907">
        <f>VENDOR!AJ74</f>
        <v>0</v>
      </c>
      <c r="E67" s="907">
        <f>VENDOR!AL74</f>
        <v>9</v>
      </c>
      <c r="F67" s="899">
        <f t="shared" si="0"/>
        <v>2</v>
      </c>
      <c r="G67" s="905">
        <f>'LAP. PENJUALAN '!N253+'LAP. PENJUALAN GRAB FOOD'!N224+'LAP. PENJUALAN GO FOOD'!N221+'LAP. PENJUALAN SHOPEE FOOD'!N218</f>
        <v>2</v>
      </c>
      <c r="H67" s="899">
        <f t="shared" si="1"/>
        <v>0</v>
      </c>
      <c r="I67" s="925"/>
      <c r="J67" s="917"/>
      <c r="L67" s="921" t="s">
        <v>274</v>
      </c>
      <c r="M67" s="840"/>
      <c r="Q67" s="951">
        <f t="shared" si="10"/>
        <v>0</v>
      </c>
    </row>
    <row r="68" spans="1:17" ht="18.75" customHeight="1">
      <c r="A68" s="901">
        <v>57</v>
      </c>
      <c r="B68" s="902" t="str">
        <f>VENDOR!D75</f>
        <v>MILKY MANGGO</v>
      </c>
      <c r="C68" s="906">
        <f>VENDOR!H75</f>
        <v>10</v>
      </c>
      <c r="D68" s="907">
        <f>VENDOR!AJ75</f>
        <v>0</v>
      </c>
      <c r="E68" s="907">
        <f>VENDOR!AL75</f>
        <v>10</v>
      </c>
      <c r="F68" s="899">
        <f t="shared" si="0"/>
        <v>0</v>
      </c>
      <c r="G68" s="905">
        <f>'LAP. PENJUALAN '!N252+'LAP. PENJUALAN GRAB FOOD'!N223+'LAP. PENJUALAN GO FOOD'!N220+'LAP. PENJUALAN SHOPEE FOOD'!N217</f>
        <v>0</v>
      </c>
      <c r="H68" s="899">
        <f t="shared" si="1"/>
        <v>0</v>
      </c>
      <c r="I68" s="925"/>
      <c r="J68" s="917"/>
      <c r="L68" s="921" t="s">
        <v>275</v>
      </c>
      <c r="Q68" s="951">
        <f t="shared" si="10"/>
        <v>0</v>
      </c>
    </row>
    <row r="69" spans="1:17" ht="18.75" customHeight="1">
      <c r="A69" s="901">
        <v>58</v>
      </c>
      <c r="B69" s="902" t="str">
        <f>VENDOR!D76</f>
        <v>AIR MINERAL BOTOL (AMB) 330 ML</v>
      </c>
      <c r="C69" s="906">
        <f>VENDOR!H76</f>
        <v>0</v>
      </c>
      <c r="D69" s="907">
        <f>VENDOR!AJ76</f>
        <v>0</v>
      </c>
      <c r="E69" s="907">
        <f>VENDOR!AL76</f>
        <v>0</v>
      </c>
      <c r="F69" s="899">
        <f t="shared" si="0"/>
        <v>0</v>
      </c>
      <c r="G69" s="905"/>
      <c r="H69" s="899">
        <f t="shared" si="1"/>
        <v>0</v>
      </c>
      <c r="I69" s="925"/>
      <c r="J69" s="917"/>
      <c r="L69" s="921" t="s">
        <v>276</v>
      </c>
      <c r="M69" s="937"/>
      <c r="Q69" s="951">
        <f t="shared" si="10"/>
        <v>0</v>
      </c>
    </row>
    <row r="70" spans="1:17" ht="18.75" customHeight="1">
      <c r="A70" s="901">
        <v>59</v>
      </c>
      <c r="B70" s="902" t="str">
        <f>VENDOR!D77</f>
        <v>TEH RC</v>
      </c>
      <c r="C70" s="906">
        <f>VENDOR!H77</f>
        <v>0</v>
      </c>
      <c r="D70" s="907">
        <f>VENDOR!AJ77</f>
        <v>0</v>
      </c>
      <c r="E70" s="907">
        <f>VENDOR!AL77</f>
        <v>0</v>
      </c>
      <c r="F70" s="899">
        <f t="shared" si="0"/>
        <v>0</v>
      </c>
      <c r="G70" s="905"/>
      <c r="H70" s="899">
        <f t="shared" si="1"/>
        <v>0</v>
      </c>
      <c r="I70" s="925"/>
      <c r="J70" s="917"/>
      <c r="L70" s="921" t="s">
        <v>284</v>
      </c>
      <c r="M70" s="840"/>
      <c r="N70" s="840"/>
      <c r="Q70" s="951">
        <f>SUM(M70:P70)/20</f>
        <v>0</v>
      </c>
    </row>
    <row r="71" spans="1:17" ht="18.75" customHeight="1">
      <c r="A71" s="901">
        <v>60</v>
      </c>
      <c r="B71" s="902" t="str">
        <f>VENDOR!D133</f>
        <v>MINYAK GORENG</v>
      </c>
      <c r="C71" s="906">
        <f>VENDOR!H133</f>
        <v>93.45</v>
      </c>
      <c r="D71" s="907">
        <f>VENDOR!AJ133</f>
        <v>2</v>
      </c>
      <c r="E71" s="907">
        <f>VENDOR!AL133</f>
        <v>46.1</v>
      </c>
      <c r="F71" s="899">
        <f t="shared" si="0"/>
        <v>49.35</v>
      </c>
      <c r="G71" s="905">
        <f>V42</f>
        <v>48.020393356643403</v>
      </c>
      <c r="H71" s="899">
        <f t="shared" si="1"/>
        <v>0.82039335664339996</v>
      </c>
      <c r="I71" s="925">
        <v>2.15</v>
      </c>
      <c r="J71" s="917"/>
      <c r="L71" s="921" t="s">
        <v>285</v>
      </c>
      <c r="Q71" s="951">
        <f t="shared" ref="Q71:Q76" si="11">SUM(M71:P71)</f>
        <v>0</v>
      </c>
    </row>
    <row r="72" spans="1:17" ht="18.75" customHeight="1">
      <c r="A72" s="901">
        <v>61</v>
      </c>
      <c r="B72" s="902" t="str">
        <f>VENDOR!D137</f>
        <v>TELUR</v>
      </c>
      <c r="C72" s="906">
        <f>VENDOR!H137</f>
        <v>6</v>
      </c>
      <c r="D72" s="907">
        <f>VENDOR!AJ137</f>
        <v>92</v>
      </c>
      <c r="E72" s="907">
        <f>VENDOR!AL137</f>
        <v>35</v>
      </c>
      <c r="F72" s="899">
        <f t="shared" si="0"/>
        <v>63</v>
      </c>
      <c r="G72" s="905">
        <v>64.5</v>
      </c>
      <c r="H72" s="899">
        <f t="shared" si="1"/>
        <v>1.5</v>
      </c>
      <c r="I72" s="925"/>
      <c r="J72" s="917"/>
      <c r="L72" s="921" t="s">
        <v>286</v>
      </c>
      <c r="N72" s="937"/>
      <c r="Q72" s="951">
        <f t="shared" si="11"/>
        <v>0</v>
      </c>
    </row>
    <row r="73" spans="1:17" ht="18.75" customHeight="1">
      <c r="A73" s="901">
        <v>62</v>
      </c>
      <c r="B73" s="902" t="str">
        <f>VENDOR!D138</f>
        <v>CABE RAWIT MERAH PETIK</v>
      </c>
      <c r="C73" s="906">
        <f>VENDOR!H138</f>
        <v>0.25</v>
      </c>
      <c r="D73" s="907">
        <f>VENDOR!AJ138</f>
        <v>3.4</v>
      </c>
      <c r="E73" s="907">
        <f>VENDOR!AL138</f>
        <v>0.25</v>
      </c>
      <c r="F73" s="899">
        <f t="shared" si="0"/>
        <v>3.4</v>
      </c>
      <c r="G73" s="905">
        <f>U63+1.5</f>
        <v>4.4092067307692302</v>
      </c>
      <c r="H73" s="899">
        <f t="shared" si="1"/>
        <v>1.0092067307692301</v>
      </c>
      <c r="I73" s="925"/>
      <c r="J73" s="917"/>
      <c r="L73" s="921" t="s">
        <v>1245</v>
      </c>
      <c r="Q73" s="951">
        <f t="shared" si="11"/>
        <v>0</v>
      </c>
    </row>
    <row r="74" spans="1:17" ht="18.75" customHeight="1">
      <c r="A74" s="901">
        <v>63</v>
      </c>
      <c r="B74" s="902" t="str">
        <f>VENDOR!D139</f>
        <v>CABE RAWIT HIJAU PETIK</v>
      </c>
      <c r="C74" s="906">
        <f>VENDOR!H139</f>
        <v>0</v>
      </c>
      <c r="D74" s="907">
        <f>VENDOR!AJ139</f>
        <v>0</v>
      </c>
      <c r="E74" s="907">
        <f>VENDOR!AL139</f>
        <v>0</v>
      </c>
      <c r="F74" s="899">
        <f t="shared" si="0"/>
        <v>0</v>
      </c>
      <c r="G74" s="905"/>
      <c r="H74" s="899">
        <f t="shared" si="1"/>
        <v>0</v>
      </c>
      <c r="I74" s="925"/>
      <c r="J74" s="917"/>
      <c r="L74" s="921" t="s">
        <v>288</v>
      </c>
      <c r="M74" s="840"/>
      <c r="Q74" s="951">
        <f t="shared" si="11"/>
        <v>0</v>
      </c>
    </row>
    <row r="75" spans="1:17" ht="18.75" customHeight="1">
      <c r="A75" s="901">
        <v>64</v>
      </c>
      <c r="B75" s="902" t="str">
        <f>VENDOR!D140</f>
        <v>MARINADE 1000 GR</v>
      </c>
      <c r="C75" s="906">
        <f>VENDOR!H140</f>
        <v>3</v>
      </c>
      <c r="D75" s="907">
        <f>VENDOR!AJ140</f>
        <v>3.3260869565217401</v>
      </c>
      <c r="E75" s="907">
        <f>VENDOR!AL140</f>
        <v>2.86</v>
      </c>
      <c r="F75" s="899">
        <f t="shared" si="0"/>
        <v>3.4660869565217398</v>
      </c>
      <c r="G75" s="905">
        <f>T30/414</f>
        <v>3.2031400966183599</v>
      </c>
      <c r="H75" s="899">
        <f t="shared" si="1"/>
        <v>-0.26294685990338001</v>
      </c>
      <c r="I75" s="925"/>
      <c r="J75" s="917"/>
      <c r="L75" s="921" t="s">
        <v>222</v>
      </c>
      <c r="Q75" s="951">
        <f t="shared" si="11"/>
        <v>0</v>
      </c>
    </row>
    <row r="76" spans="1:17" ht="18.75" customHeight="1">
      <c r="A76" s="901">
        <v>65</v>
      </c>
      <c r="B76" s="902" t="str">
        <f>VENDOR!D141</f>
        <v>TEPUNG BRIDER 500 GR</v>
      </c>
      <c r="C76" s="906">
        <f>VENDOR!H141</f>
        <v>58</v>
      </c>
      <c r="D76" s="907">
        <f>VENDOR!AJ141</f>
        <v>0</v>
      </c>
      <c r="E76" s="907">
        <f>VENDOR!AL141</f>
        <v>46</v>
      </c>
      <c r="F76" s="899">
        <f t="shared" si="0"/>
        <v>12</v>
      </c>
      <c r="G76" s="905">
        <f>Z32</f>
        <v>13.621</v>
      </c>
      <c r="H76" s="899">
        <f t="shared" si="1"/>
        <v>1.621</v>
      </c>
      <c r="I76" s="925"/>
      <c r="J76" s="917"/>
      <c r="L76" s="921" t="s">
        <v>282</v>
      </c>
      <c r="Q76" s="951">
        <f t="shared" si="11"/>
        <v>0</v>
      </c>
    </row>
    <row r="77" spans="1:17" ht="18.75" customHeight="1">
      <c r="A77" s="901">
        <v>66</v>
      </c>
      <c r="B77" s="902" t="str">
        <f>VENDOR!D142</f>
        <v>BUTTER MIX</v>
      </c>
      <c r="C77" s="906">
        <f>VENDOR!H142</f>
        <v>5</v>
      </c>
      <c r="D77" s="907">
        <f>VENDOR!AJ142</f>
        <v>0</v>
      </c>
      <c r="E77" s="907">
        <f>VENDOR!AL142</f>
        <v>3</v>
      </c>
      <c r="F77" s="899">
        <f t="shared" si="0"/>
        <v>2</v>
      </c>
      <c r="G77" s="905">
        <v>1.55</v>
      </c>
      <c r="H77" s="899">
        <f t="shared" si="1"/>
        <v>-0.15</v>
      </c>
      <c r="I77" s="925">
        <v>0.3</v>
      </c>
      <c r="J77" s="917"/>
      <c r="L77" s="921" t="s">
        <v>283</v>
      </c>
      <c r="M77" s="840">
        <f>'LAP. PENJUALAN '!N75+'LAP. PENJUALAN '!N76+'LAP. PENJUALAN '!N77+'LAP. PENJUALAN '!N78+'LAP. PENJUALAN '!N79+'LAP. PENJUALAN '!N80+'LAP. PENJUALAN '!N81+'LAP. PENJUALAN GRAB FOOD'!N75+'LAP. PENJUALAN GRAB FOOD'!N76+'LAP. PENJUALAN GRAB FOOD'!N77+'LAP. PENJUALAN GRAB FOOD'!N78+'LAP. PENJUALAN GRAB FOOD'!N79+'LAP. PENJUALAN GRAB FOOD'!N80+'LAP. PENJUALAN GRAB FOOD'!N81+'LAP. PENJUALAN GRAB FOOD'!N82+'LAP. PENJUALAN GO FOOD'!N75+'LAP. PENJUALAN GO FOOD'!N76+'LAP. PENJUALAN GO FOOD'!N77+'LAP. PENJUALAN GO FOOD'!N78+'LAP. PENJUALAN GO FOOD'!N79+'LAP. PENJUALAN GO FOOD'!N80+'LAP. PENJUALAN GO FOOD'!N81+'LAP. PENJUALAN GO FOOD'!N82+'LAP. PENJUALAN SHOPEE FOOD'!N75+'LAP. PENJUALAN SHOPEE FOOD'!N76+'LAP. PENJUALAN SHOPEE FOOD'!N77+'LAP. PENJUALAN SHOPEE FOOD'!N78+'LAP. PENJUALAN SHOPEE FOOD'!N79+'LAP. PENJUALAN SHOPEE FOOD'!N80+'LAP. PENJUALAN SHOPEE FOOD'!N81+'LAP. PENJUALAN GRAB FOOD'!N179+'LAP. PENJUALAN GRAB FOOD'!N174+'LAP. PENJUALAN GRAB FOOD'!N178+'LAP. PENJUALAN GRAB FOOD'!N170+'LAP. PENJUALAN GRAB FOOD'!N233</f>
        <v>31</v>
      </c>
      <c r="N77" s="937"/>
      <c r="Q77" s="951">
        <f>SUM(M77:P77)/60</f>
        <v>0.51666666666666705</v>
      </c>
    </row>
    <row r="78" spans="1:17" ht="18.75" customHeight="1">
      <c r="A78" s="901">
        <v>67</v>
      </c>
      <c r="B78" s="902" t="str">
        <f>VENDOR!D143</f>
        <v>P. STEAK</v>
      </c>
      <c r="C78" s="906">
        <f>VENDOR!H143</f>
        <v>39</v>
      </c>
      <c r="D78" s="907">
        <f>VENDOR!AJ143</f>
        <v>0</v>
      </c>
      <c r="E78" s="907">
        <f>VENDOR!AL143</f>
        <v>34.700000000000003</v>
      </c>
      <c r="F78" s="899">
        <f t="shared" si="0"/>
        <v>4.3</v>
      </c>
      <c r="G78" s="905">
        <f>X12</f>
        <v>4.0833333333333304</v>
      </c>
      <c r="H78" s="899">
        <f t="shared" si="1"/>
        <v>-0.21666666666666901</v>
      </c>
      <c r="I78" s="1006"/>
      <c r="J78" s="1007"/>
      <c r="L78" s="1008"/>
      <c r="Q78" s="951">
        <f>M77/20</f>
        <v>1.55</v>
      </c>
    </row>
    <row r="79" spans="1:17" ht="18.75" customHeight="1">
      <c r="A79" s="901">
        <v>68</v>
      </c>
      <c r="B79" s="902" t="str">
        <f>VENDOR!D144</f>
        <v>P. NASGOR</v>
      </c>
      <c r="C79" s="906">
        <f>VENDOR!H144</f>
        <v>50</v>
      </c>
      <c r="D79" s="907">
        <f>VENDOR!AJ144</f>
        <v>0</v>
      </c>
      <c r="E79" s="907">
        <f>VENDOR!AL144</f>
        <v>9</v>
      </c>
      <c r="F79" s="899">
        <f t="shared" si="0"/>
        <v>41</v>
      </c>
      <c r="G79" s="905">
        <f>Q66</f>
        <v>43</v>
      </c>
      <c r="H79" s="899">
        <f t="shared" si="1"/>
        <v>2</v>
      </c>
      <c r="I79" s="1006"/>
      <c r="J79" s="1007"/>
      <c r="L79" s="1008"/>
      <c r="M79" s="840"/>
      <c r="Q79" s="951">
        <f>SUM(M79:P79)/130</f>
        <v>0</v>
      </c>
    </row>
    <row r="80" spans="1:17" ht="18.75" customHeight="1">
      <c r="A80" s="901">
        <v>69</v>
      </c>
      <c r="B80" s="902" t="str">
        <f>VENDOR!D145</f>
        <v>MAYONAISE</v>
      </c>
      <c r="C80" s="906">
        <f>VENDOR!H145</f>
        <v>3</v>
      </c>
      <c r="D80" s="907">
        <f>VENDOR!AJ145</f>
        <v>0</v>
      </c>
      <c r="E80" s="907">
        <f>VENDOR!AL145</f>
        <v>1</v>
      </c>
      <c r="F80" s="899">
        <f t="shared" si="0"/>
        <v>2</v>
      </c>
      <c r="G80" s="905">
        <f>Q28/70</f>
        <v>0.94285714285714295</v>
      </c>
      <c r="H80" s="899">
        <f t="shared" si="1"/>
        <v>-5.7142857142857099E-2</v>
      </c>
      <c r="I80" s="1006">
        <v>1</v>
      </c>
      <c r="J80" s="1007" t="s">
        <v>1246</v>
      </c>
      <c r="L80" s="921">
        <v>0</v>
      </c>
      <c r="Q80" s="951">
        <f t="shared" ref="Q80:Q97" si="12">SUM(M80:P80)</f>
        <v>0</v>
      </c>
    </row>
    <row r="81" spans="1:18" ht="18.75" customHeight="1">
      <c r="A81" s="901">
        <v>70</v>
      </c>
      <c r="B81" s="902" t="str">
        <f>VENDOR!D146</f>
        <v>T. KENTANG</v>
      </c>
      <c r="C81" s="906">
        <f>VENDOR!H146</f>
        <v>7</v>
      </c>
      <c r="D81" s="907">
        <f>VENDOR!AJ146</f>
        <v>-4</v>
      </c>
      <c r="E81" s="907">
        <f>VENDOR!AL146</f>
        <v>1</v>
      </c>
      <c r="F81" s="899">
        <f t="shared" si="0"/>
        <v>2</v>
      </c>
      <c r="G81" s="905">
        <v>2</v>
      </c>
      <c r="H81" s="899">
        <f t="shared" si="1"/>
        <v>0</v>
      </c>
      <c r="I81" s="1006"/>
      <c r="J81" s="1007"/>
      <c r="L81" s="921">
        <v>0</v>
      </c>
      <c r="Q81" s="951">
        <f t="shared" si="12"/>
        <v>0</v>
      </c>
    </row>
    <row r="82" spans="1:18" ht="18.75" customHeight="1">
      <c r="A82" s="901">
        <v>71</v>
      </c>
      <c r="B82" s="902" t="str">
        <f>VENDOR!D147</f>
        <v>TEPUNG CAKRA</v>
      </c>
      <c r="C82" s="906">
        <f>VENDOR!H147</f>
        <v>2</v>
      </c>
      <c r="D82" s="907">
        <f>VENDOR!AJ147</f>
        <v>100</v>
      </c>
      <c r="E82" s="907">
        <f>VENDOR!AL147</f>
        <v>52</v>
      </c>
      <c r="F82" s="899">
        <f t="shared" si="0"/>
        <v>50</v>
      </c>
      <c r="G82" s="905">
        <f>U34</f>
        <v>51.4931153846154</v>
      </c>
      <c r="H82" s="899">
        <f t="shared" si="1"/>
        <v>1.4931153846153999</v>
      </c>
      <c r="I82" s="1006"/>
      <c r="J82" s="1007"/>
      <c r="L82" s="921" t="s">
        <v>1247</v>
      </c>
      <c r="Q82" s="951">
        <f t="shared" si="12"/>
        <v>0</v>
      </c>
    </row>
    <row r="83" spans="1:18" ht="18.75" customHeight="1">
      <c r="A83" s="901">
        <v>72</v>
      </c>
      <c r="B83" s="902" t="str">
        <f>VENDOR!D148</f>
        <v>SAMBAL JERIGEN</v>
      </c>
      <c r="C83" s="906">
        <f>VENDOR!H148</f>
        <v>1.7</v>
      </c>
      <c r="D83" s="907">
        <f>VENDOR!AJ148</f>
        <v>3</v>
      </c>
      <c r="E83" s="907">
        <f>VENDOR!AL148</f>
        <v>4</v>
      </c>
      <c r="F83" s="899">
        <f t="shared" si="0"/>
        <v>0.7</v>
      </c>
      <c r="G83" s="905">
        <v>2</v>
      </c>
      <c r="H83" s="899">
        <f t="shared" si="1"/>
        <v>1.3</v>
      </c>
      <c r="I83" s="1006"/>
      <c r="J83" s="1007"/>
      <c r="L83" s="921"/>
      <c r="M83" s="840"/>
      <c r="N83" s="840"/>
      <c r="O83" s="840"/>
      <c r="P83" s="840"/>
      <c r="Q83" s="951">
        <f t="shared" si="12"/>
        <v>0</v>
      </c>
      <c r="R83" s="840">
        <f>Q83/60</f>
        <v>0</v>
      </c>
    </row>
    <row r="84" spans="1:18" ht="18.75" customHeight="1">
      <c r="A84" s="901">
        <v>73</v>
      </c>
      <c r="B84" s="902" t="str">
        <f>VENDOR!D149</f>
        <v>TOMATO JERIGEN</v>
      </c>
      <c r="C84" s="906">
        <f>VENDOR!H149</f>
        <v>0.45</v>
      </c>
      <c r="D84" s="907">
        <f>VENDOR!AJ149</f>
        <v>0</v>
      </c>
      <c r="E84" s="907">
        <f>VENDOR!AL149</f>
        <v>0</v>
      </c>
      <c r="F84" s="899">
        <f t="shared" ref="F84:F103" si="13">C84+D84-E84</f>
        <v>0.45</v>
      </c>
      <c r="G84" s="905">
        <v>0.9</v>
      </c>
      <c r="H84" s="899">
        <f t="shared" si="1"/>
        <v>0.45</v>
      </c>
      <c r="I84" s="1006"/>
      <c r="J84" s="1007"/>
      <c r="L84" s="921"/>
      <c r="Q84" s="951">
        <f t="shared" si="12"/>
        <v>0</v>
      </c>
    </row>
    <row r="85" spans="1:18" ht="18.75" customHeight="1">
      <c r="A85" s="901">
        <v>74</v>
      </c>
      <c r="B85" s="902" t="str">
        <f>VENDOR!D150</f>
        <v>SAMBAL SACHET</v>
      </c>
      <c r="C85" s="906">
        <f>VENDOR!H150</f>
        <v>2108</v>
      </c>
      <c r="D85" s="907">
        <f>VENDOR!AJ150</f>
        <v>2500</v>
      </c>
      <c r="E85" s="907">
        <f>VENDOR!AL150</f>
        <v>3481</v>
      </c>
      <c r="F85" s="899">
        <f t="shared" si="13"/>
        <v>1127</v>
      </c>
      <c r="G85" s="905">
        <f>VENDOR!AN150</f>
        <v>1127</v>
      </c>
      <c r="H85" s="899">
        <f t="shared" si="1"/>
        <v>0</v>
      </c>
      <c r="I85" s="1006"/>
      <c r="J85" s="1007"/>
      <c r="L85" s="921" t="s">
        <v>84</v>
      </c>
      <c r="Q85" s="951">
        <f t="shared" si="12"/>
        <v>0</v>
      </c>
    </row>
    <row r="86" spans="1:18" ht="18.75" customHeight="1">
      <c r="A86" s="901">
        <v>75</v>
      </c>
      <c r="B86" s="902" t="str">
        <f>VENDOR!D151</f>
        <v>TOMATO SACHET</v>
      </c>
      <c r="C86" s="906">
        <f>VENDOR!H151</f>
        <v>2264</v>
      </c>
      <c r="D86" s="907">
        <f>VENDOR!AJ151</f>
        <v>2500</v>
      </c>
      <c r="E86" s="907">
        <f>VENDOR!AL151</f>
        <v>3717</v>
      </c>
      <c r="F86" s="899">
        <f t="shared" si="13"/>
        <v>1047</v>
      </c>
      <c r="G86" s="905">
        <f>VENDOR!AN151</f>
        <v>1047</v>
      </c>
      <c r="H86" s="899">
        <f t="shared" si="1"/>
        <v>0</v>
      </c>
      <c r="I86" s="1006"/>
      <c r="J86" s="1007"/>
      <c r="L86" s="921" t="s">
        <v>85</v>
      </c>
      <c r="Q86" s="951">
        <f t="shared" si="12"/>
        <v>0</v>
      </c>
    </row>
    <row r="87" spans="1:18" ht="18.75" customHeight="1">
      <c r="A87" s="901">
        <v>76</v>
      </c>
      <c r="B87" s="902" t="str">
        <f>VENDOR!D152</f>
        <v>LEVEL 1</v>
      </c>
      <c r="C87" s="906">
        <f>VENDOR!H152</f>
        <v>0</v>
      </c>
      <c r="D87" s="907">
        <f>VENDOR!AJ152</f>
        <v>0</v>
      </c>
      <c r="E87" s="907">
        <f>VENDOR!AL152</f>
        <v>0</v>
      </c>
      <c r="F87" s="899">
        <f t="shared" si="13"/>
        <v>0</v>
      </c>
      <c r="G87" s="905"/>
      <c r="H87" s="899">
        <f>G87-(F87-I87)</f>
        <v>0</v>
      </c>
      <c r="I87" s="1006"/>
      <c r="J87" s="1007"/>
      <c r="L87" s="921" t="s">
        <v>86</v>
      </c>
      <c r="Q87" s="951">
        <f t="shared" si="12"/>
        <v>0</v>
      </c>
    </row>
    <row r="88" spans="1:18" ht="18.75" customHeight="1">
      <c r="A88" s="901">
        <v>77</v>
      </c>
      <c r="B88" s="902" t="str">
        <f>VENDOR!D153</f>
        <v>LEVEL 2</v>
      </c>
      <c r="C88" s="906">
        <f>VENDOR!H153</f>
        <v>12</v>
      </c>
      <c r="D88" s="907">
        <f>VENDOR!AJ153</f>
        <v>0</v>
      </c>
      <c r="E88" s="907">
        <f>VENDOR!AL153</f>
        <v>11.5</v>
      </c>
      <c r="F88" s="899">
        <f t="shared" si="13"/>
        <v>0.5</v>
      </c>
      <c r="G88" s="905">
        <f>M77/60+0.3</f>
        <v>0.81666666666666698</v>
      </c>
      <c r="H88" s="899">
        <f>G88-(F88-I88)</f>
        <v>0.31666666666666698</v>
      </c>
      <c r="I88" s="1006"/>
      <c r="J88" s="1007"/>
      <c r="L88" s="921" t="s">
        <v>87</v>
      </c>
      <c r="Q88" s="951">
        <f t="shared" si="12"/>
        <v>0</v>
      </c>
    </row>
    <row r="89" spans="1:18" ht="18.75" customHeight="1">
      <c r="A89" s="901">
        <v>78</v>
      </c>
      <c r="B89" s="902" t="str">
        <f>VENDOR!D154</f>
        <v>CHEESE MELT 100 GR</v>
      </c>
      <c r="C89" s="906">
        <f>VENDOR!H154</f>
        <v>30.5</v>
      </c>
      <c r="D89" s="907">
        <f>VENDOR!AJ154</f>
        <v>0</v>
      </c>
      <c r="E89" s="907">
        <f>VENDOR!AL154</f>
        <v>28.7</v>
      </c>
      <c r="F89" s="899">
        <f t="shared" si="13"/>
        <v>1.8</v>
      </c>
      <c r="G89" s="905">
        <f>Q78</f>
        <v>1.55</v>
      </c>
      <c r="H89" s="899">
        <f t="shared" ref="H89:H103" si="14">G89-(F89-I89)</f>
        <v>0.149999999999999</v>
      </c>
      <c r="I89" s="1006">
        <v>0.4</v>
      </c>
      <c r="J89" s="1007"/>
      <c r="L89" s="921" t="s">
        <v>88</v>
      </c>
      <c r="Q89" s="951">
        <f t="shared" si="12"/>
        <v>0</v>
      </c>
    </row>
    <row r="90" spans="1:18" ht="18.75" customHeight="1">
      <c r="A90" s="901">
        <v>79</v>
      </c>
      <c r="B90" s="902" t="str">
        <f>VENDOR!D155</f>
        <v>PREMIK SAMBAL TERASI</v>
      </c>
      <c r="C90" s="906">
        <f>VENDOR!H155</f>
        <v>10</v>
      </c>
      <c r="D90" s="907">
        <f>VENDOR!AJ155</f>
        <v>0</v>
      </c>
      <c r="E90" s="907">
        <f>VENDOR!AL155</f>
        <v>9</v>
      </c>
      <c r="F90" s="899">
        <f t="shared" si="13"/>
        <v>1</v>
      </c>
      <c r="G90" s="905">
        <f>V59</f>
        <v>0.6875</v>
      </c>
      <c r="H90" s="899">
        <f t="shared" si="14"/>
        <v>-0.3125</v>
      </c>
      <c r="I90" s="1006"/>
      <c r="J90" s="1007"/>
      <c r="L90" s="921" t="s">
        <v>1248</v>
      </c>
      <c r="Q90" s="951">
        <f t="shared" si="12"/>
        <v>0</v>
      </c>
    </row>
    <row r="91" spans="1:18" ht="18.75" customHeight="1">
      <c r="A91" s="901">
        <v>80</v>
      </c>
      <c r="B91" s="902" t="str">
        <f>VENDOR!D156</f>
        <v>P. GEPREK</v>
      </c>
      <c r="C91" s="906">
        <f>VENDOR!H156</f>
        <v>40.200000000000003</v>
      </c>
      <c r="D91" s="907">
        <f>VENDOR!AJ156</f>
        <v>0</v>
      </c>
      <c r="E91" s="907">
        <f>VENDOR!AL156</f>
        <v>38</v>
      </c>
      <c r="F91" s="899">
        <f t="shared" si="13"/>
        <v>2.2000000000000002</v>
      </c>
      <c r="G91" s="905">
        <f>V57+1</f>
        <v>3.2307692307692299</v>
      </c>
      <c r="H91" s="899">
        <f t="shared" si="14"/>
        <v>1.03076923076923</v>
      </c>
      <c r="I91" s="1006"/>
      <c r="J91" s="1007"/>
      <c r="L91" s="921" t="s">
        <v>1093</v>
      </c>
      <c r="Q91" s="951">
        <f t="shared" si="12"/>
        <v>0</v>
      </c>
    </row>
    <row r="92" spans="1:18" ht="18.75" customHeight="1">
      <c r="A92" s="901">
        <v>81</v>
      </c>
      <c r="B92" s="902" t="str">
        <f>VENDOR!D157</f>
        <v>P. SAMBAL MATAH</v>
      </c>
      <c r="C92" s="906">
        <f>VENDOR!H157</f>
        <v>46.5</v>
      </c>
      <c r="D92" s="907">
        <f>VENDOR!AJ157</f>
        <v>0</v>
      </c>
      <c r="E92" s="907">
        <f>VENDOR!AL157</f>
        <v>44.5</v>
      </c>
      <c r="F92" s="899">
        <f t="shared" si="13"/>
        <v>2</v>
      </c>
      <c r="G92" s="905">
        <f>V58</f>
        <v>3.95</v>
      </c>
      <c r="H92" s="899">
        <f t="shared" si="14"/>
        <v>1.95</v>
      </c>
      <c r="I92" s="1006"/>
      <c r="J92" s="1007"/>
      <c r="L92" s="921" t="s">
        <v>1249</v>
      </c>
      <c r="Q92" s="951">
        <f t="shared" si="12"/>
        <v>0</v>
      </c>
    </row>
    <row r="93" spans="1:18" ht="18.75" customHeight="1">
      <c r="A93" s="901">
        <v>82</v>
      </c>
      <c r="B93" s="902" t="str">
        <f>VENDOR!D158</f>
        <v>P. PERKEDEL</v>
      </c>
      <c r="C93" s="906">
        <f>VENDOR!H158</f>
        <v>14</v>
      </c>
      <c r="D93" s="907">
        <f>VENDOR!AJ158</f>
        <v>-4</v>
      </c>
      <c r="E93" s="907">
        <f>VENDOR!AL158</f>
        <v>4</v>
      </c>
      <c r="F93" s="899">
        <f t="shared" si="13"/>
        <v>6</v>
      </c>
      <c r="G93" s="905">
        <v>6</v>
      </c>
      <c r="H93" s="899">
        <f t="shared" si="14"/>
        <v>0</v>
      </c>
      <c r="I93" s="1006"/>
      <c r="J93" s="1007"/>
      <c r="L93" s="921" t="s">
        <v>1250</v>
      </c>
      <c r="Q93" s="951">
        <f t="shared" si="12"/>
        <v>0</v>
      </c>
    </row>
    <row r="94" spans="1:18" ht="18.75" customHeight="1">
      <c r="A94" s="901">
        <v>83</v>
      </c>
      <c r="B94" s="902" t="str">
        <f>VENDOR!D159</f>
        <v>P. PATTY</v>
      </c>
      <c r="C94" s="906">
        <f>VENDOR!H159</f>
        <v>7</v>
      </c>
      <c r="D94" s="907">
        <f>VENDOR!AJ159</f>
        <v>-1</v>
      </c>
      <c r="E94" s="907">
        <f>VENDOR!AL159</f>
        <v>6</v>
      </c>
      <c r="F94" s="899">
        <f t="shared" si="13"/>
        <v>0</v>
      </c>
      <c r="G94" s="905"/>
      <c r="H94" s="899">
        <f t="shared" si="14"/>
        <v>0</v>
      </c>
      <c r="I94" s="1006"/>
      <c r="J94" s="1007"/>
      <c r="L94" s="921" t="s">
        <v>1251</v>
      </c>
      <c r="Q94" s="951">
        <f t="shared" si="12"/>
        <v>0</v>
      </c>
    </row>
    <row r="95" spans="1:18" ht="18.75" customHeight="1">
      <c r="A95" s="901">
        <v>84</v>
      </c>
      <c r="B95" s="902" t="str">
        <f>VENDOR!D160</f>
        <v>BUMBU KRIUK (BIANG BREADER)</v>
      </c>
      <c r="C95" s="906">
        <f>VENDOR!H160</f>
        <v>10</v>
      </c>
      <c r="D95" s="907">
        <f>VENDOR!AJ160</f>
        <v>0</v>
      </c>
      <c r="E95" s="907">
        <f>VENDOR!AL160</f>
        <v>6</v>
      </c>
      <c r="F95" s="899">
        <f t="shared" si="13"/>
        <v>4</v>
      </c>
      <c r="G95" s="905">
        <f>W33</f>
        <v>6.6304999999999996</v>
      </c>
      <c r="H95" s="899">
        <f t="shared" si="14"/>
        <v>2.6305000000000001</v>
      </c>
      <c r="I95" s="1006"/>
      <c r="J95" s="1007"/>
      <c r="L95" s="921" t="s">
        <v>89</v>
      </c>
      <c r="Q95" s="951">
        <f t="shared" si="12"/>
        <v>0</v>
      </c>
    </row>
    <row r="96" spans="1:18" ht="18.75" customHeight="1">
      <c r="A96" s="901">
        <v>85</v>
      </c>
      <c r="B96" s="902" t="str">
        <f>VENDOR!D161</f>
        <v>TOMAT POUCH</v>
      </c>
      <c r="C96" s="906">
        <f>VENDOR!H161</f>
        <v>0</v>
      </c>
      <c r="D96" s="907">
        <f>VENDOR!AJ161</f>
        <v>3</v>
      </c>
      <c r="E96" s="907">
        <f>VENDOR!AL161</f>
        <v>3</v>
      </c>
      <c r="F96" s="899">
        <f t="shared" si="13"/>
        <v>0</v>
      </c>
      <c r="G96" s="905"/>
      <c r="H96" s="899">
        <f t="shared" si="14"/>
        <v>0</v>
      </c>
      <c r="I96" s="1006"/>
      <c r="J96" s="1007"/>
      <c r="L96" s="921" t="s">
        <v>309</v>
      </c>
      <c r="Q96" s="951">
        <f t="shared" si="12"/>
        <v>0</v>
      </c>
    </row>
    <row r="97" spans="1:20" ht="18.75" customHeight="1">
      <c r="A97" s="901">
        <v>86</v>
      </c>
      <c r="B97" s="902" t="str">
        <f>VENDOR!D162</f>
        <v>SAMBAL POUCH</v>
      </c>
      <c r="C97" s="906">
        <f>VENDOR!H162</f>
        <v>0</v>
      </c>
      <c r="D97" s="907">
        <f>VENDOR!AJ162</f>
        <v>0</v>
      </c>
      <c r="E97" s="907">
        <f>VENDOR!AL162</f>
        <v>0</v>
      </c>
      <c r="F97" s="899">
        <f t="shared" si="13"/>
        <v>0</v>
      </c>
      <c r="G97" s="905"/>
      <c r="H97" s="899">
        <f t="shared" si="14"/>
        <v>0</v>
      </c>
      <c r="I97" s="1006"/>
      <c r="J97" s="1007"/>
      <c r="L97" s="1009"/>
      <c r="M97" s="1010"/>
      <c r="N97" s="1010"/>
      <c r="O97" s="1010"/>
      <c r="P97" s="1010"/>
      <c r="Q97" s="951">
        <f t="shared" si="12"/>
        <v>0</v>
      </c>
    </row>
    <row r="98" spans="1:20" ht="18.75" customHeight="1">
      <c r="A98" s="901">
        <v>87</v>
      </c>
      <c r="B98" s="902" t="str">
        <f>VENDOR!D163</f>
        <v>MAIZENA</v>
      </c>
      <c r="C98" s="906">
        <f>VENDOR!H163</f>
        <v>0</v>
      </c>
      <c r="D98" s="907">
        <f>VENDOR!AJ163</f>
        <v>0</v>
      </c>
      <c r="E98" s="907">
        <f>VENDOR!AL163</f>
        <v>0</v>
      </c>
      <c r="F98" s="899">
        <f t="shared" si="13"/>
        <v>0</v>
      </c>
      <c r="G98" s="905"/>
      <c r="H98" s="899">
        <f t="shared" si="14"/>
        <v>0</v>
      </c>
      <c r="I98" s="1006"/>
      <c r="J98" s="1007"/>
    </row>
    <row r="99" spans="1:20" ht="18.75" customHeight="1">
      <c r="A99" s="901">
        <v>88</v>
      </c>
      <c r="B99" s="902" t="str">
        <f>VENDOR!D164</f>
        <v>CHILLI POWDER</v>
      </c>
      <c r="C99" s="906">
        <f>VENDOR!H164</f>
        <v>1.3</v>
      </c>
      <c r="D99" s="907">
        <f>VENDOR!AJ164</f>
        <v>0</v>
      </c>
      <c r="E99" s="907">
        <f>VENDOR!AL164</f>
        <v>1.2</v>
      </c>
      <c r="F99" s="899">
        <f t="shared" si="13"/>
        <v>0.1</v>
      </c>
      <c r="G99" s="905">
        <v>1</v>
      </c>
      <c r="H99" s="899">
        <f t="shared" si="14"/>
        <v>0.9</v>
      </c>
      <c r="I99" s="1006"/>
      <c r="J99" s="1007"/>
    </row>
    <row r="100" spans="1:20" ht="18.75" customHeight="1">
      <c r="A100" s="901">
        <v>89</v>
      </c>
      <c r="B100" s="902" t="str">
        <f>VENDOR!D165</f>
        <v>DAUN BAYAM</v>
      </c>
      <c r="C100" s="906">
        <f>VENDOR!H165</f>
        <v>0</v>
      </c>
      <c r="D100" s="907">
        <f>VENDOR!AJ165</f>
        <v>0</v>
      </c>
      <c r="E100" s="907">
        <f>VENDOR!AL165</f>
        <v>0</v>
      </c>
      <c r="F100" s="899">
        <f t="shared" si="13"/>
        <v>0</v>
      </c>
      <c r="G100" s="905"/>
      <c r="H100" s="899">
        <f t="shared" si="14"/>
        <v>0</v>
      </c>
      <c r="I100" s="1006"/>
      <c r="J100" s="1007"/>
      <c r="R100" s="840"/>
      <c r="T100" s="840"/>
    </row>
    <row r="101" spans="1:20" ht="18.75" customHeight="1">
      <c r="A101" s="901">
        <v>90</v>
      </c>
      <c r="B101" s="902" t="str">
        <f>VENDOR!D166</f>
        <v>P. GREEN CRISPY</v>
      </c>
      <c r="C101" s="906">
        <f>VENDOR!H166</f>
        <v>0</v>
      </c>
      <c r="D101" s="907">
        <f>VENDOR!AJ166</f>
        <v>0</v>
      </c>
      <c r="E101" s="907">
        <f>VENDOR!AL166</f>
        <v>0</v>
      </c>
      <c r="F101" s="899">
        <f t="shared" si="13"/>
        <v>0</v>
      </c>
      <c r="G101" s="905"/>
      <c r="H101" s="899">
        <f t="shared" si="14"/>
        <v>0</v>
      </c>
      <c r="I101" s="1006"/>
      <c r="J101" s="1007"/>
      <c r="R101" s="840"/>
      <c r="T101" s="840"/>
    </row>
    <row r="102" spans="1:20" ht="18.75" customHeight="1">
      <c r="A102" s="901">
        <v>91</v>
      </c>
      <c r="B102" s="902" t="str">
        <f>VENDOR!D191</f>
        <v>TELUR CATERING STAFF</v>
      </c>
      <c r="C102" s="994">
        <f>VENDOR!H191</f>
        <v>0</v>
      </c>
      <c r="D102" s="995">
        <f>VENDOR!AJ191</f>
        <v>0</v>
      </c>
      <c r="E102" s="995">
        <f>VENDOR!AL191</f>
        <v>0</v>
      </c>
      <c r="F102" s="899">
        <f t="shared" si="13"/>
        <v>0</v>
      </c>
      <c r="G102" s="905"/>
      <c r="H102" s="899">
        <f t="shared" si="14"/>
        <v>0</v>
      </c>
      <c r="I102" s="1006"/>
      <c r="J102" s="1007"/>
      <c r="R102" s="840"/>
      <c r="T102" s="840"/>
    </row>
    <row r="103" spans="1:20" ht="18.75" customHeight="1">
      <c r="A103" s="901">
        <v>92</v>
      </c>
      <c r="B103" s="902" t="str">
        <f>VENDOR!D167</f>
        <v>BRIDER HOT SPICY</v>
      </c>
      <c r="C103" s="994">
        <f>VENDOR!H167</f>
        <v>0</v>
      </c>
      <c r="D103" s="995">
        <f>VENDOR!AJ167</f>
        <v>0</v>
      </c>
      <c r="E103" s="995">
        <f>VENDOR!AL167</f>
        <v>0</v>
      </c>
      <c r="F103" s="899">
        <f t="shared" si="13"/>
        <v>0</v>
      </c>
      <c r="G103" s="905">
        <f>L103</f>
        <v>0.9</v>
      </c>
      <c r="H103" s="899">
        <f t="shared" si="14"/>
        <v>0.9</v>
      </c>
      <c r="I103" s="1006"/>
      <c r="J103" s="1007"/>
      <c r="L103" s="840">
        <f>SUM('SALES CONTROL'!L19/130)</f>
        <v>0.9</v>
      </c>
      <c r="R103" s="840"/>
      <c r="T103" s="840"/>
    </row>
    <row r="104" spans="1:20" ht="18.75" customHeight="1">
      <c r="A104" s="901">
        <v>93</v>
      </c>
      <c r="B104" s="996"/>
      <c r="C104" s="994"/>
      <c r="D104" s="995"/>
      <c r="E104" s="995"/>
      <c r="F104" s="995"/>
      <c r="G104" s="995"/>
      <c r="H104" s="995"/>
      <c r="I104" s="1006"/>
      <c r="J104" s="1007"/>
      <c r="O104" s="840"/>
      <c r="R104" s="840"/>
      <c r="S104" s="840"/>
      <c r="T104" s="840"/>
    </row>
    <row r="105" spans="1:20" ht="18.75" customHeight="1">
      <c r="A105" s="901">
        <v>94</v>
      </c>
      <c r="B105" s="902"/>
      <c r="C105" s="994"/>
      <c r="D105" s="995"/>
      <c r="E105" s="995"/>
      <c r="F105" s="995"/>
      <c r="G105" s="995"/>
      <c r="H105" s="995"/>
      <c r="I105" s="1006"/>
      <c r="J105" s="1007"/>
      <c r="O105" s="840"/>
      <c r="R105" s="840"/>
      <c r="S105" s="840"/>
      <c r="T105" s="840"/>
    </row>
    <row r="106" spans="1:20" ht="18.75" customHeight="1">
      <c r="A106" s="901">
        <v>95</v>
      </c>
      <c r="B106" s="996"/>
      <c r="C106" s="994"/>
      <c r="D106" s="995"/>
      <c r="E106" s="995"/>
      <c r="F106" s="995"/>
      <c r="G106" s="995"/>
      <c r="H106" s="995"/>
      <c r="I106" s="1006"/>
      <c r="J106" s="1007"/>
      <c r="O106" s="918"/>
      <c r="Q106" s="918"/>
      <c r="R106" s="840"/>
      <c r="S106" s="840"/>
      <c r="T106" s="840"/>
    </row>
    <row r="107" spans="1:20" ht="18.75" customHeight="1">
      <c r="A107" s="901">
        <v>96</v>
      </c>
      <c r="B107" s="996"/>
      <c r="C107" s="994"/>
      <c r="D107" s="995"/>
      <c r="E107" s="995"/>
      <c r="F107" s="995"/>
      <c r="G107" s="995"/>
      <c r="H107" s="995"/>
      <c r="I107" s="1006"/>
      <c r="J107" s="1007"/>
      <c r="O107" s="918"/>
      <c r="R107" s="840"/>
      <c r="S107" s="840"/>
    </row>
    <row r="108" spans="1:20" ht="18.75" customHeight="1">
      <c r="A108" s="997">
        <v>97</v>
      </c>
      <c r="B108" s="998"/>
      <c r="C108" s="999"/>
      <c r="D108" s="1000"/>
      <c r="E108" s="1000"/>
      <c r="F108" s="1001"/>
      <c r="G108" s="1000"/>
      <c r="H108" s="1001"/>
      <c r="I108" s="1011"/>
      <c r="J108" s="998"/>
      <c r="S108" s="840"/>
    </row>
    <row r="109" spans="1:20">
      <c r="B109" s="1002"/>
    </row>
    <row r="110" spans="1:20">
      <c r="H110" s="2198"/>
      <c r="I110" s="2198"/>
      <c r="J110" s="2198"/>
    </row>
    <row r="111" spans="1:20">
      <c r="B111" s="1003"/>
      <c r="C111" s="1004"/>
      <c r="D111" s="1004"/>
      <c r="E111" s="1004"/>
      <c r="F111" s="1004"/>
      <c r="H111" s="2527" t="s">
        <v>391</v>
      </c>
      <c r="I111" s="2527"/>
    </row>
    <row r="112" spans="1:20">
      <c r="B112" s="1003"/>
      <c r="C112" s="1004"/>
      <c r="D112" s="1004"/>
      <c r="E112" s="1004"/>
      <c r="F112" s="1004"/>
      <c r="H112" s="1005"/>
    </row>
    <row r="113" spans="8:8">
      <c r="H113" s="1005"/>
    </row>
    <row r="114" spans="8:8">
      <c r="H114" s="1005"/>
    </row>
    <row r="115" spans="8:8">
      <c r="H115" s="1005" t="s">
        <v>1252</v>
      </c>
    </row>
  </sheetData>
  <sheetProtection algorithmName="SHA-512" hashValue="Gwgbybf5HmaiKsHxK4Ar50hrfSiZZcCuNdUZqPg6QpPmMeSZLCzyRnehmolXzIUC2W0xDIKthcLkbjyVWefzcQ==" saltValue="a5LCYimCQOGM7SUCxiifFQ==" spinCount="100000" sheet="1" objects="1" scenarios="1"/>
  <mergeCells count="36">
    <mergeCell ref="Y10:Y11"/>
    <mergeCell ref="P11:P12"/>
    <mergeCell ref="Q11:Q12"/>
    <mergeCell ref="Q19:Q21"/>
    <mergeCell ref="Q22:Q23"/>
    <mergeCell ref="W10:W11"/>
    <mergeCell ref="M11:M12"/>
    <mergeCell ref="M19:M21"/>
    <mergeCell ref="M22:M23"/>
    <mergeCell ref="N11:N12"/>
    <mergeCell ref="O11:O12"/>
    <mergeCell ref="H110:J110"/>
    <mergeCell ref="H111:I111"/>
    <mergeCell ref="A7:A8"/>
    <mergeCell ref="B7:B8"/>
    <mergeCell ref="C7:C8"/>
    <mergeCell ref="D7:D8"/>
    <mergeCell ref="E7:E8"/>
    <mergeCell ref="F7:F8"/>
    <mergeCell ref="G7:G8"/>
    <mergeCell ref="G10:G11"/>
    <mergeCell ref="H7:H8"/>
    <mergeCell ref="H10:H11"/>
    <mergeCell ref="I7:I8"/>
    <mergeCell ref="I10:I11"/>
    <mergeCell ref="J7:J8"/>
    <mergeCell ref="X44:Y44"/>
    <mergeCell ref="X45:Y45"/>
    <mergeCell ref="X46:Y46"/>
    <mergeCell ref="X47:Y47"/>
    <mergeCell ref="X48:Y48"/>
    <mergeCell ref="B2:J2"/>
    <mergeCell ref="I4:J4"/>
    <mergeCell ref="A5:B5"/>
    <mergeCell ref="I5:J5"/>
    <mergeCell ref="A6:B6"/>
  </mergeCells>
  <printOptions horizontalCentered="1"/>
  <pageMargins left="0.12" right="0.12" top="0.2" bottom="0.12" header="0.31" footer="0.31"/>
  <pageSetup paperSize="10000" scale="66" orientation="portrait"/>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C000"/>
    <pageSetUpPr fitToPage="1"/>
  </sheetPr>
  <dimension ref="B2:N44"/>
  <sheetViews>
    <sheetView tabSelected="1" topLeftCell="D11" zoomScale="80" zoomScaleNormal="80" workbookViewId="0">
      <selection activeCell="D22" sqref="D22"/>
    </sheetView>
  </sheetViews>
  <sheetFormatPr defaultColWidth="9" defaultRowHeight="12.5"/>
  <cols>
    <col min="1" max="1" width="3.81640625" style="571" customWidth="1"/>
    <col min="2" max="2" width="21.81640625" style="571" customWidth="1"/>
    <col min="3" max="13" width="18.7265625" style="571" customWidth="1"/>
    <col min="14" max="14" width="12.1796875" style="571"/>
    <col min="15" max="16384" width="9" style="571"/>
  </cols>
  <sheetData>
    <row r="2" spans="2:14" ht="30.75" customHeight="1">
      <c r="B2" s="2555" t="s">
        <v>1253</v>
      </c>
      <c r="C2" s="2555"/>
      <c r="D2" s="2555"/>
      <c r="E2" s="2555"/>
      <c r="F2" s="2555"/>
      <c r="G2" s="2555"/>
      <c r="H2" s="2555"/>
      <c r="I2" s="2555"/>
      <c r="J2" s="2555"/>
      <c r="K2" s="2555"/>
      <c r="L2" s="2555"/>
      <c r="M2" s="2555"/>
    </row>
    <row r="3" spans="2:14" ht="20.149999999999999" customHeight="1">
      <c r="B3" s="845"/>
      <c r="G3" s="846"/>
      <c r="J3" s="871"/>
      <c r="K3" s="872" t="s">
        <v>394</v>
      </c>
      <c r="L3" s="2556" t="str">
        <f>LPKK!O4</f>
        <v>RC SAMATA GOWA</v>
      </c>
      <c r="M3" s="2556"/>
    </row>
    <row r="4" spans="2:14" ht="20.149999999999999" customHeight="1">
      <c r="B4" s="845"/>
      <c r="K4" s="872" t="s">
        <v>396</v>
      </c>
      <c r="L4" s="2556" t="str">
        <f>LPKK!O5</f>
        <v>8-14 JANUARI 2025</v>
      </c>
      <c r="M4" s="2556"/>
    </row>
    <row r="5" spans="2:14" ht="11.25" customHeight="1">
      <c r="D5" s="847"/>
    </row>
    <row r="6" spans="2:14" ht="20.149999999999999" customHeight="1">
      <c r="B6" s="848" t="s">
        <v>361</v>
      </c>
      <c r="C6" s="849">
        <f>'LAP. PENJUALAN '!D6</f>
        <v>46030</v>
      </c>
      <c r="D6" s="849">
        <f>'LAP. PENJUALAN '!E6</f>
        <v>46031</v>
      </c>
      <c r="E6" s="849">
        <f>'LAP. PENJUALAN '!F6</f>
        <v>46032</v>
      </c>
      <c r="F6" s="849">
        <f>'LAP. PENJUALAN '!G6</f>
        <v>46033</v>
      </c>
      <c r="G6" s="849">
        <f>'LAP. PENJUALAN '!H6</f>
        <v>46034</v>
      </c>
      <c r="H6" s="849">
        <f>'LAP. PENJUALAN '!I6</f>
        <v>46035</v>
      </c>
      <c r="I6" s="849">
        <f>'LAP. PENJUALAN '!J6</f>
        <v>46036</v>
      </c>
      <c r="J6" s="849">
        <f>'LAP. PENJUALAN '!K6</f>
        <v>0</v>
      </c>
      <c r="K6" s="849">
        <f>'LAP. PENJUALAN '!L6</f>
        <v>0</v>
      </c>
      <c r="L6" s="849">
        <f>'LAP. PENJUALAN '!M6</f>
        <v>0</v>
      </c>
      <c r="M6" s="2558" t="s">
        <v>310</v>
      </c>
    </row>
    <row r="7" spans="2:14" ht="20.149999999999999" customHeight="1">
      <c r="B7" s="850" t="s">
        <v>471</v>
      </c>
      <c r="C7" s="851" t="str">
        <f>'LAP. PENJUALAN '!D7</f>
        <v>KAMIS</v>
      </c>
      <c r="D7" s="851" t="str">
        <f>'LAP. PENJUALAN '!E7</f>
        <v>JUMAT</v>
      </c>
      <c r="E7" s="851" t="str">
        <f>'LAP. PENJUALAN '!F7</f>
        <v>SABTU</v>
      </c>
      <c r="F7" s="851" t="str">
        <f>'LAP. PENJUALAN '!G7</f>
        <v>MINGGU</v>
      </c>
      <c r="G7" s="851" t="str">
        <f>'LAP. PENJUALAN '!H7</f>
        <v>SENIN</v>
      </c>
      <c r="H7" s="851" t="str">
        <f>'LAP. PENJUALAN '!I7</f>
        <v>SELASA</v>
      </c>
      <c r="I7" s="851" t="str">
        <f>'LAP. PENJUALAN '!J7</f>
        <v>RABU</v>
      </c>
      <c r="J7" s="851">
        <f>'LAP. PENJUALAN '!K7</f>
        <v>0</v>
      </c>
      <c r="K7" s="851">
        <f>'LAP. PENJUALAN '!L7</f>
        <v>0</v>
      </c>
      <c r="L7" s="851">
        <f>'LAP. PENJUALAN '!M7</f>
        <v>0</v>
      </c>
      <c r="M7" s="2559"/>
      <c r="N7" s="873"/>
    </row>
    <row r="8" spans="2:14" ht="20.149999999999999" customHeight="1">
      <c r="B8" s="852" t="s">
        <v>1254</v>
      </c>
      <c r="C8" s="853">
        <f>'LAP TAMBAHAN '!D296+'LAP. PENJUALAN GRAB FOOD'!D243+'LAP. PENJUALAN GO FOOD'!D240+'LAP. PENJUALAN SHOPEE FOOD'!D237+'LAP. PENJUALAN PPN 10 %'!D270+'LAP. PENJUALAN '!D273</f>
        <v>3392759</v>
      </c>
      <c r="D8" s="853">
        <f>'LAP TAMBAHAN '!E296+'LAP. PENJUALAN GRAB FOOD'!E243+'LAP. PENJUALAN GO FOOD'!E240+'LAP. PENJUALAN SHOPEE FOOD'!E237+'LAP. PENJUALAN PPN 10 %'!E270+'LAP. PENJUALAN '!E273</f>
        <v>4301026</v>
      </c>
      <c r="E8" s="853">
        <f>'LAP TAMBAHAN '!F296+'LAP. PENJUALAN GRAB FOOD'!F243+'LAP. PENJUALAN GO FOOD'!F240+'LAP. PENJUALAN SHOPEE FOOD'!F237+'LAP. PENJUALAN PPN 10 %'!F270+'LAP. PENJUALAN '!F273</f>
        <v>4152270</v>
      </c>
      <c r="F8" s="853">
        <f>'LAP TAMBAHAN '!G296+'LAP. PENJUALAN GRAB FOOD'!G243+'LAP. PENJUALAN GO FOOD'!G240+'LAP. PENJUALAN SHOPEE FOOD'!G237+'LAP. PENJUALAN PPN 10 %'!G270+'LAP. PENJUALAN '!G273</f>
        <v>4562310</v>
      </c>
      <c r="G8" s="853">
        <f>'LAP TAMBAHAN '!H296+'LAP. PENJUALAN GRAB FOOD'!H243+'LAP. PENJUALAN GO FOOD'!H240+'LAP. PENJUALAN SHOPEE FOOD'!H237+'LAP. PENJUALAN PPN 10 %'!H270+'LAP. PENJUALAN '!H273</f>
        <v>4036126</v>
      </c>
      <c r="H8" s="853">
        <f>'LAP TAMBAHAN '!I296+'LAP. PENJUALAN GRAB FOOD'!I243+'LAP. PENJUALAN GO FOOD'!I240+'LAP. PENJUALAN SHOPEE FOOD'!I237+'LAP. PENJUALAN PPN 10 %'!I270+'LAP. PENJUALAN '!I273</f>
        <v>3330020</v>
      </c>
      <c r="I8" s="853">
        <f>'LAP TAMBAHAN '!J296+'LAP. PENJUALAN GRAB FOOD'!J243+'LAP. PENJUALAN GO FOOD'!J240+'LAP. PENJUALAN SHOPEE FOOD'!J237+'LAP. PENJUALAN PPN 10 %'!J270+'LAP. PENJUALAN '!J273</f>
        <v>4353210</v>
      </c>
      <c r="J8" s="853">
        <f>'LAP TAMBAHAN '!K296+'LAP. PENJUALAN GRAB FOOD'!K243+'LAP. PENJUALAN GO FOOD'!K240+'LAP. PENJUALAN SHOPEE FOOD'!K237+'LAP. PENJUALAN PPN 10 %'!K270+'LAP. PENJUALAN '!K273</f>
        <v>0</v>
      </c>
      <c r="K8" s="853">
        <f>'LAP TAMBAHAN '!L296+'LAP. PENJUALAN GRAB FOOD'!L243+'LAP. PENJUALAN GO FOOD'!L240+'LAP. PENJUALAN SHOPEE FOOD'!L237+'LAP. PENJUALAN PPN 10 %'!L270+'LAP. PENJUALAN '!L273</f>
        <v>0</v>
      </c>
      <c r="L8" s="874">
        <f>'LAP TAMBAHAN '!M296+'LAP. PENJUALAN GRAB FOOD'!M243+'LAP. PENJUALAN GO FOOD'!M240+'LAP. PENJUALAN SHOPEE FOOD'!M237+'LAP. PENJUALAN PPN 10 %'!M270+'LAP. PENJUALAN '!M273</f>
        <v>0</v>
      </c>
      <c r="M8" s="875">
        <f>SUM(C8:L8)</f>
        <v>28127721</v>
      </c>
      <c r="N8" s="873"/>
    </row>
    <row r="9" spans="2:14" ht="20.149999999999999" customHeight="1">
      <c r="B9" s="854" t="s">
        <v>1255</v>
      </c>
      <c r="C9" s="855">
        <v>52782</v>
      </c>
      <c r="D9" s="856">
        <v>54591</v>
      </c>
      <c r="E9" s="856">
        <v>20491</v>
      </c>
      <c r="F9" s="856">
        <v>40509</v>
      </c>
      <c r="G9" s="856">
        <v>46155</v>
      </c>
      <c r="H9" s="856">
        <v>33868</v>
      </c>
      <c r="I9" s="856">
        <v>27464</v>
      </c>
      <c r="J9" s="856"/>
      <c r="K9" s="856"/>
      <c r="L9" s="876"/>
      <c r="M9" s="877">
        <f t="shared" ref="M9:M31" si="0">SUM(C9:L9)</f>
        <v>275860</v>
      </c>
      <c r="N9" s="873"/>
    </row>
    <row r="10" spans="2:14" ht="20.149999999999999" customHeight="1">
      <c r="B10" s="854" t="s">
        <v>1256</v>
      </c>
      <c r="C10" s="855">
        <v>219642</v>
      </c>
      <c r="D10" s="856">
        <v>294182</v>
      </c>
      <c r="E10" s="856">
        <v>366099</v>
      </c>
      <c r="F10" s="856">
        <v>415834</v>
      </c>
      <c r="G10" s="856">
        <v>287175</v>
      </c>
      <c r="H10" s="856">
        <v>163970</v>
      </c>
      <c r="I10" s="856">
        <v>274680</v>
      </c>
      <c r="J10" s="856"/>
      <c r="K10" s="856"/>
      <c r="L10" s="876"/>
      <c r="M10" s="877">
        <f t="shared" si="0"/>
        <v>2021582</v>
      </c>
      <c r="N10" s="873"/>
    </row>
    <row r="11" spans="2:14" ht="20.149999999999999" customHeight="1">
      <c r="B11" s="854" t="s">
        <v>1257</v>
      </c>
      <c r="C11" s="855">
        <v>116503</v>
      </c>
      <c r="D11" s="856">
        <v>25952</v>
      </c>
      <c r="E11" s="856">
        <v>40933</v>
      </c>
      <c r="F11" s="856">
        <v>28928</v>
      </c>
      <c r="G11" s="856">
        <v>38587</v>
      </c>
      <c r="H11" s="856">
        <v>37930</v>
      </c>
      <c r="I11" s="856">
        <v>40773</v>
      </c>
      <c r="J11" s="856"/>
      <c r="K11" s="856"/>
      <c r="L11" s="876"/>
      <c r="M11" s="877">
        <f t="shared" si="0"/>
        <v>329606</v>
      </c>
      <c r="N11" s="873"/>
    </row>
    <row r="12" spans="2:14" ht="20.149999999999999" customHeight="1">
      <c r="B12" s="854" t="s">
        <v>1258</v>
      </c>
      <c r="C12" s="855"/>
      <c r="D12" s="857"/>
      <c r="E12" s="857">
        <v>46000</v>
      </c>
      <c r="F12" s="858"/>
      <c r="G12" s="857"/>
      <c r="H12" s="857"/>
      <c r="I12" s="857">
        <v>28750</v>
      </c>
      <c r="J12" s="857"/>
      <c r="K12" s="857"/>
      <c r="L12" s="878"/>
      <c r="M12" s="877">
        <f t="shared" si="0"/>
        <v>74750</v>
      </c>
      <c r="N12" s="873"/>
    </row>
    <row r="13" spans="2:14" ht="20.149999999999999" customHeight="1">
      <c r="B13" s="854" t="s">
        <v>1259</v>
      </c>
      <c r="C13" s="855"/>
      <c r="D13" s="857"/>
      <c r="E13" s="857"/>
      <c r="F13" s="858"/>
      <c r="G13" s="857"/>
      <c r="H13" s="857"/>
      <c r="I13" s="857"/>
      <c r="J13" s="857"/>
      <c r="K13" s="857"/>
      <c r="L13" s="878"/>
      <c r="M13" s="877">
        <f t="shared" si="0"/>
        <v>0</v>
      </c>
      <c r="N13" s="873"/>
    </row>
    <row r="14" spans="2:14" ht="20.149999999999999" customHeight="1">
      <c r="B14" s="854" t="s">
        <v>1260</v>
      </c>
      <c r="C14" s="855">
        <v>25500</v>
      </c>
      <c r="D14" s="857">
        <v>39000</v>
      </c>
      <c r="E14" s="857">
        <v>24000</v>
      </c>
      <c r="F14" s="857">
        <v>73000</v>
      </c>
      <c r="G14" s="857">
        <v>40000</v>
      </c>
      <c r="H14" s="857">
        <v>63000</v>
      </c>
      <c r="I14" s="857">
        <v>6000</v>
      </c>
      <c r="J14" s="857"/>
      <c r="K14" s="857"/>
      <c r="L14" s="878"/>
      <c r="M14" s="877">
        <f t="shared" si="0"/>
        <v>270500</v>
      </c>
      <c r="N14" s="873"/>
    </row>
    <row r="15" spans="2:14" ht="16.5" customHeight="1">
      <c r="B15" s="854" t="s">
        <v>1261</v>
      </c>
      <c r="C15" s="855"/>
      <c r="D15" s="859"/>
      <c r="E15" s="859"/>
      <c r="F15" s="859"/>
      <c r="G15" s="859"/>
      <c r="H15" s="859"/>
      <c r="I15" s="859"/>
      <c r="J15" s="859"/>
      <c r="K15" s="859"/>
      <c r="L15" s="879"/>
      <c r="M15" s="877">
        <f t="shared" si="0"/>
        <v>0</v>
      </c>
      <c r="N15" s="873"/>
    </row>
    <row r="16" spans="2:14" ht="20.149999999999999" customHeight="1">
      <c r="B16" s="854" t="s">
        <v>1262</v>
      </c>
      <c r="C16" s="860">
        <f>C8-C9-C10-C11-C12-C14-C15-C13</f>
        <v>2978332</v>
      </c>
      <c r="D16" s="861">
        <f t="shared" ref="D16:L16" si="1">D8-D9-D10-D11-D12-D14-D15-D13</f>
        <v>3887301</v>
      </c>
      <c r="E16" s="861">
        <f t="shared" si="1"/>
        <v>3654747</v>
      </c>
      <c r="F16" s="861">
        <f t="shared" si="1"/>
        <v>4004039</v>
      </c>
      <c r="G16" s="861">
        <f t="shared" si="1"/>
        <v>3624209</v>
      </c>
      <c r="H16" s="861">
        <f t="shared" si="1"/>
        <v>3031252</v>
      </c>
      <c r="I16" s="861">
        <f t="shared" si="1"/>
        <v>3975543</v>
      </c>
      <c r="J16" s="861">
        <f t="shared" si="1"/>
        <v>0</v>
      </c>
      <c r="K16" s="861">
        <f t="shared" si="1"/>
        <v>0</v>
      </c>
      <c r="L16" s="861">
        <f t="shared" si="1"/>
        <v>0</v>
      </c>
      <c r="M16" s="877">
        <f t="shared" si="0"/>
        <v>25155423</v>
      </c>
      <c r="N16" s="873"/>
    </row>
    <row r="17" spans="2:14" ht="20.149999999999999" customHeight="1">
      <c r="B17" s="862"/>
      <c r="C17" s="863"/>
      <c r="D17" s="857"/>
      <c r="E17" s="857"/>
      <c r="F17" s="857"/>
      <c r="G17" s="857"/>
      <c r="H17" s="864"/>
      <c r="I17" s="857"/>
      <c r="J17" s="857"/>
      <c r="K17" s="857"/>
      <c r="L17" s="880"/>
      <c r="M17" s="877">
        <f t="shared" si="0"/>
        <v>0</v>
      </c>
      <c r="N17" s="873"/>
    </row>
    <row r="18" spans="2:14" ht="20.149999999999999" customHeight="1">
      <c r="B18" s="854" t="s">
        <v>1263</v>
      </c>
      <c r="C18" s="863">
        <v>221018</v>
      </c>
      <c r="D18" s="857">
        <v>226409</v>
      </c>
      <c r="E18" s="857">
        <v>81209</v>
      </c>
      <c r="F18" s="857">
        <v>165791</v>
      </c>
      <c r="G18" s="857">
        <v>193945</v>
      </c>
      <c r="H18" s="857">
        <v>138931</v>
      </c>
      <c r="I18" s="857">
        <v>112586</v>
      </c>
      <c r="J18" s="857"/>
      <c r="K18" s="857"/>
      <c r="L18" s="878"/>
      <c r="M18" s="877">
        <f t="shared" si="0"/>
        <v>1139889</v>
      </c>
      <c r="N18" s="881"/>
    </row>
    <row r="19" spans="2:14" ht="20.149999999999999" customHeight="1">
      <c r="B19" s="854" t="s">
        <v>1264</v>
      </c>
      <c r="C19" s="863">
        <v>379318</v>
      </c>
      <c r="D19" s="857">
        <v>541038</v>
      </c>
      <c r="E19" s="857">
        <v>634741</v>
      </c>
      <c r="F19" s="857">
        <v>678466</v>
      </c>
      <c r="G19" s="857">
        <v>489505</v>
      </c>
      <c r="H19" s="857">
        <v>267530</v>
      </c>
      <c r="I19" s="857">
        <v>458640</v>
      </c>
      <c r="J19" s="857"/>
      <c r="K19" s="857"/>
      <c r="L19" s="878"/>
      <c r="M19" s="877">
        <f t="shared" si="0"/>
        <v>3449238</v>
      </c>
      <c r="N19" s="873"/>
    </row>
    <row r="20" spans="2:14" ht="20.149999999999999" customHeight="1">
      <c r="B20" s="854" t="s">
        <v>1265</v>
      </c>
      <c r="C20" s="863">
        <v>349496</v>
      </c>
      <c r="D20" s="857">
        <v>77854</v>
      </c>
      <c r="E20" s="857">
        <v>122797</v>
      </c>
      <c r="F20" s="857">
        <v>86928</v>
      </c>
      <c r="G20" s="857">
        <v>115759</v>
      </c>
      <c r="H20" s="857">
        <v>113790</v>
      </c>
      <c r="I20" s="857">
        <v>122317</v>
      </c>
      <c r="J20" s="857"/>
      <c r="K20" s="857"/>
      <c r="L20" s="878"/>
      <c r="M20" s="877">
        <f t="shared" si="0"/>
        <v>988941</v>
      </c>
      <c r="N20" s="881">
        <f>SUM(L18:L21)</f>
        <v>0</v>
      </c>
    </row>
    <row r="21" spans="2:14" ht="20.149999999999999" customHeight="1">
      <c r="B21" s="854" t="s">
        <v>1266</v>
      </c>
      <c r="C21" s="863">
        <v>942854</v>
      </c>
      <c r="D21" s="857">
        <v>1894644</v>
      </c>
      <c r="E21" s="857">
        <v>1622562</v>
      </c>
      <c r="F21" s="857">
        <v>1730799</v>
      </c>
      <c r="G21" s="857">
        <v>1387718</v>
      </c>
      <c r="H21" s="857">
        <v>1287425</v>
      </c>
      <c r="I21" s="857">
        <v>2132964</v>
      </c>
      <c r="J21" s="857"/>
      <c r="K21" s="857"/>
      <c r="L21" s="878"/>
      <c r="M21" s="877">
        <f t="shared" si="0"/>
        <v>10998966</v>
      </c>
      <c r="N21" s="873"/>
    </row>
    <row r="22" spans="2:14" ht="20.149999999999999" customHeight="1">
      <c r="B22" s="854" t="s">
        <v>1267</v>
      </c>
      <c r="C22" s="865"/>
      <c r="D22" s="865"/>
      <c r="E22" s="865"/>
      <c r="F22" s="865"/>
      <c r="G22" s="865"/>
      <c r="H22" s="865"/>
      <c r="I22" s="865"/>
      <c r="J22" s="865"/>
      <c r="K22" s="865"/>
      <c r="L22" s="882"/>
      <c r="M22" s="877">
        <f t="shared" si="0"/>
        <v>0</v>
      </c>
      <c r="N22" s="881">
        <f>SUM(M18:M21)</f>
        <v>16577034</v>
      </c>
    </row>
    <row r="23" spans="2:14" ht="20.149999999999999" customHeight="1">
      <c r="B23" s="854" t="s">
        <v>1268</v>
      </c>
      <c r="C23" s="863"/>
      <c r="D23" s="857"/>
      <c r="E23" s="857"/>
      <c r="F23" s="857"/>
      <c r="G23" s="857"/>
      <c r="H23" s="857"/>
      <c r="I23" s="857"/>
      <c r="J23" s="857"/>
      <c r="K23" s="857"/>
      <c r="L23" s="880"/>
      <c r="M23" s="877">
        <f t="shared" si="0"/>
        <v>0</v>
      </c>
      <c r="N23" s="881">
        <f>N22+M29</f>
        <v>26298338</v>
      </c>
    </row>
    <row r="24" spans="2:14" ht="20.149999999999999" customHeight="1">
      <c r="B24" s="854"/>
      <c r="C24" s="865">
        <v>6647</v>
      </c>
      <c r="D24" s="866">
        <v>13356</v>
      </c>
      <c r="E24" s="866">
        <v>11438</v>
      </c>
      <c r="F24" s="866">
        <v>12201</v>
      </c>
      <c r="G24" s="866">
        <v>9783</v>
      </c>
      <c r="H24" s="866">
        <v>9076</v>
      </c>
      <c r="I24" s="866">
        <v>14931</v>
      </c>
      <c r="J24" s="866"/>
      <c r="K24" s="857"/>
      <c r="L24" s="882"/>
      <c r="M24" s="877">
        <f t="shared" si="0"/>
        <v>77432</v>
      </c>
      <c r="N24" s="873"/>
    </row>
    <row r="25" spans="2:14" ht="20.149999999999999" customHeight="1">
      <c r="B25" s="854" t="s">
        <v>1269</v>
      </c>
      <c r="C25" s="867">
        <f>C16-C18-C19-C20-C21-C22-C23</f>
        <v>1085646</v>
      </c>
      <c r="D25" s="867">
        <f t="shared" ref="D25:F25" si="2">D16-D18-D19-D20-D21-D22-D23</f>
        <v>1147356</v>
      </c>
      <c r="E25" s="867">
        <f t="shared" si="2"/>
        <v>1193438</v>
      </c>
      <c r="F25" s="867">
        <f t="shared" si="2"/>
        <v>1342055</v>
      </c>
      <c r="G25" s="867">
        <f t="shared" ref="G25:L25" si="3">G16-G18-G19-G20-G21-G22-G23</f>
        <v>1437282</v>
      </c>
      <c r="H25" s="867">
        <f t="shared" si="3"/>
        <v>1223576</v>
      </c>
      <c r="I25" s="867">
        <f t="shared" si="3"/>
        <v>1149036</v>
      </c>
      <c r="J25" s="867">
        <f t="shared" si="3"/>
        <v>0</v>
      </c>
      <c r="K25" s="867">
        <f t="shared" si="3"/>
        <v>0</v>
      </c>
      <c r="L25" s="883">
        <f t="shared" si="3"/>
        <v>0</v>
      </c>
      <c r="M25" s="884">
        <f t="shared" si="0"/>
        <v>8578389</v>
      </c>
      <c r="N25" s="873"/>
    </row>
    <row r="26" spans="2:14" ht="20.149999999999999" customHeight="1">
      <c r="B26" s="854" t="s">
        <v>1270</v>
      </c>
      <c r="C26" s="868"/>
      <c r="D26" s="868"/>
      <c r="E26" s="868"/>
      <c r="F26" s="868"/>
      <c r="G26" s="865"/>
      <c r="H26" s="865"/>
      <c r="I26" s="865"/>
      <c r="J26" s="868"/>
      <c r="K26" s="868"/>
      <c r="L26" s="878"/>
      <c r="M26" s="877">
        <f t="shared" si="0"/>
        <v>0</v>
      </c>
      <c r="N26" s="881">
        <f>M25+M26</f>
        <v>8578389</v>
      </c>
    </row>
    <row r="27" spans="2:14" ht="20.149999999999999" customHeight="1">
      <c r="B27" s="854" t="s">
        <v>1271</v>
      </c>
      <c r="C27" s="863"/>
      <c r="D27" s="857"/>
      <c r="E27" s="857"/>
      <c r="F27" s="857"/>
      <c r="G27" s="857"/>
      <c r="H27" s="857"/>
      <c r="I27" s="857"/>
      <c r="J27" s="857"/>
      <c r="K27" s="857"/>
      <c r="L27" s="878"/>
      <c r="M27" s="877">
        <f t="shared" si="0"/>
        <v>0</v>
      </c>
      <c r="N27" s="873"/>
    </row>
    <row r="28" spans="2:14" ht="20.149999999999999" customHeight="1">
      <c r="B28" s="854" t="s">
        <v>1272</v>
      </c>
      <c r="C28" s="865"/>
      <c r="D28" s="866"/>
      <c r="E28" s="866"/>
      <c r="F28" s="866"/>
      <c r="G28" s="866"/>
      <c r="H28" s="866"/>
      <c r="I28" s="866"/>
      <c r="J28" s="866"/>
      <c r="K28" s="857"/>
      <c r="L28" s="878"/>
      <c r="M28" s="877">
        <f t="shared" si="0"/>
        <v>0</v>
      </c>
      <c r="N28" s="873"/>
    </row>
    <row r="29" spans="2:14" ht="20.149999999999999" customHeight="1">
      <c r="B29" s="854" t="s">
        <v>1273</v>
      </c>
      <c r="C29" s="863">
        <v>4621304</v>
      </c>
      <c r="D29" s="857"/>
      <c r="E29" s="857"/>
      <c r="F29" s="857"/>
      <c r="G29" s="857"/>
      <c r="H29" s="857"/>
      <c r="I29" s="857">
        <v>5100000</v>
      </c>
      <c r="J29" s="857"/>
      <c r="K29" s="857"/>
      <c r="L29" s="878"/>
      <c r="M29" s="877">
        <f t="shared" si="0"/>
        <v>9721304</v>
      </c>
      <c r="N29" s="873"/>
    </row>
    <row r="30" spans="2:14" ht="20.149999999999999" customHeight="1">
      <c r="B30" s="854" t="s">
        <v>1274</v>
      </c>
      <c r="C30" s="863"/>
      <c r="D30" s="857"/>
      <c r="E30" s="857"/>
      <c r="F30" s="857"/>
      <c r="G30" s="857"/>
      <c r="H30" s="857"/>
      <c r="I30" s="857"/>
      <c r="J30" s="857"/>
      <c r="K30" s="857"/>
      <c r="L30" s="878"/>
      <c r="M30" s="877">
        <f t="shared" si="0"/>
        <v>0</v>
      </c>
      <c r="N30" s="873"/>
    </row>
    <row r="31" spans="2:14" ht="20.149999999999999" customHeight="1">
      <c r="B31" s="869" t="s">
        <v>1275</v>
      </c>
      <c r="C31" s="870">
        <f>'LAP TAMBAHAN '!D297</f>
        <v>101</v>
      </c>
      <c r="D31" s="870">
        <f>'LAP TAMBAHAN '!E297</f>
        <v>110</v>
      </c>
      <c r="E31" s="870">
        <f>'LAP TAMBAHAN '!F297</f>
        <v>105</v>
      </c>
      <c r="F31" s="870">
        <f>'LAP TAMBAHAN '!G297</f>
        <v>125</v>
      </c>
      <c r="G31" s="870">
        <f>'LAP TAMBAHAN '!H297</f>
        <v>116</v>
      </c>
      <c r="H31" s="870">
        <f>'LAP TAMBAHAN '!I297</f>
        <v>104</v>
      </c>
      <c r="I31" s="870">
        <f>'LAP TAMBAHAN '!J297</f>
        <v>118</v>
      </c>
      <c r="J31" s="870">
        <f>'LAP TAMBAHAN '!K297</f>
        <v>0</v>
      </c>
      <c r="K31" s="870">
        <f>'LAP TAMBAHAN '!L297</f>
        <v>0</v>
      </c>
      <c r="L31" s="885">
        <f>'LAP TAMBAHAN '!M297</f>
        <v>0</v>
      </c>
      <c r="M31" s="886">
        <f t="shared" si="0"/>
        <v>779</v>
      </c>
      <c r="N31" s="873"/>
    </row>
    <row r="32" spans="2:14">
      <c r="M32" s="887"/>
    </row>
    <row r="33" spans="2:13" ht="14.5">
      <c r="L33" s="651" t="s">
        <v>648</v>
      </c>
      <c r="M33" s="888"/>
    </row>
    <row r="34" spans="2:13" ht="21" customHeight="1">
      <c r="L34" s="532"/>
    </row>
    <row r="35" spans="2:13" ht="13">
      <c r="L35" s="532"/>
    </row>
    <row r="36" spans="2:13" ht="13">
      <c r="L36" s="561" t="s">
        <v>649</v>
      </c>
    </row>
    <row r="38" spans="2:13">
      <c r="K38" s="2557"/>
      <c r="L38" s="2557"/>
    </row>
    <row r="44" spans="2:13">
      <c r="B44" s="571" t="s">
        <v>61</v>
      </c>
    </row>
  </sheetData>
  <sheetProtection algorithmName="SHA-512" hashValue="pjWTTpzZUotEtNJJW2kbguYFcEB9lCl+hWKxDO37q5hoeCLKljLpv1VtsOUkC6soDXSF0XOa3yUtLVE8U3dMQQ==" saltValue="DF8x6RfUeun/8vldfrH9Yw==" spinCount="100000" sheet="1" objects="1" scenarios="1"/>
  <mergeCells count="5">
    <mergeCell ref="B2:M2"/>
    <mergeCell ref="L3:M3"/>
    <mergeCell ref="L4:M4"/>
    <mergeCell ref="K38:L38"/>
    <mergeCell ref="M6:M7"/>
  </mergeCells>
  <printOptions horizontalCentered="1" verticalCentered="1"/>
  <pageMargins left="0" right="0" top="0" bottom="0" header="0.3" footer="0.3"/>
  <pageSetup paperSize="10000" scale="71"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92D050"/>
    <pageSetUpPr fitToPage="1"/>
  </sheetPr>
  <dimension ref="A1:AI1213"/>
  <sheetViews>
    <sheetView topLeftCell="A272" zoomScale="70" zoomScaleNormal="70" workbookViewId="0">
      <pane xSplit="3" topLeftCell="I1" activePane="topRight" state="frozen"/>
      <selection pane="topRight" activeCell="G72" sqref="A1:S115"/>
    </sheetView>
  </sheetViews>
  <sheetFormatPr defaultColWidth="9.26953125" defaultRowHeight="13"/>
  <cols>
    <col min="1" max="1" width="8.7265625" style="532" customWidth="1"/>
    <col min="2" max="2" width="40.7265625" style="532" hidden="1" customWidth="1"/>
    <col min="3" max="3" width="79.7265625" style="532" customWidth="1"/>
    <col min="4" max="13" width="12.26953125" style="532" customWidth="1"/>
    <col min="14" max="14" width="12.54296875" style="532" customWidth="1"/>
    <col min="15" max="15" width="25.7265625" style="532" customWidth="1"/>
    <col min="16" max="16" width="10.54296875" style="531" customWidth="1"/>
    <col min="17" max="17" width="10.54296875" style="533" customWidth="1"/>
    <col min="18" max="18" width="10.54296875" style="531" customWidth="1"/>
    <col min="19" max="19" width="12.54296875" style="532" customWidth="1"/>
    <col min="20" max="20" width="6.7265625" style="532" customWidth="1"/>
    <col min="21" max="21" width="8.7265625" style="532" customWidth="1"/>
    <col min="22" max="22" width="4.26953125" style="532" customWidth="1"/>
    <col min="23" max="32" width="15.54296875" style="532" customWidth="1"/>
    <col min="33" max="16384" width="9.26953125" style="532"/>
  </cols>
  <sheetData>
    <row r="1" spans="1:33">
      <c r="D1" s="532">
        <v>27</v>
      </c>
    </row>
    <row r="2" spans="1:33" ht="40.15" customHeight="1">
      <c r="A2" s="2564" t="s">
        <v>1276</v>
      </c>
      <c r="B2" s="2564"/>
      <c r="C2" s="2564"/>
      <c r="D2" s="2564"/>
      <c r="E2" s="2564"/>
      <c r="F2" s="2564"/>
      <c r="G2" s="2564"/>
      <c r="H2" s="2564"/>
      <c r="I2" s="2564"/>
      <c r="J2" s="2564"/>
      <c r="K2" s="2564"/>
      <c r="L2" s="2564"/>
      <c r="M2" s="2564"/>
      <c r="N2" s="2564"/>
      <c r="O2" s="2564"/>
      <c r="P2" s="2564"/>
      <c r="Q2" s="2564"/>
      <c r="R2" s="2564"/>
      <c r="S2" s="2564"/>
      <c r="T2" s="556"/>
      <c r="U2" s="534"/>
    </row>
    <row r="3" spans="1:33" ht="25.15" customHeight="1">
      <c r="M3" s="547"/>
      <c r="N3" s="547" t="s">
        <v>1277</v>
      </c>
      <c r="O3" s="2565" t="str">
        <f>LPKK!O4</f>
        <v>RC SAMATA GOWA</v>
      </c>
      <c r="P3" s="2566"/>
      <c r="T3" s="557"/>
      <c r="U3" s="2560" t="s">
        <v>79</v>
      </c>
    </row>
    <row r="4" spans="1:33" ht="25.15" customHeight="1">
      <c r="M4" s="547"/>
      <c r="N4" s="547" t="s">
        <v>1278</v>
      </c>
      <c r="O4" s="2567" t="str">
        <f>LPKK!O5</f>
        <v>8-14 JANUARI 2025</v>
      </c>
      <c r="P4" s="2567"/>
      <c r="T4" s="557"/>
      <c r="U4" s="2560"/>
    </row>
    <row r="5" spans="1:33" ht="25.15" customHeight="1">
      <c r="A5" s="535"/>
      <c r="M5" s="535"/>
      <c r="T5" s="557"/>
      <c r="U5" s="2560"/>
    </row>
    <row r="6" spans="1:33" ht="25.15" customHeight="1">
      <c r="A6" s="2571" t="s">
        <v>65</v>
      </c>
      <c r="B6" s="2573" t="s">
        <v>1279</v>
      </c>
      <c r="C6" s="2575" t="str">
        <f>B6</f>
        <v>PRODUCT</v>
      </c>
      <c r="D6" s="796">
        <v>46030</v>
      </c>
      <c r="E6" s="796">
        <v>46031</v>
      </c>
      <c r="F6" s="796">
        <v>46032</v>
      </c>
      <c r="G6" s="796">
        <v>46033</v>
      </c>
      <c r="H6" s="796">
        <v>46034</v>
      </c>
      <c r="I6" s="796">
        <v>46035</v>
      </c>
      <c r="J6" s="796">
        <v>46036</v>
      </c>
      <c r="K6" s="796"/>
      <c r="L6" s="796"/>
      <c r="M6" s="796"/>
      <c r="N6" s="2568" t="s">
        <v>310</v>
      </c>
      <c r="O6" s="2568"/>
      <c r="P6" s="2577" t="s">
        <v>1154</v>
      </c>
      <c r="Q6" s="2579" t="s">
        <v>1280</v>
      </c>
      <c r="R6" s="2581" t="s">
        <v>1281</v>
      </c>
      <c r="S6" s="558" t="s">
        <v>365</v>
      </c>
      <c r="T6" s="559"/>
      <c r="U6" s="2560"/>
    </row>
    <row r="7" spans="1:33" ht="25.15" customHeight="1">
      <c r="A7" s="2572"/>
      <c r="B7" s="2574"/>
      <c r="C7" s="2576"/>
      <c r="D7" s="797" t="s">
        <v>473</v>
      </c>
      <c r="E7" s="798" t="s">
        <v>474</v>
      </c>
      <c r="F7" s="798" t="s">
        <v>475</v>
      </c>
      <c r="G7" s="798" t="s">
        <v>476</v>
      </c>
      <c r="H7" s="798" t="s">
        <v>477</v>
      </c>
      <c r="I7" s="798" t="s">
        <v>478</v>
      </c>
      <c r="J7" s="798" t="s">
        <v>479</v>
      </c>
      <c r="K7" s="798"/>
      <c r="L7" s="798"/>
      <c r="M7" s="798"/>
      <c r="N7" s="551" t="s">
        <v>67</v>
      </c>
      <c r="O7" s="551" t="s">
        <v>415</v>
      </c>
      <c r="P7" s="2578"/>
      <c r="Q7" s="2580"/>
      <c r="R7" s="2582"/>
      <c r="S7" s="560" t="s">
        <v>368</v>
      </c>
      <c r="T7" s="559"/>
      <c r="U7" s="2560"/>
      <c r="W7" s="561"/>
    </row>
    <row r="8" spans="1:33" ht="25.15" customHeight="1">
      <c r="A8" s="539">
        <v>1</v>
      </c>
      <c r="B8" s="540" t="s">
        <v>1282</v>
      </c>
      <c r="C8" s="799" t="str">
        <f>B8</f>
        <v>Dada</v>
      </c>
      <c r="D8" s="542">
        <v>22</v>
      </c>
      <c r="E8" s="542">
        <v>22</v>
      </c>
      <c r="F8" s="542">
        <v>30</v>
      </c>
      <c r="G8" s="542">
        <v>29</v>
      </c>
      <c r="H8" s="800">
        <v>25</v>
      </c>
      <c r="I8" s="542">
        <v>6</v>
      </c>
      <c r="J8" s="542">
        <v>15</v>
      </c>
      <c r="K8" s="542"/>
      <c r="L8" s="542"/>
      <c r="M8" s="542"/>
      <c r="N8" s="552">
        <f>SUM(D8:M8)</f>
        <v>149</v>
      </c>
      <c r="O8" s="552">
        <f>N8*S8</f>
        <v>2086000</v>
      </c>
      <c r="P8" s="553">
        <f>(O8/O273)*100</f>
        <v>10.4704420825438</v>
      </c>
      <c r="Q8" s="802">
        <f>'[1]FC ITEM KELAS 3A'!G7</f>
        <v>0.62127468470339697</v>
      </c>
      <c r="R8" s="553">
        <f>P8*Q8</f>
        <v>6.5050206035375897</v>
      </c>
      <c r="S8" s="803">
        <v>14000</v>
      </c>
      <c r="T8" s="565"/>
      <c r="U8" s="2560"/>
      <c r="W8" s="566">
        <f>D8*S8</f>
        <v>308000</v>
      </c>
      <c r="X8" s="566">
        <f>E8*S8</f>
        <v>308000</v>
      </c>
      <c r="Y8" s="566">
        <f>F8*S8</f>
        <v>420000</v>
      </c>
      <c r="Z8" s="566">
        <f>G8*S8</f>
        <v>406000</v>
      </c>
      <c r="AA8" s="566">
        <f>H8*S8</f>
        <v>350000</v>
      </c>
      <c r="AB8" s="566">
        <f>I8*S8</f>
        <v>84000</v>
      </c>
      <c r="AC8" s="566">
        <f>J8*S8</f>
        <v>210000</v>
      </c>
      <c r="AD8" s="566">
        <f>K8*S8</f>
        <v>0</v>
      </c>
      <c r="AE8" s="566">
        <f>L8*S8</f>
        <v>0</v>
      </c>
      <c r="AF8" s="566">
        <f>M8*S8</f>
        <v>0</v>
      </c>
      <c r="AG8" s="573"/>
    </row>
    <row r="9" spans="1:33" ht="25.15" customHeight="1">
      <c r="A9" s="543">
        <v>2</v>
      </c>
      <c r="B9" s="544" t="s">
        <v>1283</v>
      </c>
      <c r="C9" s="541" t="str">
        <f>B9</f>
        <v>Paha Atas</v>
      </c>
      <c r="D9" s="542">
        <v>12</v>
      </c>
      <c r="E9" s="542">
        <v>12</v>
      </c>
      <c r="F9" s="542">
        <v>20</v>
      </c>
      <c r="G9" s="542">
        <v>29</v>
      </c>
      <c r="H9" s="801">
        <v>18</v>
      </c>
      <c r="I9" s="542">
        <v>8</v>
      </c>
      <c r="J9" s="542">
        <v>6</v>
      </c>
      <c r="K9" s="542"/>
      <c r="L9" s="542"/>
      <c r="M9" s="542"/>
      <c r="N9" s="554">
        <f t="shared" ref="N9:N82" si="0">SUM(D9:M9)</f>
        <v>105</v>
      </c>
      <c r="O9" s="554">
        <f t="shared" ref="O9:O82" si="1">N9*S9</f>
        <v>1470000</v>
      </c>
      <c r="P9" s="555">
        <f>(O9/O273)*100</f>
        <v>7.37849945414162</v>
      </c>
      <c r="Q9" s="804">
        <f>'[1]FC ITEM KELAS 3A'!G8</f>
        <v>0.52742678893974104</v>
      </c>
      <c r="R9" s="555">
        <f t="shared" ref="R9:R82" si="2">P9*Q9</f>
        <v>3.8916182742915502</v>
      </c>
      <c r="S9" s="805">
        <v>14000</v>
      </c>
      <c r="T9" s="565"/>
      <c r="U9" s="2560"/>
      <c r="W9" s="566">
        <f t="shared" ref="W9:W82" si="3">D9*S9</f>
        <v>168000</v>
      </c>
      <c r="X9" s="566">
        <f t="shared" ref="X9:X72" si="4">E9*S9</f>
        <v>168000</v>
      </c>
      <c r="Y9" s="566">
        <f t="shared" ref="Y9:Y72" si="5">F9*S9</f>
        <v>280000</v>
      </c>
      <c r="Z9" s="566">
        <f t="shared" ref="Z9:Z72" si="6">G9*S9</f>
        <v>406000</v>
      </c>
      <c r="AA9" s="566">
        <f t="shared" ref="AA9:AA72" si="7">H9*S9</f>
        <v>252000</v>
      </c>
      <c r="AB9" s="566">
        <f t="shared" ref="AB9:AB72" si="8">I9*S9</f>
        <v>112000</v>
      </c>
      <c r="AC9" s="566">
        <f t="shared" ref="AC9:AC72" si="9">J9*S9</f>
        <v>84000</v>
      </c>
      <c r="AD9" s="566">
        <f t="shared" ref="AD9:AD72" si="10">K9*S9</f>
        <v>0</v>
      </c>
      <c r="AE9" s="566">
        <f t="shared" ref="AE9:AE72" si="11">L9*S9</f>
        <v>0</v>
      </c>
      <c r="AF9" s="566">
        <f t="shared" ref="AF9:AF72" si="12">M9*S9</f>
        <v>0</v>
      </c>
      <c r="AG9" s="573"/>
    </row>
    <row r="10" spans="1:33" ht="25.15" customHeight="1">
      <c r="A10" s="543">
        <v>3</v>
      </c>
      <c r="B10" s="544" t="s">
        <v>1284</v>
      </c>
      <c r="C10" s="541" t="str">
        <f t="shared" ref="C10:C73" si="13">B10</f>
        <v>Paha Bawah</v>
      </c>
      <c r="D10" s="542">
        <v>14</v>
      </c>
      <c r="E10" s="542">
        <v>10</v>
      </c>
      <c r="F10" s="542">
        <v>18</v>
      </c>
      <c r="G10" s="542">
        <v>19</v>
      </c>
      <c r="H10" s="801">
        <v>14</v>
      </c>
      <c r="I10" s="542">
        <v>10</v>
      </c>
      <c r="J10" s="542">
        <v>21</v>
      </c>
      <c r="K10" s="542"/>
      <c r="L10" s="542"/>
      <c r="M10" s="542"/>
      <c r="N10" s="554">
        <f t="shared" si="0"/>
        <v>106</v>
      </c>
      <c r="O10" s="554">
        <f t="shared" si="1"/>
        <v>1272000</v>
      </c>
      <c r="P10" s="555">
        <f>(O10/O273)*100</f>
        <v>6.3846607521551997</v>
      </c>
      <c r="Q10" s="804">
        <f>'[1]FC ITEM KELAS 3A'!G9</f>
        <v>0.46487806940572801</v>
      </c>
      <c r="R10" s="555">
        <f t="shared" si="2"/>
        <v>2.9680887642724301</v>
      </c>
      <c r="S10" s="805">
        <v>12000</v>
      </c>
      <c r="T10" s="565"/>
      <c r="U10" s="2560"/>
      <c r="W10" s="566">
        <f t="shared" si="3"/>
        <v>168000</v>
      </c>
      <c r="X10" s="566">
        <f t="shared" si="4"/>
        <v>120000</v>
      </c>
      <c r="Y10" s="566">
        <f t="shared" si="5"/>
        <v>216000</v>
      </c>
      <c r="Z10" s="566">
        <f t="shared" si="6"/>
        <v>228000</v>
      </c>
      <c r="AA10" s="566">
        <f t="shared" si="7"/>
        <v>168000</v>
      </c>
      <c r="AB10" s="566">
        <f t="shared" si="8"/>
        <v>120000</v>
      </c>
      <c r="AC10" s="566">
        <f t="shared" si="9"/>
        <v>252000</v>
      </c>
      <c r="AD10" s="566">
        <f t="shared" si="10"/>
        <v>0</v>
      </c>
      <c r="AE10" s="566">
        <f t="shared" si="11"/>
        <v>0</v>
      </c>
      <c r="AF10" s="566">
        <f t="shared" si="12"/>
        <v>0</v>
      </c>
      <c r="AG10" s="573"/>
    </row>
    <row r="11" spans="1:33" ht="25.15" customHeight="1">
      <c r="A11" s="543">
        <v>4</v>
      </c>
      <c r="B11" s="544" t="s">
        <v>1285</v>
      </c>
      <c r="C11" s="541" t="str">
        <f t="shared" si="13"/>
        <v>Sayap</v>
      </c>
      <c r="D11" s="542">
        <v>7</v>
      </c>
      <c r="E11" s="542">
        <v>8</v>
      </c>
      <c r="F11" s="542">
        <v>6</v>
      </c>
      <c r="G11" s="542">
        <v>11</v>
      </c>
      <c r="H11" s="801">
        <v>18</v>
      </c>
      <c r="I11" s="542">
        <v>11</v>
      </c>
      <c r="J11" s="542">
        <v>9</v>
      </c>
      <c r="K11" s="542"/>
      <c r="L11" s="542"/>
      <c r="M11" s="542"/>
      <c r="N11" s="554">
        <f t="shared" si="0"/>
        <v>70</v>
      </c>
      <c r="O11" s="554">
        <f t="shared" si="1"/>
        <v>770000</v>
      </c>
      <c r="P11" s="555">
        <f>(O11/O273)*100</f>
        <v>3.8649282855027498</v>
      </c>
      <c r="Q11" s="804">
        <f>'[1]FC ITEM KELAS 3A'!G10</f>
        <v>0.54622366620137297</v>
      </c>
      <c r="R11" s="555">
        <f t="shared" si="2"/>
        <v>2.1111152977127001</v>
      </c>
      <c r="S11" s="805">
        <v>11000</v>
      </c>
      <c r="T11" s="565"/>
      <c r="U11" s="2560"/>
      <c r="W11" s="566">
        <f t="shared" si="3"/>
        <v>77000</v>
      </c>
      <c r="X11" s="566">
        <f t="shared" si="4"/>
        <v>88000</v>
      </c>
      <c r="Y11" s="566">
        <f t="shared" si="5"/>
        <v>66000</v>
      </c>
      <c r="Z11" s="566">
        <f t="shared" si="6"/>
        <v>121000</v>
      </c>
      <c r="AA11" s="566">
        <f t="shared" si="7"/>
        <v>198000</v>
      </c>
      <c r="AB11" s="566">
        <f t="shared" si="8"/>
        <v>121000</v>
      </c>
      <c r="AC11" s="566">
        <f t="shared" si="9"/>
        <v>99000</v>
      </c>
      <c r="AD11" s="566">
        <f t="shared" si="10"/>
        <v>0</v>
      </c>
      <c r="AE11" s="566">
        <f t="shared" si="11"/>
        <v>0</v>
      </c>
      <c r="AF11" s="566">
        <f t="shared" si="12"/>
        <v>0</v>
      </c>
      <c r="AG11" s="573"/>
    </row>
    <row r="12" spans="1:33" ht="25.15" customHeight="1">
      <c r="A12" s="543">
        <v>5</v>
      </c>
      <c r="B12" s="544" t="s">
        <v>1286</v>
      </c>
      <c r="C12" s="541" t="str">
        <f t="shared" si="13"/>
        <v>Chicken Strips</v>
      </c>
      <c r="D12" s="542">
        <v>1</v>
      </c>
      <c r="E12" s="542">
        <v>2</v>
      </c>
      <c r="F12" s="542">
        <v>2</v>
      </c>
      <c r="G12" s="542">
        <v>1</v>
      </c>
      <c r="H12" s="801">
        <v>1</v>
      </c>
      <c r="I12" s="542"/>
      <c r="J12" s="542">
        <v>1</v>
      </c>
      <c r="K12" s="542"/>
      <c r="L12" s="542"/>
      <c r="M12" s="542"/>
      <c r="N12" s="554">
        <f t="shared" si="0"/>
        <v>8</v>
      </c>
      <c r="O12" s="554">
        <f t="shared" si="1"/>
        <v>112000</v>
      </c>
      <c r="P12" s="555">
        <f>(O12/O273)*100</f>
        <v>0.56217138698221902</v>
      </c>
      <c r="Q12" s="804">
        <f>'[1]FC ITEM KELAS 3A'!G11</f>
        <v>0.39301911872298501</v>
      </c>
      <c r="R12" s="555">
        <f t="shared" si="2"/>
        <v>0.22094410308303</v>
      </c>
      <c r="S12" s="805">
        <v>14000</v>
      </c>
      <c r="T12" s="565"/>
      <c r="U12" s="2560"/>
      <c r="W12" s="566">
        <f t="shared" si="3"/>
        <v>14000</v>
      </c>
      <c r="X12" s="566">
        <f t="shared" si="4"/>
        <v>28000</v>
      </c>
      <c r="Y12" s="566">
        <f t="shared" si="5"/>
        <v>28000</v>
      </c>
      <c r="Z12" s="566">
        <f t="shared" si="6"/>
        <v>14000</v>
      </c>
      <c r="AA12" s="566">
        <f t="shared" si="7"/>
        <v>14000</v>
      </c>
      <c r="AB12" s="566">
        <f t="shared" si="8"/>
        <v>0</v>
      </c>
      <c r="AC12" s="566">
        <f t="shared" si="9"/>
        <v>14000</v>
      </c>
      <c r="AD12" s="566">
        <f t="shared" si="10"/>
        <v>0</v>
      </c>
      <c r="AE12" s="566">
        <f t="shared" si="11"/>
        <v>0</v>
      </c>
      <c r="AF12" s="566">
        <f t="shared" si="12"/>
        <v>0</v>
      </c>
      <c r="AG12" s="573"/>
    </row>
    <row r="13" spans="1:33" ht="25.15" customHeight="1">
      <c r="A13" s="543">
        <v>6</v>
      </c>
      <c r="B13" s="544" t="s">
        <v>1287</v>
      </c>
      <c r="C13" s="541" t="str">
        <f t="shared" si="13"/>
        <v>Chicken Steak</v>
      </c>
      <c r="D13" s="542">
        <v>2</v>
      </c>
      <c r="E13" s="542"/>
      <c r="F13" s="542">
        <v>1</v>
      </c>
      <c r="G13" s="542"/>
      <c r="H13" s="801"/>
      <c r="I13" s="542"/>
      <c r="J13" s="542"/>
      <c r="K13" s="542"/>
      <c r="L13" s="542"/>
      <c r="M13" s="542"/>
      <c r="N13" s="554">
        <f t="shared" si="0"/>
        <v>3</v>
      </c>
      <c r="O13" s="554">
        <f t="shared" si="1"/>
        <v>45000</v>
      </c>
      <c r="P13" s="555">
        <f>(O13/O273)*100</f>
        <v>0.22587243226964099</v>
      </c>
      <c r="Q13" s="804">
        <f>'[1]FC ITEM KELAS 3A'!G12</f>
        <v>0.57043025459719499</v>
      </c>
      <c r="R13" s="555">
        <f t="shared" si="2"/>
        <v>0.12884446904605901</v>
      </c>
      <c r="S13" s="675">
        <v>15000</v>
      </c>
      <c r="T13" s="565"/>
      <c r="U13" s="2560"/>
      <c r="W13" s="566">
        <f t="shared" si="3"/>
        <v>30000</v>
      </c>
      <c r="X13" s="566">
        <f t="shared" si="4"/>
        <v>0</v>
      </c>
      <c r="Y13" s="566">
        <f t="shared" si="5"/>
        <v>15000</v>
      </c>
      <c r="Z13" s="566">
        <f t="shared" si="6"/>
        <v>0</v>
      </c>
      <c r="AA13" s="566">
        <f t="shared" si="7"/>
        <v>0</v>
      </c>
      <c r="AB13" s="566">
        <f t="shared" si="8"/>
        <v>0</v>
      </c>
      <c r="AC13" s="566">
        <f t="shared" si="9"/>
        <v>0</v>
      </c>
      <c r="AD13" s="566">
        <f t="shared" si="10"/>
        <v>0</v>
      </c>
      <c r="AE13" s="566">
        <f t="shared" si="11"/>
        <v>0</v>
      </c>
      <c r="AF13" s="566">
        <f t="shared" si="12"/>
        <v>0</v>
      </c>
      <c r="AG13" s="573"/>
    </row>
    <row r="14" spans="1:33" ht="25.15" customHeight="1">
      <c r="A14" s="543"/>
      <c r="B14" s="544"/>
      <c r="C14" s="541"/>
      <c r="D14" s="542"/>
      <c r="E14" s="542"/>
      <c r="F14" s="542"/>
      <c r="G14" s="542"/>
      <c r="H14" s="801"/>
      <c r="I14" s="542"/>
      <c r="J14" s="542"/>
      <c r="K14" s="542"/>
      <c r="L14" s="542"/>
      <c r="M14" s="542"/>
      <c r="N14" s="554">
        <f t="shared" si="0"/>
        <v>0</v>
      </c>
      <c r="O14" s="554">
        <f t="shared" si="1"/>
        <v>0</v>
      </c>
      <c r="P14" s="555">
        <f>(O14/O273)*100</f>
        <v>0</v>
      </c>
      <c r="Q14" s="567"/>
      <c r="R14" s="555">
        <f t="shared" si="2"/>
        <v>0</v>
      </c>
      <c r="S14" s="564"/>
      <c r="T14" s="569"/>
      <c r="U14" s="2560"/>
      <c r="W14" s="566">
        <f t="shared" si="3"/>
        <v>0</v>
      </c>
      <c r="X14" s="566">
        <f t="shared" si="4"/>
        <v>0</v>
      </c>
      <c r="Y14" s="566">
        <f t="shared" si="5"/>
        <v>0</v>
      </c>
      <c r="Z14" s="566">
        <f t="shared" si="6"/>
        <v>0</v>
      </c>
      <c r="AA14" s="566">
        <f t="shared" si="7"/>
        <v>0</v>
      </c>
      <c r="AB14" s="566">
        <f t="shared" si="8"/>
        <v>0</v>
      </c>
      <c r="AC14" s="566">
        <f t="shared" si="9"/>
        <v>0</v>
      </c>
      <c r="AD14" s="566">
        <f t="shared" si="10"/>
        <v>0</v>
      </c>
      <c r="AE14" s="566">
        <f t="shared" si="11"/>
        <v>0</v>
      </c>
      <c r="AF14" s="566">
        <f t="shared" si="12"/>
        <v>0</v>
      </c>
      <c r="AG14" s="573"/>
    </row>
    <row r="15" spans="1:33" ht="25.15" customHeight="1">
      <c r="A15" s="543">
        <v>7</v>
      </c>
      <c r="B15" s="544" t="s">
        <v>1288</v>
      </c>
      <c r="C15" s="541" t="str">
        <f t="shared" si="13"/>
        <v>French Fries</v>
      </c>
      <c r="D15" s="542">
        <v>1</v>
      </c>
      <c r="E15" s="542">
        <v>2</v>
      </c>
      <c r="F15" s="542">
        <v>2</v>
      </c>
      <c r="G15" s="542">
        <v>4</v>
      </c>
      <c r="H15" s="801"/>
      <c r="I15" s="542">
        <v>2</v>
      </c>
      <c r="J15" s="542">
        <v>3</v>
      </c>
      <c r="K15" s="542"/>
      <c r="L15" s="542"/>
      <c r="M15" s="542"/>
      <c r="N15" s="554">
        <f t="shared" si="0"/>
        <v>14</v>
      </c>
      <c r="O15" s="554">
        <f t="shared" si="1"/>
        <v>140000</v>
      </c>
      <c r="P15" s="555">
        <f>(O15/O273)*100</f>
        <v>0.70271423372777397</v>
      </c>
      <c r="Q15" s="806">
        <f>'[1]FC ITEM KELAS 3A'!G14</f>
        <v>0.46658333333333302</v>
      </c>
      <c r="R15" s="555">
        <f t="shared" si="2"/>
        <v>0.327874749553483</v>
      </c>
      <c r="S15" s="697">
        <v>10000</v>
      </c>
      <c r="T15" s="569"/>
      <c r="U15" s="2560"/>
      <c r="W15" s="566">
        <f t="shared" si="3"/>
        <v>10000</v>
      </c>
      <c r="X15" s="566">
        <f t="shared" si="4"/>
        <v>20000</v>
      </c>
      <c r="Y15" s="566">
        <f t="shared" si="5"/>
        <v>20000</v>
      </c>
      <c r="Z15" s="566">
        <f t="shared" si="6"/>
        <v>40000</v>
      </c>
      <c r="AA15" s="566">
        <f t="shared" si="7"/>
        <v>0</v>
      </c>
      <c r="AB15" s="566">
        <f t="shared" si="8"/>
        <v>20000</v>
      </c>
      <c r="AC15" s="566">
        <f t="shared" si="9"/>
        <v>30000</v>
      </c>
      <c r="AD15" s="566">
        <f t="shared" si="10"/>
        <v>0</v>
      </c>
      <c r="AE15" s="566">
        <f t="shared" si="11"/>
        <v>0</v>
      </c>
      <c r="AF15" s="566">
        <f t="shared" si="12"/>
        <v>0</v>
      </c>
      <c r="AG15" s="573"/>
    </row>
    <row r="16" spans="1:33" ht="25.15" customHeight="1">
      <c r="A16" s="543">
        <v>8</v>
      </c>
      <c r="B16" s="544" t="s">
        <v>1289</v>
      </c>
      <c r="C16" s="541" t="str">
        <f t="shared" si="13"/>
        <v>Nasi</v>
      </c>
      <c r="D16" s="542">
        <v>9</v>
      </c>
      <c r="E16" s="542">
        <v>32</v>
      </c>
      <c r="F16" s="542">
        <v>23</v>
      </c>
      <c r="G16" s="542">
        <v>31</v>
      </c>
      <c r="H16" s="801">
        <v>32</v>
      </c>
      <c r="I16" s="542">
        <v>14</v>
      </c>
      <c r="J16" s="542">
        <v>37</v>
      </c>
      <c r="K16" s="542"/>
      <c r="L16" s="542"/>
      <c r="M16" s="542"/>
      <c r="N16" s="554">
        <f t="shared" si="0"/>
        <v>178</v>
      </c>
      <c r="O16" s="554">
        <f t="shared" si="1"/>
        <v>890000</v>
      </c>
      <c r="P16" s="555">
        <f>(O16/O273)*100</f>
        <v>4.4672547715551296</v>
      </c>
      <c r="Q16" s="807">
        <f>'[1]FC ITEM KELAS 3A'!G15</f>
        <v>0.40704066985645898</v>
      </c>
      <c r="R16" s="555">
        <f t="shared" si="2"/>
        <v>1.81835437463326</v>
      </c>
      <c r="S16" s="697">
        <v>5000</v>
      </c>
      <c r="T16" s="569"/>
      <c r="U16" s="2560"/>
      <c r="W16" s="566">
        <f t="shared" si="3"/>
        <v>45000</v>
      </c>
      <c r="X16" s="566">
        <f t="shared" si="4"/>
        <v>160000</v>
      </c>
      <c r="Y16" s="566">
        <f t="shared" si="5"/>
        <v>115000</v>
      </c>
      <c r="Z16" s="566">
        <f t="shared" si="6"/>
        <v>155000</v>
      </c>
      <c r="AA16" s="566">
        <f t="shared" si="7"/>
        <v>160000</v>
      </c>
      <c r="AB16" s="566">
        <f t="shared" si="8"/>
        <v>70000</v>
      </c>
      <c r="AC16" s="566">
        <f t="shared" si="9"/>
        <v>185000</v>
      </c>
      <c r="AD16" s="566">
        <f t="shared" si="10"/>
        <v>0</v>
      </c>
      <c r="AE16" s="566">
        <f t="shared" si="11"/>
        <v>0</v>
      </c>
      <c r="AF16" s="566">
        <f t="shared" si="12"/>
        <v>0</v>
      </c>
      <c r="AG16" s="573"/>
    </row>
    <row r="17" spans="1:33" ht="25.15" customHeight="1">
      <c r="A17" s="543">
        <v>9</v>
      </c>
      <c r="B17" s="544" t="s">
        <v>1290</v>
      </c>
      <c r="C17" s="541" t="str">
        <f t="shared" si="13"/>
        <v>Perkedel</v>
      </c>
      <c r="D17" s="542">
        <v>7</v>
      </c>
      <c r="E17" s="542">
        <v>11</v>
      </c>
      <c r="F17" s="542">
        <v>8</v>
      </c>
      <c r="G17" s="542">
        <v>12</v>
      </c>
      <c r="H17" s="801">
        <v>15</v>
      </c>
      <c r="I17" s="542">
        <v>10</v>
      </c>
      <c r="J17" s="542">
        <v>3</v>
      </c>
      <c r="K17" s="542"/>
      <c r="L17" s="542"/>
      <c r="M17" s="542"/>
      <c r="N17" s="554">
        <f t="shared" si="0"/>
        <v>66</v>
      </c>
      <c r="O17" s="554">
        <f t="shared" si="1"/>
        <v>330000</v>
      </c>
      <c r="P17" s="555">
        <f>(O17/O273)*100</f>
        <v>1.6563978366440399</v>
      </c>
      <c r="Q17" s="807">
        <f>'[1]FC ITEM KELAS 3A'!G16</f>
        <v>0.55056765752424497</v>
      </c>
      <c r="R17" s="555">
        <f t="shared" si="2"/>
        <v>0.91195907684933497</v>
      </c>
      <c r="S17" s="697">
        <v>5000</v>
      </c>
      <c r="T17" s="569"/>
      <c r="U17" s="2560"/>
      <c r="W17" s="566">
        <f t="shared" si="3"/>
        <v>35000</v>
      </c>
      <c r="X17" s="566">
        <f t="shared" si="4"/>
        <v>55000</v>
      </c>
      <c r="Y17" s="566">
        <f t="shared" si="5"/>
        <v>40000</v>
      </c>
      <c r="Z17" s="566">
        <f t="shared" si="6"/>
        <v>60000</v>
      </c>
      <c r="AA17" s="566">
        <f t="shared" si="7"/>
        <v>75000</v>
      </c>
      <c r="AB17" s="566">
        <f t="shared" si="8"/>
        <v>50000</v>
      </c>
      <c r="AC17" s="566">
        <f t="shared" si="9"/>
        <v>15000</v>
      </c>
      <c r="AD17" s="566">
        <f t="shared" si="10"/>
        <v>0</v>
      </c>
      <c r="AE17" s="566">
        <f t="shared" si="11"/>
        <v>0</v>
      </c>
      <c r="AF17" s="566">
        <f t="shared" si="12"/>
        <v>0</v>
      </c>
      <c r="AG17" s="573"/>
    </row>
    <row r="18" spans="1:33" ht="25.15" customHeight="1">
      <c r="A18" s="543">
        <v>10</v>
      </c>
      <c r="B18" s="544" t="s">
        <v>1291</v>
      </c>
      <c r="C18" s="541" t="str">
        <f t="shared" si="13"/>
        <v>Chicken Burger</v>
      </c>
      <c r="D18" s="542">
        <v>5</v>
      </c>
      <c r="E18" s="542">
        <v>4</v>
      </c>
      <c r="F18" s="542">
        <v>2</v>
      </c>
      <c r="G18" s="542">
        <v>4</v>
      </c>
      <c r="H18" s="801">
        <v>8</v>
      </c>
      <c r="I18" s="542">
        <v>3</v>
      </c>
      <c r="J18" s="542"/>
      <c r="K18" s="542"/>
      <c r="L18" s="542"/>
      <c r="M18" s="542"/>
      <c r="N18" s="554">
        <f t="shared" si="0"/>
        <v>26</v>
      </c>
      <c r="O18" s="554">
        <f t="shared" si="1"/>
        <v>390000</v>
      </c>
      <c r="P18" s="555">
        <f>(O18/O273)*100</f>
        <v>1.9575610796702301</v>
      </c>
      <c r="Q18" s="807">
        <f>'[1]FC ITEM KELAS 3A'!G17</f>
        <v>0.58816453145236203</v>
      </c>
      <c r="R18" s="555">
        <f t="shared" si="2"/>
        <v>1.15136799521362</v>
      </c>
      <c r="S18" s="697">
        <v>15000</v>
      </c>
      <c r="T18" s="569"/>
      <c r="U18" s="2560"/>
      <c r="W18" s="566">
        <f t="shared" si="3"/>
        <v>75000</v>
      </c>
      <c r="X18" s="566">
        <f t="shared" si="4"/>
        <v>60000</v>
      </c>
      <c r="Y18" s="566">
        <f t="shared" si="5"/>
        <v>30000</v>
      </c>
      <c r="Z18" s="566">
        <f t="shared" si="6"/>
        <v>60000</v>
      </c>
      <c r="AA18" s="566">
        <f t="shared" si="7"/>
        <v>120000</v>
      </c>
      <c r="AB18" s="566">
        <f t="shared" si="8"/>
        <v>45000</v>
      </c>
      <c r="AC18" s="566">
        <f t="shared" si="9"/>
        <v>0</v>
      </c>
      <c r="AD18" s="566">
        <f t="shared" si="10"/>
        <v>0</v>
      </c>
      <c r="AE18" s="566">
        <f t="shared" si="11"/>
        <v>0</v>
      </c>
      <c r="AF18" s="566">
        <f t="shared" si="12"/>
        <v>0</v>
      </c>
      <c r="AG18" s="573"/>
    </row>
    <row r="19" spans="1:33" ht="25.15" customHeight="1">
      <c r="A19" s="543">
        <v>11</v>
      </c>
      <c r="B19" s="544" t="s">
        <v>1292</v>
      </c>
      <c r="C19" s="541" t="str">
        <f t="shared" si="13"/>
        <v>Cheese Burger</v>
      </c>
      <c r="D19" s="542">
        <v>1</v>
      </c>
      <c r="E19" s="542"/>
      <c r="F19" s="542"/>
      <c r="G19" s="542">
        <v>1</v>
      </c>
      <c r="H19" s="801">
        <v>2</v>
      </c>
      <c r="I19" s="542">
        <v>3</v>
      </c>
      <c r="J19" s="542">
        <v>3</v>
      </c>
      <c r="K19" s="542"/>
      <c r="L19" s="542"/>
      <c r="M19" s="542"/>
      <c r="N19" s="554">
        <f t="shared" si="0"/>
        <v>10</v>
      </c>
      <c r="O19" s="554">
        <f t="shared" si="1"/>
        <v>170000</v>
      </c>
      <c r="P19" s="555">
        <f>(O19/O273)*100</f>
        <v>0.85329585524086804</v>
      </c>
      <c r="Q19" s="807">
        <f>'[1]FC ITEM KELAS 3A'!G18</f>
        <v>0.56308146502081702</v>
      </c>
      <c r="R19" s="555">
        <f t="shared" si="2"/>
        <v>0.48047508026521901</v>
      </c>
      <c r="S19" s="697">
        <v>17000</v>
      </c>
      <c r="T19" s="569"/>
      <c r="U19" s="2560"/>
      <c r="W19" s="566">
        <f t="shared" si="3"/>
        <v>17000</v>
      </c>
      <c r="X19" s="566">
        <f t="shared" si="4"/>
        <v>0</v>
      </c>
      <c r="Y19" s="566">
        <f t="shared" si="5"/>
        <v>0</v>
      </c>
      <c r="Z19" s="566">
        <f t="shared" si="6"/>
        <v>17000</v>
      </c>
      <c r="AA19" s="566">
        <f t="shared" si="7"/>
        <v>34000</v>
      </c>
      <c r="AB19" s="566">
        <f t="shared" si="8"/>
        <v>51000</v>
      </c>
      <c r="AC19" s="566">
        <f t="shared" si="9"/>
        <v>51000</v>
      </c>
      <c r="AD19" s="566">
        <f t="shared" si="10"/>
        <v>0</v>
      </c>
      <c r="AE19" s="566">
        <f t="shared" si="11"/>
        <v>0</v>
      </c>
      <c r="AF19" s="566">
        <f t="shared" si="12"/>
        <v>0</v>
      </c>
      <c r="AG19" s="573"/>
    </row>
    <row r="20" spans="1:33" ht="25.15" customHeight="1">
      <c r="A20" s="543">
        <v>12</v>
      </c>
      <c r="B20" s="544" t="s">
        <v>1293</v>
      </c>
      <c r="C20" s="541" t="s">
        <v>1294</v>
      </c>
      <c r="D20" s="542"/>
      <c r="E20" s="542"/>
      <c r="F20" s="542"/>
      <c r="G20" s="542"/>
      <c r="H20" s="801"/>
      <c r="I20" s="542"/>
      <c r="J20" s="542"/>
      <c r="K20" s="542"/>
      <c r="L20" s="542"/>
      <c r="M20" s="542"/>
      <c r="N20" s="554">
        <f t="shared" si="0"/>
        <v>0</v>
      </c>
      <c r="O20" s="554">
        <f t="shared" si="1"/>
        <v>0</v>
      </c>
      <c r="P20" s="555">
        <f>(O20/O273)*100</f>
        <v>0</v>
      </c>
      <c r="Q20" s="806"/>
      <c r="R20" s="555">
        <f t="shared" si="2"/>
        <v>0</v>
      </c>
      <c r="S20" s="564"/>
      <c r="T20" s="569"/>
      <c r="U20" s="2560"/>
      <c r="W20" s="566">
        <f t="shared" si="3"/>
        <v>0</v>
      </c>
      <c r="X20" s="566">
        <f t="shared" si="4"/>
        <v>0</v>
      </c>
      <c r="Y20" s="566">
        <f t="shared" si="5"/>
        <v>0</v>
      </c>
      <c r="Z20" s="566">
        <f t="shared" si="6"/>
        <v>0</v>
      </c>
      <c r="AA20" s="566">
        <f t="shared" si="7"/>
        <v>0</v>
      </c>
      <c r="AB20" s="566">
        <f t="shared" si="8"/>
        <v>0</v>
      </c>
      <c r="AC20" s="566">
        <f t="shared" si="9"/>
        <v>0</v>
      </c>
      <c r="AD20" s="566">
        <f t="shared" si="10"/>
        <v>0</v>
      </c>
      <c r="AE20" s="566">
        <f t="shared" si="11"/>
        <v>0</v>
      </c>
      <c r="AF20" s="566">
        <f t="shared" si="12"/>
        <v>0</v>
      </c>
      <c r="AG20" s="573"/>
    </row>
    <row r="21" spans="1:33" ht="25.15" customHeight="1">
      <c r="A21" s="543">
        <v>13</v>
      </c>
      <c r="B21" s="544" t="s">
        <v>1295</v>
      </c>
      <c r="C21" s="541" t="str">
        <f>B21</f>
        <v>Telur Ceplok</v>
      </c>
      <c r="D21" s="542"/>
      <c r="E21" s="542"/>
      <c r="F21" s="542"/>
      <c r="G21" s="542"/>
      <c r="H21" s="801"/>
      <c r="I21" s="542"/>
      <c r="J21" s="542"/>
      <c r="K21" s="542"/>
      <c r="L21" s="542"/>
      <c r="M21" s="542"/>
      <c r="N21" s="554">
        <f t="shared" si="0"/>
        <v>0</v>
      </c>
      <c r="O21" s="554">
        <f t="shared" si="1"/>
        <v>0</v>
      </c>
      <c r="P21" s="555">
        <f>(O21/O273)*100</f>
        <v>0</v>
      </c>
      <c r="Q21" s="808">
        <f>'[1]FC ITEM KELAS 3A'!G23</f>
        <v>0.41838999999999998</v>
      </c>
      <c r="R21" s="555">
        <f t="shared" si="2"/>
        <v>0</v>
      </c>
      <c r="S21" s="697">
        <v>5000</v>
      </c>
      <c r="T21" s="569"/>
      <c r="U21" s="2560"/>
      <c r="W21" s="566">
        <f t="shared" si="3"/>
        <v>0</v>
      </c>
      <c r="X21" s="566">
        <f t="shared" si="4"/>
        <v>0</v>
      </c>
      <c r="Y21" s="566">
        <f t="shared" si="5"/>
        <v>0</v>
      </c>
      <c r="Z21" s="566">
        <f t="shared" si="6"/>
        <v>0</v>
      </c>
      <c r="AA21" s="566">
        <f t="shared" si="7"/>
        <v>0</v>
      </c>
      <c r="AB21" s="566">
        <f t="shared" si="8"/>
        <v>0</v>
      </c>
      <c r="AC21" s="566">
        <f t="shared" si="9"/>
        <v>0</v>
      </c>
      <c r="AD21" s="566">
        <f t="shared" si="10"/>
        <v>0</v>
      </c>
      <c r="AE21" s="566">
        <f t="shared" si="11"/>
        <v>0</v>
      </c>
      <c r="AF21" s="566">
        <f t="shared" si="12"/>
        <v>0</v>
      </c>
      <c r="AG21" s="573"/>
    </row>
    <row r="22" spans="1:33" ht="25.15" customHeight="1">
      <c r="A22" s="543">
        <v>14</v>
      </c>
      <c r="B22" s="544" t="s">
        <v>1296</v>
      </c>
      <c r="C22" s="541" t="str">
        <f t="shared" si="13"/>
        <v>Nasi Goreng Telur Ceplok</v>
      </c>
      <c r="D22" s="542"/>
      <c r="E22" s="542"/>
      <c r="F22" s="542">
        <v>6</v>
      </c>
      <c r="G22" s="542">
        <v>2</v>
      </c>
      <c r="H22" s="801">
        <v>3</v>
      </c>
      <c r="I22" s="542"/>
      <c r="J22" s="542"/>
      <c r="K22" s="542"/>
      <c r="L22" s="542"/>
      <c r="M22" s="542"/>
      <c r="N22" s="554">
        <f t="shared" si="0"/>
        <v>11</v>
      </c>
      <c r="O22" s="554">
        <f t="shared" si="1"/>
        <v>176000</v>
      </c>
      <c r="P22" s="555">
        <f>(O22/O273)*100</f>
        <v>0.88341217954348705</v>
      </c>
      <c r="Q22" s="808">
        <f>'[1]FC ITEM KELAS 3A'!G21</f>
        <v>0.67452333333333303</v>
      </c>
      <c r="R22" s="555">
        <f t="shared" si="2"/>
        <v>0.59588212805293705</v>
      </c>
      <c r="S22" s="697">
        <v>16000</v>
      </c>
      <c r="T22" s="569"/>
      <c r="U22" s="2560"/>
      <c r="W22" s="566">
        <f t="shared" si="3"/>
        <v>0</v>
      </c>
      <c r="X22" s="566">
        <f t="shared" si="4"/>
        <v>0</v>
      </c>
      <c r="Y22" s="566">
        <f t="shared" si="5"/>
        <v>96000</v>
      </c>
      <c r="Z22" s="566">
        <f t="shared" si="6"/>
        <v>32000</v>
      </c>
      <c r="AA22" s="566">
        <f t="shared" si="7"/>
        <v>48000</v>
      </c>
      <c r="AB22" s="566">
        <f t="shared" si="8"/>
        <v>0</v>
      </c>
      <c r="AC22" s="566">
        <f t="shared" si="9"/>
        <v>0</v>
      </c>
      <c r="AD22" s="566">
        <f t="shared" si="10"/>
        <v>0</v>
      </c>
      <c r="AE22" s="566">
        <f t="shared" si="11"/>
        <v>0</v>
      </c>
      <c r="AF22" s="566">
        <f t="shared" si="12"/>
        <v>0</v>
      </c>
      <c r="AG22" s="573"/>
    </row>
    <row r="23" spans="1:33" ht="25.15" customHeight="1">
      <c r="A23" s="543"/>
      <c r="B23" s="544"/>
      <c r="C23" s="541"/>
      <c r="D23" s="542"/>
      <c r="E23" s="542"/>
      <c r="F23" s="542"/>
      <c r="G23" s="542"/>
      <c r="H23" s="801"/>
      <c r="I23" s="542"/>
      <c r="J23" s="542"/>
      <c r="K23" s="542"/>
      <c r="L23" s="542"/>
      <c r="M23" s="542"/>
      <c r="N23" s="554">
        <f t="shared" si="0"/>
        <v>0</v>
      </c>
      <c r="O23" s="554">
        <f t="shared" si="1"/>
        <v>0</v>
      </c>
      <c r="P23" s="555">
        <f>(O23/O273)*100</f>
        <v>0</v>
      </c>
      <c r="Q23" s="570"/>
      <c r="R23" s="555">
        <f t="shared" si="2"/>
        <v>0</v>
      </c>
      <c r="S23" s="564"/>
      <c r="T23" s="565"/>
      <c r="U23" s="2560"/>
      <c r="V23" s="571"/>
      <c r="W23" s="566">
        <f t="shared" si="3"/>
        <v>0</v>
      </c>
      <c r="X23" s="566">
        <f t="shared" si="4"/>
        <v>0</v>
      </c>
      <c r="Y23" s="566">
        <f t="shared" si="5"/>
        <v>0</v>
      </c>
      <c r="Z23" s="566">
        <f t="shared" si="6"/>
        <v>0</v>
      </c>
      <c r="AA23" s="566">
        <f t="shared" si="7"/>
        <v>0</v>
      </c>
      <c r="AB23" s="566">
        <f t="shared" si="8"/>
        <v>0</v>
      </c>
      <c r="AC23" s="566">
        <f t="shared" si="9"/>
        <v>0</v>
      </c>
      <c r="AD23" s="566">
        <f t="shared" si="10"/>
        <v>0</v>
      </c>
      <c r="AE23" s="566">
        <f t="shared" si="11"/>
        <v>0</v>
      </c>
      <c r="AF23" s="566">
        <f t="shared" si="12"/>
        <v>0</v>
      </c>
      <c r="AG23" s="573"/>
    </row>
    <row r="24" spans="1:33" ht="25.15" customHeight="1">
      <c r="A24" s="543">
        <v>15</v>
      </c>
      <c r="B24" s="544" t="s">
        <v>1297</v>
      </c>
      <c r="C24" s="541" t="str">
        <f>B24</f>
        <v>Paket Segar 1 Dine In (Es Teh / S-tee)</v>
      </c>
      <c r="D24" s="542"/>
      <c r="E24" s="542"/>
      <c r="F24" s="542"/>
      <c r="G24" s="542"/>
      <c r="H24" s="801"/>
      <c r="I24" s="542"/>
      <c r="J24" s="542"/>
      <c r="K24" s="542"/>
      <c r="L24" s="542"/>
      <c r="M24" s="542"/>
      <c r="N24" s="554">
        <f t="shared" si="0"/>
        <v>0</v>
      </c>
      <c r="O24" s="554">
        <f t="shared" si="1"/>
        <v>0</v>
      </c>
      <c r="P24" s="555">
        <f>(O24/O273)*100</f>
        <v>0</v>
      </c>
      <c r="Q24" s="570"/>
      <c r="R24" s="555">
        <f t="shared" si="2"/>
        <v>0</v>
      </c>
      <c r="S24" s="564"/>
      <c r="T24" s="565"/>
      <c r="U24" s="2560"/>
      <c r="V24" s="571"/>
      <c r="W24" s="566">
        <f t="shared" si="3"/>
        <v>0</v>
      </c>
      <c r="X24" s="566">
        <f t="shared" si="4"/>
        <v>0</v>
      </c>
      <c r="Y24" s="566">
        <f t="shared" si="5"/>
        <v>0</v>
      </c>
      <c r="Z24" s="566">
        <f t="shared" si="6"/>
        <v>0</v>
      </c>
      <c r="AA24" s="566">
        <f t="shared" si="7"/>
        <v>0</v>
      </c>
      <c r="AB24" s="566">
        <f t="shared" si="8"/>
        <v>0</v>
      </c>
      <c r="AC24" s="566">
        <f t="shared" si="9"/>
        <v>0</v>
      </c>
      <c r="AD24" s="566">
        <f t="shared" si="10"/>
        <v>0</v>
      </c>
      <c r="AE24" s="566">
        <f t="shared" si="11"/>
        <v>0</v>
      </c>
      <c r="AF24" s="566">
        <f t="shared" si="12"/>
        <v>0</v>
      </c>
      <c r="AG24" s="573"/>
    </row>
    <row r="25" spans="1:33" ht="25.15" customHeight="1">
      <c r="A25" s="543">
        <v>16</v>
      </c>
      <c r="B25" s="544" t="s">
        <v>1298</v>
      </c>
      <c r="C25" s="541" t="str">
        <f>B25</f>
        <v>Paket Segar 1 Take Away (Es Teh / S-tee)</v>
      </c>
      <c r="D25" s="542">
        <v>7</v>
      </c>
      <c r="E25" s="542">
        <v>7</v>
      </c>
      <c r="F25" s="542">
        <v>15</v>
      </c>
      <c r="G25" s="542">
        <v>12</v>
      </c>
      <c r="H25" s="801">
        <v>9</v>
      </c>
      <c r="I25" s="542">
        <v>18</v>
      </c>
      <c r="J25" s="542">
        <v>39</v>
      </c>
      <c r="K25" s="542"/>
      <c r="L25" s="542"/>
      <c r="M25" s="542"/>
      <c r="N25" s="554">
        <f t="shared" si="0"/>
        <v>107</v>
      </c>
      <c r="O25" s="554">
        <f t="shared" si="1"/>
        <v>1498000</v>
      </c>
      <c r="P25" s="555">
        <f>(O25/O273)*100</f>
        <v>7.5190423008871798</v>
      </c>
      <c r="Q25" s="570">
        <v>0.73699999999999999</v>
      </c>
      <c r="R25" s="555">
        <f t="shared" si="2"/>
        <v>5.5415341757538501</v>
      </c>
      <c r="S25" s="564">
        <v>14000</v>
      </c>
      <c r="T25" s="565"/>
      <c r="U25" s="2560"/>
      <c r="V25" s="571"/>
      <c r="W25" s="566">
        <f t="shared" si="3"/>
        <v>98000</v>
      </c>
      <c r="X25" s="566">
        <f t="shared" si="4"/>
        <v>98000</v>
      </c>
      <c r="Y25" s="566">
        <f t="shared" si="5"/>
        <v>210000</v>
      </c>
      <c r="Z25" s="566">
        <f t="shared" si="6"/>
        <v>168000</v>
      </c>
      <c r="AA25" s="566">
        <f t="shared" si="7"/>
        <v>126000</v>
      </c>
      <c r="AB25" s="566">
        <f t="shared" si="8"/>
        <v>252000</v>
      </c>
      <c r="AC25" s="566">
        <f t="shared" si="9"/>
        <v>546000</v>
      </c>
      <c r="AD25" s="566">
        <f t="shared" si="10"/>
        <v>0</v>
      </c>
      <c r="AE25" s="566">
        <f t="shared" si="11"/>
        <v>0</v>
      </c>
      <c r="AF25" s="566">
        <f t="shared" si="12"/>
        <v>0</v>
      </c>
      <c r="AG25" s="573"/>
    </row>
    <row r="26" spans="1:33" ht="25.15" customHeight="1">
      <c r="A26" s="543">
        <v>17</v>
      </c>
      <c r="B26" s="544" t="s">
        <v>1299</v>
      </c>
      <c r="C26" s="541" t="str">
        <f t="shared" ref="C26:C31" si="14">B26</f>
        <v>Paket Segar 2 (Es Teh / S-tee)</v>
      </c>
      <c r="D26" s="542">
        <v>2</v>
      </c>
      <c r="E26" s="542"/>
      <c r="F26" s="542">
        <v>2</v>
      </c>
      <c r="G26" s="542">
        <v>1</v>
      </c>
      <c r="H26" s="801">
        <v>7</v>
      </c>
      <c r="I26" s="542"/>
      <c r="J26" s="542">
        <v>1</v>
      </c>
      <c r="K26" s="542"/>
      <c r="L26" s="542"/>
      <c r="M26" s="542"/>
      <c r="N26" s="554">
        <f t="shared" si="0"/>
        <v>13</v>
      </c>
      <c r="O26" s="554">
        <f t="shared" si="1"/>
        <v>273000</v>
      </c>
      <c r="P26" s="555">
        <f>(O26/O273)*100</f>
        <v>1.37029275576916</v>
      </c>
      <c r="Q26" s="570">
        <v>0.60599999999999998</v>
      </c>
      <c r="R26" s="555">
        <f t="shared" si="2"/>
        <v>0.83039740999611</v>
      </c>
      <c r="S26" s="564">
        <v>21000</v>
      </c>
      <c r="T26" s="565"/>
      <c r="U26" s="2560"/>
      <c r="V26" s="571"/>
      <c r="W26" s="566">
        <f t="shared" si="3"/>
        <v>42000</v>
      </c>
      <c r="X26" s="566">
        <f t="shared" si="4"/>
        <v>0</v>
      </c>
      <c r="Y26" s="566">
        <f t="shared" si="5"/>
        <v>42000</v>
      </c>
      <c r="Z26" s="566">
        <f t="shared" si="6"/>
        <v>21000</v>
      </c>
      <c r="AA26" s="566">
        <f t="shared" si="7"/>
        <v>147000</v>
      </c>
      <c r="AB26" s="566">
        <f t="shared" si="8"/>
        <v>0</v>
      </c>
      <c r="AC26" s="566">
        <f t="shared" si="9"/>
        <v>21000</v>
      </c>
      <c r="AD26" s="566">
        <f t="shared" si="10"/>
        <v>0</v>
      </c>
      <c r="AE26" s="566">
        <f t="shared" si="11"/>
        <v>0</v>
      </c>
      <c r="AF26" s="566">
        <f t="shared" si="12"/>
        <v>0</v>
      </c>
      <c r="AG26" s="573"/>
    </row>
    <row r="27" spans="1:33" ht="25.15" customHeight="1">
      <c r="A27" s="543">
        <v>18</v>
      </c>
      <c r="B27" s="544" t="s">
        <v>1300</v>
      </c>
      <c r="C27" s="541" t="str">
        <f t="shared" si="14"/>
        <v>Paket Segar 3 (Es Teh / S-tee)</v>
      </c>
      <c r="D27" s="542"/>
      <c r="E27" s="542"/>
      <c r="F27" s="542"/>
      <c r="G27" s="542"/>
      <c r="H27" s="801"/>
      <c r="I27" s="542"/>
      <c r="J27" s="542"/>
      <c r="K27" s="542"/>
      <c r="L27" s="542"/>
      <c r="M27" s="542"/>
      <c r="N27" s="554">
        <f t="shared" si="0"/>
        <v>0</v>
      </c>
      <c r="O27" s="554">
        <f t="shared" si="1"/>
        <v>0</v>
      </c>
      <c r="P27" s="555">
        <f>(O27/O273)*100</f>
        <v>0</v>
      </c>
      <c r="Q27" s="570">
        <v>0.46899999999999997</v>
      </c>
      <c r="R27" s="555">
        <f t="shared" si="2"/>
        <v>0</v>
      </c>
      <c r="S27" s="564">
        <v>20000</v>
      </c>
      <c r="T27" s="565"/>
      <c r="U27" s="2560"/>
      <c r="V27" s="571"/>
      <c r="W27" s="566">
        <f t="shared" si="3"/>
        <v>0</v>
      </c>
      <c r="X27" s="566">
        <f t="shared" si="4"/>
        <v>0</v>
      </c>
      <c r="Y27" s="566">
        <f t="shared" si="5"/>
        <v>0</v>
      </c>
      <c r="Z27" s="566">
        <f t="shared" si="6"/>
        <v>0</v>
      </c>
      <c r="AA27" s="566">
        <f t="shared" si="7"/>
        <v>0</v>
      </c>
      <c r="AB27" s="566">
        <f t="shared" si="8"/>
        <v>0</v>
      </c>
      <c r="AC27" s="566">
        <f t="shared" si="9"/>
        <v>0</v>
      </c>
      <c r="AD27" s="566">
        <f t="shared" si="10"/>
        <v>0</v>
      </c>
      <c r="AE27" s="566">
        <f t="shared" si="11"/>
        <v>0</v>
      </c>
      <c r="AF27" s="566">
        <f t="shared" si="12"/>
        <v>0</v>
      </c>
      <c r="AG27" s="573"/>
    </row>
    <row r="28" spans="1:33" ht="25.15" customHeight="1">
      <c r="A28" s="543">
        <v>19</v>
      </c>
      <c r="B28" s="544" t="s">
        <v>1301</v>
      </c>
      <c r="C28" s="541" t="str">
        <f t="shared" si="14"/>
        <v>Paket Segar 4 (Es Teh / S-tee)</v>
      </c>
      <c r="D28" s="542">
        <v>1</v>
      </c>
      <c r="E28" s="542">
        <v>5</v>
      </c>
      <c r="F28" s="542">
        <v>8</v>
      </c>
      <c r="G28" s="542">
        <v>10</v>
      </c>
      <c r="H28" s="801">
        <v>9</v>
      </c>
      <c r="I28" s="542">
        <v>12</v>
      </c>
      <c r="J28" s="542">
        <v>18</v>
      </c>
      <c r="K28" s="542"/>
      <c r="L28" s="542"/>
      <c r="M28" s="542"/>
      <c r="N28" s="554">
        <f t="shared" si="0"/>
        <v>63</v>
      </c>
      <c r="O28" s="554">
        <f t="shared" si="1"/>
        <v>945000</v>
      </c>
      <c r="P28" s="555">
        <f>(O28/O273)*100</f>
        <v>4.7433210776624701</v>
      </c>
      <c r="Q28" s="570">
        <v>0.65800000000000003</v>
      </c>
      <c r="R28" s="555">
        <f t="shared" si="2"/>
        <v>3.1211052691019101</v>
      </c>
      <c r="S28" s="564">
        <v>15000</v>
      </c>
      <c r="T28" s="565"/>
      <c r="U28" s="2560"/>
      <c r="V28" s="571"/>
      <c r="W28" s="566">
        <f t="shared" si="3"/>
        <v>15000</v>
      </c>
      <c r="X28" s="566">
        <f t="shared" si="4"/>
        <v>75000</v>
      </c>
      <c r="Y28" s="566">
        <f t="shared" si="5"/>
        <v>120000</v>
      </c>
      <c r="Z28" s="566">
        <f t="shared" si="6"/>
        <v>150000</v>
      </c>
      <c r="AA28" s="566">
        <f t="shared" si="7"/>
        <v>135000</v>
      </c>
      <c r="AB28" s="566">
        <f t="shared" si="8"/>
        <v>180000</v>
      </c>
      <c r="AC28" s="566">
        <f t="shared" si="9"/>
        <v>270000</v>
      </c>
      <c r="AD28" s="566">
        <f t="shared" si="10"/>
        <v>0</v>
      </c>
      <c r="AE28" s="566">
        <f t="shared" si="11"/>
        <v>0</v>
      </c>
      <c r="AF28" s="566">
        <f t="shared" si="12"/>
        <v>0</v>
      </c>
      <c r="AG28" s="573"/>
    </row>
    <row r="29" spans="1:33" ht="25.15" customHeight="1">
      <c r="A29" s="543">
        <v>20</v>
      </c>
      <c r="B29" s="544" t="s">
        <v>1302</v>
      </c>
      <c r="C29" s="541" t="str">
        <f t="shared" si="14"/>
        <v>Paket Segar 5 (Es Teh / S-tee)</v>
      </c>
      <c r="D29" s="542"/>
      <c r="E29" s="542"/>
      <c r="F29" s="542"/>
      <c r="G29" s="542"/>
      <c r="H29" s="801">
        <v>5</v>
      </c>
      <c r="I29" s="542">
        <v>1</v>
      </c>
      <c r="J29" s="542">
        <v>1</v>
      </c>
      <c r="K29" s="542"/>
      <c r="L29" s="542"/>
      <c r="M29" s="542"/>
      <c r="N29" s="554">
        <f t="shared" si="0"/>
        <v>7</v>
      </c>
      <c r="O29" s="554">
        <f t="shared" si="1"/>
        <v>140000</v>
      </c>
      <c r="P29" s="555">
        <f>(O29/O273)*100</f>
        <v>0.70271423372777397</v>
      </c>
      <c r="Q29" s="570">
        <v>0.39</v>
      </c>
      <c r="R29" s="555">
        <f t="shared" si="2"/>
        <v>0.27405855115383199</v>
      </c>
      <c r="S29" s="564">
        <v>20000</v>
      </c>
      <c r="T29" s="565"/>
      <c r="U29" s="2560"/>
      <c r="V29" s="571"/>
      <c r="W29" s="566">
        <f t="shared" si="3"/>
        <v>0</v>
      </c>
      <c r="X29" s="566">
        <f t="shared" si="4"/>
        <v>0</v>
      </c>
      <c r="Y29" s="566">
        <f t="shared" si="5"/>
        <v>0</v>
      </c>
      <c r="Z29" s="566">
        <f t="shared" si="6"/>
        <v>0</v>
      </c>
      <c r="AA29" s="566">
        <f t="shared" si="7"/>
        <v>100000</v>
      </c>
      <c r="AB29" s="566">
        <f t="shared" si="8"/>
        <v>20000</v>
      </c>
      <c r="AC29" s="566">
        <f t="shared" si="9"/>
        <v>20000</v>
      </c>
      <c r="AD29" s="566">
        <f t="shared" si="10"/>
        <v>0</v>
      </c>
      <c r="AE29" s="566">
        <f t="shared" si="11"/>
        <v>0</v>
      </c>
      <c r="AF29" s="566">
        <f t="shared" si="12"/>
        <v>0</v>
      </c>
      <c r="AG29" s="573"/>
    </row>
    <row r="30" spans="1:33" ht="25.15" customHeight="1">
      <c r="A30" s="543">
        <v>21</v>
      </c>
      <c r="B30" s="544" t="s">
        <v>1303</v>
      </c>
      <c r="C30" s="541" t="str">
        <f t="shared" si="14"/>
        <v>Paket Segar 6 (Es Teh / S-tee)</v>
      </c>
      <c r="D30" s="542"/>
      <c r="E30" s="542"/>
      <c r="F30" s="542"/>
      <c r="G30" s="542"/>
      <c r="H30" s="801"/>
      <c r="I30" s="542"/>
      <c r="J30" s="542"/>
      <c r="K30" s="542"/>
      <c r="L30" s="542"/>
      <c r="M30" s="542"/>
      <c r="N30" s="554">
        <f t="shared" si="0"/>
        <v>0</v>
      </c>
      <c r="O30" s="554">
        <f t="shared" si="1"/>
        <v>0</v>
      </c>
      <c r="P30" s="555">
        <f>(O30/O273)*100</f>
        <v>0</v>
      </c>
      <c r="Q30" s="570">
        <v>0.64200000000000002</v>
      </c>
      <c r="R30" s="555">
        <f t="shared" si="2"/>
        <v>0</v>
      </c>
      <c r="S30" s="564">
        <v>20000</v>
      </c>
      <c r="T30" s="565"/>
      <c r="U30" s="2560"/>
      <c r="V30" s="571"/>
      <c r="W30" s="566">
        <f t="shared" si="3"/>
        <v>0</v>
      </c>
      <c r="X30" s="566">
        <f t="shared" si="4"/>
        <v>0</v>
      </c>
      <c r="Y30" s="566">
        <f t="shared" si="5"/>
        <v>0</v>
      </c>
      <c r="Z30" s="566">
        <f t="shared" si="6"/>
        <v>0</v>
      </c>
      <c r="AA30" s="566">
        <f t="shared" si="7"/>
        <v>0</v>
      </c>
      <c r="AB30" s="566">
        <f t="shared" si="8"/>
        <v>0</v>
      </c>
      <c r="AC30" s="566">
        <f t="shared" si="9"/>
        <v>0</v>
      </c>
      <c r="AD30" s="566">
        <f t="shared" si="10"/>
        <v>0</v>
      </c>
      <c r="AE30" s="566">
        <f t="shared" si="11"/>
        <v>0</v>
      </c>
      <c r="AF30" s="566">
        <f t="shared" si="12"/>
        <v>0</v>
      </c>
      <c r="AG30" s="573"/>
    </row>
    <row r="31" spans="1:33" ht="25.15" customHeight="1">
      <c r="A31" s="543">
        <v>22</v>
      </c>
      <c r="B31" s="544" t="s">
        <v>1304</v>
      </c>
      <c r="C31" s="541" t="str">
        <f t="shared" si="14"/>
        <v>Paket Segar 7 (Es Teh / S-tee)</v>
      </c>
      <c r="D31" s="542">
        <v>6</v>
      </c>
      <c r="E31" s="542">
        <v>4</v>
      </c>
      <c r="F31" s="542">
        <v>7</v>
      </c>
      <c r="G31" s="542">
        <v>12</v>
      </c>
      <c r="H31" s="801">
        <v>5</v>
      </c>
      <c r="I31" s="542">
        <v>7</v>
      </c>
      <c r="J31" s="542">
        <v>8</v>
      </c>
      <c r="K31" s="542"/>
      <c r="L31" s="542"/>
      <c r="M31" s="542"/>
      <c r="N31" s="554">
        <f t="shared" si="0"/>
        <v>49</v>
      </c>
      <c r="O31" s="554">
        <f t="shared" si="1"/>
        <v>1029000</v>
      </c>
      <c r="P31" s="555">
        <f>(O31/O273)*100</f>
        <v>5.1649496178991399</v>
      </c>
      <c r="Q31" s="570">
        <v>0.65100000000000002</v>
      </c>
      <c r="R31" s="555">
        <f t="shared" si="2"/>
        <v>3.3623822012523399</v>
      </c>
      <c r="S31" s="564">
        <v>21000</v>
      </c>
      <c r="T31" s="565"/>
      <c r="U31" s="2560"/>
      <c r="V31" s="571"/>
      <c r="W31" s="566">
        <f t="shared" si="3"/>
        <v>126000</v>
      </c>
      <c r="X31" s="566">
        <f t="shared" si="4"/>
        <v>84000</v>
      </c>
      <c r="Y31" s="566">
        <f t="shared" si="5"/>
        <v>147000</v>
      </c>
      <c r="Z31" s="566">
        <f t="shared" si="6"/>
        <v>252000</v>
      </c>
      <c r="AA31" s="566">
        <f t="shared" si="7"/>
        <v>105000</v>
      </c>
      <c r="AB31" s="566">
        <f t="shared" si="8"/>
        <v>147000</v>
      </c>
      <c r="AC31" s="566">
        <f t="shared" si="9"/>
        <v>168000</v>
      </c>
      <c r="AD31" s="566">
        <f t="shared" si="10"/>
        <v>0</v>
      </c>
      <c r="AE31" s="566">
        <f t="shared" si="11"/>
        <v>0</v>
      </c>
      <c r="AF31" s="566">
        <f t="shared" si="12"/>
        <v>0</v>
      </c>
      <c r="AG31" s="573"/>
    </row>
    <row r="32" spans="1:33" ht="25.15" customHeight="1">
      <c r="A32" s="543"/>
      <c r="B32" s="544"/>
      <c r="C32" s="541"/>
      <c r="D32" s="542"/>
      <c r="E32" s="542"/>
      <c r="F32" s="542"/>
      <c r="G32" s="542"/>
      <c r="H32" s="801"/>
      <c r="I32" s="542"/>
      <c r="J32" s="542"/>
      <c r="K32" s="542"/>
      <c r="L32" s="542"/>
      <c r="M32" s="542"/>
      <c r="N32" s="554">
        <f t="shared" si="0"/>
        <v>0</v>
      </c>
      <c r="O32" s="554">
        <f t="shared" si="1"/>
        <v>0</v>
      </c>
      <c r="P32" s="555">
        <f>(O32/O273)*100</f>
        <v>0</v>
      </c>
      <c r="Q32" s="570"/>
      <c r="R32" s="555">
        <f t="shared" si="2"/>
        <v>0</v>
      </c>
      <c r="S32" s="564"/>
      <c r="T32" s="565"/>
      <c r="U32" s="2560"/>
      <c r="V32" s="571"/>
      <c r="W32" s="566">
        <f t="shared" si="3"/>
        <v>0</v>
      </c>
      <c r="X32" s="566">
        <f t="shared" si="4"/>
        <v>0</v>
      </c>
      <c r="Y32" s="566">
        <f t="shared" si="5"/>
        <v>0</v>
      </c>
      <c r="Z32" s="566">
        <f t="shared" si="6"/>
        <v>0</v>
      </c>
      <c r="AA32" s="566">
        <f t="shared" si="7"/>
        <v>0</v>
      </c>
      <c r="AB32" s="566">
        <f t="shared" si="8"/>
        <v>0</v>
      </c>
      <c r="AC32" s="566">
        <f t="shared" si="9"/>
        <v>0</v>
      </c>
      <c r="AD32" s="566">
        <f t="shared" si="10"/>
        <v>0</v>
      </c>
      <c r="AE32" s="566">
        <f t="shared" si="11"/>
        <v>0</v>
      </c>
      <c r="AF32" s="566">
        <f t="shared" si="12"/>
        <v>0</v>
      </c>
      <c r="AG32" s="573"/>
    </row>
    <row r="33" spans="1:33" ht="25.15" customHeight="1">
      <c r="A33" s="543">
        <v>23</v>
      </c>
      <c r="B33" s="544" t="s">
        <v>1305</v>
      </c>
      <c r="C33" s="541" t="str">
        <f>B33</f>
        <v>Paket Rocket 1 Dine In</v>
      </c>
      <c r="D33" s="542"/>
      <c r="E33" s="542"/>
      <c r="F33" s="542"/>
      <c r="G33" s="542"/>
      <c r="H33" s="801"/>
      <c r="I33" s="542"/>
      <c r="J33" s="542"/>
      <c r="K33" s="542"/>
      <c r="L33" s="542"/>
      <c r="M33" s="542"/>
      <c r="N33" s="554">
        <f t="shared" si="0"/>
        <v>0</v>
      </c>
      <c r="O33" s="554">
        <f t="shared" si="1"/>
        <v>0</v>
      </c>
      <c r="P33" s="555">
        <f>(O33/O273)*100</f>
        <v>0</v>
      </c>
      <c r="Q33" s="570"/>
      <c r="R33" s="555">
        <f t="shared" si="2"/>
        <v>0</v>
      </c>
      <c r="S33" s="564"/>
      <c r="T33" s="565"/>
      <c r="U33" s="2560"/>
      <c r="V33" s="571"/>
      <c r="W33" s="566">
        <f t="shared" si="3"/>
        <v>0</v>
      </c>
      <c r="X33" s="566">
        <f t="shared" si="4"/>
        <v>0</v>
      </c>
      <c r="Y33" s="566">
        <f t="shared" si="5"/>
        <v>0</v>
      </c>
      <c r="Z33" s="566">
        <f t="shared" si="6"/>
        <v>0</v>
      </c>
      <c r="AA33" s="566">
        <f t="shared" si="7"/>
        <v>0</v>
      </c>
      <c r="AB33" s="566">
        <f t="shared" si="8"/>
        <v>0</v>
      </c>
      <c r="AC33" s="566">
        <f t="shared" si="9"/>
        <v>0</v>
      </c>
      <c r="AD33" s="566">
        <f t="shared" si="10"/>
        <v>0</v>
      </c>
      <c r="AE33" s="566">
        <f t="shared" si="11"/>
        <v>0</v>
      </c>
      <c r="AF33" s="566">
        <f t="shared" si="12"/>
        <v>0</v>
      </c>
      <c r="AG33" s="573"/>
    </row>
    <row r="34" spans="1:33" ht="25.15" customHeight="1">
      <c r="A34" s="543">
        <v>24</v>
      </c>
      <c r="B34" s="544" t="s">
        <v>1306</v>
      </c>
      <c r="C34" s="541" t="str">
        <f t="shared" si="13"/>
        <v>Paket Rocket 1 Take Away</v>
      </c>
      <c r="D34" s="542">
        <v>1</v>
      </c>
      <c r="E34" s="542">
        <v>1</v>
      </c>
      <c r="F34" s="542">
        <v>3</v>
      </c>
      <c r="G34" s="542">
        <v>5</v>
      </c>
      <c r="H34" s="801">
        <v>2</v>
      </c>
      <c r="I34" s="542">
        <v>6</v>
      </c>
      <c r="J34" s="542">
        <v>4</v>
      </c>
      <c r="K34" s="542"/>
      <c r="L34" s="542"/>
      <c r="M34" s="542"/>
      <c r="N34" s="554">
        <f t="shared" si="0"/>
        <v>22</v>
      </c>
      <c r="O34" s="554">
        <f t="shared" si="1"/>
        <v>330000</v>
      </c>
      <c r="P34" s="555">
        <f>(O34/O273)*100</f>
        <v>1.6563978366440399</v>
      </c>
      <c r="Q34" s="806">
        <v>0.71699999999999997</v>
      </c>
      <c r="R34" s="555">
        <f t="shared" si="2"/>
        <v>1.1876372488737701</v>
      </c>
      <c r="S34" s="675">
        <v>15000</v>
      </c>
      <c r="T34" s="565"/>
      <c r="U34" s="2560"/>
      <c r="V34" s="571"/>
      <c r="W34" s="566">
        <f t="shared" si="3"/>
        <v>15000</v>
      </c>
      <c r="X34" s="566">
        <f t="shared" si="4"/>
        <v>15000</v>
      </c>
      <c r="Y34" s="566">
        <f t="shared" si="5"/>
        <v>45000</v>
      </c>
      <c r="Z34" s="566">
        <f t="shared" si="6"/>
        <v>75000</v>
      </c>
      <c r="AA34" s="566">
        <f t="shared" si="7"/>
        <v>30000</v>
      </c>
      <c r="AB34" s="566">
        <f t="shared" si="8"/>
        <v>90000</v>
      </c>
      <c r="AC34" s="566">
        <f t="shared" si="9"/>
        <v>60000</v>
      </c>
      <c r="AD34" s="566">
        <f t="shared" si="10"/>
        <v>0</v>
      </c>
      <c r="AE34" s="566">
        <f t="shared" si="11"/>
        <v>0</v>
      </c>
      <c r="AF34" s="566">
        <f t="shared" si="12"/>
        <v>0</v>
      </c>
      <c r="AG34" s="573"/>
    </row>
    <row r="35" spans="1:33" ht="25.15" customHeight="1">
      <c r="A35" s="543">
        <v>25</v>
      </c>
      <c r="B35" s="544" t="s">
        <v>1307</v>
      </c>
      <c r="C35" s="541" t="str">
        <f t="shared" si="13"/>
        <v>Paket Rocket 2</v>
      </c>
      <c r="D35" s="542"/>
      <c r="E35" s="542">
        <v>2</v>
      </c>
      <c r="F35" s="542">
        <v>3</v>
      </c>
      <c r="G35" s="542"/>
      <c r="H35" s="801"/>
      <c r="I35" s="542">
        <v>2</v>
      </c>
      <c r="J35" s="542">
        <v>1</v>
      </c>
      <c r="K35" s="542"/>
      <c r="L35" s="542"/>
      <c r="M35" s="542"/>
      <c r="N35" s="554">
        <f t="shared" si="0"/>
        <v>8</v>
      </c>
      <c r="O35" s="554">
        <f t="shared" si="1"/>
        <v>176000</v>
      </c>
      <c r="P35" s="555">
        <f>(O35/O273)*100</f>
        <v>0.88341217954348705</v>
      </c>
      <c r="Q35" s="807">
        <v>0.60199999999999998</v>
      </c>
      <c r="R35" s="555">
        <f t="shared" si="2"/>
        <v>0.53181413208517903</v>
      </c>
      <c r="S35" s="675">
        <v>22000</v>
      </c>
      <c r="T35" s="565"/>
      <c r="U35" s="2560"/>
      <c r="V35" s="571"/>
      <c r="W35" s="566">
        <f t="shared" si="3"/>
        <v>0</v>
      </c>
      <c r="X35" s="566">
        <f t="shared" si="4"/>
        <v>44000</v>
      </c>
      <c r="Y35" s="566">
        <f t="shared" si="5"/>
        <v>66000</v>
      </c>
      <c r="Z35" s="566">
        <f t="shared" si="6"/>
        <v>0</v>
      </c>
      <c r="AA35" s="566">
        <f t="shared" si="7"/>
        <v>0</v>
      </c>
      <c r="AB35" s="566">
        <f t="shared" si="8"/>
        <v>44000</v>
      </c>
      <c r="AC35" s="566">
        <f t="shared" si="9"/>
        <v>22000</v>
      </c>
      <c r="AD35" s="566">
        <f t="shared" si="10"/>
        <v>0</v>
      </c>
      <c r="AE35" s="566">
        <f t="shared" si="11"/>
        <v>0</v>
      </c>
      <c r="AF35" s="566">
        <f t="shared" si="12"/>
        <v>0</v>
      </c>
      <c r="AG35" s="573"/>
    </row>
    <row r="36" spans="1:33" ht="25.15" customHeight="1">
      <c r="A36" s="543">
        <v>26</v>
      </c>
      <c r="B36" s="544" t="s">
        <v>1308</v>
      </c>
      <c r="C36" s="541" t="str">
        <f t="shared" si="13"/>
        <v>Paket Rocket 3</v>
      </c>
      <c r="D36" s="542">
        <v>8</v>
      </c>
      <c r="E36" s="542">
        <v>9</v>
      </c>
      <c r="F36" s="542">
        <v>9</v>
      </c>
      <c r="G36" s="542"/>
      <c r="H36" s="801">
        <v>1</v>
      </c>
      <c r="I36" s="542">
        <v>8</v>
      </c>
      <c r="J36" s="542">
        <v>4</v>
      </c>
      <c r="K36" s="542"/>
      <c r="L36" s="542"/>
      <c r="M36" s="542"/>
      <c r="N36" s="554">
        <f t="shared" si="0"/>
        <v>39</v>
      </c>
      <c r="O36" s="554">
        <f t="shared" si="1"/>
        <v>858000</v>
      </c>
      <c r="P36" s="555">
        <f>(O36/O273)*100</f>
        <v>4.3066343752745002</v>
      </c>
      <c r="Q36" s="807">
        <v>0.499</v>
      </c>
      <c r="R36" s="555">
        <f t="shared" si="2"/>
        <v>2.1490105532619701</v>
      </c>
      <c r="S36" s="675">
        <v>22000</v>
      </c>
      <c r="T36" s="565"/>
      <c r="U36" s="2560"/>
      <c r="V36" s="571"/>
      <c r="W36" s="566">
        <f t="shared" si="3"/>
        <v>176000</v>
      </c>
      <c r="X36" s="566">
        <f t="shared" si="4"/>
        <v>198000</v>
      </c>
      <c r="Y36" s="566">
        <f t="shared" si="5"/>
        <v>198000</v>
      </c>
      <c r="Z36" s="566">
        <f t="shared" si="6"/>
        <v>0</v>
      </c>
      <c r="AA36" s="566">
        <f t="shared" si="7"/>
        <v>22000</v>
      </c>
      <c r="AB36" s="566">
        <f t="shared" si="8"/>
        <v>176000</v>
      </c>
      <c r="AC36" s="566">
        <f t="shared" si="9"/>
        <v>88000</v>
      </c>
      <c r="AD36" s="566">
        <f t="shared" si="10"/>
        <v>0</v>
      </c>
      <c r="AE36" s="566">
        <f t="shared" si="11"/>
        <v>0</v>
      </c>
      <c r="AF36" s="566">
        <f t="shared" si="12"/>
        <v>0</v>
      </c>
      <c r="AG36" s="573"/>
    </row>
    <row r="37" spans="1:33" ht="25.15" customHeight="1">
      <c r="A37" s="543">
        <v>27</v>
      </c>
      <c r="B37" s="544" t="s">
        <v>1309</v>
      </c>
      <c r="C37" s="541" t="str">
        <f t="shared" si="13"/>
        <v>Paket Rocket 4</v>
      </c>
      <c r="D37" s="542"/>
      <c r="E37" s="542">
        <v>1</v>
      </c>
      <c r="F37" s="542"/>
      <c r="G37" s="542"/>
      <c r="H37" s="801"/>
      <c r="I37" s="542"/>
      <c r="J37" s="542"/>
      <c r="K37" s="542"/>
      <c r="L37" s="542"/>
      <c r="M37" s="542"/>
      <c r="N37" s="554">
        <f t="shared" si="0"/>
        <v>1</v>
      </c>
      <c r="O37" s="554">
        <f t="shared" si="1"/>
        <v>21000</v>
      </c>
      <c r="P37" s="555">
        <f>(O37/O273)*100</f>
        <v>0.105407135059166</v>
      </c>
      <c r="Q37" s="807">
        <v>0.59899999999999998</v>
      </c>
      <c r="R37" s="555">
        <f t="shared" si="2"/>
        <v>6.3138873900440498E-2</v>
      </c>
      <c r="S37" s="675">
        <v>21000</v>
      </c>
      <c r="T37" s="565"/>
      <c r="U37" s="2560"/>
      <c r="V37" s="571"/>
      <c r="W37" s="566">
        <f t="shared" si="3"/>
        <v>0</v>
      </c>
      <c r="X37" s="566">
        <f t="shared" si="4"/>
        <v>21000</v>
      </c>
      <c r="Y37" s="566">
        <f t="shared" si="5"/>
        <v>0</v>
      </c>
      <c r="Z37" s="566">
        <f t="shared" si="6"/>
        <v>0</v>
      </c>
      <c r="AA37" s="566">
        <f t="shared" si="7"/>
        <v>0</v>
      </c>
      <c r="AB37" s="566">
        <f t="shared" si="8"/>
        <v>0</v>
      </c>
      <c r="AC37" s="566">
        <f t="shared" si="9"/>
        <v>0</v>
      </c>
      <c r="AD37" s="566">
        <f t="shared" si="10"/>
        <v>0</v>
      </c>
      <c r="AE37" s="566">
        <f t="shared" si="11"/>
        <v>0</v>
      </c>
      <c r="AF37" s="566">
        <f t="shared" si="12"/>
        <v>0</v>
      </c>
      <c r="AG37" s="573"/>
    </row>
    <row r="38" spans="1:33" ht="25.15" customHeight="1">
      <c r="A38" s="543">
        <v>28</v>
      </c>
      <c r="B38" s="544" t="s">
        <v>1310</v>
      </c>
      <c r="C38" s="541" t="str">
        <f t="shared" si="13"/>
        <v>Paket Rocket 5</v>
      </c>
      <c r="D38" s="542"/>
      <c r="E38" s="542"/>
      <c r="F38" s="542">
        <v>1</v>
      </c>
      <c r="G38" s="542"/>
      <c r="H38" s="801"/>
      <c r="I38" s="542"/>
      <c r="J38" s="542"/>
      <c r="K38" s="542"/>
      <c r="L38" s="542"/>
      <c r="M38" s="542"/>
      <c r="N38" s="554">
        <f t="shared" si="0"/>
        <v>1</v>
      </c>
      <c r="O38" s="554">
        <f t="shared" si="1"/>
        <v>21000</v>
      </c>
      <c r="P38" s="555">
        <f>(O38/O273)*100</f>
        <v>0.105407135059166</v>
      </c>
      <c r="Q38" s="807">
        <v>0.51100000000000001</v>
      </c>
      <c r="R38" s="555">
        <f t="shared" si="2"/>
        <v>5.3863046015233798E-2</v>
      </c>
      <c r="S38" s="675">
        <v>21000</v>
      </c>
      <c r="T38" s="565"/>
      <c r="U38" s="2560"/>
      <c r="V38" s="571"/>
      <c r="W38" s="566">
        <f t="shared" si="3"/>
        <v>0</v>
      </c>
      <c r="X38" s="566">
        <f t="shared" si="4"/>
        <v>0</v>
      </c>
      <c r="Y38" s="566">
        <f t="shared" si="5"/>
        <v>21000</v>
      </c>
      <c r="Z38" s="566">
        <f t="shared" si="6"/>
        <v>0</v>
      </c>
      <c r="AA38" s="566">
        <f t="shared" si="7"/>
        <v>0</v>
      </c>
      <c r="AB38" s="566">
        <f t="shared" si="8"/>
        <v>0</v>
      </c>
      <c r="AC38" s="566">
        <f t="shared" si="9"/>
        <v>0</v>
      </c>
      <c r="AD38" s="566">
        <f t="shared" si="10"/>
        <v>0</v>
      </c>
      <c r="AE38" s="566">
        <f t="shared" si="11"/>
        <v>0</v>
      </c>
      <c r="AF38" s="566">
        <f t="shared" si="12"/>
        <v>0</v>
      </c>
      <c r="AG38" s="573"/>
    </row>
    <row r="39" spans="1:33" ht="25.15" customHeight="1">
      <c r="A39" s="543">
        <v>29</v>
      </c>
      <c r="B39" s="544" t="s">
        <v>1311</v>
      </c>
      <c r="C39" s="541" t="str">
        <f t="shared" ref="C39:C43" si="15">B39</f>
        <v>Paket Rocket 6</v>
      </c>
      <c r="D39" s="542"/>
      <c r="E39" s="542"/>
      <c r="F39" s="542"/>
      <c r="G39" s="542"/>
      <c r="H39" s="801"/>
      <c r="I39" s="542">
        <v>1</v>
      </c>
      <c r="J39" s="542"/>
      <c r="K39" s="542"/>
      <c r="L39" s="542"/>
      <c r="M39" s="542"/>
      <c r="N39" s="554">
        <f t="shared" si="0"/>
        <v>1</v>
      </c>
      <c r="O39" s="554">
        <f t="shared" si="1"/>
        <v>22000</v>
      </c>
      <c r="P39" s="555">
        <f>(O39/O273)*100</f>
        <v>0.11042652244293601</v>
      </c>
      <c r="Q39" s="807">
        <v>0.47399999999999998</v>
      </c>
      <c r="R39" s="555">
        <f t="shared" si="2"/>
        <v>5.2342171637951601E-2</v>
      </c>
      <c r="S39" s="675">
        <v>22000</v>
      </c>
      <c r="T39" s="565"/>
      <c r="U39" s="2560"/>
      <c r="V39" s="571"/>
      <c r="W39" s="566">
        <f t="shared" si="3"/>
        <v>0</v>
      </c>
      <c r="X39" s="566">
        <f t="shared" si="4"/>
        <v>0</v>
      </c>
      <c r="Y39" s="566">
        <f t="shared" si="5"/>
        <v>0</v>
      </c>
      <c r="Z39" s="566">
        <f t="shared" si="6"/>
        <v>0</v>
      </c>
      <c r="AA39" s="566">
        <f t="shared" si="7"/>
        <v>0</v>
      </c>
      <c r="AB39" s="566">
        <f t="shared" si="8"/>
        <v>22000</v>
      </c>
      <c r="AC39" s="566">
        <f t="shared" si="9"/>
        <v>0</v>
      </c>
      <c r="AD39" s="566">
        <f t="shared" si="10"/>
        <v>0</v>
      </c>
      <c r="AE39" s="566">
        <f t="shared" si="11"/>
        <v>0</v>
      </c>
      <c r="AF39" s="566">
        <f t="shared" si="12"/>
        <v>0</v>
      </c>
      <c r="AG39" s="573"/>
    </row>
    <row r="40" spans="1:33" ht="25.15" customHeight="1">
      <c r="A40" s="543">
        <v>30</v>
      </c>
      <c r="B40" s="544" t="s">
        <v>1312</v>
      </c>
      <c r="C40" s="541" t="str">
        <f t="shared" si="15"/>
        <v>Paket Rocket 7</v>
      </c>
      <c r="D40" s="542"/>
      <c r="E40" s="542"/>
      <c r="F40" s="542"/>
      <c r="G40" s="542">
        <v>2</v>
      </c>
      <c r="H40" s="801"/>
      <c r="I40" s="542">
        <v>1</v>
      </c>
      <c r="J40" s="542">
        <v>2</v>
      </c>
      <c r="K40" s="542"/>
      <c r="L40" s="542"/>
      <c r="M40" s="542"/>
      <c r="N40" s="554">
        <f t="shared" si="0"/>
        <v>5</v>
      </c>
      <c r="O40" s="554">
        <f t="shared" si="1"/>
        <v>85000</v>
      </c>
      <c r="P40" s="555">
        <f>(O40/O273)*100</f>
        <v>0.42664792762043402</v>
      </c>
      <c r="Q40" s="807">
        <v>0.61099999999999999</v>
      </c>
      <c r="R40" s="555">
        <f t="shared" si="2"/>
        <v>0.26068188377608498</v>
      </c>
      <c r="S40" s="675">
        <v>17000</v>
      </c>
      <c r="T40" s="565"/>
      <c r="U40" s="2560"/>
      <c r="V40" s="571"/>
      <c r="W40" s="566">
        <f t="shared" si="3"/>
        <v>0</v>
      </c>
      <c r="X40" s="566">
        <f t="shared" si="4"/>
        <v>0</v>
      </c>
      <c r="Y40" s="566">
        <f t="shared" si="5"/>
        <v>0</v>
      </c>
      <c r="Z40" s="566">
        <f t="shared" si="6"/>
        <v>34000</v>
      </c>
      <c r="AA40" s="566">
        <f t="shared" si="7"/>
        <v>0</v>
      </c>
      <c r="AB40" s="566">
        <f t="shared" si="8"/>
        <v>17000</v>
      </c>
      <c r="AC40" s="566">
        <f t="shared" si="9"/>
        <v>34000</v>
      </c>
      <c r="AD40" s="566">
        <f t="shared" si="10"/>
        <v>0</v>
      </c>
      <c r="AE40" s="566">
        <f t="shared" si="11"/>
        <v>0</v>
      </c>
      <c r="AF40" s="566">
        <f t="shared" si="12"/>
        <v>0</v>
      </c>
      <c r="AG40" s="573"/>
    </row>
    <row r="41" spans="1:33" ht="25.15" customHeight="1">
      <c r="A41" s="543">
        <v>31</v>
      </c>
      <c r="B41" s="544" t="s">
        <v>1313</v>
      </c>
      <c r="C41" s="541" t="str">
        <f t="shared" si="15"/>
        <v>Paket Rocket 8</v>
      </c>
      <c r="D41" s="542"/>
      <c r="E41" s="542">
        <v>1</v>
      </c>
      <c r="F41" s="542"/>
      <c r="G41" s="542"/>
      <c r="H41" s="801"/>
      <c r="I41" s="542"/>
      <c r="J41" s="542"/>
      <c r="K41" s="542"/>
      <c r="L41" s="542"/>
      <c r="M41" s="542"/>
      <c r="N41" s="554">
        <f t="shared" si="0"/>
        <v>1</v>
      </c>
      <c r="O41" s="554">
        <f t="shared" si="1"/>
        <v>23000</v>
      </c>
      <c r="P41" s="555">
        <f>(O41/O273)*100</f>
        <v>0.11544590982670599</v>
      </c>
      <c r="Q41" s="807">
        <v>0.56699999999999995</v>
      </c>
      <c r="R41" s="555">
        <f t="shared" si="2"/>
        <v>6.5457830871742104E-2</v>
      </c>
      <c r="S41" s="675">
        <v>23000</v>
      </c>
      <c r="T41" s="565"/>
      <c r="U41" s="2560"/>
      <c r="V41" s="571"/>
      <c r="W41" s="566">
        <f t="shared" si="3"/>
        <v>0</v>
      </c>
      <c r="X41" s="566">
        <f t="shared" si="4"/>
        <v>23000</v>
      </c>
      <c r="Y41" s="566">
        <f t="shared" si="5"/>
        <v>0</v>
      </c>
      <c r="Z41" s="566">
        <f t="shared" si="6"/>
        <v>0</v>
      </c>
      <c r="AA41" s="566">
        <f t="shared" si="7"/>
        <v>0</v>
      </c>
      <c r="AB41" s="566">
        <f t="shared" si="8"/>
        <v>0</v>
      </c>
      <c r="AC41" s="566">
        <f t="shared" si="9"/>
        <v>0</v>
      </c>
      <c r="AD41" s="566">
        <f t="shared" si="10"/>
        <v>0</v>
      </c>
      <c r="AE41" s="566">
        <f t="shared" si="11"/>
        <v>0</v>
      </c>
      <c r="AF41" s="566">
        <f t="shared" si="12"/>
        <v>0</v>
      </c>
      <c r="AG41" s="573"/>
    </row>
    <row r="42" spans="1:33" ht="25.15" customHeight="1">
      <c r="A42" s="543">
        <v>32</v>
      </c>
      <c r="B42" s="544" t="s">
        <v>1314</v>
      </c>
      <c r="C42" s="541" t="str">
        <f t="shared" si="15"/>
        <v>Paket Rocket 9</v>
      </c>
      <c r="D42" s="542">
        <v>2</v>
      </c>
      <c r="E42" s="542">
        <v>5</v>
      </c>
      <c r="F42" s="542">
        <v>4</v>
      </c>
      <c r="G42" s="542"/>
      <c r="H42" s="542">
        <v>2</v>
      </c>
      <c r="I42" s="542"/>
      <c r="J42" s="542">
        <v>5</v>
      </c>
      <c r="K42" s="542"/>
      <c r="L42" s="542"/>
      <c r="M42" s="542"/>
      <c r="N42" s="554">
        <f t="shared" si="0"/>
        <v>18</v>
      </c>
      <c r="O42" s="554">
        <f t="shared" si="1"/>
        <v>432000</v>
      </c>
      <c r="P42" s="555">
        <f>(O42/O273)*100</f>
        <v>2.1683753497885601</v>
      </c>
      <c r="Q42" s="807">
        <v>0.56899999999999995</v>
      </c>
      <c r="R42" s="555">
        <f t="shared" si="2"/>
        <v>1.23380557402969</v>
      </c>
      <c r="S42" s="675">
        <v>24000</v>
      </c>
      <c r="T42" s="565"/>
      <c r="U42" s="2560"/>
      <c r="V42" s="571"/>
      <c r="W42" s="566">
        <f t="shared" si="3"/>
        <v>48000</v>
      </c>
      <c r="X42" s="566">
        <f t="shared" si="4"/>
        <v>120000</v>
      </c>
      <c r="Y42" s="566">
        <f t="shared" si="5"/>
        <v>96000</v>
      </c>
      <c r="Z42" s="566">
        <f t="shared" si="6"/>
        <v>0</v>
      </c>
      <c r="AA42" s="566">
        <f t="shared" si="7"/>
        <v>48000</v>
      </c>
      <c r="AB42" s="566">
        <f t="shared" si="8"/>
        <v>0</v>
      </c>
      <c r="AC42" s="566">
        <f t="shared" si="9"/>
        <v>120000</v>
      </c>
      <c r="AD42" s="566">
        <f t="shared" si="10"/>
        <v>0</v>
      </c>
      <c r="AE42" s="566">
        <f t="shared" si="11"/>
        <v>0</v>
      </c>
      <c r="AF42" s="566">
        <f t="shared" si="12"/>
        <v>0</v>
      </c>
      <c r="AG42" s="573"/>
    </row>
    <row r="43" spans="1:33" ht="25.15" customHeight="1">
      <c r="A43" s="543">
        <v>33</v>
      </c>
      <c r="B43" s="544" t="s">
        <v>1315</v>
      </c>
      <c r="C43" s="541" t="str">
        <f t="shared" si="15"/>
        <v>Paket Rocket 10</v>
      </c>
      <c r="D43" s="542"/>
      <c r="E43" s="542"/>
      <c r="F43" s="542"/>
      <c r="G43" s="542"/>
      <c r="H43" s="542"/>
      <c r="I43" s="542"/>
      <c r="J43" s="542"/>
      <c r="K43" s="542"/>
      <c r="L43" s="542"/>
      <c r="M43" s="542"/>
      <c r="N43" s="554">
        <f t="shared" si="0"/>
        <v>0</v>
      </c>
      <c r="O43" s="554">
        <f t="shared" si="1"/>
        <v>0</v>
      </c>
      <c r="P43" s="555">
        <f>(O43/O273)*100</f>
        <v>0</v>
      </c>
      <c r="Q43" s="807">
        <v>0.61599999999999999</v>
      </c>
      <c r="R43" s="555">
        <f t="shared" si="2"/>
        <v>0</v>
      </c>
      <c r="S43" s="675">
        <v>27000</v>
      </c>
      <c r="T43" s="565"/>
      <c r="U43" s="2560"/>
      <c r="V43" s="571"/>
      <c r="W43" s="566">
        <f t="shared" si="3"/>
        <v>0</v>
      </c>
      <c r="X43" s="566">
        <f t="shared" si="4"/>
        <v>0</v>
      </c>
      <c r="Y43" s="566">
        <f t="shared" si="5"/>
        <v>0</v>
      </c>
      <c r="Z43" s="566">
        <f t="shared" si="6"/>
        <v>0</v>
      </c>
      <c r="AA43" s="566">
        <f t="shared" si="7"/>
        <v>0</v>
      </c>
      <c r="AB43" s="566">
        <f t="shared" si="8"/>
        <v>0</v>
      </c>
      <c r="AC43" s="566">
        <f t="shared" si="9"/>
        <v>0</v>
      </c>
      <c r="AD43" s="566">
        <f t="shared" si="10"/>
        <v>0</v>
      </c>
      <c r="AE43" s="566">
        <f t="shared" si="11"/>
        <v>0</v>
      </c>
      <c r="AF43" s="566">
        <f t="shared" si="12"/>
        <v>0</v>
      </c>
      <c r="AG43" s="573"/>
    </row>
    <row r="44" spans="1:33" ht="25.15" customHeight="1">
      <c r="A44" s="543"/>
      <c r="B44" s="544"/>
      <c r="C44" s="541"/>
      <c r="D44" s="542"/>
      <c r="E44" s="542"/>
      <c r="F44" s="542"/>
      <c r="G44" s="542"/>
      <c r="H44" s="542"/>
      <c r="I44" s="542"/>
      <c r="J44" s="542"/>
      <c r="K44" s="542"/>
      <c r="L44" s="542"/>
      <c r="M44" s="542"/>
      <c r="N44" s="554">
        <f t="shared" si="0"/>
        <v>0</v>
      </c>
      <c r="O44" s="554">
        <f t="shared" si="1"/>
        <v>0</v>
      </c>
      <c r="P44" s="555">
        <f>(O44/O273)*100</f>
        <v>0</v>
      </c>
      <c r="Q44" s="808"/>
      <c r="R44" s="555">
        <f t="shared" si="2"/>
        <v>0</v>
      </c>
      <c r="S44" s="564"/>
      <c r="T44" s="565"/>
      <c r="U44" s="2560"/>
      <c r="V44" s="571"/>
      <c r="W44" s="566">
        <f t="shared" si="3"/>
        <v>0</v>
      </c>
      <c r="X44" s="566">
        <f t="shared" si="4"/>
        <v>0</v>
      </c>
      <c r="Y44" s="566">
        <f t="shared" si="5"/>
        <v>0</v>
      </c>
      <c r="Z44" s="566">
        <f t="shared" si="6"/>
        <v>0</v>
      </c>
      <c r="AA44" s="566">
        <f t="shared" si="7"/>
        <v>0</v>
      </c>
      <c r="AB44" s="566">
        <f t="shared" si="8"/>
        <v>0</v>
      </c>
      <c r="AC44" s="566">
        <f t="shared" si="9"/>
        <v>0</v>
      </c>
      <c r="AD44" s="566">
        <f t="shared" si="10"/>
        <v>0</v>
      </c>
      <c r="AE44" s="566">
        <f t="shared" si="11"/>
        <v>0</v>
      </c>
      <c r="AF44" s="566">
        <f t="shared" si="12"/>
        <v>0</v>
      </c>
      <c r="AG44" s="573"/>
    </row>
    <row r="45" spans="1:33" ht="25.15" customHeight="1">
      <c r="A45" s="543">
        <v>34</v>
      </c>
      <c r="B45" s="545" t="s">
        <v>1316</v>
      </c>
      <c r="C45" s="541" t="str">
        <f t="shared" si="13"/>
        <v>Paket Roma 1</v>
      </c>
      <c r="D45" s="542"/>
      <c r="E45" s="542"/>
      <c r="F45" s="542">
        <v>3</v>
      </c>
      <c r="G45" s="542"/>
      <c r="H45" s="542"/>
      <c r="I45" s="542"/>
      <c r="J45" s="542">
        <v>1</v>
      </c>
      <c r="K45" s="542"/>
      <c r="L45" s="542"/>
      <c r="M45" s="542"/>
      <c r="N45" s="554">
        <f t="shared" si="0"/>
        <v>4</v>
      </c>
      <c r="O45" s="554">
        <f t="shared" si="1"/>
        <v>84000</v>
      </c>
      <c r="P45" s="555">
        <f>(O45/O273)*100</f>
        <v>0.42162854023666402</v>
      </c>
      <c r="Q45" s="806">
        <v>0.55700000000000005</v>
      </c>
      <c r="R45" s="555">
        <f t="shared" si="2"/>
        <v>0.23484709691182201</v>
      </c>
      <c r="S45" s="675">
        <v>21000</v>
      </c>
      <c r="T45" s="565"/>
      <c r="U45" s="2560"/>
      <c r="V45" s="571"/>
      <c r="W45" s="566">
        <f t="shared" si="3"/>
        <v>0</v>
      </c>
      <c r="X45" s="566">
        <f t="shared" si="4"/>
        <v>0</v>
      </c>
      <c r="Y45" s="566">
        <f t="shared" si="5"/>
        <v>63000</v>
      </c>
      <c r="Z45" s="566">
        <f t="shared" si="6"/>
        <v>0</v>
      </c>
      <c r="AA45" s="566">
        <f t="shared" si="7"/>
        <v>0</v>
      </c>
      <c r="AB45" s="566">
        <f t="shared" si="8"/>
        <v>0</v>
      </c>
      <c r="AC45" s="566">
        <f t="shared" si="9"/>
        <v>21000</v>
      </c>
      <c r="AD45" s="566">
        <f t="shared" si="10"/>
        <v>0</v>
      </c>
      <c r="AE45" s="566">
        <f t="shared" si="11"/>
        <v>0</v>
      </c>
      <c r="AF45" s="566">
        <f t="shared" si="12"/>
        <v>0</v>
      </c>
      <c r="AG45" s="573"/>
    </row>
    <row r="46" spans="1:33" ht="25.15" customHeight="1">
      <c r="A46" s="543">
        <v>35</v>
      </c>
      <c r="B46" s="546" t="s">
        <v>1317</v>
      </c>
      <c r="C46" s="541" t="str">
        <f t="shared" si="13"/>
        <v>Paket Roma 2</v>
      </c>
      <c r="D46" s="542"/>
      <c r="E46" s="542"/>
      <c r="F46" s="542"/>
      <c r="G46" s="542"/>
      <c r="H46" s="542"/>
      <c r="I46" s="542"/>
      <c r="J46" s="542"/>
      <c r="K46" s="542"/>
      <c r="L46" s="542"/>
      <c r="M46" s="542"/>
      <c r="N46" s="554">
        <f t="shared" si="0"/>
        <v>0</v>
      </c>
      <c r="O46" s="554">
        <f t="shared" si="1"/>
        <v>0</v>
      </c>
      <c r="P46" s="555">
        <f>(O46/O273)*100</f>
        <v>0</v>
      </c>
      <c r="Q46" s="807">
        <v>0.47099999999999997</v>
      </c>
      <c r="R46" s="555">
        <f t="shared" si="2"/>
        <v>0</v>
      </c>
      <c r="S46" s="675">
        <v>21000</v>
      </c>
      <c r="T46" s="565"/>
      <c r="U46" s="2560"/>
      <c r="V46" s="571"/>
      <c r="W46" s="566">
        <f t="shared" si="3"/>
        <v>0</v>
      </c>
      <c r="X46" s="566">
        <f t="shared" si="4"/>
        <v>0</v>
      </c>
      <c r="Y46" s="566">
        <f t="shared" si="5"/>
        <v>0</v>
      </c>
      <c r="Z46" s="566">
        <f t="shared" si="6"/>
        <v>0</v>
      </c>
      <c r="AA46" s="566">
        <f t="shared" si="7"/>
        <v>0</v>
      </c>
      <c r="AB46" s="566">
        <f t="shared" si="8"/>
        <v>0</v>
      </c>
      <c r="AC46" s="566">
        <f t="shared" si="9"/>
        <v>0</v>
      </c>
      <c r="AD46" s="566">
        <f t="shared" si="10"/>
        <v>0</v>
      </c>
      <c r="AE46" s="566">
        <f t="shared" si="11"/>
        <v>0</v>
      </c>
      <c r="AF46" s="566">
        <f t="shared" si="12"/>
        <v>0</v>
      </c>
      <c r="AG46" s="573"/>
    </row>
    <row r="47" spans="1:33" ht="25.15" customHeight="1">
      <c r="A47" s="543">
        <v>36</v>
      </c>
      <c r="B47" s="546" t="s">
        <v>1318</v>
      </c>
      <c r="C47" s="541" t="str">
        <f t="shared" si="13"/>
        <v>Paket Roma 3</v>
      </c>
      <c r="D47" s="542"/>
      <c r="E47" s="542"/>
      <c r="F47" s="542"/>
      <c r="G47" s="542"/>
      <c r="H47" s="542"/>
      <c r="I47" s="542"/>
      <c r="J47" s="542"/>
      <c r="K47" s="542"/>
      <c r="L47" s="542"/>
      <c r="M47" s="542"/>
      <c r="N47" s="554">
        <f t="shared" si="0"/>
        <v>0</v>
      </c>
      <c r="O47" s="554">
        <f t="shared" si="1"/>
        <v>0</v>
      </c>
      <c r="P47" s="555">
        <f>(O47/O273)*100</f>
        <v>0</v>
      </c>
      <c r="Q47" s="807">
        <v>0.54400000000000004</v>
      </c>
      <c r="R47" s="555">
        <f t="shared" si="2"/>
        <v>0</v>
      </c>
      <c r="S47" s="675">
        <v>23000</v>
      </c>
      <c r="T47" s="565"/>
      <c r="U47" s="2560"/>
      <c r="V47" s="571"/>
      <c r="W47" s="566">
        <f t="shared" si="3"/>
        <v>0</v>
      </c>
      <c r="X47" s="566">
        <f t="shared" si="4"/>
        <v>0</v>
      </c>
      <c r="Y47" s="566">
        <f t="shared" si="5"/>
        <v>0</v>
      </c>
      <c r="Z47" s="566">
        <f t="shared" si="6"/>
        <v>0</v>
      </c>
      <c r="AA47" s="566">
        <f t="shared" si="7"/>
        <v>0</v>
      </c>
      <c r="AB47" s="566">
        <f t="shared" si="8"/>
        <v>0</v>
      </c>
      <c r="AC47" s="566">
        <f t="shared" si="9"/>
        <v>0</v>
      </c>
      <c r="AD47" s="566">
        <f t="shared" si="10"/>
        <v>0</v>
      </c>
      <c r="AE47" s="566">
        <f t="shared" si="11"/>
        <v>0</v>
      </c>
      <c r="AF47" s="566">
        <f t="shared" si="12"/>
        <v>0</v>
      </c>
      <c r="AG47" s="573"/>
    </row>
    <row r="48" spans="1:33" ht="25.15" customHeight="1">
      <c r="A48" s="543">
        <v>37</v>
      </c>
      <c r="B48" s="546" t="s">
        <v>1319</v>
      </c>
      <c r="C48" s="541" t="str">
        <f t="shared" si="13"/>
        <v>Paket Roma 4</v>
      </c>
      <c r="D48" s="542">
        <v>1</v>
      </c>
      <c r="E48" s="542"/>
      <c r="F48" s="542"/>
      <c r="G48" s="542"/>
      <c r="H48" s="542"/>
      <c r="I48" s="542"/>
      <c r="J48" s="542"/>
      <c r="K48" s="542"/>
      <c r="L48" s="542"/>
      <c r="M48" s="542"/>
      <c r="N48" s="554">
        <f t="shared" si="0"/>
        <v>1</v>
      </c>
      <c r="O48" s="554">
        <f t="shared" si="1"/>
        <v>23000</v>
      </c>
      <c r="P48" s="555">
        <f>(O48/O273)*100</f>
        <v>0.11544590982670599</v>
      </c>
      <c r="Q48" s="807">
        <v>0.55900000000000005</v>
      </c>
      <c r="R48" s="555">
        <f t="shared" si="2"/>
        <v>6.4534263593128499E-2</v>
      </c>
      <c r="S48" s="675">
        <v>23000</v>
      </c>
      <c r="T48" s="565"/>
      <c r="U48" s="2560"/>
      <c r="V48" s="571"/>
      <c r="W48" s="566">
        <f t="shared" si="3"/>
        <v>23000</v>
      </c>
      <c r="X48" s="566">
        <f t="shared" si="4"/>
        <v>0</v>
      </c>
      <c r="Y48" s="566">
        <f t="shared" si="5"/>
        <v>0</v>
      </c>
      <c r="Z48" s="566">
        <f t="shared" si="6"/>
        <v>0</v>
      </c>
      <c r="AA48" s="566">
        <f t="shared" si="7"/>
        <v>0</v>
      </c>
      <c r="AB48" s="566">
        <f t="shared" si="8"/>
        <v>0</v>
      </c>
      <c r="AC48" s="566">
        <f t="shared" si="9"/>
        <v>0</v>
      </c>
      <c r="AD48" s="566">
        <f t="shared" si="10"/>
        <v>0</v>
      </c>
      <c r="AE48" s="566">
        <f t="shared" si="11"/>
        <v>0</v>
      </c>
      <c r="AF48" s="566">
        <f t="shared" si="12"/>
        <v>0</v>
      </c>
      <c r="AG48" s="573"/>
    </row>
    <row r="49" spans="1:33" ht="25.15" customHeight="1">
      <c r="A49" s="543">
        <v>38</v>
      </c>
      <c r="B49" s="546" t="s">
        <v>1320</v>
      </c>
      <c r="C49" s="541" t="str">
        <f t="shared" si="13"/>
        <v>Paket Roma 5</v>
      </c>
      <c r="D49" s="542"/>
      <c r="E49" s="542"/>
      <c r="F49" s="542"/>
      <c r="G49" s="542"/>
      <c r="H49" s="542"/>
      <c r="I49" s="542"/>
      <c r="J49" s="542"/>
      <c r="K49" s="542"/>
      <c r="L49" s="542"/>
      <c r="M49" s="542"/>
      <c r="N49" s="554">
        <f t="shared" si="0"/>
        <v>0</v>
      </c>
      <c r="O49" s="554">
        <f t="shared" si="1"/>
        <v>0</v>
      </c>
      <c r="P49" s="555">
        <f>(O49/O273)*100</f>
        <v>0</v>
      </c>
      <c r="Q49" s="807">
        <v>0.43099999999999999</v>
      </c>
      <c r="R49" s="555">
        <f t="shared" si="2"/>
        <v>0</v>
      </c>
      <c r="S49" s="675">
        <v>22000</v>
      </c>
      <c r="T49" s="565"/>
      <c r="U49" s="2560"/>
      <c r="V49" s="571"/>
      <c r="W49" s="566">
        <f t="shared" si="3"/>
        <v>0</v>
      </c>
      <c r="X49" s="566">
        <f t="shared" si="4"/>
        <v>0</v>
      </c>
      <c r="Y49" s="566">
        <f t="shared" si="5"/>
        <v>0</v>
      </c>
      <c r="Z49" s="566">
        <f t="shared" si="6"/>
        <v>0</v>
      </c>
      <c r="AA49" s="566">
        <f t="shared" si="7"/>
        <v>0</v>
      </c>
      <c r="AB49" s="566">
        <f t="shared" si="8"/>
        <v>0</v>
      </c>
      <c r="AC49" s="566">
        <f t="shared" si="9"/>
        <v>0</v>
      </c>
      <c r="AD49" s="566">
        <f t="shared" si="10"/>
        <v>0</v>
      </c>
      <c r="AE49" s="566">
        <f t="shared" si="11"/>
        <v>0</v>
      </c>
      <c r="AF49" s="566">
        <f t="shared" si="12"/>
        <v>0</v>
      </c>
      <c r="AG49" s="573"/>
    </row>
    <row r="50" spans="1:33" ht="25.15" customHeight="1">
      <c r="A50" s="543"/>
      <c r="B50" s="546"/>
      <c r="C50" s="541"/>
      <c r="D50" s="542"/>
      <c r="E50" s="542"/>
      <c r="F50" s="542"/>
      <c r="G50" s="542"/>
      <c r="H50" s="542"/>
      <c r="I50" s="542"/>
      <c r="J50" s="542"/>
      <c r="K50" s="542"/>
      <c r="L50" s="542"/>
      <c r="M50" s="542"/>
      <c r="N50" s="554">
        <f t="shared" si="0"/>
        <v>0</v>
      </c>
      <c r="O50" s="554">
        <f t="shared" si="1"/>
        <v>0</v>
      </c>
      <c r="P50" s="555">
        <f>(O50/O273)*100</f>
        <v>0</v>
      </c>
      <c r="Q50" s="808"/>
      <c r="R50" s="555">
        <f t="shared" si="2"/>
        <v>0</v>
      </c>
      <c r="S50" s="564"/>
      <c r="T50" s="565"/>
      <c r="U50" s="2560"/>
      <c r="V50" s="571"/>
      <c r="W50" s="566">
        <f t="shared" si="3"/>
        <v>0</v>
      </c>
      <c r="X50" s="566">
        <f t="shared" si="4"/>
        <v>0</v>
      </c>
      <c r="Y50" s="566">
        <f t="shared" si="5"/>
        <v>0</v>
      </c>
      <c r="Z50" s="566">
        <f t="shared" si="6"/>
        <v>0</v>
      </c>
      <c r="AA50" s="566">
        <f t="shared" si="7"/>
        <v>0</v>
      </c>
      <c r="AB50" s="566">
        <f t="shared" si="8"/>
        <v>0</v>
      </c>
      <c r="AC50" s="566">
        <f t="shared" si="9"/>
        <v>0</v>
      </c>
      <c r="AD50" s="566">
        <f t="shared" si="10"/>
        <v>0</v>
      </c>
      <c r="AE50" s="566">
        <f t="shared" si="11"/>
        <v>0</v>
      </c>
      <c r="AF50" s="566">
        <f t="shared" si="12"/>
        <v>0</v>
      </c>
      <c r="AG50" s="573"/>
    </row>
    <row r="51" spans="1:33" ht="25.15" customHeight="1">
      <c r="A51" s="543">
        <v>39</v>
      </c>
      <c r="B51" s="546" t="s">
        <v>1321</v>
      </c>
      <c r="C51" s="541" t="str">
        <f>B51</f>
        <v>Paket Geprek Bawang 1 (Es Teh / S-tee / Lemon Tea)</v>
      </c>
      <c r="D51" s="542"/>
      <c r="E51" s="542"/>
      <c r="F51" s="542"/>
      <c r="G51" s="542">
        <v>5</v>
      </c>
      <c r="H51" s="801"/>
      <c r="I51" s="542">
        <v>1</v>
      </c>
      <c r="J51" s="542"/>
      <c r="K51" s="542"/>
      <c r="L51" s="542"/>
      <c r="M51" s="542"/>
      <c r="N51" s="554">
        <f t="shared" si="0"/>
        <v>6</v>
      </c>
      <c r="O51" s="554">
        <f t="shared" si="1"/>
        <v>126000</v>
      </c>
      <c r="P51" s="555">
        <f>(O51/O273)*100</f>
        <v>0.63244281035499605</v>
      </c>
      <c r="Q51" s="808">
        <v>0.56100000000000005</v>
      </c>
      <c r="R51" s="555">
        <f t="shared" si="2"/>
        <v>0.35480041660915301</v>
      </c>
      <c r="S51" s="675">
        <v>21000</v>
      </c>
      <c r="T51" s="565"/>
      <c r="U51" s="2560"/>
      <c r="V51" s="571"/>
      <c r="W51" s="566">
        <f t="shared" si="3"/>
        <v>0</v>
      </c>
      <c r="X51" s="566">
        <f t="shared" si="4"/>
        <v>0</v>
      </c>
      <c r="Y51" s="566">
        <f t="shared" si="5"/>
        <v>0</v>
      </c>
      <c r="Z51" s="566">
        <f t="shared" si="6"/>
        <v>105000</v>
      </c>
      <c r="AA51" s="566">
        <f t="shared" si="7"/>
        <v>0</v>
      </c>
      <c r="AB51" s="566">
        <f t="shared" si="8"/>
        <v>21000</v>
      </c>
      <c r="AC51" s="566">
        <f t="shared" si="9"/>
        <v>0</v>
      </c>
      <c r="AD51" s="566">
        <f t="shared" si="10"/>
        <v>0</v>
      </c>
      <c r="AE51" s="566">
        <f t="shared" si="11"/>
        <v>0</v>
      </c>
      <c r="AF51" s="566">
        <f t="shared" si="12"/>
        <v>0</v>
      </c>
      <c r="AG51" s="573"/>
    </row>
    <row r="52" spans="1:33" ht="25.15" customHeight="1">
      <c r="A52" s="543">
        <v>40</v>
      </c>
      <c r="B52" s="546" t="s">
        <v>1322</v>
      </c>
      <c r="C52" s="541" t="str">
        <f t="shared" ref="C52:C53" si="16">B52</f>
        <v>Paket Geprek Bawang 2 (Es Teh / S-tee / Lemon Tea)</v>
      </c>
      <c r="D52" s="542"/>
      <c r="E52" s="542">
        <v>4</v>
      </c>
      <c r="F52" s="542"/>
      <c r="G52" s="542"/>
      <c r="H52" s="801">
        <v>1</v>
      </c>
      <c r="I52" s="542"/>
      <c r="J52" s="542">
        <v>4</v>
      </c>
      <c r="K52" s="542"/>
      <c r="L52" s="542"/>
      <c r="M52" s="542"/>
      <c r="N52" s="554">
        <f t="shared" si="0"/>
        <v>9</v>
      </c>
      <c r="O52" s="554">
        <f t="shared" si="1"/>
        <v>198000</v>
      </c>
      <c r="P52" s="555">
        <f>(O52/O273)*100</f>
        <v>0.99383870198642199</v>
      </c>
      <c r="Q52" s="809">
        <v>0.495</v>
      </c>
      <c r="R52" s="555">
        <f t="shared" si="2"/>
        <v>0.49195015748327903</v>
      </c>
      <c r="S52" s="675">
        <v>22000</v>
      </c>
      <c r="T52" s="565"/>
      <c r="U52" s="2560"/>
      <c r="V52" s="571"/>
      <c r="W52" s="566">
        <f t="shared" si="3"/>
        <v>0</v>
      </c>
      <c r="X52" s="566">
        <f t="shared" si="4"/>
        <v>88000</v>
      </c>
      <c r="Y52" s="566">
        <f t="shared" si="5"/>
        <v>0</v>
      </c>
      <c r="Z52" s="566">
        <f t="shared" si="6"/>
        <v>0</v>
      </c>
      <c r="AA52" s="566">
        <f t="shared" si="7"/>
        <v>22000</v>
      </c>
      <c r="AB52" s="566">
        <f t="shared" si="8"/>
        <v>0</v>
      </c>
      <c r="AC52" s="566">
        <f t="shared" si="9"/>
        <v>88000</v>
      </c>
      <c r="AD52" s="566">
        <f t="shared" si="10"/>
        <v>0</v>
      </c>
      <c r="AE52" s="566">
        <f t="shared" si="11"/>
        <v>0</v>
      </c>
      <c r="AF52" s="566">
        <f t="shared" si="12"/>
        <v>0</v>
      </c>
      <c r="AG52" s="573"/>
    </row>
    <row r="53" spans="1:33" ht="25.15" customHeight="1">
      <c r="A53" s="543">
        <v>41</v>
      </c>
      <c r="B53" s="546" t="s">
        <v>1323</v>
      </c>
      <c r="C53" s="541" t="str">
        <f t="shared" si="16"/>
        <v>Paket Geprek Bawang 3 (Es Teh / S-tee / Lemon Tea)</v>
      </c>
      <c r="D53" s="542">
        <v>7</v>
      </c>
      <c r="E53" s="542">
        <v>16</v>
      </c>
      <c r="F53" s="542">
        <v>3</v>
      </c>
      <c r="G53" s="542">
        <v>7</v>
      </c>
      <c r="H53" s="801">
        <v>4</v>
      </c>
      <c r="I53" s="542">
        <v>7</v>
      </c>
      <c r="J53" s="542">
        <v>8</v>
      </c>
      <c r="K53" s="542"/>
      <c r="L53" s="542"/>
      <c r="M53" s="542"/>
      <c r="N53" s="554">
        <f t="shared" si="0"/>
        <v>52</v>
      </c>
      <c r="O53" s="554">
        <f t="shared" si="1"/>
        <v>1248000</v>
      </c>
      <c r="P53" s="555">
        <f>(O53/O273)*100</f>
        <v>6.2641954549447201</v>
      </c>
      <c r="Q53" s="809">
        <v>0.60199999999999998</v>
      </c>
      <c r="R53" s="555">
        <f t="shared" si="2"/>
        <v>3.7710456638767198</v>
      </c>
      <c r="S53" s="675">
        <v>24000</v>
      </c>
      <c r="T53" s="565"/>
      <c r="U53" s="2560"/>
      <c r="V53" s="571"/>
      <c r="W53" s="566">
        <f t="shared" si="3"/>
        <v>168000</v>
      </c>
      <c r="X53" s="566">
        <f t="shared" si="4"/>
        <v>384000</v>
      </c>
      <c r="Y53" s="566">
        <f t="shared" si="5"/>
        <v>72000</v>
      </c>
      <c r="Z53" s="566">
        <f t="shared" si="6"/>
        <v>168000</v>
      </c>
      <c r="AA53" s="566">
        <f t="shared" si="7"/>
        <v>96000</v>
      </c>
      <c r="AB53" s="566">
        <f t="shared" si="8"/>
        <v>168000</v>
      </c>
      <c r="AC53" s="566">
        <f t="shared" si="9"/>
        <v>192000</v>
      </c>
      <c r="AD53" s="566">
        <f t="shared" si="10"/>
        <v>0</v>
      </c>
      <c r="AE53" s="566">
        <f t="shared" si="11"/>
        <v>0</v>
      </c>
      <c r="AF53" s="566">
        <f t="shared" si="12"/>
        <v>0</v>
      </c>
      <c r="AG53" s="573"/>
    </row>
    <row r="54" spans="1:33" ht="25.15" customHeight="1">
      <c r="A54" s="543">
        <v>42</v>
      </c>
      <c r="B54" s="546" t="s">
        <v>1324</v>
      </c>
      <c r="C54" s="541" t="str">
        <f t="shared" si="13"/>
        <v>Sayap Geprek Bawang</v>
      </c>
      <c r="D54" s="542"/>
      <c r="E54" s="542">
        <v>2</v>
      </c>
      <c r="F54" s="542">
        <v>1</v>
      </c>
      <c r="G54" s="542">
        <v>1</v>
      </c>
      <c r="H54" s="801">
        <v>4</v>
      </c>
      <c r="I54" s="542"/>
      <c r="J54" s="542">
        <v>2</v>
      </c>
      <c r="K54" s="542"/>
      <c r="L54" s="542"/>
      <c r="M54" s="542"/>
      <c r="N54" s="554">
        <f t="shared" si="0"/>
        <v>10</v>
      </c>
      <c r="O54" s="554">
        <f t="shared" si="1"/>
        <v>140000</v>
      </c>
      <c r="P54" s="555">
        <f>(O54/O273)*100</f>
        <v>0.70271423372777397</v>
      </c>
      <c r="Q54" s="809">
        <v>0.55200000000000005</v>
      </c>
      <c r="R54" s="555">
        <f t="shared" si="2"/>
        <v>0.38789825701773101</v>
      </c>
      <c r="S54" s="675">
        <v>14000</v>
      </c>
      <c r="T54" s="565"/>
      <c r="U54" s="2560"/>
      <c r="V54" s="571"/>
      <c r="W54" s="566">
        <f t="shared" si="3"/>
        <v>0</v>
      </c>
      <c r="X54" s="566">
        <f t="shared" si="4"/>
        <v>28000</v>
      </c>
      <c r="Y54" s="566">
        <f t="shared" si="5"/>
        <v>14000</v>
      </c>
      <c r="Z54" s="566">
        <f t="shared" si="6"/>
        <v>14000</v>
      </c>
      <c r="AA54" s="566">
        <f t="shared" si="7"/>
        <v>56000</v>
      </c>
      <c r="AB54" s="566">
        <f t="shared" si="8"/>
        <v>0</v>
      </c>
      <c r="AC54" s="566">
        <f t="shared" si="9"/>
        <v>28000</v>
      </c>
      <c r="AD54" s="566">
        <f t="shared" si="10"/>
        <v>0</v>
      </c>
      <c r="AE54" s="566">
        <f t="shared" si="11"/>
        <v>0</v>
      </c>
      <c r="AF54" s="566">
        <f t="shared" si="12"/>
        <v>0</v>
      </c>
      <c r="AG54" s="573"/>
    </row>
    <row r="55" spans="1:33" ht="25.15" customHeight="1">
      <c r="A55" s="543">
        <v>43</v>
      </c>
      <c r="B55" s="546" t="s">
        <v>1325</v>
      </c>
      <c r="C55" s="541" t="str">
        <f t="shared" si="13"/>
        <v>Paha Bawah Geprek Bawang</v>
      </c>
      <c r="D55" s="542"/>
      <c r="E55" s="542"/>
      <c r="F55" s="542"/>
      <c r="G55" s="542"/>
      <c r="H55" s="801"/>
      <c r="I55" s="542"/>
      <c r="J55" s="542"/>
      <c r="K55" s="542"/>
      <c r="L55" s="542"/>
      <c r="M55" s="542"/>
      <c r="N55" s="554">
        <f t="shared" si="0"/>
        <v>0</v>
      </c>
      <c r="O55" s="554">
        <f t="shared" si="1"/>
        <v>0</v>
      </c>
      <c r="P55" s="555">
        <f>(O55/O273)*100</f>
        <v>0</v>
      </c>
      <c r="Q55" s="808">
        <v>0.47399999999999998</v>
      </c>
      <c r="R55" s="555">
        <f t="shared" si="2"/>
        <v>0</v>
      </c>
      <c r="S55" s="675">
        <v>15000</v>
      </c>
      <c r="T55" s="565"/>
      <c r="U55" s="2560"/>
      <c r="V55" s="571"/>
      <c r="W55" s="566">
        <f t="shared" si="3"/>
        <v>0</v>
      </c>
      <c r="X55" s="566">
        <f t="shared" si="4"/>
        <v>0</v>
      </c>
      <c r="Y55" s="566">
        <f t="shared" si="5"/>
        <v>0</v>
      </c>
      <c r="Z55" s="566">
        <f t="shared" si="6"/>
        <v>0</v>
      </c>
      <c r="AA55" s="566">
        <f t="shared" si="7"/>
        <v>0</v>
      </c>
      <c r="AB55" s="566">
        <f t="shared" si="8"/>
        <v>0</v>
      </c>
      <c r="AC55" s="566">
        <f t="shared" si="9"/>
        <v>0</v>
      </c>
      <c r="AD55" s="566">
        <f t="shared" si="10"/>
        <v>0</v>
      </c>
      <c r="AE55" s="566">
        <f t="shared" si="11"/>
        <v>0</v>
      </c>
      <c r="AF55" s="566">
        <f t="shared" si="12"/>
        <v>0</v>
      </c>
      <c r="AG55" s="573"/>
    </row>
    <row r="56" spans="1:33" ht="25.15" customHeight="1">
      <c r="A56" s="543">
        <v>44</v>
      </c>
      <c r="B56" s="546" t="s">
        <v>1326</v>
      </c>
      <c r="C56" s="541" t="str">
        <f t="shared" si="13"/>
        <v>Paha Atas / Dada Geprek Bawang</v>
      </c>
      <c r="D56" s="542">
        <v>5</v>
      </c>
      <c r="E56" s="542">
        <v>5</v>
      </c>
      <c r="F56" s="542">
        <v>2</v>
      </c>
      <c r="G56" s="542">
        <v>9</v>
      </c>
      <c r="H56" s="801">
        <v>4</v>
      </c>
      <c r="I56" s="542">
        <v>2</v>
      </c>
      <c r="J56" s="542">
        <v>9</v>
      </c>
      <c r="K56" s="542"/>
      <c r="L56" s="542"/>
      <c r="M56" s="542"/>
      <c r="N56" s="554">
        <f t="shared" si="0"/>
        <v>36</v>
      </c>
      <c r="O56" s="554">
        <f t="shared" si="1"/>
        <v>612000</v>
      </c>
      <c r="P56" s="555">
        <f>(O56/O273)*100</f>
        <v>3.0718650788671198</v>
      </c>
      <c r="Q56" s="808">
        <v>0.629</v>
      </c>
      <c r="R56" s="555">
        <f t="shared" si="2"/>
        <v>1.93220313460742</v>
      </c>
      <c r="S56" s="675">
        <v>17000</v>
      </c>
      <c r="T56" s="565"/>
      <c r="U56" s="2560"/>
      <c r="V56" s="571"/>
      <c r="W56" s="566">
        <f t="shared" si="3"/>
        <v>85000</v>
      </c>
      <c r="X56" s="566">
        <f t="shared" si="4"/>
        <v>85000</v>
      </c>
      <c r="Y56" s="566">
        <f t="shared" si="5"/>
        <v>34000</v>
      </c>
      <c r="Z56" s="566">
        <f t="shared" si="6"/>
        <v>153000</v>
      </c>
      <c r="AA56" s="566">
        <f t="shared" si="7"/>
        <v>68000</v>
      </c>
      <c r="AB56" s="566">
        <f t="shared" si="8"/>
        <v>34000</v>
      </c>
      <c r="AC56" s="566">
        <f t="shared" si="9"/>
        <v>153000</v>
      </c>
      <c r="AD56" s="566">
        <f t="shared" si="10"/>
        <v>0</v>
      </c>
      <c r="AE56" s="566">
        <f t="shared" si="11"/>
        <v>0</v>
      </c>
      <c r="AF56" s="566">
        <f t="shared" si="12"/>
        <v>0</v>
      </c>
      <c r="AG56" s="573"/>
    </row>
    <row r="57" spans="1:33" ht="25.15" customHeight="1">
      <c r="A57" s="543">
        <v>45</v>
      </c>
      <c r="B57" s="546" t="s">
        <v>1327</v>
      </c>
      <c r="C57" s="541" t="str">
        <f t="shared" si="13"/>
        <v>Sambal Geprek Bawang</v>
      </c>
      <c r="D57" s="542"/>
      <c r="E57" s="542">
        <v>1</v>
      </c>
      <c r="F57" s="542"/>
      <c r="G57" s="542">
        <v>6</v>
      </c>
      <c r="H57" s="801">
        <v>1</v>
      </c>
      <c r="I57" s="542"/>
      <c r="J57" s="542">
        <v>4</v>
      </c>
      <c r="K57" s="542"/>
      <c r="L57" s="542"/>
      <c r="M57" s="542"/>
      <c r="N57" s="554">
        <f t="shared" si="0"/>
        <v>12</v>
      </c>
      <c r="O57" s="554">
        <f t="shared" si="1"/>
        <v>60000</v>
      </c>
      <c r="P57" s="555">
        <f>(O57/O273)*100</f>
        <v>0.30116324302618902</v>
      </c>
      <c r="Q57" s="806">
        <v>0.23</v>
      </c>
      <c r="R57" s="555">
        <f t="shared" si="2"/>
        <v>6.9267545896023394E-2</v>
      </c>
      <c r="S57" s="697">
        <v>5000</v>
      </c>
      <c r="T57" s="565"/>
      <c r="U57" s="2560"/>
      <c r="V57" s="571"/>
      <c r="W57" s="566">
        <f t="shared" si="3"/>
        <v>0</v>
      </c>
      <c r="X57" s="566">
        <f t="shared" si="4"/>
        <v>5000</v>
      </c>
      <c r="Y57" s="566">
        <f t="shared" si="5"/>
        <v>0</v>
      </c>
      <c r="Z57" s="566">
        <f t="shared" si="6"/>
        <v>30000</v>
      </c>
      <c r="AA57" s="566">
        <f t="shared" si="7"/>
        <v>5000</v>
      </c>
      <c r="AB57" s="566">
        <f t="shared" si="8"/>
        <v>0</v>
      </c>
      <c r="AC57" s="566">
        <f t="shared" si="9"/>
        <v>20000</v>
      </c>
      <c r="AD57" s="566">
        <f t="shared" si="10"/>
        <v>0</v>
      </c>
      <c r="AE57" s="566">
        <f t="shared" si="11"/>
        <v>0</v>
      </c>
      <c r="AF57" s="566">
        <f t="shared" si="12"/>
        <v>0</v>
      </c>
      <c r="AG57" s="573"/>
    </row>
    <row r="58" spans="1:33" ht="25.15" customHeight="1">
      <c r="A58" s="543"/>
      <c r="B58" s="546"/>
      <c r="C58" s="541"/>
      <c r="D58" s="542"/>
      <c r="E58" s="542"/>
      <c r="F58" s="542"/>
      <c r="G58" s="542"/>
      <c r="H58" s="542"/>
      <c r="I58" s="542"/>
      <c r="J58" s="542"/>
      <c r="K58" s="542"/>
      <c r="L58" s="542"/>
      <c r="M58" s="542"/>
      <c r="N58" s="554">
        <f t="shared" si="0"/>
        <v>0</v>
      </c>
      <c r="O58" s="554">
        <f t="shared" si="1"/>
        <v>0</v>
      </c>
      <c r="P58" s="555">
        <f>(O58/O273)*100</f>
        <v>0</v>
      </c>
      <c r="Q58" s="806"/>
      <c r="R58" s="555">
        <f t="shared" si="2"/>
        <v>0</v>
      </c>
      <c r="S58" s="564"/>
      <c r="T58" s="565"/>
      <c r="U58" s="2560"/>
      <c r="V58" s="571"/>
      <c r="W58" s="566">
        <f t="shared" si="3"/>
        <v>0</v>
      </c>
      <c r="X58" s="566">
        <f t="shared" si="4"/>
        <v>0</v>
      </c>
      <c r="Y58" s="566">
        <f t="shared" si="5"/>
        <v>0</v>
      </c>
      <c r="Z58" s="566">
        <f t="shared" si="6"/>
        <v>0</v>
      </c>
      <c r="AA58" s="566">
        <f t="shared" si="7"/>
        <v>0</v>
      </c>
      <c r="AB58" s="566">
        <f t="shared" si="8"/>
        <v>0</v>
      </c>
      <c r="AC58" s="566">
        <f t="shared" si="9"/>
        <v>0</v>
      </c>
      <c r="AD58" s="566">
        <f t="shared" si="10"/>
        <v>0</v>
      </c>
      <c r="AE58" s="566">
        <f t="shared" si="11"/>
        <v>0</v>
      </c>
      <c r="AF58" s="566">
        <f t="shared" si="12"/>
        <v>0</v>
      </c>
      <c r="AG58" s="573"/>
    </row>
    <row r="59" spans="1:33" ht="25.15" customHeight="1">
      <c r="A59" s="543">
        <v>46</v>
      </c>
      <c r="B59" s="546" t="s">
        <v>1328</v>
      </c>
      <c r="C59" s="541" t="str">
        <f>B59</f>
        <v>Paket Matah 1 (Es Teh / S-tee / Lemon Tea)</v>
      </c>
      <c r="D59" s="542"/>
      <c r="E59" s="542"/>
      <c r="F59" s="542">
        <v>3</v>
      </c>
      <c r="G59" s="542">
        <v>1</v>
      </c>
      <c r="H59" s="542">
        <v>2</v>
      </c>
      <c r="I59" s="542">
        <v>1</v>
      </c>
      <c r="J59" s="542"/>
      <c r="K59" s="542"/>
      <c r="L59" s="542"/>
      <c r="M59" s="542"/>
      <c r="N59" s="554">
        <f t="shared" si="0"/>
        <v>7</v>
      </c>
      <c r="O59" s="554">
        <f t="shared" si="1"/>
        <v>147000</v>
      </c>
      <c r="P59" s="555">
        <f>(O59/O273)*100</f>
        <v>0.73784994541416205</v>
      </c>
      <c r="Q59" s="806">
        <v>0.55300000000000005</v>
      </c>
      <c r="R59" s="555">
        <f t="shared" si="2"/>
        <v>0.408031019814032</v>
      </c>
      <c r="S59" s="675">
        <v>21000</v>
      </c>
      <c r="T59" s="565"/>
      <c r="U59" s="2560"/>
      <c r="V59" s="571"/>
      <c r="W59" s="566">
        <f t="shared" si="3"/>
        <v>0</v>
      </c>
      <c r="X59" s="566">
        <f t="shared" si="4"/>
        <v>0</v>
      </c>
      <c r="Y59" s="566">
        <f t="shared" si="5"/>
        <v>63000</v>
      </c>
      <c r="Z59" s="566">
        <f t="shared" si="6"/>
        <v>21000</v>
      </c>
      <c r="AA59" s="566">
        <f t="shared" si="7"/>
        <v>42000</v>
      </c>
      <c r="AB59" s="566">
        <f t="shared" si="8"/>
        <v>21000</v>
      </c>
      <c r="AC59" s="566">
        <f t="shared" si="9"/>
        <v>0</v>
      </c>
      <c r="AD59" s="566">
        <f t="shared" si="10"/>
        <v>0</v>
      </c>
      <c r="AE59" s="566">
        <f t="shared" si="11"/>
        <v>0</v>
      </c>
      <c r="AF59" s="566">
        <f t="shared" si="12"/>
        <v>0</v>
      </c>
      <c r="AG59" s="573"/>
    </row>
    <row r="60" spans="1:33" ht="25.15" customHeight="1">
      <c r="A60" s="543">
        <v>47</v>
      </c>
      <c r="B60" s="546" t="s">
        <v>1329</v>
      </c>
      <c r="C60" s="541" t="str">
        <f t="shared" ref="C60:C61" si="17">B60</f>
        <v>Paket Matah 2 (Es Teh / S-tee / Lemon Tea)</v>
      </c>
      <c r="D60" s="542"/>
      <c r="E60" s="542"/>
      <c r="F60" s="542"/>
      <c r="G60" s="542"/>
      <c r="H60" s="801"/>
      <c r="I60" s="542"/>
      <c r="J60" s="542">
        <v>2</v>
      </c>
      <c r="K60" s="542"/>
      <c r="L60" s="542"/>
      <c r="M60" s="542"/>
      <c r="N60" s="554">
        <f t="shared" si="0"/>
        <v>2</v>
      </c>
      <c r="O60" s="554">
        <f t="shared" si="1"/>
        <v>44000</v>
      </c>
      <c r="P60" s="555">
        <f>(O60/O273)*100</f>
        <v>0.22085304488587201</v>
      </c>
      <c r="Q60" s="807">
        <v>0.49</v>
      </c>
      <c r="R60" s="555">
        <f t="shared" si="2"/>
        <v>0.108217991994077</v>
      </c>
      <c r="S60" s="675">
        <v>22000</v>
      </c>
      <c r="T60" s="565"/>
      <c r="U60" s="2560"/>
      <c r="V60" s="571"/>
      <c r="W60" s="566">
        <f t="shared" si="3"/>
        <v>0</v>
      </c>
      <c r="X60" s="566">
        <f t="shared" si="4"/>
        <v>0</v>
      </c>
      <c r="Y60" s="566">
        <f t="shared" si="5"/>
        <v>0</v>
      </c>
      <c r="Z60" s="566">
        <f t="shared" si="6"/>
        <v>0</v>
      </c>
      <c r="AA60" s="566">
        <f t="shared" si="7"/>
        <v>0</v>
      </c>
      <c r="AB60" s="566">
        <f t="shared" si="8"/>
        <v>0</v>
      </c>
      <c r="AC60" s="566">
        <f t="shared" si="9"/>
        <v>44000</v>
      </c>
      <c r="AD60" s="566">
        <f t="shared" si="10"/>
        <v>0</v>
      </c>
      <c r="AE60" s="566">
        <f t="shared" si="11"/>
        <v>0</v>
      </c>
      <c r="AF60" s="566">
        <f t="shared" si="12"/>
        <v>0</v>
      </c>
      <c r="AG60" s="573"/>
    </row>
    <row r="61" spans="1:33" ht="25.15" customHeight="1">
      <c r="A61" s="543">
        <v>48</v>
      </c>
      <c r="B61" s="546" t="s">
        <v>1330</v>
      </c>
      <c r="C61" s="541" t="str">
        <f t="shared" si="17"/>
        <v>Paket Matah 3 (Es Teh / S-tee / Lemon Tea)</v>
      </c>
      <c r="D61" s="542">
        <v>1</v>
      </c>
      <c r="E61" s="542">
        <v>5</v>
      </c>
      <c r="F61" s="542">
        <v>2</v>
      </c>
      <c r="G61" s="542">
        <v>5</v>
      </c>
      <c r="H61" s="801">
        <v>2</v>
      </c>
      <c r="I61" s="542">
        <v>8</v>
      </c>
      <c r="J61" s="542">
        <v>3</v>
      </c>
      <c r="K61" s="542"/>
      <c r="L61" s="542"/>
      <c r="M61" s="542"/>
      <c r="N61" s="554">
        <f t="shared" si="0"/>
        <v>26</v>
      </c>
      <c r="O61" s="554">
        <f t="shared" si="1"/>
        <v>624000</v>
      </c>
      <c r="P61" s="555">
        <f>(O61/O273)*100</f>
        <v>3.13209772747236</v>
      </c>
      <c r="Q61" s="807">
        <v>0.54200000000000004</v>
      </c>
      <c r="R61" s="555">
        <f t="shared" si="2"/>
        <v>1.69759696829002</v>
      </c>
      <c r="S61" s="675">
        <v>24000</v>
      </c>
      <c r="T61" s="565"/>
      <c r="U61" s="2560"/>
      <c r="V61" s="571"/>
      <c r="W61" s="566">
        <f t="shared" si="3"/>
        <v>24000</v>
      </c>
      <c r="X61" s="566">
        <f t="shared" si="4"/>
        <v>120000</v>
      </c>
      <c r="Y61" s="566">
        <f t="shared" si="5"/>
        <v>48000</v>
      </c>
      <c r="Z61" s="566">
        <f t="shared" si="6"/>
        <v>120000</v>
      </c>
      <c r="AA61" s="566">
        <f t="shared" si="7"/>
        <v>48000</v>
      </c>
      <c r="AB61" s="566">
        <f t="shared" si="8"/>
        <v>192000</v>
      </c>
      <c r="AC61" s="566">
        <f t="shared" si="9"/>
        <v>72000</v>
      </c>
      <c r="AD61" s="566">
        <f t="shared" si="10"/>
        <v>0</v>
      </c>
      <c r="AE61" s="566">
        <f t="shared" si="11"/>
        <v>0</v>
      </c>
      <c r="AF61" s="566">
        <f t="shared" si="12"/>
        <v>0</v>
      </c>
      <c r="AG61" s="573"/>
    </row>
    <row r="62" spans="1:33" ht="25.15" customHeight="1">
      <c r="A62" s="543">
        <v>49</v>
      </c>
      <c r="B62" s="546" t="s">
        <v>1331</v>
      </c>
      <c r="C62" s="541" t="str">
        <f t="shared" si="13"/>
        <v>Sayap Matah</v>
      </c>
      <c r="D62" s="542"/>
      <c r="E62" s="542">
        <v>2</v>
      </c>
      <c r="F62" s="542"/>
      <c r="G62" s="542"/>
      <c r="H62" s="801"/>
      <c r="I62" s="542"/>
      <c r="J62" s="542"/>
      <c r="K62" s="542"/>
      <c r="L62" s="542"/>
      <c r="M62" s="542"/>
      <c r="N62" s="554">
        <f t="shared" si="0"/>
        <v>2</v>
      </c>
      <c r="O62" s="554">
        <f t="shared" si="1"/>
        <v>28000</v>
      </c>
      <c r="P62" s="555">
        <f>(O62/O273)*100</f>
        <v>0.14054284674555501</v>
      </c>
      <c r="Q62" s="806">
        <v>0.60299999999999998</v>
      </c>
      <c r="R62" s="555">
        <f t="shared" si="2"/>
        <v>8.4747336587569499E-2</v>
      </c>
      <c r="S62" s="675">
        <v>14000</v>
      </c>
      <c r="T62" s="565"/>
      <c r="U62" s="2560"/>
      <c r="V62" s="571"/>
      <c r="W62" s="566">
        <f t="shared" si="3"/>
        <v>0</v>
      </c>
      <c r="X62" s="566">
        <f t="shared" si="4"/>
        <v>28000</v>
      </c>
      <c r="Y62" s="566">
        <f t="shared" si="5"/>
        <v>0</v>
      </c>
      <c r="Z62" s="566">
        <f t="shared" si="6"/>
        <v>0</v>
      </c>
      <c r="AA62" s="566">
        <f t="shared" si="7"/>
        <v>0</v>
      </c>
      <c r="AB62" s="566">
        <f t="shared" si="8"/>
        <v>0</v>
      </c>
      <c r="AC62" s="566">
        <f t="shared" si="9"/>
        <v>0</v>
      </c>
      <c r="AD62" s="566">
        <f t="shared" si="10"/>
        <v>0</v>
      </c>
      <c r="AE62" s="566">
        <f t="shared" si="11"/>
        <v>0</v>
      </c>
      <c r="AF62" s="566">
        <f t="shared" si="12"/>
        <v>0</v>
      </c>
      <c r="AG62" s="573"/>
    </row>
    <row r="63" spans="1:33" ht="25.15" customHeight="1">
      <c r="A63" s="543">
        <v>50</v>
      </c>
      <c r="B63" s="546" t="s">
        <v>1332</v>
      </c>
      <c r="C63" s="541" t="str">
        <f t="shared" si="13"/>
        <v>Paha Bawah Matah</v>
      </c>
      <c r="D63" s="542"/>
      <c r="E63" s="542"/>
      <c r="F63" s="542"/>
      <c r="G63" s="542">
        <v>2</v>
      </c>
      <c r="H63" s="801"/>
      <c r="I63" s="542"/>
      <c r="J63" s="542"/>
      <c r="K63" s="542"/>
      <c r="L63" s="542"/>
      <c r="M63" s="542"/>
      <c r="N63" s="554">
        <f t="shared" si="0"/>
        <v>2</v>
      </c>
      <c r="O63" s="554">
        <f t="shared" si="1"/>
        <v>30000</v>
      </c>
      <c r="P63" s="555">
        <f>(O63/O273)*100</f>
        <v>0.15058162151309401</v>
      </c>
      <c r="Q63" s="807">
        <v>0.5</v>
      </c>
      <c r="R63" s="555">
        <f t="shared" si="2"/>
        <v>7.52908107565472E-2</v>
      </c>
      <c r="S63" s="675">
        <v>15000</v>
      </c>
      <c r="T63" s="565"/>
      <c r="U63" s="2560"/>
      <c r="V63" s="571"/>
      <c r="W63" s="566">
        <f t="shared" si="3"/>
        <v>0</v>
      </c>
      <c r="X63" s="566">
        <f t="shared" si="4"/>
        <v>0</v>
      </c>
      <c r="Y63" s="566">
        <f t="shared" si="5"/>
        <v>0</v>
      </c>
      <c r="Z63" s="566">
        <f t="shared" si="6"/>
        <v>30000</v>
      </c>
      <c r="AA63" s="566">
        <f t="shared" si="7"/>
        <v>0</v>
      </c>
      <c r="AB63" s="566">
        <f t="shared" si="8"/>
        <v>0</v>
      </c>
      <c r="AC63" s="566">
        <f t="shared" si="9"/>
        <v>0</v>
      </c>
      <c r="AD63" s="566">
        <f t="shared" si="10"/>
        <v>0</v>
      </c>
      <c r="AE63" s="566">
        <f t="shared" si="11"/>
        <v>0</v>
      </c>
      <c r="AF63" s="566">
        <f t="shared" si="12"/>
        <v>0</v>
      </c>
      <c r="AG63" s="573"/>
    </row>
    <row r="64" spans="1:33" ht="25.15" customHeight="1">
      <c r="A64" s="543">
        <v>51</v>
      </c>
      <c r="B64" s="546" t="s">
        <v>1333</v>
      </c>
      <c r="C64" s="541" t="str">
        <f t="shared" si="13"/>
        <v>Paha Atas / Dada  Matah</v>
      </c>
      <c r="D64" s="542">
        <v>2</v>
      </c>
      <c r="E64" s="542">
        <v>2</v>
      </c>
      <c r="F64" s="542">
        <v>2</v>
      </c>
      <c r="G64" s="542">
        <v>4</v>
      </c>
      <c r="H64" s="801">
        <v>2</v>
      </c>
      <c r="I64" s="542">
        <v>1</v>
      </c>
      <c r="J64" s="542">
        <v>3</v>
      </c>
      <c r="K64" s="542"/>
      <c r="L64" s="542"/>
      <c r="M64" s="542"/>
      <c r="N64" s="554">
        <f t="shared" si="0"/>
        <v>16</v>
      </c>
      <c r="O64" s="554">
        <f t="shared" si="1"/>
        <v>272000</v>
      </c>
      <c r="P64" s="555">
        <f>(O64/O273)*100</f>
        <v>1.3652733683853899</v>
      </c>
      <c r="Q64" s="807">
        <v>0.57699999999999996</v>
      </c>
      <c r="R64" s="555">
        <f t="shared" si="2"/>
        <v>0.78776273355836901</v>
      </c>
      <c r="S64" s="675">
        <v>17000</v>
      </c>
      <c r="T64" s="565"/>
      <c r="U64" s="2560"/>
      <c r="V64" s="571"/>
      <c r="W64" s="566">
        <f t="shared" si="3"/>
        <v>34000</v>
      </c>
      <c r="X64" s="566">
        <f t="shared" si="4"/>
        <v>34000</v>
      </c>
      <c r="Y64" s="566">
        <f t="shared" si="5"/>
        <v>34000</v>
      </c>
      <c r="Z64" s="566">
        <f t="shared" si="6"/>
        <v>68000</v>
      </c>
      <c r="AA64" s="566">
        <f t="shared" si="7"/>
        <v>34000</v>
      </c>
      <c r="AB64" s="566">
        <f t="shared" si="8"/>
        <v>17000</v>
      </c>
      <c r="AC64" s="566">
        <f t="shared" si="9"/>
        <v>51000</v>
      </c>
      <c r="AD64" s="566">
        <f t="shared" si="10"/>
        <v>0</v>
      </c>
      <c r="AE64" s="566">
        <f t="shared" si="11"/>
        <v>0</v>
      </c>
      <c r="AF64" s="566">
        <f t="shared" si="12"/>
        <v>0</v>
      </c>
      <c r="AG64" s="573"/>
    </row>
    <row r="65" spans="1:35" ht="25.15" customHeight="1">
      <c r="A65" s="543">
        <v>52</v>
      </c>
      <c r="B65" s="546" t="s">
        <v>1334</v>
      </c>
      <c r="C65" s="541" t="str">
        <f t="shared" si="13"/>
        <v>Sambal Matah</v>
      </c>
      <c r="D65" s="542"/>
      <c r="E65" s="542">
        <v>1</v>
      </c>
      <c r="F65" s="542">
        <v>1</v>
      </c>
      <c r="G65" s="542">
        <v>1</v>
      </c>
      <c r="H65" s="542">
        <v>5</v>
      </c>
      <c r="I65" s="542"/>
      <c r="J65" s="542">
        <v>3</v>
      </c>
      <c r="K65" s="542"/>
      <c r="L65" s="542"/>
      <c r="M65" s="542"/>
      <c r="N65" s="554">
        <f t="shared" si="0"/>
        <v>11</v>
      </c>
      <c r="O65" s="554">
        <f t="shared" si="1"/>
        <v>55000</v>
      </c>
      <c r="P65" s="555">
        <f>(O65/O273)*100</f>
        <v>0.27606630610734001</v>
      </c>
      <c r="Q65" s="806">
        <v>0.32700000000000001</v>
      </c>
      <c r="R65" s="555">
        <f t="shared" si="2"/>
        <v>9.0273682097100003E-2</v>
      </c>
      <c r="S65" s="697">
        <v>5000</v>
      </c>
      <c r="T65" s="565"/>
      <c r="U65" s="2560"/>
      <c r="V65" s="571"/>
      <c r="W65" s="566">
        <f t="shared" si="3"/>
        <v>0</v>
      </c>
      <c r="X65" s="566">
        <f t="shared" si="4"/>
        <v>5000</v>
      </c>
      <c r="Y65" s="566">
        <f t="shared" si="5"/>
        <v>5000</v>
      </c>
      <c r="Z65" s="566">
        <f t="shared" si="6"/>
        <v>5000</v>
      </c>
      <c r="AA65" s="566">
        <f t="shared" si="7"/>
        <v>25000</v>
      </c>
      <c r="AB65" s="566">
        <f t="shared" si="8"/>
        <v>0</v>
      </c>
      <c r="AC65" s="566">
        <f t="shared" si="9"/>
        <v>15000</v>
      </c>
      <c r="AD65" s="566">
        <f t="shared" si="10"/>
        <v>0</v>
      </c>
      <c r="AE65" s="566">
        <f t="shared" si="11"/>
        <v>0</v>
      </c>
      <c r="AF65" s="566">
        <f t="shared" si="12"/>
        <v>0</v>
      </c>
      <c r="AG65" s="573"/>
    </row>
    <row r="66" spans="1:35" ht="25.15" customHeight="1">
      <c r="A66" s="543"/>
      <c r="B66" s="546"/>
      <c r="C66" s="541"/>
      <c r="D66" s="542"/>
      <c r="E66" s="542"/>
      <c r="F66" s="542"/>
      <c r="G66" s="542"/>
      <c r="H66" s="542"/>
      <c r="I66" s="542"/>
      <c r="J66" s="542"/>
      <c r="K66" s="542"/>
      <c r="L66" s="542"/>
      <c r="M66" s="542"/>
      <c r="N66" s="554">
        <f t="shared" si="0"/>
        <v>0</v>
      </c>
      <c r="O66" s="554">
        <f t="shared" si="1"/>
        <v>0</v>
      </c>
      <c r="P66" s="555">
        <f>(O66/O273)*100</f>
        <v>0</v>
      </c>
      <c r="Q66" s="567"/>
      <c r="R66" s="555">
        <f t="shared" si="2"/>
        <v>0</v>
      </c>
      <c r="S66" s="564"/>
      <c r="T66" s="565"/>
      <c r="U66" s="2560"/>
      <c r="V66" s="571"/>
      <c r="W66" s="566">
        <f t="shared" si="3"/>
        <v>0</v>
      </c>
      <c r="X66" s="566">
        <f t="shared" si="4"/>
        <v>0</v>
      </c>
      <c r="Y66" s="566">
        <f t="shared" si="5"/>
        <v>0</v>
      </c>
      <c r="Z66" s="566">
        <f t="shared" si="6"/>
        <v>0</v>
      </c>
      <c r="AA66" s="566">
        <f t="shared" si="7"/>
        <v>0</v>
      </c>
      <c r="AB66" s="566">
        <f t="shared" si="8"/>
        <v>0</v>
      </c>
      <c r="AC66" s="566">
        <f t="shared" si="9"/>
        <v>0</v>
      </c>
      <c r="AD66" s="566">
        <f t="shared" si="10"/>
        <v>0</v>
      </c>
      <c r="AE66" s="566">
        <f t="shared" si="11"/>
        <v>0</v>
      </c>
      <c r="AF66" s="566">
        <f t="shared" si="12"/>
        <v>0</v>
      </c>
      <c r="AG66" s="573"/>
    </row>
    <row r="67" spans="1:35" ht="25.15" customHeight="1">
      <c r="A67" s="543">
        <v>53</v>
      </c>
      <c r="B67" s="546" t="s">
        <v>1335</v>
      </c>
      <c r="C67" s="541" t="str">
        <f>B67</f>
        <v>Paket Terasi 1 (Es Teh / S-tee / Lemon Tea)</v>
      </c>
      <c r="D67" s="542"/>
      <c r="E67" s="542"/>
      <c r="F67" s="542"/>
      <c r="G67" s="542"/>
      <c r="H67" s="542"/>
      <c r="I67" s="542"/>
      <c r="J67" s="542"/>
      <c r="K67" s="542"/>
      <c r="L67" s="542"/>
      <c r="M67" s="542"/>
      <c r="N67" s="554">
        <f t="shared" si="0"/>
        <v>0</v>
      </c>
      <c r="O67" s="554">
        <f t="shared" si="1"/>
        <v>0</v>
      </c>
      <c r="P67" s="555">
        <f>(O67/O273)*100</f>
        <v>0</v>
      </c>
      <c r="Q67" s="806">
        <v>0.51200000000000001</v>
      </c>
      <c r="R67" s="555">
        <f t="shared" si="2"/>
        <v>0</v>
      </c>
      <c r="S67" s="812">
        <v>21000</v>
      </c>
      <c r="T67" s="565"/>
      <c r="U67" s="2560"/>
      <c r="V67" s="571"/>
      <c r="W67" s="566">
        <f t="shared" si="3"/>
        <v>0</v>
      </c>
      <c r="X67" s="566">
        <f t="shared" si="4"/>
        <v>0</v>
      </c>
      <c r="Y67" s="566">
        <f t="shared" si="5"/>
        <v>0</v>
      </c>
      <c r="Z67" s="566">
        <f t="shared" si="6"/>
        <v>0</v>
      </c>
      <c r="AA67" s="566">
        <f t="shared" si="7"/>
        <v>0</v>
      </c>
      <c r="AB67" s="566">
        <f t="shared" si="8"/>
        <v>0</v>
      </c>
      <c r="AC67" s="566">
        <f t="shared" si="9"/>
        <v>0</v>
      </c>
      <c r="AD67" s="566">
        <f t="shared" si="10"/>
        <v>0</v>
      </c>
      <c r="AE67" s="566">
        <f t="shared" si="11"/>
        <v>0</v>
      </c>
      <c r="AF67" s="566">
        <f t="shared" si="12"/>
        <v>0</v>
      </c>
      <c r="AG67" s="573"/>
    </row>
    <row r="68" spans="1:35" ht="25.15" customHeight="1">
      <c r="A68" s="543">
        <v>54</v>
      </c>
      <c r="B68" s="546" t="s">
        <v>1336</v>
      </c>
      <c r="C68" s="541" t="str">
        <f t="shared" ref="C68:C69" si="18">B68</f>
        <v>Paket Terasi 2 (Es Teh / S-tee / Lemon Tea)</v>
      </c>
      <c r="D68" s="542"/>
      <c r="E68" s="542"/>
      <c r="F68" s="542"/>
      <c r="G68" s="542">
        <v>1</v>
      </c>
      <c r="H68" s="542"/>
      <c r="I68" s="542">
        <v>2</v>
      </c>
      <c r="J68" s="542"/>
      <c r="K68" s="542"/>
      <c r="L68" s="542"/>
      <c r="M68" s="542"/>
      <c r="N68" s="554">
        <f t="shared" si="0"/>
        <v>3</v>
      </c>
      <c r="O68" s="554">
        <f t="shared" si="1"/>
        <v>66000</v>
      </c>
      <c r="P68" s="555">
        <f>(O68/O273)*100</f>
        <v>0.33127956732880798</v>
      </c>
      <c r="Q68" s="807">
        <v>0.45300000000000001</v>
      </c>
      <c r="R68" s="555">
        <f t="shared" si="2"/>
        <v>0.15006964399994999</v>
      </c>
      <c r="S68" s="675">
        <v>22000</v>
      </c>
      <c r="T68" s="565"/>
      <c r="U68" s="2560"/>
      <c r="V68" s="571"/>
      <c r="W68" s="566">
        <f t="shared" si="3"/>
        <v>0</v>
      </c>
      <c r="X68" s="566">
        <f t="shared" si="4"/>
        <v>0</v>
      </c>
      <c r="Y68" s="566">
        <f t="shared" si="5"/>
        <v>0</v>
      </c>
      <c r="Z68" s="566">
        <f t="shared" si="6"/>
        <v>22000</v>
      </c>
      <c r="AA68" s="566">
        <f t="shared" si="7"/>
        <v>0</v>
      </c>
      <c r="AB68" s="566">
        <f t="shared" si="8"/>
        <v>44000</v>
      </c>
      <c r="AC68" s="566">
        <f t="shared" si="9"/>
        <v>0</v>
      </c>
      <c r="AD68" s="566">
        <f t="shared" si="10"/>
        <v>0</v>
      </c>
      <c r="AE68" s="566">
        <f t="shared" si="11"/>
        <v>0</v>
      </c>
      <c r="AF68" s="566">
        <f t="shared" si="12"/>
        <v>0</v>
      </c>
      <c r="AG68" s="573"/>
    </row>
    <row r="69" spans="1:35" ht="25.15" customHeight="1">
      <c r="A69" s="543">
        <v>55</v>
      </c>
      <c r="B69" s="546" t="s">
        <v>1337</v>
      </c>
      <c r="C69" s="541" t="str">
        <f t="shared" si="18"/>
        <v>Paket Terasi 3 (Es Teh / S-tee / Lemon Tea)</v>
      </c>
      <c r="D69" s="542"/>
      <c r="E69" s="542">
        <v>1</v>
      </c>
      <c r="F69" s="542"/>
      <c r="G69" s="542">
        <v>1</v>
      </c>
      <c r="H69" s="801">
        <v>1</v>
      </c>
      <c r="I69" s="542">
        <v>2</v>
      </c>
      <c r="J69" s="542">
        <v>1</v>
      </c>
      <c r="K69" s="542"/>
      <c r="L69" s="542"/>
      <c r="M69" s="542"/>
      <c r="N69" s="554">
        <f t="shared" si="0"/>
        <v>6</v>
      </c>
      <c r="O69" s="554">
        <f t="shared" si="1"/>
        <v>144000</v>
      </c>
      <c r="P69" s="555">
        <f>(O69/O273)*100</f>
        <v>0.72279178326285298</v>
      </c>
      <c r="Q69" s="807">
        <v>0.55700000000000005</v>
      </c>
      <c r="R69" s="555">
        <f t="shared" si="2"/>
        <v>0.40259502327740898</v>
      </c>
      <c r="S69" s="675">
        <v>24000</v>
      </c>
      <c r="T69" s="565"/>
      <c r="U69" s="2560"/>
      <c r="V69" s="571"/>
      <c r="W69" s="566">
        <f t="shared" si="3"/>
        <v>0</v>
      </c>
      <c r="X69" s="566">
        <f t="shared" si="4"/>
        <v>24000</v>
      </c>
      <c r="Y69" s="566">
        <f t="shared" si="5"/>
        <v>0</v>
      </c>
      <c r="Z69" s="566">
        <f t="shared" si="6"/>
        <v>24000</v>
      </c>
      <c r="AA69" s="566">
        <f t="shared" si="7"/>
        <v>24000</v>
      </c>
      <c r="AB69" s="566">
        <f t="shared" si="8"/>
        <v>48000</v>
      </c>
      <c r="AC69" s="566">
        <f t="shared" si="9"/>
        <v>24000</v>
      </c>
      <c r="AD69" s="566">
        <f t="shared" si="10"/>
        <v>0</v>
      </c>
      <c r="AE69" s="566">
        <f t="shared" si="11"/>
        <v>0</v>
      </c>
      <c r="AF69" s="566">
        <f t="shared" si="12"/>
        <v>0</v>
      </c>
      <c r="AG69" s="573"/>
    </row>
    <row r="70" spans="1:35" ht="25.15" customHeight="1">
      <c r="A70" s="543">
        <v>56</v>
      </c>
      <c r="B70" s="546" t="s">
        <v>1338</v>
      </c>
      <c r="C70" s="541" t="str">
        <f t="shared" si="13"/>
        <v>Sayap Terasi</v>
      </c>
      <c r="D70" s="542"/>
      <c r="E70" s="542"/>
      <c r="F70" s="542"/>
      <c r="G70" s="542"/>
      <c r="H70" s="801"/>
      <c r="I70" s="542"/>
      <c r="J70" s="542"/>
      <c r="K70" s="542"/>
      <c r="L70" s="542"/>
      <c r="M70" s="542"/>
      <c r="N70" s="554">
        <f t="shared" si="0"/>
        <v>0</v>
      </c>
      <c r="O70" s="554">
        <f t="shared" si="1"/>
        <v>0</v>
      </c>
      <c r="P70" s="555">
        <f>(O70/O273)*100</f>
        <v>0</v>
      </c>
      <c r="Q70" s="808">
        <v>0.53700000000000003</v>
      </c>
      <c r="R70" s="555">
        <f t="shared" si="2"/>
        <v>0</v>
      </c>
      <c r="S70" s="675">
        <v>14000</v>
      </c>
      <c r="T70" s="565"/>
      <c r="U70" s="2560"/>
      <c r="V70" s="571"/>
      <c r="W70" s="566">
        <f t="shared" si="3"/>
        <v>0</v>
      </c>
      <c r="X70" s="566">
        <f t="shared" si="4"/>
        <v>0</v>
      </c>
      <c r="Y70" s="566">
        <f t="shared" si="5"/>
        <v>0</v>
      </c>
      <c r="Z70" s="566">
        <f t="shared" si="6"/>
        <v>0</v>
      </c>
      <c r="AA70" s="566">
        <f t="shared" si="7"/>
        <v>0</v>
      </c>
      <c r="AB70" s="566">
        <f t="shared" si="8"/>
        <v>0</v>
      </c>
      <c r="AC70" s="566">
        <f t="shared" si="9"/>
        <v>0</v>
      </c>
      <c r="AD70" s="566">
        <f t="shared" si="10"/>
        <v>0</v>
      </c>
      <c r="AE70" s="566">
        <f t="shared" si="11"/>
        <v>0</v>
      </c>
      <c r="AF70" s="566">
        <f t="shared" si="12"/>
        <v>0</v>
      </c>
      <c r="AG70" s="573"/>
    </row>
    <row r="71" spans="1:35" ht="25.15" customHeight="1">
      <c r="A71" s="543">
        <v>57</v>
      </c>
      <c r="B71" s="546" t="s">
        <v>1339</v>
      </c>
      <c r="C71" s="541" t="str">
        <f t="shared" si="13"/>
        <v>Paha Bawah Terasi</v>
      </c>
      <c r="D71" s="542"/>
      <c r="E71" s="542"/>
      <c r="F71" s="542"/>
      <c r="G71" s="542"/>
      <c r="H71" s="801"/>
      <c r="I71" s="542"/>
      <c r="J71" s="542"/>
      <c r="K71" s="542"/>
      <c r="L71" s="542"/>
      <c r="M71" s="542"/>
      <c r="N71" s="554">
        <f t="shared" si="0"/>
        <v>0</v>
      </c>
      <c r="O71" s="554">
        <f t="shared" si="1"/>
        <v>0</v>
      </c>
      <c r="P71" s="555">
        <f>(O71/O273)*100</f>
        <v>0</v>
      </c>
      <c r="Q71" s="809">
        <v>0.442</v>
      </c>
      <c r="R71" s="555">
        <f t="shared" si="2"/>
        <v>0</v>
      </c>
      <c r="S71" s="812">
        <v>15000</v>
      </c>
      <c r="T71" s="565"/>
      <c r="U71" s="2560"/>
      <c r="V71" s="571"/>
      <c r="W71" s="566">
        <f t="shared" si="3"/>
        <v>0</v>
      </c>
      <c r="X71" s="566">
        <f t="shared" si="4"/>
        <v>0</v>
      </c>
      <c r="Y71" s="566">
        <f t="shared" si="5"/>
        <v>0</v>
      </c>
      <c r="Z71" s="566">
        <f t="shared" si="6"/>
        <v>0</v>
      </c>
      <c r="AA71" s="566">
        <f t="shared" si="7"/>
        <v>0</v>
      </c>
      <c r="AB71" s="566">
        <f t="shared" si="8"/>
        <v>0</v>
      </c>
      <c r="AC71" s="566">
        <f t="shared" si="9"/>
        <v>0</v>
      </c>
      <c r="AD71" s="566">
        <f t="shared" si="10"/>
        <v>0</v>
      </c>
      <c r="AE71" s="566">
        <f t="shared" si="11"/>
        <v>0</v>
      </c>
      <c r="AF71" s="566">
        <f t="shared" si="12"/>
        <v>0</v>
      </c>
      <c r="AG71" s="573"/>
    </row>
    <row r="72" spans="1:35" ht="25.15" customHeight="1">
      <c r="A72" s="543">
        <v>58</v>
      </c>
      <c r="B72" s="546" t="s">
        <v>1340</v>
      </c>
      <c r="C72" s="541" t="str">
        <f t="shared" si="13"/>
        <v>Paha Atas / Dada Terasi</v>
      </c>
      <c r="D72" s="542"/>
      <c r="E72" s="542"/>
      <c r="F72" s="542"/>
      <c r="G72" s="542">
        <v>3</v>
      </c>
      <c r="H72" s="801"/>
      <c r="I72" s="542">
        <v>2</v>
      </c>
      <c r="J72" s="542"/>
      <c r="K72" s="542"/>
      <c r="L72" s="542"/>
      <c r="M72" s="542"/>
      <c r="N72" s="554">
        <f t="shared" si="0"/>
        <v>5</v>
      </c>
      <c r="O72" s="554">
        <f t="shared" si="1"/>
        <v>85000</v>
      </c>
      <c r="P72" s="555">
        <f>(O72/O273)*100</f>
        <v>0.42664792762043402</v>
      </c>
      <c r="Q72" s="809">
        <v>0.6</v>
      </c>
      <c r="R72" s="555">
        <f t="shared" si="2"/>
        <v>0.25598875657226</v>
      </c>
      <c r="S72" s="813">
        <v>17000</v>
      </c>
      <c r="T72" s="565"/>
      <c r="U72" s="2560"/>
      <c r="V72" s="571"/>
      <c r="W72" s="566">
        <f t="shared" si="3"/>
        <v>0</v>
      </c>
      <c r="X72" s="566">
        <f t="shared" si="4"/>
        <v>0</v>
      </c>
      <c r="Y72" s="566">
        <f t="shared" si="5"/>
        <v>0</v>
      </c>
      <c r="Z72" s="566">
        <f t="shared" si="6"/>
        <v>51000</v>
      </c>
      <c r="AA72" s="566">
        <f t="shared" si="7"/>
        <v>0</v>
      </c>
      <c r="AB72" s="566">
        <f t="shared" si="8"/>
        <v>34000</v>
      </c>
      <c r="AC72" s="566">
        <f t="shared" si="9"/>
        <v>0</v>
      </c>
      <c r="AD72" s="566">
        <f t="shared" si="10"/>
        <v>0</v>
      </c>
      <c r="AE72" s="566">
        <f t="shared" si="11"/>
        <v>0</v>
      </c>
      <c r="AF72" s="566">
        <f t="shared" si="12"/>
        <v>0</v>
      </c>
      <c r="AG72" s="573"/>
    </row>
    <row r="73" spans="1:35" ht="25.15" customHeight="1">
      <c r="A73" s="543">
        <v>59</v>
      </c>
      <c r="B73" s="546" t="s">
        <v>1341</v>
      </c>
      <c r="C73" s="541" t="str">
        <f t="shared" si="13"/>
        <v>Sambal  Terasi</v>
      </c>
      <c r="D73" s="542"/>
      <c r="E73" s="542">
        <v>1</v>
      </c>
      <c r="F73" s="542"/>
      <c r="G73" s="542"/>
      <c r="H73" s="801"/>
      <c r="I73" s="542"/>
      <c r="J73" s="542">
        <v>1</v>
      </c>
      <c r="K73" s="542"/>
      <c r="L73" s="542"/>
      <c r="M73" s="542"/>
      <c r="N73" s="554">
        <f t="shared" si="0"/>
        <v>2</v>
      </c>
      <c r="O73" s="554">
        <f t="shared" si="1"/>
        <v>10000</v>
      </c>
      <c r="P73" s="555">
        <f>(O73/O273)*100</f>
        <v>5.0193873837698098E-2</v>
      </c>
      <c r="Q73" s="808">
        <v>0.28599999999999998</v>
      </c>
      <c r="R73" s="555">
        <f t="shared" si="2"/>
        <v>1.43554479175817E-2</v>
      </c>
      <c r="S73" s="697">
        <v>5000</v>
      </c>
      <c r="T73" s="565"/>
      <c r="U73" s="2560"/>
      <c r="V73" s="571"/>
      <c r="W73" s="566">
        <f t="shared" si="3"/>
        <v>0</v>
      </c>
      <c r="X73" s="566">
        <f t="shared" ref="X73:X136" si="19">E73*S73</f>
        <v>5000</v>
      </c>
      <c r="Y73" s="566">
        <f t="shared" ref="Y73:Y136" si="20">F73*S73</f>
        <v>0</v>
      </c>
      <c r="Z73" s="566">
        <f t="shared" ref="Z73:Z136" si="21">G73*S73</f>
        <v>0</v>
      </c>
      <c r="AA73" s="566">
        <f t="shared" ref="AA73:AA136" si="22">H73*S73</f>
        <v>0</v>
      </c>
      <c r="AB73" s="566">
        <f t="shared" ref="AB73:AB136" si="23">I73*S73</f>
        <v>0</v>
      </c>
      <c r="AC73" s="566">
        <f t="shared" ref="AC73:AC136" si="24">J73*S73</f>
        <v>5000</v>
      </c>
      <c r="AD73" s="566">
        <f t="shared" ref="AD73:AD136" si="25">K73*S73</f>
        <v>0</v>
      </c>
      <c r="AE73" s="566">
        <f t="shared" ref="AE73:AE136" si="26">L73*S73</f>
        <v>0</v>
      </c>
      <c r="AF73" s="566">
        <f t="shared" ref="AF73:AF136" si="27">M73*S73</f>
        <v>0</v>
      </c>
      <c r="AG73" s="573"/>
      <c r="AH73" s="2198"/>
      <c r="AI73" s="2198"/>
    </row>
    <row r="74" spans="1:35" ht="25.15" customHeight="1">
      <c r="A74" s="543"/>
      <c r="B74" s="546"/>
      <c r="C74" s="541"/>
      <c r="D74" s="542"/>
      <c r="E74" s="542"/>
      <c r="F74" s="542"/>
      <c r="G74" s="542"/>
      <c r="H74" s="542"/>
      <c r="I74" s="542"/>
      <c r="J74" s="542"/>
      <c r="K74" s="542"/>
      <c r="L74" s="542"/>
      <c r="M74" s="542"/>
      <c r="N74" s="554">
        <f t="shared" si="0"/>
        <v>0</v>
      </c>
      <c r="O74" s="554">
        <f t="shared" si="1"/>
        <v>0</v>
      </c>
      <c r="P74" s="555">
        <f>(O74/O273)*100</f>
        <v>0</v>
      </c>
      <c r="Q74" s="570"/>
      <c r="R74" s="555">
        <f t="shared" si="2"/>
        <v>0</v>
      </c>
      <c r="S74" s="564"/>
      <c r="T74" s="565"/>
      <c r="U74" s="2560"/>
      <c r="V74" s="571"/>
      <c r="W74" s="566">
        <f t="shared" si="3"/>
        <v>0</v>
      </c>
      <c r="X74" s="566">
        <f t="shared" si="19"/>
        <v>0</v>
      </c>
      <c r="Y74" s="566">
        <f t="shared" si="20"/>
        <v>0</v>
      </c>
      <c r="Z74" s="566">
        <f t="shared" si="21"/>
        <v>0</v>
      </c>
      <c r="AA74" s="566">
        <f t="shared" si="22"/>
        <v>0</v>
      </c>
      <c r="AB74" s="566">
        <f t="shared" si="23"/>
        <v>0</v>
      </c>
      <c r="AC74" s="566">
        <f t="shared" si="24"/>
        <v>0</v>
      </c>
      <c r="AD74" s="566">
        <f t="shared" si="25"/>
        <v>0</v>
      </c>
      <c r="AE74" s="566">
        <f t="shared" si="26"/>
        <v>0</v>
      </c>
      <c r="AF74" s="566">
        <f t="shared" si="27"/>
        <v>0</v>
      </c>
      <c r="AG74" s="573"/>
    </row>
    <row r="75" spans="1:35" ht="25.15" customHeight="1">
      <c r="A75" s="543">
        <v>60</v>
      </c>
      <c r="B75" s="546" t="s">
        <v>1342</v>
      </c>
      <c r="C75" s="541" t="str">
        <f>B75</f>
        <v>Paket 1 Hot Cheesy (Es Teh / S-tee / Lemon Tea)</v>
      </c>
      <c r="D75" s="542"/>
      <c r="E75" s="542"/>
      <c r="F75" s="542"/>
      <c r="G75" s="542"/>
      <c r="H75" s="542"/>
      <c r="I75" s="542">
        <v>1</v>
      </c>
      <c r="J75" s="542"/>
      <c r="K75" s="542"/>
      <c r="L75" s="542"/>
      <c r="M75" s="542"/>
      <c r="N75" s="554">
        <f t="shared" si="0"/>
        <v>1</v>
      </c>
      <c r="O75" s="554">
        <f t="shared" si="1"/>
        <v>21000</v>
      </c>
      <c r="P75" s="555">
        <f>(O75/O273)*100</f>
        <v>0.105407135059166</v>
      </c>
      <c r="Q75" s="808">
        <v>0.621</v>
      </c>
      <c r="R75" s="555">
        <f t="shared" si="2"/>
        <v>6.5457830871742104E-2</v>
      </c>
      <c r="S75" s="675">
        <v>21000</v>
      </c>
      <c r="T75" s="565"/>
      <c r="U75" s="2560"/>
      <c r="V75" s="571"/>
      <c r="W75" s="566">
        <f t="shared" si="3"/>
        <v>0</v>
      </c>
      <c r="X75" s="566">
        <f t="shared" si="19"/>
        <v>0</v>
      </c>
      <c r="Y75" s="566">
        <f t="shared" si="20"/>
        <v>0</v>
      </c>
      <c r="Z75" s="566">
        <f t="shared" si="21"/>
        <v>0</v>
      </c>
      <c r="AA75" s="566">
        <f t="shared" si="22"/>
        <v>0</v>
      </c>
      <c r="AB75" s="566">
        <f t="shared" si="23"/>
        <v>21000</v>
      </c>
      <c r="AC75" s="566">
        <f t="shared" si="24"/>
        <v>0</v>
      </c>
      <c r="AD75" s="566">
        <f t="shared" si="25"/>
        <v>0</v>
      </c>
      <c r="AE75" s="566">
        <f t="shared" si="26"/>
        <v>0</v>
      </c>
      <c r="AF75" s="566">
        <f t="shared" si="27"/>
        <v>0</v>
      </c>
      <c r="AG75" s="573"/>
    </row>
    <row r="76" spans="1:35" ht="25.15" customHeight="1">
      <c r="A76" s="543">
        <v>61</v>
      </c>
      <c r="B76" s="546" t="s">
        <v>1343</v>
      </c>
      <c r="C76" s="541" t="str">
        <f t="shared" ref="C76:C77" si="28">B76</f>
        <v>Paket 2 Hot Cheesy (Es Teh / S-tee / Lemon Tea)</v>
      </c>
      <c r="D76" s="542"/>
      <c r="E76" s="542"/>
      <c r="F76" s="542">
        <v>1</v>
      </c>
      <c r="G76" s="542"/>
      <c r="H76" s="801"/>
      <c r="I76" s="542">
        <v>1</v>
      </c>
      <c r="J76" s="542"/>
      <c r="K76" s="542"/>
      <c r="L76" s="542"/>
      <c r="M76" s="542"/>
      <c r="N76" s="554">
        <f t="shared" si="0"/>
        <v>2</v>
      </c>
      <c r="O76" s="554">
        <f t="shared" si="1"/>
        <v>44000</v>
      </c>
      <c r="P76" s="555">
        <f>(O76/O273)*100</f>
        <v>0.22085304488587201</v>
      </c>
      <c r="Q76" s="809">
        <v>0.43</v>
      </c>
      <c r="R76" s="555">
        <f t="shared" si="2"/>
        <v>9.4966809300924798E-2</v>
      </c>
      <c r="S76" s="675">
        <v>22000</v>
      </c>
      <c r="T76" s="565"/>
      <c r="U76" s="2560"/>
      <c r="V76" s="571"/>
      <c r="W76" s="566">
        <f t="shared" si="3"/>
        <v>0</v>
      </c>
      <c r="X76" s="566">
        <f t="shared" si="19"/>
        <v>0</v>
      </c>
      <c r="Y76" s="566">
        <f t="shared" si="20"/>
        <v>22000</v>
      </c>
      <c r="Z76" s="566">
        <f t="shared" si="21"/>
        <v>0</v>
      </c>
      <c r="AA76" s="566">
        <f t="shared" si="22"/>
        <v>0</v>
      </c>
      <c r="AB76" s="566">
        <f t="shared" si="23"/>
        <v>22000</v>
      </c>
      <c r="AC76" s="566">
        <f t="shared" si="24"/>
        <v>0</v>
      </c>
      <c r="AD76" s="566">
        <f t="shared" si="25"/>
        <v>0</v>
      </c>
      <c r="AE76" s="566">
        <f t="shared" si="26"/>
        <v>0</v>
      </c>
      <c r="AF76" s="566">
        <f t="shared" si="27"/>
        <v>0</v>
      </c>
      <c r="AG76" s="573"/>
    </row>
    <row r="77" spans="1:35" ht="25.15" customHeight="1">
      <c r="A77" s="543">
        <v>62</v>
      </c>
      <c r="B77" s="546" t="s">
        <v>1344</v>
      </c>
      <c r="C77" s="541" t="str">
        <f t="shared" si="28"/>
        <v>Paket 3 Hot Cheesy (Es Teh / S-tee / Lemon Tea)</v>
      </c>
      <c r="D77" s="542"/>
      <c r="E77" s="542"/>
      <c r="F77" s="542">
        <v>2</v>
      </c>
      <c r="G77" s="542">
        <v>1</v>
      </c>
      <c r="H77" s="801">
        <v>2</v>
      </c>
      <c r="I77" s="542"/>
      <c r="J77" s="542"/>
      <c r="K77" s="542"/>
      <c r="L77" s="542"/>
      <c r="M77" s="542"/>
      <c r="N77" s="554">
        <f t="shared" si="0"/>
        <v>5</v>
      </c>
      <c r="O77" s="554">
        <f t="shared" si="1"/>
        <v>120000</v>
      </c>
      <c r="P77" s="555">
        <f>(O77/O273)*100</f>
        <v>0.60232648605237704</v>
      </c>
      <c r="Q77" s="809">
        <v>0.48699999999999999</v>
      </c>
      <c r="R77" s="555">
        <f t="shared" si="2"/>
        <v>0.29333299870750801</v>
      </c>
      <c r="S77" s="675">
        <v>24000</v>
      </c>
      <c r="T77" s="565"/>
      <c r="U77" s="2560"/>
      <c r="V77" s="571"/>
      <c r="W77" s="566">
        <f t="shared" si="3"/>
        <v>0</v>
      </c>
      <c r="X77" s="566">
        <f t="shared" si="19"/>
        <v>0</v>
      </c>
      <c r="Y77" s="566">
        <f t="shared" si="20"/>
        <v>48000</v>
      </c>
      <c r="Z77" s="566">
        <f t="shared" si="21"/>
        <v>24000</v>
      </c>
      <c r="AA77" s="566">
        <f t="shared" si="22"/>
        <v>48000</v>
      </c>
      <c r="AB77" s="566">
        <f t="shared" si="23"/>
        <v>0</v>
      </c>
      <c r="AC77" s="566">
        <f t="shared" si="24"/>
        <v>0</v>
      </c>
      <c r="AD77" s="566">
        <f t="shared" si="25"/>
        <v>0</v>
      </c>
      <c r="AE77" s="566">
        <f t="shared" si="26"/>
        <v>0</v>
      </c>
      <c r="AF77" s="566">
        <f t="shared" si="27"/>
        <v>0</v>
      </c>
      <c r="AG77" s="573"/>
    </row>
    <row r="78" spans="1:35" ht="25.15" customHeight="1">
      <c r="A78" s="543">
        <v>63</v>
      </c>
      <c r="B78" s="546" t="s">
        <v>1345</v>
      </c>
      <c r="C78" s="541" t="str">
        <f t="shared" ref="C78:C132" si="29">B78</f>
        <v>Sayap Hot Cheesy</v>
      </c>
      <c r="D78" s="542"/>
      <c r="E78" s="542"/>
      <c r="F78" s="542"/>
      <c r="G78" s="542"/>
      <c r="H78" s="801"/>
      <c r="I78" s="542">
        <v>1</v>
      </c>
      <c r="J78" s="542"/>
      <c r="K78" s="542"/>
      <c r="L78" s="542"/>
      <c r="M78" s="542"/>
      <c r="N78" s="554">
        <f t="shared" si="0"/>
        <v>1</v>
      </c>
      <c r="O78" s="554">
        <f t="shared" si="1"/>
        <v>14000</v>
      </c>
      <c r="P78" s="555">
        <f>(O78/O273)*100</f>
        <v>7.0271423372777295E-2</v>
      </c>
      <c r="Q78" s="808">
        <v>0.59799999999999998</v>
      </c>
      <c r="R78" s="555">
        <f t="shared" si="2"/>
        <v>4.2022311176920901E-2</v>
      </c>
      <c r="S78" s="675">
        <v>14000</v>
      </c>
      <c r="T78" s="565"/>
      <c r="U78" s="2560"/>
      <c r="V78" s="571"/>
      <c r="W78" s="566">
        <f t="shared" si="3"/>
        <v>0</v>
      </c>
      <c r="X78" s="566">
        <f t="shared" si="19"/>
        <v>0</v>
      </c>
      <c r="Y78" s="566">
        <f t="shared" si="20"/>
        <v>0</v>
      </c>
      <c r="Z78" s="566">
        <f t="shared" si="21"/>
        <v>0</v>
      </c>
      <c r="AA78" s="566">
        <f t="shared" si="22"/>
        <v>0</v>
      </c>
      <c r="AB78" s="566">
        <f t="shared" si="23"/>
        <v>14000</v>
      </c>
      <c r="AC78" s="566">
        <f t="shared" si="24"/>
        <v>0</v>
      </c>
      <c r="AD78" s="566">
        <f t="shared" si="25"/>
        <v>0</v>
      </c>
      <c r="AE78" s="566">
        <f t="shared" si="26"/>
        <v>0</v>
      </c>
      <c r="AF78" s="566">
        <f t="shared" si="27"/>
        <v>0</v>
      </c>
      <c r="AG78" s="573"/>
    </row>
    <row r="79" spans="1:35" ht="25.15" customHeight="1">
      <c r="A79" s="543">
        <v>64</v>
      </c>
      <c r="B79" s="546" t="s">
        <v>1346</v>
      </c>
      <c r="C79" s="541" t="str">
        <f t="shared" si="29"/>
        <v>Paha Bawah Hot Cheesy</v>
      </c>
      <c r="D79" s="542"/>
      <c r="E79" s="542"/>
      <c r="F79" s="542"/>
      <c r="G79" s="542"/>
      <c r="H79" s="801"/>
      <c r="I79" s="542"/>
      <c r="J79" s="542"/>
      <c r="K79" s="542"/>
      <c r="L79" s="542"/>
      <c r="M79" s="542"/>
      <c r="N79" s="554">
        <f t="shared" si="0"/>
        <v>0</v>
      </c>
      <c r="O79" s="554">
        <f t="shared" si="1"/>
        <v>0</v>
      </c>
      <c r="P79" s="555">
        <f>(O79/O273)*100</f>
        <v>0</v>
      </c>
      <c r="Q79" s="809">
        <v>0.51500000000000001</v>
      </c>
      <c r="R79" s="555">
        <f t="shared" si="2"/>
        <v>0</v>
      </c>
      <c r="S79" s="675">
        <v>15000</v>
      </c>
      <c r="T79" s="565"/>
      <c r="U79" s="2560"/>
      <c r="V79" s="571"/>
      <c r="W79" s="566">
        <f t="shared" si="3"/>
        <v>0</v>
      </c>
      <c r="X79" s="566">
        <f t="shared" si="19"/>
        <v>0</v>
      </c>
      <c r="Y79" s="566">
        <f t="shared" si="20"/>
        <v>0</v>
      </c>
      <c r="Z79" s="566">
        <f t="shared" si="21"/>
        <v>0</v>
      </c>
      <c r="AA79" s="566">
        <f t="shared" si="22"/>
        <v>0</v>
      </c>
      <c r="AB79" s="566">
        <f t="shared" si="23"/>
        <v>0</v>
      </c>
      <c r="AC79" s="566">
        <f t="shared" si="24"/>
        <v>0</v>
      </c>
      <c r="AD79" s="566">
        <f t="shared" si="25"/>
        <v>0</v>
      </c>
      <c r="AE79" s="566">
        <f t="shared" si="26"/>
        <v>0</v>
      </c>
      <c r="AF79" s="566">
        <f t="shared" si="27"/>
        <v>0</v>
      </c>
      <c r="AG79" s="573"/>
    </row>
    <row r="80" spans="1:35" ht="25.15" customHeight="1">
      <c r="A80" s="543">
        <v>65</v>
      </c>
      <c r="B80" s="546" t="s">
        <v>1347</v>
      </c>
      <c r="C80" s="541" t="str">
        <f t="shared" si="29"/>
        <v>Paha Atas / Dada Hot Cheesy</v>
      </c>
      <c r="D80" s="542">
        <v>2</v>
      </c>
      <c r="E80" s="542"/>
      <c r="F80" s="542">
        <v>2</v>
      </c>
      <c r="G80" s="542">
        <v>1</v>
      </c>
      <c r="H80" s="801">
        <v>2</v>
      </c>
      <c r="I80" s="542"/>
      <c r="J80" s="542"/>
      <c r="K80" s="542"/>
      <c r="L80" s="542"/>
      <c r="M80" s="542"/>
      <c r="N80" s="554">
        <f t="shared" si="0"/>
        <v>7</v>
      </c>
      <c r="O80" s="554">
        <f t="shared" si="1"/>
        <v>119000</v>
      </c>
      <c r="P80" s="555">
        <f>(O80/O273)*100</f>
        <v>0.59730709866860798</v>
      </c>
      <c r="Q80" s="809">
        <v>0.66800000000000004</v>
      </c>
      <c r="R80" s="555">
        <f t="shared" si="2"/>
        <v>0.39900114191063002</v>
      </c>
      <c r="S80" s="675">
        <v>17000</v>
      </c>
      <c r="T80" s="565"/>
      <c r="U80" s="2560"/>
      <c r="V80" s="571"/>
      <c r="W80" s="566">
        <f t="shared" si="3"/>
        <v>34000</v>
      </c>
      <c r="X80" s="566">
        <f t="shared" si="19"/>
        <v>0</v>
      </c>
      <c r="Y80" s="566">
        <f t="shared" si="20"/>
        <v>34000</v>
      </c>
      <c r="Z80" s="566">
        <f t="shared" si="21"/>
        <v>17000</v>
      </c>
      <c r="AA80" s="566">
        <f t="shared" si="22"/>
        <v>34000</v>
      </c>
      <c r="AB80" s="566">
        <f t="shared" si="23"/>
        <v>0</v>
      </c>
      <c r="AC80" s="566">
        <f t="shared" si="24"/>
        <v>0</v>
      </c>
      <c r="AD80" s="566">
        <f t="shared" si="25"/>
        <v>0</v>
      </c>
      <c r="AE80" s="566">
        <f t="shared" si="26"/>
        <v>0</v>
      </c>
      <c r="AF80" s="566">
        <f t="shared" si="27"/>
        <v>0</v>
      </c>
      <c r="AG80" s="573"/>
    </row>
    <row r="81" spans="1:33" ht="25.15" customHeight="1">
      <c r="A81" s="543">
        <v>66</v>
      </c>
      <c r="B81" s="546" t="s">
        <v>1348</v>
      </c>
      <c r="C81" s="541" t="str">
        <f t="shared" si="29"/>
        <v>Saos  Hot Cheesy</v>
      </c>
      <c r="D81" s="542">
        <v>1</v>
      </c>
      <c r="E81" s="542"/>
      <c r="F81" s="542">
        <v>1</v>
      </c>
      <c r="G81" s="542"/>
      <c r="H81" s="801"/>
      <c r="I81" s="542"/>
      <c r="J81" s="542"/>
      <c r="K81" s="542"/>
      <c r="L81" s="542"/>
      <c r="M81" s="542"/>
      <c r="N81" s="554">
        <f t="shared" si="0"/>
        <v>2</v>
      </c>
      <c r="O81" s="554">
        <f t="shared" si="1"/>
        <v>10000</v>
      </c>
      <c r="P81" s="555">
        <f>(O81/O273)*100</f>
        <v>5.0193873837698098E-2</v>
      </c>
      <c r="Q81" s="814">
        <v>0.32700000000000001</v>
      </c>
      <c r="R81" s="555">
        <f t="shared" si="2"/>
        <v>1.6413396744927301E-2</v>
      </c>
      <c r="S81" s="815">
        <v>5000</v>
      </c>
      <c r="T81" s="565"/>
      <c r="U81" s="2560"/>
      <c r="V81" s="571"/>
      <c r="W81" s="566">
        <f t="shared" si="3"/>
        <v>5000</v>
      </c>
      <c r="X81" s="566">
        <f t="shared" si="19"/>
        <v>0</v>
      </c>
      <c r="Y81" s="566">
        <f t="shared" si="20"/>
        <v>5000</v>
      </c>
      <c r="Z81" s="566">
        <f t="shared" si="21"/>
        <v>0</v>
      </c>
      <c r="AA81" s="566">
        <f t="shared" si="22"/>
        <v>0</v>
      </c>
      <c r="AB81" s="566">
        <f t="shared" si="23"/>
        <v>0</v>
      </c>
      <c r="AC81" s="566">
        <f t="shared" si="24"/>
        <v>0</v>
      </c>
      <c r="AD81" s="566">
        <f t="shared" si="25"/>
        <v>0</v>
      </c>
      <c r="AE81" s="566">
        <f t="shared" si="26"/>
        <v>0</v>
      </c>
      <c r="AF81" s="566">
        <f t="shared" si="27"/>
        <v>0</v>
      </c>
      <c r="AG81" s="573"/>
    </row>
    <row r="82" spans="1:33" ht="25.15" customHeight="1">
      <c r="A82" s="543"/>
      <c r="B82" s="546"/>
      <c r="C82" s="541"/>
      <c r="D82" s="542"/>
      <c r="E82" s="542"/>
      <c r="F82" s="542"/>
      <c r="G82" s="542"/>
      <c r="H82" s="810"/>
      <c r="I82" s="542"/>
      <c r="J82" s="542"/>
      <c r="K82" s="542"/>
      <c r="L82" s="542"/>
      <c r="M82" s="542"/>
      <c r="N82" s="554">
        <f t="shared" si="0"/>
        <v>0</v>
      </c>
      <c r="O82" s="554">
        <f t="shared" si="1"/>
        <v>0</v>
      </c>
      <c r="P82" s="555">
        <f>(O82/O273)*100</f>
        <v>0</v>
      </c>
      <c r="Q82" s="570"/>
      <c r="R82" s="555">
        <f t="shared" si="2"/>
        <v>0</v>
      </c>
      <c r="S82" s="564"/>
      <c r="T82" s="565"/>
      <c r="U82" s="2560"/>
      <c r="V82" s="571"/>
      <c r="W82" s="566">
        <f t="shared" si="3"/>
        <v>0</v>
      </c>
      <c r="X82" s="566">
        <f t="shared" si="19"/>
        <v>0</v>
      </c>
      <c r="Y82" s="566">
        <f t="shared" si="20"/>
        <v>0</v>
      </c>
      <c r="Z82" s="566">
        <f t="shared" si="21"/>
        <v>0</v>
      </c>
      <c r="AA82" s="566">
        <f t="shared" si="22"/>
        <v>0</v>
      </c>
      <c r="AB82" s="566">
        <f t="shared" si="23"/>
        <v>0</v>
      </c>
      <c r="AC82" s="566">
        <f t="shared" si="24"/>
        <v>0</v>
      </c>
      <c r="AD82" s="566">
        <f t="shared" si="25"/>
        <v>0</v>
      </c>
      <c r="AE82" s="566">
        <f t="shared" si="26"/>
        <v>0</v>
      </c>
      <c r="AF82" s="566">
        <f t="shared" si="27"/>
        <v>0</v>
      </c>
      <c r="AG82" s="573"/>
    </row>
    <row r="83" spans="1:33" ht="25.15" customHeight="1">
      <c r="A83" s="543">
        <v>67</v>
      </c>
      <c r="B83" s="546" t="s">
        <v>1349</v>
      </c>
      <c r="C83" s="541" t="str">
        <f t="shared" si="29"/>
        <v>Paket Sehat 1</v>
      </c>
      <c r="D83" s="542"/>
      <c r="E83" s="542"/>
      <c r="F83" s="542"/>
      <c r="G83" s="542"/>
      <c r="H83" s="542"/>
      <c r="I83" s="542"/>
      <c r="J83" s="542"/>
      <c r="K83" s="542"/>
      <c r="L83" s="542"/>
      <c r="M83" s="542"/>
      <c r="N83" s="554">
        <f t="shared" ref="N83:N139" si="30">SUM(D83:M83)</f>
        <v>0</v>
      </c>
      <c r="O83" s="554">
        <f t="shared" ref="O83:O139" si="31">N83*S83</f>
        <v>0</v>
      </c>
      <c r="P83" s="555">
        <f>(O83/O273)*100</f>
        <v>0</v>
      </c>
      <c r="Q83" s="808">
        <v>0.58499999999999996</v>
      </c>
      <c r="R83" s="555">
        <f t="shared" ref="R83:R139" si="32">P83*Q83</f>
        <v>0</v>
      </c>
      <c r="S83" s="675">
        <v>20000</v>
      </c>
      <c r="T83" s="565"/>
      <c r="U83" s="2560"/>
      <c r="V83" s="571"/>
      <c r="W83" s="566">
        <f t="shared" ref="W83:W139" si="33">D83*S83</f>
        <v>0</v>
      </c>
      <c r="X83" s="566">
        <f t="shared" si="19"/>
        <v>0</v>
      </c>
      <c r="Y83" s="566">
        <f t="shared" si="20"/>
        <v>0</v>
      </c>
      <c r="Z83" s="566">
        <f t="shared" si="21"/>
        <v>0</v>
      </c>
      <c r="AA83" s="566">
        <f t="shared" si="22"/>
        <v>0</v>
      </c>
      <c r="AB83" s="566">
        <f t="shared" si="23"/>
        <v>0</v>
      </c>
      <c r="AC83" s="566">
        <f t="shared" si="24"/>
        <v>0</v>
      </c>
      <c r="AD83" s="566">
        <f t="shared" si="25"/>
        <v>0</v>
      </c>
      <c r="AE83" s="566">
        <f t="shared" si="26"/>
        <v>0</v>
      </c>
      <c r="AF83" s="566">
        <f t="shared" si="27"/>
        <v>0</v>
      </c>
      <c r="AG83" s="573"/>
    </row>
    <row r="84" spans="1:33" ht="25.15" customHeight="1">
      <c r="A84" s="543">
        <v>68</v>
      </c>
      <c r="B84" s="546" t="s">
        <v>1350</v>
      </c>
      <c r="C84" s="541" t="str">
        <f t="shared" si="29"/>
        <v>Paket Sehat 2</v>
      </c>
      <c r="D84" s="542"/>
      <c r="E84" s="542"/>
      <c r="F84" s="542"/>
      <c r="G84" s="542"/>
      <c r="H84" s="542"/>
      <c r="I84" s="542"/>
      <c r="J84" s="542"/>
      <c r="K84" s="542"/>
      <c r="L84" s="542"/>
      <c r="M84" s="542"/>
      <c r="N84" s="554">
        <f t="shared" si="30"/>
        <v>0</v>
      </c>
      <c r="O84" s="554">
        <f t="shared" si="31"/>
        <v>0</v>
      </c>
      <c r="P84" s="555">
        <f>(O84/O273)*100</f>
        <v>0</v>
      </c>
      <c r="Q84" s="809">
        <v>0.53900000000000003</v>
      </c>
      <c r="R84" s="555">
        <f t="shared" si="32"/>
        <v>0</v>
      </c>
      <c r="S84" s="675">
        <v>22000</v>
      </c>
      <c r="T84" s="565"/>
      <c r="U84" s="571"/>
      <c r="V84" s="571"/>
      <c r="W84" s="566">
        <f t="shared" si="33"/>
        <v>0</v>
      </c>
      <c r="X84" s="566">
        <f t="shared" si="19"/>
        <v>0</v>
      </c>
      <c r="Y84" s="566">
        <f t="shared" si="20"/>
        <v>0</v>
      </c>
      <c r="Z84" s="566">
        <f t="shared" si="21"/>
        <v>0</v>
      </c>
      <c r="AA84" s="566">
        <f t="shared" si="22"/>
        <v>0</v>
      </c>
      <c r="AB84" s="566">
        <f t="shared" si="23"/>
        <v>0</v>
      </c>
      <c r="AC84" s="566">
        <f t="shared" si="24"/>
        <v>0</v>
      </c>
      <c r="AD84" s="566">
        <f t="shared" si="25"/>
        <v>0</v>
      </c>
      <c r="AE84" s="566">
        <f t="shared" si="26"/>
        <v>0</v>
      </c>
      <c r="AF84" s="566">
        <f t="shared" si="27"/>
        <v>0</v>
      </c>
      <c r="AG84" s="573"/>
    </row>
    <row r="85" spans="1:33" ht="25.15" customHeight="1">
      <c r="A85" s="543">
        <v>69</v>
      </c>
      <c r="B85" s="546" t="s">
        <v>1351</v>
      </c>
      <c r="C85" s="541" t="str">
        <f t="shared" si="29"/>
        <v>Paket Sehat 3</v>
      </c>
      <c r="D85" s="542"/>
      <c r="E85" s="542"/>
      <c r="F85" s="542"/>
      <c r="G85" s="542"/>
      <c r="H85" s="542"/>
      <c r="I85" s="542"/>
      <c r="J85" s="542"/>
      <c r="K85" s="542"/>
      <c r="L85" s="542"/>
      <c r="M85" s="542"/>
      <c r="N85" s="554">
        <f t="shared" si="30"/>
        <v>0</v>
      </c>
      <c r="O85" s="554">
        <f t="shared" si="31"/>
        <v>0</v>
      </c>
      <c r="P85" s="555">
        <f>(O85/O273)*100</f>
        <v>0</v>
      </c>
      <c r="Q85" s="809">
        <f>'[1]FC ITEM KELAS 3A'!G74</f>
        <v>0.59839403474305697</v>
      </c>
      <c r="R85" s="555">
        <f t="shared" si="32"/>
        <v>0</v>
      </c>
      <c r="S85" s="675">
        <v>24000</v>
      </c>
      <c r="T85" s="571"/>
      <c r="U85" s="571"/>
      <c r="V85" s="571"/>
      <c r="W85" s="566">
        <f t="shared" si="33"/>
        <v>0</v>
      </c>
      <c r="X85" s="566">
        <f t="shared" si="19"/>
        <v>0</v>
      </c>
      <c r="Y85" s="566">
        <f t="shared" si="20"/>
        <v>0</v>
      </c>
      <c r="Z85" s="566">
        <f t="shared" si="21"/>
        <v>0</v>
      </c>
      <c r="AA85" s="566">
        <f t="shared" si="22"/>
        <v>0</v>
      </c>
      <c r="AB85" s="566">
        <f t="shared" si="23"/>
        <v>0</v>
      </c>
      <c r="AC85" s="566">
        <f t="shared" si="24"/>
        <v>0</v>
      </c>
      <c r="AD85" s="566">
        <f t="shared" si="25"/>
        <v>0</v>
      </c>
      <c r="AE85" s="566">
        <f t="shared" si="26"/>
        <v>0</v>
      </c>
      <c r="AF85" s="566">
        <f t="shared" si="27"/>
        <v>0</v>
      </c>
      <c r="AG85" s="573"/>
    </row>
    <row r="86" spans="1:33" ht="25.15" customHeight="1">
      <c r="A86" s="543">
        <v>70</v>
      </c>
      <c r="B86" s="546" t="s">
        <v>1352</v>
      </c>
      <c r="C86" s="541" t="str">
        <f t="shared" si="29"/>
        <v>Paket Sehat 4</v>
      </c>
      <c r="D86" s="542"/>
      <c r="E86" s="542"/>
      <c r="F86" s="542"/>
      <c r="G86" s="542"/>
      <c r="H86" s="542"/>
      <c r="I86" s="542"/>
      <c r="J86" s="542"/>
      <c r="K86" s="542"/>
      <c r="L86" s="542"/>
      <c r="M86" s="542"/>
      <c r="N86" s="554">
        <f t="shared" si="30"/>
        <v>0</v>
      </c>
      <c r="O86" s="554">
        <f t="shared" si="31"/>
        <v>0</v>
      </c>
      <c r="P86" s="555">
        <f>(O86/O273)*100</f>
        <v>0</v>
      </c>
      <c r="Q86" s="809">
        <v>0.47599999999999998</v>
      </c>
      <c r="R86" s="555">
        <f t="shared" si="32"/>
        <v>0</v>
      </c>
      <c r="S86" s="675">
        <v>23000</v>
      </c>
      <c r="T86" s="565"/>
      <c r="U86" s="571"/>
      <c r="V86" s="571"/>
      <c r="W86" s="566">
        <f t="shared" si="33"/>
        <v>0</v>
      </c>
      <c r="X86" s="566">
        <f t="shared" si="19"/>
        <v>0</v>
      </c>
      <c r="Y86" s="566">
        <f t="shared" si="20"/>
        <v>0</v>
      </c>
      <c r="Z86" s="566">
        <f t="shared" si="21"/>
        <v>0</v>
      </c>
      <c r="AA86" s="566">
        <f t="shared" si="22"/>
        <v>0</v>
      </c>
      <c r="AB86" s="566">
        <f t="shared" si="23"/>
        <v>0</v>
      </c>
      <c r="AC86" s="566">
        <f t="shared" si="24"/>
        <v>0</v>
      </c>
      <c r="AD86" s="566">
        <f t="shared" si="25"/>
        <v>0</v>
      </c>
      <c r="AE86" s="566">
        <f t="shared" si="26"/>
        <v>0</v>
      </c>
      <c r="AF86" s="566">
        <f t="shared" si="27"/>
        <v>0</v>
      </c>
      <c r="AG86" s="573"/>
    </row>
    <row r="87" spans="1:33" ht="25.15" customHeight="1">
      <c r="A87" s="543"/>
      <c r="B87" s="546"/>
      <c r="C87" s="541"/>
      <c r="D87" s="542"/>
      <c r="E87" s="542"/>
      <c r="F87" s="542"/>
      <c r="G87" s="542"/>
      <c r="H87" s="542"/>
      <c r="I87" s="542"/>
      <c r="J87" s="542"/>
      <c r="K87" s="542"/>
      <c r="L87" s="542"/>
      <c r="M87" s="542"/>
      <c r="N87" s="554">
        <f t="shared" si="30"/>
        <v>0</v>
      </c>
      <c r="O87" s="554">
        <f t="shared" si="31"/>
        <v>0</v>
      </c>
      <c r="P87" s="555">
        <f>(O87/O273)*100</f>
        <v>0</v>
      </c>
      <c r="Q87" s="570"/>
      <c r="R87" s="555">
        <f t="shared" si="32"/>
        <v>0</v>
      </c>
      <c r="S87" s="564"/>
      <c r="T87" s="565"/>
      <c r="U87" s="2569" t="s">
        <v>129</v>
      </c>
      <c r="V87" s="571"/>
      <c r="W87" s="566">
        <f t="shared" si="33"/>
        <v>0</v>
      </c>
      <c r="X87" s="566">
        <f t="shared" si="19"/>
        <v>0</v>
      </c>
      <c r="Y87" s="566">
        <f t="shared" si="20"/>
        <v>0</v>
      </c>
      <c r="Z87" s="566">
        <f t="shared" si="21"/>
        <v>0</v>
      </c>
      <c r="AA87" s="566">
        <f t="shared" si="22"/>
        <v>0</v>
      </c>
      <c r="AB87" s="566">
        <f t="shared" si="23"/>
        <v>0</v>
      </c>
      <c r="AC87" s="566">
        <f t="shared" si="24"/>
        <v>0</v>
      </c>
      <c r="AD87" s="566">
        <f t="shared" si="25"/>
        <v>0</v>
      </c>
      <c r="AE87" s="566">
        <f t="shared" si="26"/>
        <v>0</v>
      </c>
      <c r="AF87" s="566">
        <f t="shared" si="27"/>
        <v>0</v>
      </c>
      <c r="AG87" s="573"/>
    </row>
    <row r="88" spans="1:33" ht="25.15" customHeight="1">
      <c r="A88" s="543">
        <v>71</v>
      </c>
      <c r="B88" s="546" t="s">
        <v>1353</v>
      </c>
      <c r="C88" s="541" t="str">
        <f t="shared" si="29"/>
        <v>Paket Catering 1</v>
      </c>
      <c r="D88" s="542"/>
      <c r="E88" s="542"/>
      <c r="F88" s="542"/>
      <c r="G88" s="542"/>
      <c r="H88" s="801"/>
      <c r="I88" s="542">
        <v>2</v>
      </c>
      <c r="J88" s="542"/>
      <c r="K88" s="542"/>
      <c r="L88" s="542"/>
      <c r="M88" s="542"/>
      <c r="N88" s="554">
        <f t="shared" si="30"/>
        <v>2</v>
      </c>
      <c r="O88" s="554">
        <f t="shared" si="31"/>
        <v>26000</v>
      </c>
      <c r="P88" s="555">
        <f>(O88/O273)*100</f>
        <v>0.130504071978015</v>
      </c>
      <c r="Q88" s="808">
        <v>0.71099999999999997</v>
      </c>
      <c r="R88" s="555">
        <f t="shared" si="32"/>
        <v>9.2788395176368693E-2</v>
      </c>
      <c r="S88" s="697">
        <v>13000</v>
      </c>
      <c r="T88" s="565"/>
      <c r="U88" s="2569"/>
      <c r="V88" s="571"/>
      <c r="W88" s="566">
        <f t="shared" si="33"/>
        <v>0</v>
      </c>
      <c r="X88" s="566">
        <f t="shared" si="19"/>
        <v>0</v>
      </c>
      <c r="Y88" s="566">
        <f t="shared" si="20"/>
        <v>0</v>
      </c>
      <c r="Z88" s="566">
        <f t="shared" si="21"/>
        <v>0</v>
      </c>
      <c r="AA88" s="566">
        <f t="shared" si="22"/>
        <v>0</v>
      </c>
      <c r="AB88" s="566">
        <f t="shared" si="23"/>
        <v>26000</v>
      </c>
      <c r="AC88" s="566">
        <f t="shared" si="24"/>
        <v>0</v>
      </c>
      <c r="AD88" s="566">
        <f t="shared" si="25"/>
        <v>0</v>
      </c>
      <c r="AE88" s="566">
        <f t="shared" si="26"/>
        <v>0</v>
      </c>
      <c r="AF88" s="566">
        <f t="shared" si="27"/>
        <v>0</v>
      </c>
      <c r="AG88" s="573"/>
    </row>
    <row r="89" spans="1:33" ht="25.15" customHeight="1">
      <c r="A89" s="543">
        <v>72</v>
      </c>
      <c r="B89" s="546" t="s">
        <v>1354</v>
      </c>
      <c r="C89" s="541" t="str">
        <f t="shared" si="29"/>
        <v>Paket Catering 2</v>
      </c>
      <c r="D89" s="542"/>
      <c r="E89" s="542"/>
      <c r="F89" s="542"/>
      <c r="G89" s="542"/>
      <c r="H89" s="801"/>
      <c r="I89" s="542"/>
      <c r="J89" s="542"/>
      <c r="K89" s="542"/>
      <c r="L89" s="542"/>
      <c r="M89" s="542"/>
      <c r="N89" s="554">
        <f t="shared" si="30"/>
        <v>0</v>
      </c>
      <c r="O89" s="554">
        <f t="shared" si="31"/>
        <v>0</v>
      </c>
      <c r="P89" s="555">
        <f>(O89/O273)*100</f>
        <v>0</v>
      </c>
      <c r="Q89" s="809">
        <v>0.629</v>
      </c>
      <c r="R89" s="555">
        <f t="shared" si="32"/>
        <v>0</v>
      </c>
      <c r="S89" s="697">
        <v>12000</v>
      </c>
      <c r="T89" s="565"/>
      <c r="U89" s="2569"/>
      <c r="V89" s="571"/>
      <c r="W89" s="566">
        <f t="shared" si="33"/>
        <v>0</v>
      </c>
      <c r="X89" s="566">
        <f t="shared" si="19"/>
        <v>0</v>
      </c>
      <c r="Y89" s="566">
        <f t="shared" si="20"/>
        <v>0</v>
      </c>
      <c r="Z89" s="566">
        <f t="shared" si="21"/>
        <v>0</v>
      </c>
      <c r="AA89" s="566">
        <f t="shared" si="22"/>
        <v>0</v>
      </c>
      <c r="AB89" s="566">
        <f t="shared" si="23"/>
        <v>0</v>
      </c>
      <c r="AC89" s="566">
        <f t="shared" si="24"/>
        <v>0</v>
      </c>
      <c r="AD89" s="566">
        <f t="shared" si="25"/>
        <v>0</v>
      </c>
      <c r="AE89" s="566">
        <f t="shared" si="26"/>
        <v>0</v>
      </c>
      <c r="AF89" s="566">
        <f t="shared" si="27"/>
        <v>0</v>
      </c>
      <c r="AG89" s="573"/>
    </row>
    <row r="90" spans="1:33" ht="25.15" customHeight="1">
      <c r="A90" s="543">
        <v>73</v>
      </c>
      <c r="B90" s="546" t="s">
        <v>1355</v>
      </c>
      <c r="C90" s="541" t="str">
        <f t="shared" si="29"/>
        <v>Paket Catering 3</v>
      </c>
      <c r="D90" s="542"/>
      <c r="E90" s="542"/>
      <c r="F90" s="542"/>
      <c r="G90" s="542"/>
      <c r="H90" s="801"/>
      <c r="I90" s="542">
        <v>1</v>
      </c>
      <c r="J90" s="542"/>
      <c r="K90" s="542"/>
      <c r="L90" s="542"/>
      <c r="M90" s="542"/>
      <c r="N90" s="554">
        <f t="shared" si="30"/>
        <v>1</v>
      </c>
      <c r="O90" s="554">
        <f t="shared" si="31"/>
        <v>18000</v>
      </c>
      <c r="P90" s="555">
        <f>(O90/O273)*100</f>
        <v>9.0348972907856595E-2</v>
      </c>
      <c r="Q90" s="809">
        <v>0.62</v>
      </c>
      <c r="R90" s="555">
        <f t="shared" si="32"/>
        <v>5.6016363202871101E-2</v>
      </c>
      <c r="S90" s="697">
        <v>18000</v>
      </c>
      <c r="T90" s="565"/>
      <c r="U90" s="2569"/>
      <c r="V90" s="571"/>
      <c r="W90" s="566">
        <f t="shared" si="33"/>
        <v>0</v>
      </c>
      <c r="X90" s="566">
        <f t="shared" si="19"/>
        <v>0</v>
      </c>
      <c r="Y90" s="566">
        <f t="shared" si="20"/>
        <v>0</v>
      </c>
      <c r="Z90" s="566">
        <f t="shared" si="21"/>
        <v>0</v>
      </c>
      <c r="AA90" s="566">
        <f t="shared" si="22"/>
        <v>0</v>
      </c>
      <c r="AB90" s="566">
        <f t="shared" si="23"/>
        <v>18000</v>
      </c>
      <c r="AC90" s="566">
        <f t="shared" si="24"/>
        <v>0</v>
      </c>
      <c r="AD90" s="566">
        <f t="shared" si="25"/>
        <v>0</v>
      </c>
      <c r="AE90" s="566">
        <f t="shared" si="26"/>
        <v>0</v>
      </c>
      <c r="AF90" s="566">
        <f t="shared" si="27"/>
        <v>0</v>
      </c>
      <c r="AG90" s="573"/>
    </row>
    <row r="91" spans="1:33" ht="25.15" customHeight="1">
      <c r="A91" s="543">
        <v>74</v>
      </c>
      <c r="B91" s="546" t="s">
        <v>1356</v>
      </c>
      <c r="C91" s="541" t="str">
        <f t="shared" si="29"/>
        <v>Paket Catering 4</v>
      </c>
      <c r="D91" s="542"/>
      <c r="E91" s="542"/>
      <c r="F91" s="542"/>
      <c r="G91" s="542"/>
      <c r="H91" s="542"/>
      <c r="I91" s="542"/>
      <c r="J91" s="542"/>
      <c r="K91" s="542"/>
      <c r="L91" s="542"/>
      <c r="M91" s="542"/>
      <c r="N91" s="554">
        <f t="shared" si="30"/>
        <v>0</v>
      </c>
      <c r="O91" s="554">
        <f t="shared" si="31"/>
        <v>0</v>
      </c>
      <c r="P91" s="555">
        <f>(O91/O273)*100</f>
        <v>0</v>
      </c>
      <c r="Q91" s="570"/>
      <c r="R91" s="555">
        <f t="shared" si="32"/>
        <v>0</v>
      </c>
      <c r="S91" s="564"/>
      <c r="T91" s="565"/>
      <c r="U91" s="2569"/>
      <c r="V91" s="571"/>
      <c r="W91" s="566">
        <f t="shared" si="33"/>
        <v>0</v>
      </c>
      <c r="X91" s="566">
        <f t="shared" si="19"/>
        <v>0</v>
      </c>
      <c r="Y91" s="566">
        <f t="shared" si="20"/>
        <v>0</v>
      </c>
      <c r="Z91" s="566">
        <f t="shared" si="21"/>
        <v>0</v>
      </c>
      <c r="AA91" s="566">
        <f t="shared" si="22"/>
        <v>0</v>
      </c>
      <c r="AB91" s="566">
        <f t="shared" si="23"/>
        <v>0</v>
      </c>
      <c r="AC91" s="566">
        <f t="shared" si="24"/>
        <v>0</v>
      </c>
      <c r="AD91" s="566">
        <f t="shared" si="25"/>
        <v>0</v>
      </c>
      <c r="AE91" s="566">
        <f t="shared" si="26"/>
        <v>0</v>
      </c>
      <c r="AF91" s="566">
        <f t="shared" si="27"/>
        <v>0</v>
      </c>
      <c r="AG91" s="573"/>
    </row>
    <row r="92" spans="1:33" ht="25.15" customHeight="1">
      <c r="A92" s="543"/>
      <c r="B92" s="546"/>
      <c r="C92" s="541"/>
      <c r="D92" s="542"/>
      <c r="E92" s="542"/>
      <c r="F92" s="542"/>
      <c r="G92" s="542"/>
      <c r="H92" s="542"/>
      <c r="I92" s="542"/>
      <c r="J92" s="542"/>
      <c r="K92" s="542"/>
      <c r="L92" s="542"/>
      <c r="M92" s="542"/>
      <c r="N92" s="554">
        <f t="shared" si="30"/>
        <v>0</v>
      </c>
      <c r="O92" s="554">
        <f t="shared" si="31"/>
        <v>0</v>
      </c>
      <c r="P92" s="555">
        <f>(O92/O273)*100</f>
        <v>0</v>
      </c>
      <c r="Q92" s="570"/>
      <c r="R92" s="555">
        <f t="shared" si="32"/>
        <v>0</v>
      </c>
      <c r="S92" s="564"/>
      <c r="T92" s="565"/>
      <c r="U92" s="2569"/>
      <c r="V92" s="571"/>
      <c r="W92" s="566">
        <f t="shared" si="33"/>
        <v>0</v>
      </c>
      <c r="X92" s="566">
        <f t="shared" si="19"/>
        <v>0</v>
      </c>
      <c r="Y92" s="566">
        <f t="shared" si="20"/>
        <v>0</v>
      </c>
      <c r="Z92" s="566">
        <f t="shared" si="21"/>
        <v>0</v>
      </c>
      <c r="AA92" s="566">
        <f t="shared" si="22"/>
        <v>0</v>
      </c>
      <c r="AB92" s="566">
        <f t="shared" si="23"/>
        <v>0</v>
      </c>
      <c r="AC92" s="566">
        <f t="shared" si="24"/>
        <v>0</v>
      </c>
      <c r="AD92" s="566">
        <f t="shared" si="25"/>
        <v>0</v>
      </c>
      <c r="AE92" s="566">
        <f t="shared" si="26"/>
        <v>0</v>
      </c>
      <c r="AF92" s="566">
        <f t="shared" si="27"/>
        <v>0</v>
      </c>
      <c r="AG92" s="573"/>
    </row>
    <row r="93" spans="1:33" ht="25.15" customHeight="1">
      <c r="A93" s="543">
        <v>73</v>
      </c>
      <c r="B93" s="546" t="s">
        <v>1357</v>
      </c>
      <c r="C93" s="541" t="str">
        <f t="shared" si="29"/>
        <v>Paket Takjil 1</v>
      </c>
      <c r="D93" s="542"/>
      <c r="E93" s="542"/>
      <c r="F93" s="542"/>
      <c r="G93" s="542"/>
      <c r="H93" s="542"/>
      <c r="I93" s="542"/>
      <c r="J93" s="542"/>
      <c r="K93" s="542"/>
      <c r="L93" s="542"/>
      <c r="M93" s="542"/>
      <c r="N93" s="554">
        <f t="shared" si="30"/>
        <v>0</v>
      </c>
      <c r="O93" s="554">
        <f t="shared" si="31"/>
        <v>0</v>
      </c>
      <c r="P93" s="555">
        <f>(O93/O273)*100</f>
        <v>0</v>
      </c>
      <c r="Q93" s="570"/>
      <c r="R93" s="555">
        <f t="shared" si="32"/>
        <v>0</v>
      </c>
      <c r="S93" s="564"/>
      <c r="T93" s="565"/>
      <c r="U93" s="2569"/>
      <c r="V93" s="571"/>
      <c r="W93" s="566">
        <f t="shared" si="33"/>
        <v>0</v>
      </c>
      <c r="X93" s="566">
        <f t="shared" si="19"/>
        <v>0</v>
      </c>
      <c r="Y93" s="566">
        <f t="shared" si="20"/>
        <v>0</v>
      </c>
      <c r="Z93" s="566">
        <f t="shared" si="21"/>
        <v>0</v>
      </c>
      <c r="AA93" s="566">
        <f t="shared" si="22"/>
        <v>0</v>
      </c>
      <c r="AB93" s="566">
        <f t="shared" si="23"/>
        <v>0</v>
      </c>
      <c r="AC93" s="566">
        <f t="shared" si="24"/>
        <v>0</v>
      </c>
      <c r="AD93" s="566">
        <f t="shared" si="25"/>
        <v>0</v>
      </c>
      <c r="AE93" s="566">
        <f t="shared" si="26"/>
        <v>0</v>
      </c>
      <c r="AF93" s="566">
        <f t="shared" si="27"/>
        <v>0</v>
      </c>
      <c r="AG93" s="573"/>
    </row>
    <row r="94" spans="1:33" ht="25.15" customHeight="1">
      <c r="A94" s="543">
        <v>74</v>
      </c>
      <c r="B94" s="546" t="s">
        <v>1358</v>
      </c>
      <c r="C94" s="541" t="str">
        <f t="shared" si="29"/>
        <v>Paket Takjil 2</v>
      </c>
      <c r="D94" s="542"/>
      <c r="E94" s="542"/>
      <c r="F94" s="542"/>
      <c r="G94" s="542"/>
      <c r="H94" s="542"/>
      <c r="I94" s="542"/>
      <c r="J94" s="542"/>
      <c r="K94" s="542"/>
      <c r="L94" s="542"/>
      <c r="M94" s="542"/>
      <c r="N94" s="554">
        <f t="shared" si="30"/>
        <v>0</v>
      </c>
      <c r="O94" s="554">
        <f t="shared" si="31"/>
        <v>0</v>
      </c>
      <c r="P94" s="555">
        <f>(O94/O273)*100</f>
        <v>0</v>
      </c>
      <c r="Q94" s="570"/>
      <c r="R94" s="555">
        <f t="shared" si="32"/>
        <v>0</v>
      </c>
      <c r="S94" s="564"/>
      <c r="T94" s="565"/>
      <c r="U94" s="2569"/>
      <c r="V94" s="571"/>
      <c r="W94" s="566">
        <f t="shared" si="33"/>
        <v>0</v>
      </c>
      <c r="X94" s="566">
        <f t="shared" si="19"/>
        <v>0</v>
      </c>
      <c r="Y94" s="566">
        <f t="shared" si="20"/>
        <v>0</v>
      </c>
      <c r="Z94" s="566">
        <f t="shared" si="21"/>
        <v>0</v>
      </c>
      <c r="AA94" s="566">
        <f t="shared" si="22"/>
        <v>0</v>
      </c>
      <c r="AB94" s="566">
        <f t="shared" si="23"/>
        <v>0</v>
      </c>
      <c r="AC94" s="566">
        <f t="shared" si="24"/>
        <v>0</v>
      </c>
      <c r="AD94" s="566">
        <f t="shared" si="25"/>
        <v>0</v>
      </c>
      <c r="AE94" s="566">
        <f t="shared" si="26"/>
        <v>0</v>
      </c>
      <c r="AF94" s="566">
        <f t="shared" si="27"/>
        <v>0</v>
      </c>
      <c r="AG94" s="573"/>
    </row>
    <row r="95" spans="1:33" ht="25.15" customHeight="1">
      <c r="A95" s="543">
        <v>75</v>
      </c>
      <c r="B95" s="546" t="s">
        <v>1359</v>
      </c>
      <c r="C95" s="541" t="str">
        <f t="shared" si="29"/>
        <v>Paket Takjil 3</v>
      </c>
      <c r="D95" s="542"/>
      <c r="E95" s="542"/>
      <c r="F95" s="542"/>
      <c r="G95" s="542"/>
      <c r="H95" s="542"/>
      <c r="I95" s="542"/>
      <c r="J95" s="542"/>
      <c r="K95" s="542"/>
      <c r="L95" s="542"/>
      <c r="M95" s="542"/>
      <c r="N95" s="554">
        <f t="shared" si="30"/>
        <v>0</v>
      </c>
      <c r="O95" s="554">
        <f t="shared" si="31"/>
        <v>0</v>
      </c>
      <c r="P95" s="555">
        <f>(O95/O273)*100</f>
        <v>0</v>
      </c>
      <c r="Q95" s="570"/>
      <c r="R95" s="555">
        <f t="shared" si="32"/>
        <v>0</v>
      </c>
      <c r="S95" s="564"/>
      <c r="T95" s="565"/>
      <c r="U95" s="2569"/>
      <c r="V95" s="571"/>
      <c r="W95" s="566">
        <f t="shared" si="33"/>
        <v>0</v>
      </c>
      <c r="X95" s="566">
        <f t="shared" si="19"/>
        <v>0</v>
      </c>
      <c r="Y95" s="566">
        <f t="shared" si="20"/>
        <v>0</v>
      </c>
      <c r="Z95" s="566">
        <f t="shared" si="21"/>
        <v>0</v>
      </c>
      <c r="AA95" s="566">
        <f t="shared" si="22"/>
        <v>0</v>
      </c>
      <c r="AB95" s="566">
        <f t="shared" si="23"/>
        <v>0</v>
      </c>
      <c r="AC95" s="566">
        <f t="shared" si="24"/>
        <v>0</v>
      </c>
      <c r="AD95" s="566">
        <f t="shared" si="25"/>
        <v>0</v>
      </c>
      <c r="AE95" s="566">
        <f t="shared" si="26"/>
        <v>0</v>
      </c>
      <c r="AF95" s="566">
        <f t="shared" si="27"/>
        <v>0</v>
      </c>
      <c r="AG95" s="573"/>
    </row>
    <row r="96" spans="1:33" ht="25.15" customHeight="1">
      <c r="A96" s="543">
        <v>76</v>
      </c>
      <c r="B96" s="546" t="s">
        <v>1360</v>
      </c>
      <c r="C96" s="541" t="str">
        <f t="shared" si="29"/>
        <v>Paket Takjil 4</v>
      </c>
      <c r="D96" s="542"/>
      <c r="E96" s="542"/>
      <c r="F96" s="542"/>
      <c r="G96" s="542"/>
      <c r="H96" s="542"/>
      <c r="I96" s="542"/>
      <c r="J96" s="542"/>
      <c r="K96" s="542"/>
      <c r="L96" s="542"/>
      <c r="M96" s="542"/>
      <c r="N96" s="554">
        <f t="shared" si="30"/>
        <v>0</v>
      </c>
      <c r="O96" s="554">
        <f t="shared" si="31"/>
        <v>0</v>
      </c>
      <c r="P96" s="555">
        <f>(O96/O273)*100</f>
        <v>0</v>
      </c>
      <c r="Q96" s="570"/>
      <c r="R96" s="555">
        <f t="shared" si="32"/>
        <v>0</v>
      </c>
      <c r="S96" s="564">
        <v>13000</v>
      </c>
      <c r="T96" s="565"/>
      <c r="U96" s="2569"/>
      <c r="V96" s="571"/>
      <c r="W96" s="566">
        <f t="shared" si="33"/>
        <v>0</v>
      </c>
      <c r="X96" s="566">
        <f t="shared" si="19"/>
        <v>0</v>
      </c>
      <c r="Y96" s="566">
        <f t="shared" si="20"/>
        <v>0</v>
      </c>
      <c r="Z96" s="566">
        <f t="shared" si="21"/>
        <v>0</v>
      </c>
      <c r="AA96" s="566">
        <f t="shared" si="22"/>
        <v>0</v>
      </c>
      <c r="AB96" s="566">
        <f t="shared" si="23"/>
        <v>0</v>
      </c>
      <c r="AC96" s="566">
        <f t="shared" si="24"/>
        <v>0</v>
      </c>
      <c r="AD96" s="566">
        <f t="shared" si="25"/>
        <v>0</v>
      </c>
      <c r="AE96" s="566">
        <f t="shared" si="26"/>
        <v>0</v>
      </c>
      <c r="AF96" s="566">
        <f t="shared" si="27"/>
        <v>0</v>
      </c>
      <c r="AG96" s="573"/>
    </row>
    <row r="97" spans="1:33" ht="25.15" customHeight="1">
      <c r="A97" s="543">
        <v>77</v>
      </c>
      <c r="B97" s="546" t="s">
        <v>1361</v>
      </c>
      <c r="C97" s="541" t="str">
        <f t="shared" si="29"/>
        <v>Paket Takjil 5</v>
      </c>
      <c r="D97" s="542"/>
      <c r="E97" s="542"/>
      <c r="F97" s="542"/>
      <c r="G97" s="542"/>
      <c r="H97" s="542"/>
      <c r="I97" s="542"/>
      <c r="J97" s="542"/>
      <c r="K97" s="542"/>
      <c r="L97" s="542"/>
      <c r="M97" s="542"/>
      <c r="N97" s="554">
        <f t="shared" si="30"/>
        <v>0</v>
      </c>
      <c r="O97" s="554">
        <f t="shared" si="31"/>
        <v>0</v>
      </c>
      <c r="P97" s="555">
        <f>(O97/O273)*100</f>
        <v>0</v>
      </c>
      <c r="Q97" s="570"/>
      <c r="R97" s="555">
        <f t="shared" si="32"/>
        <v>0</v>
      </c>
      <c r="S97" s="564"/>
      <c r="T97" s="565"/>
      <c r="U97" s="2569"/>
      <c r="V97" s="571"/>
      <c r="W97" s="566">
        <f t="shared" si="33"/>
        <v>0</v>
      </c>
      <c r="X97" s="566">
        <f t="shared" si="19"/>
        <v>0</v>
      </c>
      <c r="Y97" s="566">
        <f t="shared" si="20"/>
        <v>0</v>
      </c>
      <c r="Z97" s="566">
        <f t="shared" si="21"/>
        <v>0</v>
      </c>
      <c r="AA97" s="566">
        <f t="shared" si="22"/>
        <v>0</v>
      </c>
      <c r="AB97" s="566">
        <f t="shared" si="23"/>
        <v>0</v>
      </c>
      <c r="AC97" s="566">
        <f t="shared" si="24"/>
        <v>0</v>
      </c>
      <c r="AD97" s="566">
        <f t="shared" si="25"/>
        <v>0</v>
      </c>
      <c r="AE97" s="566">
        <f t="shared" si="26"/>
        <v>0</v>
      </c>
      <c r="AF97" s="566">
        <f t="shared" si="27"/>
        <v>0</v>
      </c>
      <c r="AG97" s="573"/>
    </row>
    <row r="98" spans="1:33" ht="25.15" customHeight="1">
      <c r="A98" s="543">
        <v>78</v>
      </c>
      <c r="B98" s="546" t="s">
        <v>1362</v>
      </c>
      <c r="C98" s="541" t="str">
        <f t="shared" si="29"/>
        <v>Paket Takjil 6</v>
      </c>
      <c r="D98" s="542"/>
      <c r="E98" s="542"/>
      <c r="F98" s="542"/>
      <c r="G98" s="542"/>
      <c r="H98" s="542"/>
      <c r="I98" s="542"/>
      <c r="J98" s="542"/>
      <c r="K98" s="542"/>
      <c r="L98" s="542"/>
      <c r="M98" s="542"/>
      <c r="N98" s="554">
        <f t="shared" si="30"/>
        <v>0</v>
      </c>
      <c r="O98" s="554">
        <f t="shared" si="31"/>
        <v>0</v>
      </c>
      <c r="P98" s="555">
        <f>(O98/O273)*100</f>
        <v>0</v>
      </c>
      <c r="Q98" s="570"/>
      <c r="R98" s="555">
        <f t="shared" si="32"/>
        <v>0</v>
      </c>
      <c r="S98" s="564"/>
      <c r="T98" s="565"/>
      <c r="U98" s="2569"/>
      <c r="V98" s="571"/>
      <c r="W98" s="566">
        <f t="shared" si="33"/>
        <v>0</v>
      </c>
      <c r="X98" s="566">
        <f t="shared" si="19"/>
        <v>0</v>
      </c>
      <c r="Y98" s="566">
        <f t="shared" si="20"/>
        <v>0</v>
      </c>
      <c r="Z98" s="566">
        <f t="shared" si="21"/>
        <v>0</v>
      </c>
      <c r="AA98" s="566">
        <f t="shared" si="22"/>
        <v>0</v>
      </c>
      <c r="AB98" s="566">
        <f t="shared" si="23"/>
        <v>0</v>
      </c>
      <c r="AC98" s="566">
        <f t="shared" si="24"/>
        <v>0</v>
      </c>
      <c r="AD98" s="566">
        <f t="shared" si="25"/>
        <v>0</v>
      </c>
      <c r="AE98" s="566">
        <f t="shared" si="26"/>
        <v>0</v>
      </c>
      <c r="AF98" s="566">
        <f t="shared" si="27"/>
        <v>0</v>
      </c>
      <c r="AG98" s="573"/>
    </row>
    <row r="99" spans="1:33" ht="25.15" customHeight="1">
      <c r="A99" s="543">
        <v>79</v>
      </c>
      <c r="B99" s="546" t="s">
        <v>1363</v>
      </c>
      <c r="C99" s="541" t="str">
        <f t="shared" si="29"/>
        <v>Paket Takjil 7</v>
      </c>
      <c r="D99" s="542"/>
      <c r="E99" s="542"/>
      <c r="F99" s="542"/>
      <c r="G99" s="542"/>
      <c r="H99" s="542"/>
      <c r="I99" s="542"/>
      <c r="J99" s="542"/>
      <c r="K99" s="542"/>
      <c r="L99" s="542"/>
      <c r="M99" s="542"/>
      <c r="N99" s="554">
        <f t="shared" si="30"/>
        <v>0</v>
      </c>
      <c r="O99" s="554">
        <f t="shared" si="31"/>
        <v>0</v>
      </c>
      <c r="P99" s="555">
        <f>(O99/O273)*100</f>
        <v>0</v>
      </c>
      <c r="Q99" s="570"/>
      <c r="R99" s="555">
        <f t="shared" si="32"/>
        <v>0</v>
      </c>
      <c r="S99" s="564"/>
      <c r="T99" s="565"/>
      <c r="U99" s="2569"/>
      <c r="V99" s="571"/>
      <c r="W99" s="566">
        <f t="shared" si="33"/>
        <v>0</v>
      </c>
      <c r="X99" s="566">
        <f t="shared" si="19"/>
        <v>0</v>
      </c>
      <c r="Y99" s="566">
        <f t="shared" si="20"/>
        <v>0</v>
      </c>
      <c r="Z99" s="566">
        <f t="shared" si="21"/>
        <v>0</v>
      </c>
      <c r="AA99" s="566">
        <f t="shared" si="22"/>
        <v>0</v>
      </c>
      <c r="AB99" s="566">
        <f t="shared" si="23"/>
        <v>0</v>
      </c>
      <c r="AC99" s="566">
        <f t="shared" si="24"/>
        <v>0</v>
      </c>
      <c r="AD99" s="566">
        <f t="shared" si="25"/>
        <v>0</v>
      </c>
      <c r="AE99" s="566">
        <f t="shared" si="26"/>
        <v>0</v>
      </c>
      <c r="AF99" s="566">
        <f t="shared" si="27"/>
        <v>0</v>
      </c>
      <c r="AG99" s="573"/>
    </row>
    <row r="100" spans="1:33" ht="25.15" customHeight="1">
      <c r="A100" s="543">
        <v>80</v>
      </c>
      <c r="B100" s="546" t="s">
        <v>1364</v>
      </c>
      <c r="C100" s="541" t="str">
        <f t="shared" si="29"/>
        <v>Paket Takjil 8</v>
      </c>
      <c r="D100" s="542"/>
      <c r="E100" s="542"/>
      <c r="F100" s="542"/>
      <c r="G100" s="542"/>
      <c r="H100" s="542"/>
      <c r="I100" s="542"/>
      <c r="J100" s="542"/>
      <c r="K100" s="542"/>
      <c r="L100" s="542"/>
      <c r="M100" s="542"/>
      <c r="N100" s="554">
        <f t="shared" si="30"/>
        <v>0</v>
      </c>
      <c r="O100" s="554">
        <f t="shared" si="31"/>
        <v>0</v>
      </c>
      <c r="P100" s="555">
        <f>(O100/O273)*100</f>
        <v>0</v>
      </c>
      <c r="Q100" s="570"/>
      <c r="R100" s="555">
        <f t="shared" si="32"/>
        <v>0</v>
      </c>
      <c r="S100" s="564"/>
      <c r="T100" s="565"/>
      <c r="U100" s="2569"/>
      <c r="V100" s="571"/>
      <c r="W100" s="566">
        <f t="shared" si="33"/>
        <v>0</v>
      </c>
      <c r="X100" s="566">
        <f t="shared" si="19"/>
        <v>0</v>
      </c>
      <c r="Y100" s="566">
        <f t="shared" si="20"/>
        <v>0</v>
      </c>
      <c r="Z100" s="566">
        <f t="shared" si="21"/>
        <v>0</v>
      </c>
      <c r="AA100" s="566">
        <f t="shared" si="22"/>
        <v>0</v>
      </c>
      <c r="AB100" s="566">
        <f t="shared" si="23"/>
        <v>0</v>
      </c>
      <c r="AC100" s="566">
        <f t="shared" si="24"/>
        <v>0</v>
      </c>
      <c r="AD100" s="566">
        <f t="shared" si="25"/>
        <v>0</v>
      </c>
      <c r="AE100" s="566">
        <f t="shared" si="26"/>
        <v>0</v>
      </c>
      <c r="AF100" s="566">
        <f t="shared" si="27"/>
        <v>0</v>
      </c>
      <c r="AG100" s="573"/>
    </row>
    <row r="101" spans="1:33" ht="25.15" customHeight="1">
      <c r="A101" s="543"/>
      <c r="B101" s="546"/>
      <c r="C101" s="541"/>
      <c r="D101" s="542"/>
      <c r="E101" s="542"/>
      <c r="F101" s="542"/>
      <c r="G101" s="542"/>
      <c r="H101" s="542"/>
      <c r="I101" s="542"/>
      <c r="J101" s="542"/>
      <c r="K101" s="542"/>
      <c r="L101" s="542"/>
      <c r="M101" s="542"/>
      <c r="N101" s="554">
        <f t="shared" si="30"/>
        <v>0</v>
      </c>
      <c r="O101" s="554">
        <f t="shared" si="31"/>
        <v>0</v>
      </c>
      <c r="P101" s="555">
        <f>(O101/O273)*100</f>
        <v>0</v>
      </c>
      <c r="Q101" s="570"/>
      <c r="R101" s="555">
        <f t="shared" si="32"/>
        <v>0</v>
      </c>
      <c r="S101" s="564"/>
      <c r="T101" s="565"/>
      <c r="U101" s="2569"/>
      <c r="W101" s="566">
        <f t="shared" si="33"/>
        <v>0</v>
      </c>
      <c r="X101" s="566">
        <f t="shared" si="19"/>
        <v>0</v>
      </c>
      <c r="Y101" s="566">
        <f t="shared" si="20"/>
        <v>0</v>
      </c>
      <c r="Z101" s="566">
        <f t="shared" si="21"/>
        <v>0</v>
      </c>
      <c r="AA101" s="566">
        <f t="shared" si="22"/>
        <v>0</v>
      </c>
      <c r="AB101" s="566">
        <f t="shared" si="23"/>
        <v>0</v>
      </c>
      <c r="AC101" s="566">
        <f t="shared" si="24"/>
        <v>0</v>
      </c>
      <c r="AD101" s="566">
        <f t="shared" si="25"/>
        <v>0</v>
      </c>
      <c r="AE101" s="566">
        <f t="shared" si="26"/>
        <v>0</v>
      </c>
      <c r="AF101" s="566">
        <f t="shared" si="27"/>
        <v>0</v>
      </c>
      <c r="AG101" s="573"/>
    </row>
    <row r="102" spans="1:33" ht="25.15" customHeight="1">
      <c r="A102" s="543">
        <v>81</v>
      </c>
      <c r="B102" s="811" t="s">
        <v>1365</v>
      </c>
      <c r="C102" s="541" t="str">
        <f t="shared" si="29"/>
        <v>Ayam Utuh Original</v>
      </c>
      <c r="D102" s="542">
        <v>1</v>
      </c>
      <c r="E102" s="542"/>
      <c r="F102" s="542"/>
      <c r="G102" s="542"/>
      <c r="H102" s="542"/>
      <c r="I102" s="542"/>
      <c r="J102" s="542"/>
      <c r="K102" s="542"/>
      <c r="L102" s="542"/>
      <c r="M102" s="542"/>
      <c r="N102" s="554">
        <f t="shared" si="30"/>
        <v>1</v>
      </c>
      <c r="O102" s="554">
        <f t="shared" si="31"/>
        <v>70000</v>
      </c>
      <c r="P102" s="555">
        <f>(O102/O273)*100</f>
        <v>0.35135711686388699</v>
      </c>
      <c r="Q102" s="570">
        <v>0.60899999999999999</v>
      </c>
      <c r="R102" s="555">
        <f t="shared" si="32"/>
        <v>0.21397648417010701</v>
      </c>
      <c r="S102" s="697">
        <v>70000</v>
      </c>
      <c r="T102" s="565"/>
      <c r="U102" s="2569"/>
      <c r="W102" s="566">
        <f t="shared" si="33"/>
        <v>70000</v>
      </c>
      <c r="X102" s="566">
        <f t="shared" si="19"/>
        <v>0</v>
      </c>
      <c r="Y102" s="566">
        <f t="shared" si="20"/>
        <v>0</v>
      </c>
      <c r="Z102" s="566">
        <f t="shared" si="21"/>
        <v>0</v>
      </c>
      <c r="AA102" s="566">
        <f t="shared" si="22"/>
        <v>0</v>
      </c>
      <c r="AB102" s="566">
        <f t="shared" si="23"/>
        <v>0</v>
      </c>
      <c r="AC102" s="566">
        <f t="shared" si="24"/>
        <v>0</v>
      </c>
      <c r="AD102" s="566">
        <f t="shared" si="25"/>
        <v>0</v>
      </c>
      <c r="AE102" s="566">
        <f t="shared" si="26"/>
        <v>0</v>
      </c>
      <c r="AF102" s="566">
        <f t="shared" si="27"/>
        <v>0</v>
      </c>
      <c r="AG102" s="573"/>
    </row>
    <row r="103" spans="1:33" ht="25.15" customHeight="1">
      <c r="A103" s="543">
        <v>82</v>
      </c>
      <c r="B103" s="811" t="s">
        <v>1366</v>
      </c>
      <c r="C103" s="541" t="str">
        <f t="shared" si="29"/>
        <v>Ayam Utuh Hot Cheesy</v>
      </c>
      <c r="D103" s="542"/>
      <c r="E103" s="542"/>
      <c r="F103" s="542"/>
      <c r="G103" s="542"/>
      <c r="H103" s="542"/>
      <c r="I103" s="542"/>
      <c r="J103" s="542"/>
      <c r="K103" s="542"/>
      <c r="L103" s="542"/>
      <c r="M103" s="542"/>
      <c r="N103" s="554">
        <f t="shared" si="30"/>
        <v>0</v>
      </c>
      <c r="O103" s="554">
        <f t="shared" si="31"/>
        <v>0</v>
      </c>
      <c r="P103" s="555">
        <f>(O103/O273)*100</f>
        <v>0</v>
      </c>
      <c r="Q103" s="570">
        <v>0.56799999999999995</v>
      </c>
      <c r="R103" s="555">
        <f t="shared" si="32"/>
        <v>0</v>
      </c>
      <c r="S103" s="697">
        <v>80000</v>
      </c>
      <c r="T103" s="565"/>
      <c r="U103" s="2569"/>
      <c r="W103" s="566">
        <f t="shared" si="33"/>
        <v>0</v>
      </c>
      <c r="X103" s="566">
        <f t="shared" si="19"/>
        <v>0</v>
      </c>
      <c r="Y103" s="566">
        <f t="shared" si="20"/>
        <v>0</v>
      </c>
      <c r="Z103" s="566">
        <f t="shared" si="21"/>
        <v>0</v>
      </c>
      <c r="AA103" s="566">
        <f t="shared" si="22"/>
        <v>0</v>
      </c>
      <c r="AB103" s="566">
        <f t="shared" si="23"/>
        <v>0</v>
      </c>
      <c r="AC103" s="566">
        <f t="shared" si="24"/>
        <v>0</v>
      </c>
      <c r="AD103" s="566">
        <f t="shared" si="25"/>
        <v>0</v>
      </c>
      <c r="AE103" s="566">
        <f t="shared" si="26"/>
        <v>0</v>
      </c>
      <c r="AF103" s="566">
        <f t="shared" si="27"/>
        <v>0</v>
      </c>
      <c r="AG103" s="573"/>
    </row>
    <row r="104" spans="1:33" ht="25.15" customHeight="1">
      <c r="A104" s="543">
        <v>83</v>
      </c>
      <c r="B104" s="811" t="s">
        <v>1367</v>
      </c>
      <c r="C104" s="541" t="str">
        <f t="shared" si="29"/>
        <v>Ayam Utuh Geprek</v>
      </c>
      <c r="D104" s="542"/>
      <c r="E104" s="542">
        <v>1</v>
      </c>
      <c r="F104" s="542"/>
      <c r="G104" s="542"/>
      <c r="H104" s="542"/>
      <c r="I104" s="542"/>
      <c r="J104" s="542"/>
      <c r="K104" s="542"/>
      <c r="L104" s="542"/>
      <c r="M104" s="542"/>
      <c r="N104" s="554">
        <f t="shared" si="30"/>
        <v>1</v>
      </c>
      <c r="O104" s="554">
        <f t="shared" si="31"/>
        <v>80000</v>
      </c>
      <c r="P104" s="555">
        <f>(O104/O273)*100</f>
        <v>0.40155099070158501</v>
      </c>
      <c r="Q104" s="570">
        <v>0.54300000000000004</v>
      </c>
      <c r="R104" s="555">
        <f t="shared" si="32"/>
        <v>0.218042187950961</v>
      </c>
      <c r="S104" s="697">
        <v>80000</v>
      </c>
      <c r="T104" s="569"/>
      <c r="U104" s="2569"/>
      <c r="W104" s="566">
        <f t="shared" si="33"/>
        <v>0</v>
      </c>
      <c r="X104" s="566">
        <f t="shared" si="19"/>
        <v>80000</v>
      </c>
      <c r="Y104" s="566">
        <f t="shared" si="20"/>
        <v>0</v>
      </c>
      <c r="Z104" s="566">
        <f t="shared" si="21"/>
        <v>0</v>
      </c>
      <c r="AA104" s="566">
        <f t="shared" si="22"/>
        <v>0</v>
      </c>
      <c r="AB104" s="566">
        <f t="shared" si="23"/>
        <v>0</v>
      </c>
      <c r="AC104" s="566">
        <f t="shared" si="24"/>
        <v>0</v>
      </c>
      <c r="AD104" s="566">
        <f t="shared" si="25"/>
        <v>0</v>
      </c>
      <c r="AE104" s="566">
        <f t="shared" si="26"/>
        <v>0</v>
      </c>
      <c r="AF104" s="566">
        <f t="shared" si="27"/>
        <v>0</v>
      </c>
      <c r="AG104" s="573"/>
    </row>
    <row r="105" spans="1:33" ht="25.15" customHeight="1">
      <c r="A105" s="543">
        <v>84</v>
      </c>
      <c r="B105" s="811" t="s">
        <v>1368</v>
      </c>
      <c r="C105" s="541" t="str">
        <f t="shared" si="29"/>
        <v>P. Ayam Utuh Original</v>
      </c>
      <c r="D105" s="542"/>
      <c r="E105" s="542">
        <v>1</v>
      </c>
      <c r="F105" s="542"/>
      <c r="G105" s="542"/>
      <c r="H105" s="542"/>
      <c r="I105" s="542"/>
      <c r="J105" s="542"/>
      <c r="K105" s="542"/>
      <c r="L105" s="542"/>
      <c r="M105" s="542"/>
      <c r="N105" s="554">
        <f t="shared" si="30"/>
        <v>1</v>
      </c>
      <c r="O105" s="554">
        <f t="shared" si="31"/>
        <v>95000</v>
      </c>
      <c r="P105" s="555">
        <f>(O105/O273)*100</f>
        <v>0.47684180145813199</v>
      </c>
      <c r="Q105" s="570">
        <v>0.58699999999999997</v>
      </c>
      <c r="R105" s="555">
        <f t="shared" si="32"/>
        <v>0.27990613745592302</v>
      </c>
      <c r="S105" s="697">
        <v>95000</v>
      </c>
      <c r="T105" s="569"/>
      <c r="U105" s="2569"/>
      <c r="W105" s="566">
        <f t="shared" si="33"/>
        <v>0</v>
      </c>
      <c r="X105" s="566">
        <f t="shared" si="19"/>
        <v>95000</v>
      </c>
      <c r="Y105" s="566">
        <f t="shared" si="20"/>
        <v>0</v>
      </c>
      <c r="Z105" s="566">
        <f t="shared" si="21"/>
        <v>0</v>
      </c>
      <c r="AA105" s="566">
        <f t="shared" si="22"/>
        <v>0</v>
      </c>
      <c r="AB105" s="566">
        <f t="shared" si="23"/>
        <v>0</v>
      </c>
      <c r="AC105" s="566">
        <f t="shared" si="24"/>
        <v>0</v>
      </c>
      <c r="AD105" s="566">
        <f t="shared" si="25"/>
        <v>0</v>
      </c>
      <c r="AE105" s="566">
        <f t="shared" si="26"/>
        <v>0</v>
      </c>
      <c r="AF105" s="566">
        <f t="shared" si="27"/>
        <v>0</v>
      </c>
      <c r="AG105" s="573"/>
    </row>
    <row r="106" spans="1:33" ht="25.15" customHeight="1">
      <c r="A106" s="543">
        <v>85</v>
      </c>
      <c r="B106" s="811" t="s">
        <v>1369</v>
      </c>
      <c r="C106" s="541" t="str">
        <f t="shared" si="29"/>
        <v>P. Ayam Utuh Hot Cheesy</v>
      </c>
      <c r="D106" s="542"/>
      <c r="E106" s="542"/>
      <c r="F106" s="542"/>
      <c r="G106" s="542"/>
      <c r="H106" s="542"/>
      <c r="I106" s="542"/>
      <c r="J106" s="542"/>
      <c r="K106" s="542"/>
      <c r="L106" s="542"/>
      <c r="M106" s="542"/>
      <c r="N106" s="554">
        <f t="shared" si="30"/>
        <v>0</v>
      </c>
      <c r="O106" s="554">
        <f t="shared" si="31"/>
        <v>0</v>
      </c>
      <c r="P106" s="555">
        <f>(O106/O273)*100</f>
        <v>0</v>
      </c>
      <c r="Q106" s="570">
        <v>0.55800000000000005</v>
      </c>
      <c r="R106" s="555">
        <f t="shared" si="32"/>
        <v>0</v>
      </c>
      <c r="S106" s="697">
        <v>105000</v>
      </c>
      <c r="T106" s="569"/>
      <c r="U106" s="2569"/>
      <c r="W106" s="566">
        <f t="shared" si="33"/>
        <v>0</v>
      </c>
      <c r="X106" s="566">
        <f t="shared" si="19"/>
        <v>0</v>
      </c>
      <c r="Y106" s="566">
        <f t="shared" si="20"/>
        <v>0</v>
      </c>
      <c r="Z106" s="566">
        <f t="shared" si="21"/>
        <v>0</v>
      </c>
      <c r="AA106" s="566">
        <f t="shared" si="22"/>
        <v>0</v>
      </c>
      <c r="AB106" s="566">
        <f t="shared" si="23"/>
        <v>0</v>
      </c>
      <c r="AC106" s="566">
        <f t="shared" si="24"/>
        <v>0</v>
      </c>
      <c r="AD106" s="566">
        <f t="shared" si="25"/>
        <v>0</v>
      </c>
      <c r="AE106" s="566">
        <f t="shared" si="26"/>
        <v>0</v>
      </c>
      <c r="AF106" s="566">
        <f t="shared" si="27"/>
        <v>0</v>
      </c>
      <c r="AG106" s="573"/>
    </row>
    <row r="107" spans="1:33" ht="25.15" customHeight="1">
      <c r="A107" s="543">
        <v>86</v>
      </c>
      <c r="B107" s="811" t="s">
        <v>1370</v>
      </c>
      <c r="C107" s="541" t="str">
        <f t="shared" si="29"/>
        <v>P. Ayam Utuh Geprek</v>
      </c>
      <c r="D107" s="542"/>
      <c r="E107" s="542"/>
      <c r="F107" s="542"/>
      <c r="G107" s="542"/>
      <c r="H107" s="542"/>
      <c r="I107" s="542"/>
      <c r="J107" s="542"/>
      <c r="K107" s="542"/>
      <c r="L107" s="542"/>
      <c r="M107" s="542"/>
      <c r="N107" s="554">
        <f t="shared" si="30"/>
        <v>0</v>
      </c>
      <c r="O107" s="554">
        <f t="shared" si="31"/>
        <v>0</v>
      </c>
      <c r="P107" s="555">
        <f>(O107/O273)*100</f>
        <v>0</v>
      </c>
      <c r="Q107" s="570">
        <v>0.53900000000000003</v>
      </c>
      <c r="R107" s="555">
        <f t="shared" si="32"/>
        <v>0</v>
      </c>
      <c r="S107" s="697">
        <v>105000</v>
      </c>
      <c r="T107" s="569"/>
      <c r="U107" s="2569"/>
      <c r="W107" s="566">
        <f t="shared" si="33"/>
        <v>0</v>
      </c>
      <c r="X107" s="566">
        <f t="shared" si="19"/>
        <v>0</v>
      </c>
      <c r="Y107" s="566">
        <f t="shared" si="20"/>
        <v>0</v>
      </c>
      <c r="Z107" s="566">
        <f t="shared" si="21"/>
        <v>0</v>
      </c>
      <c r="AA107" s="566">
        <f t="shared" si="22"/>
        <v>0</v>
      </c>
      <c r="AB107" s="566">
        <f t="shared" si="23"/>
        <v>0</v>
      </c>
      <c r="AC107" s="566">
        <f t="shared" si="24"/>
        <v>0</v>
      </c>
      <c r="AD107" s="566">
        <f t="shared" si="25"/>
        <v>0</v>
      </c>
      <c r="AE107" s="566">
        <f t="shared" si="26"/>
        <v>0</v>
      </c>
      <c r="AF107" s="566">
        <f t="shared" si="27"/>
        <v>0</v>
      </c>
      <c r="AG107" s="573"/>
    </row>
    <row r="108" spans="1:33" ht="25.15" customHeight="1">
      <c r="A108" s="543">
        <v>87</v>
      </c>
      <c r="B108" s="811" t="s">
        <v>1371</v>
      </c>
      <c r="C108" s="541" t="str">
        <f t="shared" si="29"/>
        <v>Ayam Utuh Hot Spicy</v>
      </c>
      <c r="D108" s="542"/>
      <c r="E108" s="542"/>
      <c r="F108" s="542"/>
      <c r="G108" s="542"/>
      <c r="H108" s="542"/>
      <c r="I108" s="542"/>
      <c r="J108" s="542"/>
      <c r="K108" s="542"/>
      <c r="L108" s="542"/>
      <c r="M108" s="542"/>
      <c r="N108" s="554">
        <f t="shared" si="30"/>
        <v>0</v>
      </c>
      <c r="O108" s="554">
        <f t="shared" si="31"/>
        <v>0</v>
      </c>
      <c r="P108" s="555">
        <f>(O108/O273)*100</f>
        <v>0</v>
      </c>
      <c r="Q108" s="570"/>
      <c r="R108" s="555">
        <f t="shared" si="32"/>
        <v>0</v>
      </c>
      <c r="S108" s="564">
        <v>80000</v>
      </c>
      <c r="T108" s="569"/>
      <c r="U108" s="2569"/>
      <c r="W108" s="566">
        <f t="shared" si="33"/>
        <v>0</v>
      </c>
      <c r="X108" s="566">
        <f t="shared" si="19"/>
        <v>0</v>
      </c>
      <c r="Y108" s="566">
        <f t="shared" si="20"/>
        <v>0</v>
      </c>
      <c r="Z108" s="566">
        <f t="shared" si="21"/>
        <v>0</v>
      </c>
      <c r="AA108" s="566">
        <f t="shared" si="22"/>
        <v>0</v>
      </c>
      <c r="AB108" s="566">
        <f t="shared" si="23"/>
        <v>0</v>
      </c>
      <c r="AC108" s="566">
        <f t="shared" si="24"/>
        <v>0</v>
      </c>
      <c r="AD108" s="566">
        <f t="shared" si="25"/>
        <v>0</v>
      </c>
      <c r="AE108" s="566">
        <f t="shared" si="26"/>
        <v>0</v>
      </c>
      <c r="AF108" s="566">
        <f t="shared" si="27"/>
        <v>0</v>
      </c>
      <c r="AG108" s="573"/>
    </row>
    <row r="109" spans="1:33" ht="25.15" customHeight="1">
      <c r="A109" s="543">
        <v>88</v>
      </c>
      <c r="B109" s="811" t="s">
        <v>1372</v>
      </c>
      <c r="C109" s="541" t="str">
        <f t="shared" si="29"/>
        <v>Paket Ayam Utuh Hot Spicy</v>
      </c>
      <c r="D109" s="542"/>
      <c r="E109" s="542"/>
      <c r="F109" s="542"/>
      <c r="G109" s="542"/>
      <c r="H109" s="542"/>
      <c r="I109" s="542"/>
      <c r="J109" s="542"/>
      <c r="K109" s="542"/>
      <c r="L109" s="542"/>
      <c r="M109" s="542"/>
      <c r="N109" s="554">
        <f t="shared" si="30"/>
        <v>0</v>
      </c>
      <c r="O109" s="554">
        <f t="shared" si="31"/>
        <v>0</v>
      </c>
      <c r="P109" s="555">
        <f>(O109/O273)*100</f>
        <v>0</v>
      </c>
      <c r="Q109" s="570"/>
      <c r="R109" s="555">
        <f t="shared" si="32"/>
        <v>0</v>
      </c>
      <c r="S109" s="564"/>
      <c r="T109" s="569"/>
      <c r="U109" s="2569"/>
      <c r="W109" s="566">
        <f t="shared" si="33"/>
        <v>0</v>
      </c>
      <c r="X109" s="566">
        <f t="shared" si="19"/>
        <v>0</v>
      </c>
      <c r="Y109" s="566">
        <f t="shared" si="20"/>
        <v>0</v>
      </c>
      <c r="Z109" s="566">
        <f t="shared" si="21"/>
        <v>0</v>
      </c>
      <c r="AA109" s="566">
        <f t="shared" si="22"/>
        <v>0</v>
      </c>
      <c r="AB109" s="566">
        <f t="shared" si="23"/>
        <v>0</v>
      </c>
      <c r="AC109" s="566">
        <f t="shared" si="24"/>
        <v>0</v>
      </c>
      <c r="AD109" s="566">
        <f t="shared" si="25"/>
        <v>0</v>
      </c>
      <c r="AE109" s="566">
        <f t="shared" si="26"/>
        <v>0</v>
      </c>
      <c r="AF109" s="566">
        <f t="shared" si="27"/>
        <v>0</v>
      </c>
      <c r="AG109" s="573"/>
    </row>
    <row r="110" spans="1:33" ht="25.15" customHeight="1">
      <c r="A110" s="543"/>
      <c r="B110" s="546"/>
      <c r="C110" s="541"/>
      <c r="D110" s="542"/>
      <c r="E110" s="542"/>
      <c r="F110" s="542"/>
      <c r="G110" s="542"/>
      <c r="H110" s="542"/>
      <c r="I110" s="542"/>
      <c r="J110" s="542"/>
      <c r="K110" s="542"/>
      <c r="L110" s="542"/>
      <c r="M110" s="542"/>
      <c r="N110" s="554">
        <f t="shared" si="30"/>
        <v>0</v>
      </c>
      <c r="O110" s="554">
        <f t="shared" si="31"/>
        <v>0</v>
      </c>
      <c r="P110" s="555">
        <f>(O110/O273)*100</f>
        <v>0</v>
      </c>
      <c r="Q110" s="570"/>
      <c r="R110" s="555">
        <f t="shared" si="32"/>
        <v>0</v>
      </c>
      <c r="S110" s="564"/>
      <c r="T110" s="569"/>
      <c r="U110" s="2569"/>
      <c r="W110" s="566">
        <f t="shared" si="33"/>
        <v>0</v>
      </c>
      <c r="X110" s="566">
        <f t="shared" si="19"/>
        <v>0</v>
      </c>
      <c r="Y110" s="566">
        <f t="shared" si="20"/>
        <v>0</v>
      </c>
      <c r="Z110" s="566">
        <f t="shared" si="21"/>
        <v>0</v>
      </c>
      <c r="AA110" s="566">
        <f t="shared" si="22"/>
        <v>0</v>
      </c>
      <c r="AB110" s="566">
        <f t="shared" si="23"/>
        <v>0</v>
      </c>
      <c r="AC110" s="566">
        <f t="shared" si="24"/>
        <v>0</v>
      </c>
      <c r="AD110" s="566">
        <f t="shared" si="25"/>
        <v>0</v>
      </c>
      <c r="AE110" s="566">
        <f t="shared" si="26"/>
        <v>0</v>
      </c>
      <c r="AF110" s="566">
        <f t="shared" si="27"/>
        <v>0</v>
      </c>
      <c r="AG110" s="573"/>
    </row>
    <row r="111" spans="1:33" ht="25.15" customHeight="1">
      <c r="A111" s="543">
        <v>89</v>
      </c>
      <c r="B111" s="811" t="s">
        <v>1373</v>
      </c>
      <c r="C111" s="541" t="str">
        <f t="shared" si="29"/>
        <v>Beef Burger</v>
      </c>
      <c r="D111" s="542"/>
      <c r="E111" s="542"/>
      <c r="F111" s="542"/>
      <c r="G111" s="542"/>
      <c r="H111" s="542"/>
      <c r="I111" s="542"/>
      <c r="J111" s="542"/>
      <c r="K111" s="542"/>
      <c r="L111" s="542"/>
      <c r="M111" s="542"/>
      <c r="N111" s="554">
        <f t="shared" si="30"/>
        <v>0</v>
      </c>
      <c r="O111" s="554">
        <f t="shared" si="31"/>
        <v>0</v>
      </c>
      <c r="P111" s="555">
        <f>(O111/O273)*100</f>
        <v>0</v>
      </c>
      <c r="Q111" s="570"/>
      <c r="R111" s="555">
        <f t="shared" si="32"/>
        <v>0</v>
      </c>
      <c r="S111" s="564"/>
      <c r="T111" s="569"/>
      <c r="U111" s="2569"/>
      <c r="W111" s="566">
        <f t="shared" si="33"/>
        <v>0</v>
      </c>
      <c r="X111" s="566">
        <f t="shared" si="19"/>
        <v>0</v>
      </c>
      <c r="Y111" s="566">
        <f t="shared" si="20"/>
        <v>0</v>
      </c>
      <c r="Z111" s="566">
        <f t="shared" si="21"/>
        <v>0</v>
      </c>
      <c r="AA111" s="566">
        <f t="shared" si="22"/>
        <v>0</v>
      </c>
      <c r="AB111" s="566">
        <f t="shared" si="23"/>
        <v>0</v>
      </c>
      <c r="AC111" s="566">
        <f t="shared" si="24"/>
        <v>0</v>
      </c>
      <c r="AD111" s="566">
        <f t="shared" si="25"/>
        <v>0</v>
      </c>
      <c r="AE111" s="566">
        <f t="shared" si="26"/>
        <v>0</v>
      </c>
      <c r="AF111" s="566">
        <f t="shared" si="27"/>
        <v>0</v>
      </c>
      <c r="AG111" s="573"/>
    </row>
    <row r="112" spans="1:33" ht="25.15" customHeight="1">
      <c r="A112" s="543">
        <v>90</v>
      </c>
      <c r="B112" s="811" t="s">
        <v>1374</v>
      </c>
      <c r="C112" s="541" t="str">
        <f t="shared" si="29"/>
        <v>Beef Burger + Lemon Tea</v>
      </c>
      <c r="D112" s="542"/>
      <c r="E112" s="542"/>
      <c r="F112" s="542"/>
      <c r="G112" s="542"/>
      <c r="H112" s="542"/>
      <c r="I112" s="542"/>
      <c r="J112" s="542"/>
      <c r="K112" s="542"/>
      <c r="L112" s="542"/>
      <c r="M112" s="542"/>
      <c r="N112" s="554">
        <f t="shared" si="30"/>
        <v>0</v>
      </c>
      <c r="O112" s="554">
        <f t="shared" si="31"/>
        <v>0</v>
      </c>
      <c r="P112" s="555">
        <f>(O112/O273)*100</f>
        <v>0</v>
      </c>
      <c r="Q112" s="570"/>
      <c r="R112" s="555">
        <f t="shared" si="32"/>
        <v>0</v>
      </c>
      <c r="S112" s="564"/>
      <c r="T112" s="569"/>
      <c r="U112" s="2569"/>
      <c r="W112" s="566">
        <f t="shared" si="33"/>
        <v>0</v>
      </c>
      <c r="X112" s="566">
        <f t="shared" si="19"/>
        <v>0</v>
      </c>
      <c r="Y112" s="566">
        <f t="shared" si="20"/>
        <v>0</v>
      </c>
      <c r="Z112" s="566">
        <f t="shared" si="21"/>
        <v>0</v>
      </c>
      <c r="AA112" s="566">
        <f t="shared" si="22"/>
        <v>0</v>
      </c>
      <c r="AB112" s="566">
        <f t="shared" si="23"/>
        <v>0</v>
      </c>
      <c r="AC112" s="566">
        <f t="shared" si="24"/>
        <v>0</v>
      </c>
      <c r="AD112" s="566">
        <f t="shared" si="25"/>
        <v>0</v>
      </c>
      <c r="AE112" s="566">
        <f t="shared" si="26"/>
        <v>0</v>
      </c>
      <c r="AF112" s="566">
        <f t="shared" si="27"/>
        <v>0</v>
      </c>
      <c r="AG112" s="573"/>
    </row>
    <row r="113" spans="1:33" ht="25.15" customHeight="1">
      <c r="A113" s="543">
        <v>91</v>
      </c>
      <c r="B113" s="811" t="s">
        <v>1375</v>
      </c>
      <c r="C113" s="541" t="str">
        <f t="shared" si="29"/>
        <v>Beef cheese Burger</v>
      </c>
      <c r="D113" s="542"/>
      <c r="E113" s="542"/>
      <c r="F113" s="542"/>
      <c r="G113" s="542"/>
      <c r="H113" s="542"/>
      <c r="I113" s="542"/>
      <c r="J113" s="542"/>
      <c r="K113" s="542"/>
      <c r="L113" s="542"/>
      <c r="M113" s="542"/>
      <c r="N113" s="554">
        <f t="shared" si="30"/>
        <v>0</v>
      </c>
      <c r="O113" s="554">
        <f t="shared" si="31"/>
        <v>0</v>
      </c>
      <c r="P113" s="555">
        <f>(O113/O273)*100</f>
        <v>0</v>
      </c>
      <c r="Q113" s="570"/>
      <c r="R113" s="555">
        <f t="shared" si="32"/>
        <v>0</v>
      </c>
      <c r="S113" s="564"/>
      <c r="T113" s="569"/>
      <c r="U113" s="2569"/>
      <c r="W113" s="566">
        <f t="shared" si="33"/>
        <v>0</v>
      </c>
      <c r="X113" s="566">
        <f t="shared" si="19"/>
        <v>0</v>
      </c>
      <c r="Y113" s="566">
        <f t="shared" si="20"/>
        <v>0</v>
      </c>
      <c r="Z113" s="566">
        <f t="shared" si="21"/>
        <v>0</v>
      </c>
      <c r="AA113" s="566">
        <f t="shared" si="22"/>
        <v>0</v>
      </c>
      <c r="AB113" s="566">
        <f t="shared" si="23"/>
        <v>0</v>
      </c>
      <c r="AC113" s="566">
        <f t="shared" si="24"/>
        <v>0</v>
      </c>
      <c r="AD113" s="566">
        <f t="shared" si="25"/>
        <v>0</v>
      </c>
      <c r="AE113" s="566">
        <f t="shared" si="26"/>
        <v>0</v>
      </c>
      <c r="AF113" s="566">
        <f t="shared" si="27"/>
        <v>0</v>
      </c>
      <c r="AG113" s="573"/>
    </row>
    <row r="114" spans="1:33" ht="25.15" customHeight="1">
      <c r="A114" s="543">
        <v>92</v>
      </c>
      <c r="B114" s="811" t="s">
        <v>1376</v>
      </c>
      <c r="C114" s="541" t="str">
        <f t="shared" si="29"/>
        <v>Beef cheese Burger + Lemon Tea</v>
      </c>
      <c r="D114" s="542"/>
      <c r="E114" s="542"/>
      <c r="F114" s="542"/>
      <c r="G114" s="542"/>
      <c r="H114" s="542"/>
      <c r="I114" s="542"/>
      <c r="J114" s="542"/>
      <c r="K114" s="542"/>
      <c r="L114" s="542"/>
      <c r="M114" s="542"/>
      <c r="N114" s="554">
        <f t="shared" si="30"/>
        <v>0</v>
      </c>
      <c r="O114" s="554">
        <f t="shared" si="31"/>
        <v>0</v>
      </c>
      <c r="P114" s="555">
        <f>(O114/O273)*100</f>
        <v>0</v>
      </c>
      <c r="Q114" s="570"/>
      <c r="R114" s="555">
        <f t="shared" si="32"/>
        <v>0</v>
      </c>
      <c r="S114" s="564"/>
      <c r="T114" s="569"/>
      <c r="U114" s="2569"/>
      <c r="W114" s="566">
        <f t="shared" si="33"/>
        <v>0</v>
      </c>
      <c r="X114" s="566">
        <f t="shared" si="19"/>
        <v>0</v>
      </c>
      <c r="Y114" s="566">
        <f t="shared" si="20"/>
        <v>0</v>
      </c>
      <c r="Z114" s="566">
        <f t="shared" si="21"/>
        <v>0</v>
      </c>
      <c r="AA114" s="566">
        <f t="shared" si="22"/>
        <v>0</v>
      </c>
      <c r="AB114" s="566">
        <f t="shared" si="23"/>
        <v>0</v>
      </c>
      <c r="AC114" s="566">
        <f t="shared" si="24"/>
        <v>0</v>
      </c>
      <c r="AD114" s="566">
        <f t="shared" si="25"/>
        <v>0</v>
      </c>
      <c r="AE114" s="566">
        <f t="shared" si="26"/>
        <v>0</v>
      </c>
      <c r="AF114" s="566">
        <f t="shared" si="27"/>
        <v>0</v>
      </c>
      <c r="AG114" s="573"/>
    </row>
    <row r="115" spans="1:33" ht="25.15" customHeight="1">
      <c r="A115" s="543">
        <v>93</v>
      </c>
      <c r="B115" s="811" t="s">
        <v>1377</v>
      </c>
      <c r="C115" s="541" t="str">
        <f t="shared" si="29"/>
        <v>Beef Steak</v>
      </c>
      <c r="D115" s="542"/>
      <c r="E115" s="542"/>
      <c r="F115" s="542"/>
      <c r="G115" s="542"/>
      <c r="H115" s="542"/>
      <c r="I115" s="542"/>
      <c r="J115" s="542"/>
      <c r="K115" s="542"/>
      <c r="L115" s="542"/>
      <c r="M115" s="542"/>
      <c r="N115" s="554">
        <f t="shared" si="30"/>
        <v>0</v>
      </c>
      <c r="O115" s="554">
        <f t="shared" si="31"/>
        <v>0</v>
      </c>
      <c r="P115" s="555">
        <f>(O115/O273)*100</f>
        <v>0</v>
      </c>
      <c r="Q115" s="570"/>
      <c r="R115" s="555">
        <f t="shared" si="32"/>
        <v>0</v>
      </c>
      <c r="S115" s="564"/>
      <c r="T115" s="569"/>
      <c r="U115" s="2569"/>
      <c r="W115" s="566">
        <f t="shared" si="33"/>
        <v>0</v>
      </c>
      <c r="X115" s="566">
        <f t="shared" si="19"/>
        <v>0</v>
      </c>
      <c r="Y115" s="566">
        <f t="shared" si="20"/>
        <v>0</v>
      </c>
      <c r="Z115" s="566">
        <f t="shared" si="21"/>
        <v>0</v>
      </c>
      <c r="AA115" s="566">
        <f t="shared" si="22"/>
        <v>0</v>
      </c>
      <c r="AB115" s="566">
        <f t="shared" si="23"/>
        <v>0</v>
      </c>
      <c r="AC115" s="566">
        <f t="shared" si="24"/>
        <v>0</v>
      </c>
      <c r="AD115" s="566">
        <f t="shared" si="25"/>
        <v>0</v>
      </c>
      <c r="AE115" s="566">
        <f t="shared" si="26"/>
        <v>0</v>
      </c>
      <c r="AF115" s="566">
        <f t="shared" si="27"/>
        <v>0</v>
      </c>
      <c r="AG115" s="573"/>
    </row>
    <row r="116" spans="1:33" ht="25.15" customHeight="1">
      <c r="A116" s="543">
        <v>94</v>
      </c>
      <c r="B116" s="811" t="s">
        <v>1378</v>
      </c>
      <c r="C116" s="541" t="str">
        <f t="shared" si="29"/>
        <v>Beef Steak + Lemon Tea</v>
      </c>
      <c r="D116" s="542"/>
      <c r="E116" s="542"/>
      <c r="F116" s="542"/>
      <c r="G116" s="542"/>
      <c r="H116" s="542"/>
      <c r="I116" s="542"/>
      <c r="J116" s="542"/>
      <c r="K116" s="542"/>
      <c r="L116" s="542"/>
      <c r="M116" s="542"/>
      <c r="N116" s="554">
        <f t="shared" si="30"/>
        <v>0</v>
      </c>
      <c r="O116" s="554">
        <f t="shared" si="31"/>
        <v>0</v>
      </c>
      <c r="P116" s="555">
        <f>(O116/O273)*100</f>
        <v>0</v>
      </c>
      <c r="Q116" s="570"/>
      <c r="R116" s="555">
        <f t="shared" si="32"/>
        <v>0</v>
      </c>
      <c r="S116" s="564"/>
      <c r="T116" s="569"/>
      <c r="U116" s="2569"/>
      <c r="W116" s="566">
        <f t="shared" si="33"/>
        <v>0</v>
      </c>
      <c r="X116" s="566">
        <f t="shared" si="19"/>
        <v>0</v>
      </c>
      <c r="Y116" s="566">
        <f t="shared" si="20"/>
        <v>0</v>
      </c>
      <c r="Z116" s="566">
        <f t="shared" si="21"/>
        <v>0</v>
      </c>
      <c r="AA116" s="566">
        <f t="shared" si="22"/>
        <v>0</v>
      </c>
      <c r="AB116" s="566">
        <f t="shared" si="23"/>
        <v>0</v>
      </c>
      <c r="AC116" s="566">
        <f t="shared" si="24"/>
        <v>0</v>
      </c>
      <c r="AD116" s="566">
        <f t="shared" si="25"/>
        <v>0</v>
      </c>
      <c r="AE116" s="566">
        <f t="shared" si="26"/>
        <v>0</v>
      </c>
      <c r="AF116" s="566">
        <f t="shared" si="27"/>
        <v>0</v>
      </c>
      <c r="AG116" s="573"/>
    </row>
    <row r="117" spans="1:33" ht="25.15" customHeight="1">
      <c r="A117" s="543">
        <v>95</v>
      </c>
      <c r="B117" s="811" t="s">
        <v>1379</v>
      </c>
      <c r="C117" s="541" t="str">
        <f t="shared" si="29"/>
        <v>Beef Steak + Lemon Tea + Nasi</v>
      </c>
      <c r="D117" s="542"/>
      <c r="E117" s="542"/>
      <c r="F117" s="542"/>
      <c r="G117" s="542"/>
      <c r="H117" s="542"/>
      <c r="I117" s="542"/>
      <c r="J117" s="542"/>
      <c r="K117" s="542"/>
      <c r="L117" s="542"/>
      <c r="M117" s="542"/>
      <c r="N117" s="554">
        <f t="shared" si="30"/>
        <v>0</v>
      </c>
      <c r="O117" s="554">
        <f t="shared" si="31"/>
        <v>0</v>
      </c>
      <c r="P117" s="555">
        <f>(O117/O273)*100</f>
        <v>0</v>
      </c>
      <c r="Q117" s="570"/>
      <c r="R117" s="555">
        <f t="shared" si="32"/>
        <v>0</v>
      </c>
      <c r="S117" s="564"/>
      <c r="T117" s="569"/>
      <c r="U117" s="2569"/>
      <c r="W117" s="566">
        <f t="shared" si="33"/>
        <v>0</v>
      </c>
      <c r="X117" s="566">
        <f t="shared" si="19"/>
        <v>0</v>
      </c>
      <c r="Y117" s="566">
        <f t="shared" si="20"/>
        <v>0</v>
      </c>
      <c r="Z117" s="566">
        <f t="shared" si="21"/>
        <v>0</v>
      </c>
      <c r="AA117" s="566">
        <f t="shared" si="22"/>
        <v>0</v>
      </c>
      <c r="AB117" s="566">
        <f t="shared" si="23"/>
        <v>0</v>
      </c>
      <c r="AC117" s="566">
        <f t="shared" si="24"/>
        <v>0</v>
      </c>
      <c r="AD117" s="566">
        <f t="shared" si="25"/>
        <v>0</v>
      </c>
      <c r="AE117" s="566">
        <f t="shared" si="26"/>
        <v>0</v>
      </c>
      <c r="AF117" s="566">
        <f t="shared" si="27"/>
        <v>0</v>
      </c>
      <c r="AG117" s="573"/>
    </row>
    <row r="118" spans="1:33" ht="25.15" customHeight="1">
      <c r="A118" s="543"/>
      <c r="B118" s="546"/>
      <c r="C118" s="541"/>
      <c r="D118" s="542"/>
      <c r="E118" s="542"/>
      <c r="F118" s="542"/>
      <c r="G118" s="542"/>
      <c r="H118" s="542"/>
      <c r="I118" s="542"/>
      <c r="J118" s="542"/>
      <c r="K118" s="542"/>
      <c r="L118" s="542"/>
      <c r="M118" s="542"/>
      <c r="N118" s="554">
        <f t="shared" si="30"/>
        <v>0</v>
      </c>
      <c r="O118" s="554">
        <f t="shared" si="31"/>
        <v>0</v>
      </c>
      <c r="P118" s="555">
        <f>(O118/O273)*100</f>
        <v>0</v>
      </c>
      <c r="Q118" s="570"/>
      <c r="R118" s="555">
        <f t="shared" si="32"/>
        <v>0</v>
      </c>
      <c r="S118" s="564"/>
      <c r="T118" s="569"/>
      <c r="U118" s="2569"/>
      <c r="W118" s="566">
        <f t="shared" si="33"/>
        <v>0</v>
      </c>
      <c r="X118" s="566">
        <f t="shared" si="19"/>
        <v>0</v>
      </c>
      <c r="Y118" s="566">
        <f t="shared" si="20"/>
        <v>0</v>
      </c>
      <c r="Z118" s="566">
        <f t="shared" si="21"/>
        <v>0</v>
      </c>
      <c r="AA118" s="566">
        <f t="shared" si="22"/>
        <v>0</v>
      </c>
      <c r="AB118" s="566">
        <f t="shared" si="23"/>
        <v>0</v>
      </c>
      <c r="AC118" s="566">
        <f t="shared" si="24"/>
        <v>0</v>
      </c>
      <c r="AD118" s="566">
        <f t="shared" si="25"/>
        <v>0</v>
      </c>
      <c r="AE118" s="566">
        <f t="shared" si="26"/>
        <v>0</v>
      </c>
      <c r="AF118" s="566">
        <f t="shared" si="27"/>
        <v>0</v>
      </c>
      <c r="AG118" s="573"/>
    </row>
    <row r="119" spans="1:33" ht="25.15" customHeight="1">
      <c r="A119" s="543">
        <v>96</v>
      </c>
      <c r="B119" s="546" t="s">
        <v>1380</v>
      </c>
      <c r="C119" s="541" t="str">
        <f t="shared" si="29"/>
        <v>Dada / Paha Atas Hot Spicy</v>
      </c>
      <c r="D119" s="542">
        <v>5</v>
      </c>
      <c r="E119" s="542">
        <v>9</v>
      </c>
      <c r="F119" s="542"/>
      <c r="G119" s="542"/>
      <c r="H119" s="542">
        <v>5</v>
      </c>
      <c r="I119" s="542"/>
      <c r="J119" s="542">
        <v>4</v>
      </c>
      <c r="K119" s="542"/>
      <c r="L119" s="542"/>
      <c r="M119" s="542"/>
      <c r="N119" s="554">
        <f t="shared" si="30"/>
        <v>23</v>
      </c>
      <c r="O119" s="554">
        <f t="shared" si="31"/>
        <v>322000</v>
      </c>
      <c r="P119" s="555">
        <f>(O119/O273)*100</f>
        <v>1.6162427375738799</v>
      </c>
      <c r="Q119" s="570">
        <v>0.67500000000000004</v>
      </c>
      <c r="R119" s="555">
        <f t="shared" si="32"/>
        <v>1.09096384786237</v>
      </c>
      <c r="S119" s="697">
        <v>14000</v>
      </c>
      <c r="T119" s="569"/>
      <c r="U119" s="2569"/>
      <c r="W119" s="566">
        <f t="shared" si="33"/>
        <v>70000</v>
      </c>
      <c r="X119" s="566">
        <f t="shared" si="19"/>
        <v>126000</v>
      </c>
      <c r="Y119" s="566">
        <f t="shared" si="20"/>
        <v>0</v>
      </c>
      <c r="Z119" s="566">
        <f t="shared" si="21"/>
        <v>0</v>
      </c>
      <c r="AA119" s="566">
        <f t="shared" si="22"/>
        <v>70000</v>
      </c>
      <c r="AB119" s="566">
        <f t="shared" si="23"/>
        <v>0</v>
      </c>
      <c r="AC119" s="566">
        <f t="shared" si="24"/>
        <v>56000</v>
      </c>
      <c r="AD119" s="566">
        <f t="shared" si="25"/>
        <v>0</v>
      </c>
      <c r="AE119" s="566">
        <f t="shared" si="26"/>
        <v>0</v>
      </c>
      <c r="AF119" s="566">
        <f t="shared" si="27"/>
        <v>0</v>
      </c>
      <c r="AG119" s="573"/>
    </row>
    <row r="120" spans="1:33" ht="25.15" customHeight="1">
      <c r="A120" s="543">
        <v>97</v>
      </c>
      <c r="B120" s="546" t="s">
        <v>1381</v>
      </c>
      <c r="C120" s="541" t="str">
        <f t="shared" si="29"/>
        <v>Paha Bawah Hot Spicy</v>
      </c>
      <c r="D120" s="542"/>
      <c r="E120" s="542"/>
      <c r="F120" s="542"/>
      <c r="G120" s="542"/>
      <c r="H120" s="542"/>
      <c r="I120" s="542"/>
      <c r="J120" s="542"/>
      <c r="K120" s="542"/>
      <c r="L120" s="542"/>
      <c r="M120" s="542"/>
      <c r="N120" s="554">
        <f t="shared" si="30"/>
        <v>0</v>
      </c>
      <c r="O120" s="554">
        <f t="shared" si="31"/>
        <v>0</v>
      </c>
      <c r="P120" s="555">
        <f>(O120/O273)*100</f>
        <v>0</v>
      </c>
      <c r="Q120" s="570">
        <v>0.54</v>
      </c>
      <c r="R120" s="555">
        <f t="shared" si="32"/>
        <v>0</v>
      </c>
      <c r="S120" s="700">
        <v>12000</v>
      </c>
      <c r="T120" s="569"/>
      <c r="U120" s="2569"/>
      <c r="W120" s="566">
        <f t="shared" si="33"/>
        <v>0</v>
      </c>
      <c r="X120" s="566">
        <f t="shared" si="19"/>
        <v>0</v>
      </c>
      <c r="Y120" s="566">
        <f t="shared" si="20"/>
        <v>0</v>
      </c>
      <c r="Z120" s="566">
        <f t="shared" si="21"/>
        <v>0</v>
      </c>
      <c r="AA120" s="566">
        <f t="shared" si="22"/>
        <v>0</v>
      </c>
      <c r="AB120" s="566">
        <f t="shared" si="23"/>
        <v>0</v>
      </c>
      <c r="AC120" s="566">
        <f t="shared" si="24"/>
        <v>0</v>
      </c>
      <c r="AD120" s="566">
        <f t="shared" si="25"/>
        <v>0</v>
      </c>
      <c r="AE120" s="566">
        <f t="shared" si="26"/>
        <v>0</v>
      </c>
      <c r="AF120" s="566">
        <f t="shared" si="27"/>
        <v>0</v>
      </c>
      <c r="AG120" s="573"/>
    </row>
    <row r="121" spans="1:33" ht="25.15" customHeight="1">
      <c r="A121" s="543">
        <v>98</v>
      </c>
      <c r="B121" s="546" t="s">
        <v>1382</v>
      </c>
      <c r="C121" s="541" t="str">
        <f t="shared" si="29"/>
        <v>Sayap Hot Spicy</v>
      </c>
      <c r="D121" s="542"/>
      <c r="E121" s="542"/>
      <c r="F121" s="542"/>
      <c r="G121" s="542"/>
      <c r="H121" s="542"/>
      <c r="I121" s="542"/>
      <c r="J121" s="542">
        <v>3</v>
      </c>
      <c r="K121" s="542"/>
      <c r="L121" s="542"/>
      <c r="M121" s="542"/>
      <c r="N121" s="554">
        <f t="shared" si="30"/>
        <v>3</v>
      </c>
      <c r="O121" s="554">
        <f t="shared" si="31"/>
        <v>33000</v>
      </c>
      <c r="P121" s="555">
        <f>(O121/O273)*100</f>
        <v>0.16563978366440399</v>
      </c>
      <c r="Q121" s="570">
        <v>0.621</v>
      </c>
      <c r="R121" s="555">
        <f t="shared" si="32"/>
        <v>0.102862305655595</v>
      </c>
      <c r="S121" s="700">
        <v>11000</v>
      </c>
      <c r="T121" s="569"/>
      <c r="U121" s="2569"/>
      <c r="W121" s="566">
        <f t="shared" si="33"/>
        <v>0</v>
      </c>
      <c r="X121" s="566">
        <f t="shared" si="19"/>
        <v>0</v>
      </c>
      <c r="Y121" s="566">
        <f t="shared" si="20"/>
        <v>0</v>
      </c>
      <c r="Z121" s="566">
        <f t="shared" si="21"/>
        <v>0</v>
      </c>
      <c r="AA121" s="566">
        <f t="shared" si="22"/>
        <v>0</v>
      </c>
      <c r="AB121" s="566">
        <f t="shared" si="23"/>
        <v>0</v>
      </c>
      <c r="AC121" s="566">
        <f t="shared" si="24"/>
        <v>33000</v>
      </c>
      <c r="AD121" s="566">
        <f t="shared" si="25"/>
        <v>0</v>
      </c>
      <c r="AE121" s="566">
        <f t="shared" si="26"/>
        <v>0</v>
      </c>
      <c r="AF121" s="566">
        <f t="shared" si="27"/>
        <v>0</v>
      </c>
      <c r="AG121" s="573"/>
    </row>
    <row r="122" spans="1:33" ht="25.15" customHeight="1">
      <c r="A122" s="543">
        <v>99</v>
      </c>
      <c r="B122" s="546" t="s">
        <v>1383</v>
      </c>
      <c r="C122" s="541" t="str">
        <f t="shared" si="29"/>
        <v>P. Hot Spicy 1 (Lemon Tea)</v>
      </c>
      <c r="D122" s="542"/>
      <c r="E122" s="542"/>
      <c r="F122" s="542"/>
      <c r="G122" s="542"/>
      <c r="H122" s="542"/>
      <c r="I122" s="542"/>
      <c r="J122" s="542"/>
      <c r="K122" s="542"/>
      <c r="L122" s="542"/>
      <c r="M122" s="542"/>
      <c r="N122" s="554">
        <f t="shared" si="30"/>
        <v>0</v>
      </c>
      <c r="O122" s="554">
        <f t="shared" si="31"/>
        <v>0</v>
      </c>
      <c r="P122" s="555">
        <f>(O122/O273)*100</f>
        <v>0</v>
      </c>
      <c r="Q122" s="570">
        <v>0.78800000000000003</v>
      </c>
      <c r="R122" s="555">
        <f t="shared" si="32"/>
        <v>0</v>
      </c>
      <c r="S122" s="697">
        <v>20000</v>
      </c>
      <c r="T122" s="569"/>
      <c r="U122" s="2569"/>
      <c r="W122" s="566">
        <f t="shared" si="33"/>
        <v>0</v>
      </c>
      <c r="X122" s="566">
        <f t="shared" si="19"/>
        <v>0</v>
      </c>
      <c r="Y122" s="566">
        <f t="shared" si="20"/>
        <v>0</v>
      </c>
      <c r="Z122" s="566">
        <f t="shared" si="21"/>
        <v>0</v>
      </c>
      <c r="AA122" s="566">
        <f t="shared" si="22"/>
        <v>0</v>
      </c>
      <c r="AB122" s="566">
        <f t="shared" si="23"/>
        <v>0</v>
      </c>
      <c r="AC122" s="566">
        <f t="shared" si="24"/>
        <v>0</v>
      </c>
      <c r="AD122" s="566">
        <f t="shared" si="25"/>
        <v>0</v>
      </c>
      <c r="AE122" s="566">
        <f t="shared" si="26"/>
        <v>0</v>
      </c>
      <c r="AF122" s="566">
        <f t="shared" si="27"/>
        <v>0</v>
      </c>
      <c r="AG122" s="573"/>
    </row>
    <row r="123" spans="1:33" ht="25.15" customHeight="1">
      <c r="A123" s="543">
        <v>100</v>
      </c>
      <c r="B123" s="546" t="s">
        <v>1384</v>
      </c>
      <c r="C123" s="541" t="str">
        <f t="shared" si="29"/>
        <v>P. Hot Spicy 2 (Lemon Tea)</v>
      </c>
      <c r="D123" s="542"/>
      <c r="E123" s="542"/>
      <c r="F123" s="542"/>
      <c r="G123" s="542"/>
      <c r="H123" s="542"/>
      <c r="I123" s="542"/>
      <c r="J123" s="542"/>
      <c r="K123" s="542"/>
      <c r="L123" s="542"/>
      <c r="M123" s="542"/>
      <c r="N123" s="554">
        <f t="shared" si="30"/>
        <v>0</v>
      </c>
      <c r="O123" s="554">
        <f t="shared" si="31"/>
        <v>0</v>
      </c>
      <c r="P123" s="555">
        <f>(O123/O273)*100</f>
        <v>0</v>
      </c>
      <c r="Q123" s="570">
        <v>0.71199999999999997</v>
      </c>
      <c r="R123" s="555">
        <f t="shared" si="32"/>
        <v>0</v>
      </c>
      <c r="S123" s="697">
        <v>22000</v>
      </c>
      <c r="T123" s="569"/>
      <c r="U123" s="2569"/>
      <c r="W123" s="566">
        <f t="shared" si="33"/>
        <v>0</v>
      </c>
      <c r="X123" s="566">
        <f t="shared" si="19"/>
        <v>0</v>
      </c>
      <c r="Y123" s="566">
        <f t="shared" si="20"/>
        <v>0</v>
      </c>
      <c r="Z123" s="566">
        <f t="shared" si="21"/>
        <v>0</v>
      </c>
      <c r="AA123" s="566">
        <f t="shared" si="22"/>
        <v>0</v>
      </c>
      <c r="AB123" s="566">
        <f t="shared" si="23"/>
        <v>0</v>
      </c>
      <c r="AC123" s="566">
        <f t="shared" si="24"/>
        <v>0</v>
      </c>
      <c r="AD123" s="566">
        <f t="shared" si="25"/>
        <v>0</v>
      </c>
      <c r="AE123" s="566">
        <f t="shared" si="26"/>
        <v>0</v>
      </c>
      <c r="AF123" s="566">
        <f t="shared" si="27"/>
        <v>0</v>
      </c>
      <c r="AG123" s="573"/>
    </row>
    <row r="124" spans="1:33" ht="25.15" customHeight="1">
      <c r="A124" s="543">
        <v>101</v>
      </c>
      <c r="B124" s="546" t="s">
        <v>1385</v>
      </c>
      <c r="C124" s="541" t="str">
        <f t="shared" si="29"/>
        <v>P. Hot Spicy 3 (Lemon Tea)</v>
      </c>
      <c r="D124" s="542"/>
      <c r="E124" s="542"/>
      <c r="F124" s="542"/>
      <c r="G124" s="542"/>
      <c r="H124" s="542"/>
      <c r="I124" s="542"/>
      <c r="J124" s="542"/>
      <c r="K124" s="542"/>
      <c r="L124" s="542"/>
      <c r="M124" s="542"/>
      <c r="N124" s="554">
        <f t="shared" si="30"/>
        <v>0</v>
      </c>
      <c r="O124" s="554">
        <f t="shared" si="31"/>
        <v>0</v>
      </c>
      <c r="P124" s="555">
        <f>(O124/O273)*100</f>
        <v>0</v>
      </c>
      <c r="Q124" s="570">
        <v>0.68200000000000005</v>
      </c>
      <c r="R124" s="555">
        <f t="shared" si="32"/>
        <v>0</v>
      </c>
      <c r="S124" s="697">
        <v>24000</v>
      </c>
      <c r="T124" s="569"/>
      <c r="U124" s="2569"/>
      <c r="W124" s="566">
        <f t="shared" si="33"/>
        <v>0</v>
      </c>
      <c r="X124" s="566">
        <f t="shared" si="19"/>
        <v>0</v>
      </c>
      <c r="Y124" s="566">
        <f t="shared" si="20"/>
        <v>0</v>
      </c>
      <c r="Z124" s="566">
        <f t="shared" si="21"/>
        <v>0</v>
      </c>
      <c r="AA124" s="566">
        <f t="shared" si="22"/>
        <v>0</v>
      </c>
      <c r="AB124" s="566">
        <f t="shared" si="23"/>
        <v>0</v>
      </c>
      <c r="AC124" s="566">
        <f t="shared" si="24"/>
        <v>0</v>
      </c>
      <c r="AD124" s="566">
        <f t="shared" si="25"/>
        <v>0</v>
      </c>
      <c r="AE124" s="566">
        <f t="shared" si="26"/>
        <v>0</v>
      </c>
      <c r="AF124" s="566">
        <f t="shared" si="27"/>
        <v>0</v>
      </c>
      <c r="AG124" s="573"/>
    </row>
    <row r="125" spans="1:33" ht="25.15" customHeight="1">
      <c r="A125" s="543">
        <v>102</v>
      </c>
      <c r="B125" s="546" t="s">
        <v>1386</v>
      </c>
      <c r="C125" s="541" t="str">
        <f t="shared" si="29"/>
        <v>P. Hot Spicy 1 Green Crispy (Es Teh / S-tee)</v>
      </c>
      <c r="D125" s="542"/>
      <c r="E125" s="542"/>
      <c r="F125" s="542"/>
      <c r="G125" s="542"/>
      <c r="H125" s="542"/>
      <c r="I125" s="542"/>
      <c r="J125" s="542">
        <v>1</v>
      </c>
      <c r="K125" s="542"/>
      <c r="L125" s="542"/>
      <c r="M125" s="542"/>
      <c r="N125" s="554">
        <f t="shared" si="30"/>
        <v>1</v>
      </c>
      <c r="O125" s="554">
        <f t="shared" si="31"/>
        <v>14000</v>
      </c>
      <c r="P125" s="555">
        <f>(O125/O273)*100</f>
        <v>7.0271423372777295E-2</v>
      </c>
      <c r="Q125" s="570">
        <v>0.69399999999999995</v>
      </c>
      <c r="R125" s="555">
        <f t="shared" si="32"/>
        <v>4.8768367820707502E-2</v>
      </c>
      <c r="S125" s="697">
        <v>14000</v>
      </c>
      <c r="T125" s="569"/>
      <c r="U125" s="2569"/>
      <c r="W125" s="566">
        <f t="shared" si="33"/>
        <v>0</v>
      </c>
      <c r="X125" s="566">
        <f t="shared" si="19"/>
        <v>0</v>
      </c>
      <c r="Y125" s="566">
        <f t="shared" si="20"/>
        <v>0</v>
      </c>
      <c r="Z125" s="566">
        <f t="shared" si="21"/>
        <v>0</v>
      </c>
      <c r="AA125" s="566">
        <f t="shared" si="22"/>
        <v>0</v>
      </c>
      <c r="AB125" s="566">
        <f t="shared" si="23"/>
        <v>0</v>
      </c>
      <c r="AC125" s="566">
        <f t="shared" si="24"/>
        <v>14000</v>
      </c>
      <c r="AD125" s="566">
        <f t="shared" si="25"/>
        <v>0</v>
      </c>
      <c r="AE125" s="566">
        <f t="shared" si="26"/>
        <v>0</v>
      </c>
      <c r="AF125" s="566">
        <f t="shared" si="27"/>
        <v>0</v>
      </c>
      <c r="AG125" s="573"/>
    </row>
    <row r="126" spans="1:33" ht="25.15" customHeight="1">
      <c r="A126" s="543">
        <v>103</v>
      </c>
      <c r="B126" s="546" t="s">
        <v>1387</v>
      </c>
      <c r="C126" s="541" t="str">
        <f t="shared" si="29"/>
        <v>P. Hot Spicy 2 Green Crispy (Es Teh / S-tee)</v>
      </c>
      <c r="D126" s="542"/>
      <c r="E126" s="542"/>
      <c r="F126" s="542"/>
      <c r="G126" s="542"/>
      <c r="H126" s="542"/>
      <c r="I126" s="542"/>
      <c r="J126" s="542"/>
      <c r="K126" s="542"/>
      <c r="L126" s="542"/>
      <c r="M126" s="542"/>
      <c r="N126" s="554">
        <f t="shared" si="30"/>
        <v>0</v>
      </c>
      <c r="O126" s="554">
        <f t="shared" si="31"/>
        <v>0</v>
      </c>
      <c r="P126" s="555">
        <f>(O126/O273)*100</f>
        <v>0</v>
      </c>
      <c r="Q126" s="570">
        <v>0.624</v>
      </c>
      <c r="R126" s="555">
        <f t="shared" si="32"/>
        <v>0</v>
      </c>
      <c r="S126" s="697">
        <v>15000</v>
      </c>
      <c r="T126" s="569"/>
      <c r="U126" s="2569"/>
      <c r="W126" s="566">
        <f t="shared" si="33"/>
        <v>0</v>
      </c>
      <c r="X126" s="566">
        <f t="shared" si="19"/>
        <v>0</v>
      </c>
      <c r="Y126" s="566">
        <f t="shared" si="20"/>
        <v>0</v>
      </c>
      <c r="Z126" s="566">
        <f t="shared" si="21"/>
        <v>0</v>
      </c>
      <c r="AA126" s="566">
        <f t="shared" si="22"/>
        <v>0</v>
      </c>
      <c r="AB126" s="566">
        <f t="shared" si="23"/>
        <v>0</v>
      </c>
      <c r="AC126" s="566">
        <f t="shared" si="24"/>
        <v>0</v>
      </c>
      <c r="AD126" s="566">
        <f t="shared" si="25"/>
        <v>0</v>
      </c>
      <c r="AE126" s="566">
        <f t="shared" si="26"/>
        <v>0</v>
      </c>
      <c r="AF126" s="566">
        <f t="shared" si="27"/>
        <v>0</v>
      </c>
      <c r="AG126" s="573"/>
    </row>
    <row r="127" spans="1:33" ht="25.15" customHeight="1">
      <c r="A127" s="543">
        <v>104</v>
      </c>
      <c r="B127" s="546" t="s">
        <v>1388</v>
      </c>
      <c r="C127" s="541" t="str">
        <f t="shared" si="29"/>
        <v>P. Hot Spicy 3 Green Crispy (Es Teh / S-tee)</v>
      </c>
      <c r="D127" s="542">
        <v>2</v>
      </c>
      <c r="E127" s="542">
        <v>9</v>
      </c>
      <c r="F127" s="542"/>
      <c r="G127" s="542"/>
      <c r="H127" s="542">
        <v>3</v>
      </c>
      <c r="I127" s="542"/>
      <c r="J127" s="542">
        <v>5</v>
      </c>
      <c r="K127" s="542"/>
      <c r="L127" s="542"/>
      <c r="M127" s="542"/>
      <c r="N127" s="554">
        <f t="shared" si="30"/>
        <v>19</v>
      </c>
      <c r="O127" s="554">
        <f t="shared" si="31"/>
        <v>380000</v>
      </c>
      <c r="P127" s="555">
        <f>(O127/O273)*100</f>
        <v>1.9073672058325299</v>
      </c>
      <c r="Q127" s="570">
        <v>0.61599999999999999</v>
      </c>
      <c r="R127" s="555">
        <f t="shared" si="32"/>
        <v>1.17493819879284</v>
      </c>
      <c r="S127" s="697">
        <v>20000</v>
      </c>
      <c r="T127" s="569"/>
      <c r="U127" s="2569"/>
      <c r="W127" s="566">
        <f t="shared" si="33"/>
        <v>40000</v>
      </c>
      <c r="X127" s="566">
        <f t="shared" si="19"/>
        <v>180000</v>
      </c>
      <c r="Y127" s="566">
        <f t="shared" si="20"/>
        <v>0</v>
      </c>
      <c r="Z127" s="566">
        <f t="shared" si="21"/>
        <v>0</v>
      </c>
      <c r="AA127" s="566">
        <f t="shared" si="22"/>
        <v>60000</v>
      </c>
      <c r="AB127" s="566">
        <f t="shared" si="23"/>
        <v>0</v>
      </c>
      <c r="AC127" s="566">
        <f t="shared" si="24"/>
        <v>100000</v>
      </c>
      <c r="AD127" s="566">
        <f t="shared" si="25"/>
        <v>0</v>
      </c>
      <c r="AE127" s="566">
        <f t="shared" si="26"/>
        <v>0</v>
      </c>
      <c r="AF127" s="566">
        <f t="shared" si="27"/>
        <v>0</v>
      </c>
      <c r="AG127" s="573"/>
    </row>
    <row r="128" spans="1:33" ht="25.15" customHeight="1">
      <c r="A128" s="543"/>
      <c r="B128" s="546"/>
      <c r="C128" s="541"/>
      <c r="D128" s="542"/>
      <c r="E128" s="542"/>
      <c r="F128" s="542"/>
      <c r="G128" s="542"/>
      <c r="H128" s="542"/>
      <c r="I128" s="542"/>
      <c r="J128" s="542"/>
      <c r="K128" s="542"/>
      <c r="L128" s="542"/>
      <c r="M128" s="542"/>
      <c r="N128" s="554">
        <f t="shared" si="30"/>
        <v>0</v>
      </c>
      <c r="O128" s="554">
        <f t="shared" si="31"/>
        <v>0</v>
      </c>
      <c r="P128" s="555">
        <f>(O128/O273)*100</f>
        <v>0</v>
      </c>
      <c r="Q128" s="570"/>
      <c r="R128" s="555">
        <f t="shared" si="32"/>
        <v>0</v>
      </c>
      <c r="S128" s="564"/>
      <c r="T128" s="569"/>
      <c r="U128" s="2569"/>
      <c r="W128" s="566">
        <f t="shared" si="33"/>
        <v>0</v>
      </c>
      <c r="X128" s="566">
        <f t="shared" si="19"/>
        <v>0</v>
      </c>
      <c r="Y128" s="566">
        <f t="shared" si="20"/>
        <v>0</v>
      </c>
      <c r="Z128" s="566">
        <f t="shared" si="21"/>
        <v>0</v>
      </c>
      <c r="AA128" s="566">
        <f t="shared" si="22"/>
        <v>0</v>
      </c>
      <c r="AB128" s="566">
        <f t="shared" si="23"/>
        <v>0</v>
      </c>
      <c r="AC128" s="566">
        <f t="shared" si="24"/>
        <v>0</v>
      </c>
      <c r="AD128" s="566">
        <f t="shared" si="25"/>
        <v>0</v>
      </c>
      <c r="AE128" s="566">
        <f t="shared" si="26"/>
        <v>0</v>
      </c>
      <c r="AF128" s="566">
        <f t="shared" si="27"/>
        <v>0</v>
      </c>
      <c r="AG128" s="573"/>
    </row>
    <row r="129" spans="1:33" ht="25.15" customHeight="1">
      <c r="A129" s="543">
        <v>105</v>
      </c>
      <c r="B129" s="546" t="s">
        <v>1389</v>
      </c>
      <c r="C129" s="541" t="str">
        <f t="shared" si="29"/>
        <v>P. Hot Cheesy 1 Green Crispy  (Es Teh / S-tee)</v>
      </c>
      <c r="D129" s="542"/>
      <c r="E129" s="542"/>
      <c r="F129" s="542"/>
      <c r="G129" s="542"/>
      <c r="H129" s="542"/>
      <c r="I129" s="542"/>
      <c r="J129" s="542"/>
      <c r="K129" s="542"/>
      <c r="L129" s="542"/>
      <c r="M129" s="542"/>
      <c r="N129" s="554">
        <f t="shared" si="30"/>
        <v>0</v>
      </c>
      <c r="O129" s="554">
        <f t="shared" si="31"/>
        <v>0</v>
      </c>
      <c r="P129" s="555">
        <f>(O129/O273)*100</f>
        <v>0</v>
      </c>
      <c r="Q129" s="570"/>
      <c r="R129" s="555">
        <f t="shared" si="32"/>
        <v>0</v>
      </c>
      <c r="S129" s="564"/>
      <c r="T129" s="569"/>
      <c r="U129" s="2569"/>
      <c r="W129" s="566">
        <f t="shared" si="33"/>
        <v>0</v>
      </c>
      <c r="X129" s="566">
        <f t="shared" si="19"/>
        <v>0</v>
      </c>
      <c r="Y129" s="566">
        <f t="shared" si="20"/>
        <v>0</v>
      </c>
      <c r="Z129" s="566">
        <f t="shared" si="21"/>
        <v>0</v>
      </c>
      <c r="AA129" s="566">
        <f t="shared" si="22"/>
        <v>0</v>
      </c>
      <c r="AB129" s="566">
        <f t="shared" si="23"/>
        <v>0</v>
      </c>
      <c r="AC129" s="566">
        <f t="shared" si="24"/>
        <v>0</v>
      </c>
      <c r="AD129" s="566">
        <f t="shared" si="25"/>
        <v>0</v>
      </c>
      <c r="AE129" s="566">
        <f t="shared" si="26"/>
        <v>0</v>
      </c>
      <c r="AF129" s="566">
        <f t="shared" si="27"/>
        <v>0</v>
      </c>
      <c r="AG129" s="573"/>
    </row>
    <row r="130" spans="1:33" ht="25.15" customHeight="1">
      <c r="A130" s="543">
        <v>106</v>
      </c>
      <c r="B130" s="546" t="s">
        <v>1390</v>
      </c>
      <c r="C130" s="541" t="str">
        <f t="shared" si="29"/>
        <v>P. Hot Cheesy 2 Green Crispy (Es Teh / S-tee)</v>
      </c>
      <c r="D130" s="542"/>
      <c r="E130" s="542"/>
      <c r="F130" s="542"/>
      <c r="G130" s="542"/>
      <c r="H130" s="542"/>
      <c r="I130" s="542"/>
      <c r="J130" s="542"/>
      <c r="K130" s="542"/>
      <c r="L130" s="542"/>
      <c r="M130" s="542"/>
      <c r="N130" s="554">
        <f t="shared" si="30"/>
        <v>0</v>
      </c>
      <c r="O130" s="554">
        <f t="shared" si="31"/>
        <v>0</v>
      </c>
      <c r="P130" s="555">
        <f>(O130/O273)*100</f>
        <v>0</v>
      </c>
      <c r="Q130" s="570"/>
      <c r="R130" s="555">
        <f t="shared" si="32"/>
        <v>0</v>
      </c>
      <c r="S130" s="564"/>
      <c r="T130" s="569"/>
      <c r="U130" s="2569"/>
      <c r="W130" s="566">
        <f t="shared" si="33"/>
        <v>0</v>
      </c>
      <c r="X130" s="566">
        <f t="shared" si="19"/>
        <v>0</v>
      </c>
      <c r="Y130" s="566">
        <f t="shared" si="20"/>
        <v>0</v>
      </c>
      <c r="Z130" s="566">
        <f t="shared" si="21"/>
        <v>0</v>
      </c>
      <c r="AA130" s="566">
        <f t="shared" si="22"/>
        <v>0</v>
      </c>
      <c r="AB130" s="566">
        <f t="shared" si="23"/>
        <v>0</v>
      </c>
      <c r="AC130" s="566">
        <f t="shared" si="24"/>
        <v>0</v>
      </c>
      <c r="AD130" s="566">
        <f t="shared" si="25"/>
        <v>0</v>
      </c>
      <c r="AE130" s="566">
        <f t="shared" si="26"/>
        <v>0</v>
      </c>
      <c r="AF130" s="566">
        <f t="shared" si="27"/>
        <v>0</v>
      </c>
      <c r="AG130" s="573"/>
    </row>
    <row r="131" spans="1:33" ht="25.15" customHeight="1">
      <c r="A131" s="543">
        <v>107</v>
      </c>
      <c r="B131" s="546" t="s">
        <v>1391</v>
      </c>
      <c r="C131" s="541" t="str">
        <f t="shared" si="29"/>
        <v>P. Hot Cheesy 3 Green Crispy (Es Teh / S-tee)</v>
      </c>
      <c r="D131" s="542"/>
      <c r="E131" s="542"/>
      <c r="F131" s="542"/>
      <c r="G131" s="542"/>
      <c r="H131" s="542"/>
      <c r="I131" s="542"/>
      <c r="J131" s="542"/>
      <c r="K131" s="542"/>
      <c r="L131" s="542"/>
      <c r="M131" s="542"/>
      <c r="N131" s="554">
        <f t="shared" si="30"/>
        <v>0</v>
      </c>
      <c r="O131" s="554">
        <f t="shared" si="31"/>
        <v>0</v>
      </c>
      <c r="P131" s="555">
        <f>(O131/O273)*100</f>
        <v>0</v>
      </c>
      <c r="Q131" s="570"/>
      <c r="R131" s="555">
        <f t="shared" si="32"/>
        <v>0</v>
      </c>
      <c r="S131" s="564"/>
      <c r="T131" s="569"/>
      <c r="U131" s="2569"/>
      <c r="W131" s="566">
        <f t="shared" si="33"/>
        <v>0</v>
      </c>
      <c r="X131" s="566">
        <f t="shared" si="19"/>
        <v>0</v>
      </c>
      <c r="Y131" s="566">
        <f t="shared" si="20"/>
        <v>0</v>
      </c>
      <c r="Z131" s="566">
        <f t="shared" si="21"/>
        <v>0</v>
      </c>
      <c r="AA131" s="566">
        <f t="shared" si="22"/>
        <v>0</v>
      </c>
      <c r="AB131" s="566">
        <f t="shared" si="23"/>
        <v>0</v>
      </c>
      <c r="AC131" s="566">
        <f t="shared" si="24"/>
        <v>0</v>
      </c>
      <c r="AD131" s="566">
        <f t="shared" si="25"/>
        <v>0</v>
      </c>
      <c r="AE131" s="566">
        <f t="shared" si="26"/>
        <v>0</v>
      </c>
      <c r="AF131" s="566">
        <f t="shared" si="27"/>
        <v>0</v>
      </c>
      <c r="AG131" s="573"/>
    </row>
    <row r="132" spans="1:33" customFormat="1" ht="25.15" customHeight="1">
      <c r="A132" s="543">
        <v>108</v>
      </c>
      <c r="B132" s="811" t="s">
        <v>1392</v>
      </c>
      <c r="C132" s="541" t="str">
        <f t="shared" si="29"/>
        <v>Green Crispy</v>
      </c>
      <c r="D132" s="542"/>
      <c r="E132" s="542"/>
      <c r="F132" s="542"/>
      <c r="G132" s="542"/>
      <c r="H132" s="542"/>
      <c r="I132" s="542"/>
      <c r="J132" s="542"/>
      <c r="K132" s="542"/>
      <c r="L132" s="542"/>
      <c r="M132" s="542"/>
      <c r="N132" s="554">
        <f t="shared" si="30"/>
        <v>0</v>
      </c>
      <c r="O132" s="554">
        <f t="shared" si="31"/>
        <v>0</v>
      </c>
      <c r="P132" s="555">
        <f>(O132/O273)*100</f>
        <v>0</v>
      </c>
      <c r="Q132" s="570"/>
      <c r="R132" s="555">
        <f t="shared" si="32"/>
        <v>0</v>
      </c>
      <c r="S132" s="564"/>
      <c r="T132" s="569"/>
      <c r="U132" s="2569"/>
      <c r="W132" s="566">
        <f t="shared" si="33"/>
        <v>0</v>
      </c>
      <c r="X132" s="566">
        <f t="shared" si="19"/>
        <v>0</v>
      </c>
      <c r="Y132" s="566">
        <f t="shared" si="20"/>
        <v>0</v>
      </c>
      <c r="Z132" s="566">
        <f t="shared" si="21"/>
        <v>0</v>
      </c>
      <c r="AA132" s="566">
        <f t="shared" si="22"/>
        <v>0</v>
      </c>
      <c r="AB132" s="566">
        <f t="shared" si="23"/>
        <v>0</v>
      </c>
      <c r="AC132" s="566">
        <f t="shared" si="24"/>
        <v>0</v>
      </c>
      <c r="AD132" s="566">
        <f t="shared" si="25"/>
        <v>0</v>
      </c>
      <c r="AE132" s="566">
        <f t="shared" si="26"/>
        <v>0</v>
      </c>
      <c r="AF132" s="566">
        <f t="shared" si="27"/>
        <v>0</v>
      </c>
      <c r="AG132" s="573"/>
    </row>
    <row r="133" spans="1:33" customFormat="1" ht="25.15" customHeight="1">
      <c r="A133" s="543"/>
      <c r="B133" s="546"/>
      <c r="C133" s="541"/>
      <c r="D133" s="542"/>
      <c r="E133" s="542"/>
      <c r="F133" s="542"/>
      <c r="G133" s="542"/>
      <c r="H133" s="542"/>
      <c r="I133" s="542"/>
      <c r="J133" s="542"/>
      <c r="K133" s="542"/>
      <c r="L133" s="542"/>
      <c r="M133" s="542"/>
      <c r="N133" s="554">
        <f t="shared" si="30"/>
        <v>0</v>
      </c>
      <c r="O133" s="554">
        <f t="shared" si="31"/>
        <v>0</v>
      </c>
      <c r="P133" s="555">
        <f>(O133/O273)*100</f>
        <v>0</v>
      </c>
      <c r="Q133" s="570"/>
      <c r="R133" s="555">
        <f t="shared" si="32"/>
        <v>0</v>
      </c>
      <c r="S133" s="564"/>
      <c r="T133" s="569"/>
      <c r="U133" s="2569"/>
      <c r="W133" s="566">
        <f t="shared" si="33"/>
        <v>0</v>
      </c>
      <c r="X133" s="566">
        <f t="shared" si="19"/>
        <v>0</v>
      </c>
      <c r="Y133" s="566">
        <f t="shared" si="20"/>
        <v>0</v>
      </c>
      <c r="Z133" s="566">
        <f t="shared" si="21"/>
        <v>0</v>
      </c>
      <c r="AA133" s="566">
        <f t="shared" si="22"/>
        <v>0</v>
      </c>
      <c r="AB133" s="566">
        <f t="shared" si="23"/>
        <v>0</v>
      </c>
      <c r="AC133" s="566">
        <f t="shared" si="24"/>
        <v>0</v>
      </c>
      <c r="AD133" s="566">
        <f t="shared" si="25"/>
        <v>0</v>
      </c>
      <c r="AE133" s="566">
        <f t="shared" si="26"/>
        <v>0</v>
      </c>
      <c r="AF133" s="566">
        <f t="shared" si="27"/>
        <v>0</v>
      </c>
      <c r="AG133" s="573"/>
    </row>
    <row r="134" spans="1:33" customFormat="1" ht="25.15" customHeight="1">
      <c r="A134" s="543">
        <v>109</v>
      </c>
      <c r="B134" s="811" t="s">
        <v>1393</v>
      </c>
      <c r="C134" s="541" t="str">
        <f t="shared" ref="C134:C141" si="34">B134</f>
        <v>Paket Bucket 1</v>
      </c>
      <c r="D134" s="542"/>
      <c r="E134" s="542"/>
      <c r="F134" s="542"/>
      <c r="G134" s="542"/>
      <c r="H134" s="542"/>
      <c r="I134" s="542">
        <v>2</v>
      </c>
      <c r="J134" s="542"/>
      <c r="K134" s="542"/>
      <c r="L134" s="542"/>
      <c r="M134" s="542"/>
      <c r="N134" s="554">
        <f t="shared" si="30"/>
        <v>2</v>
      </c>
      <c r="O134" s="554">
        <f t="shared" si="31"/>
        <v>200000</v>
      </c>
      <c r="P134" s="555">
        <f>(O134/O273)*100</f>
        <v>1.00387747675396</v>
      </c>
      <c r="Q134" s="570">
        <v>0.61</v>
      </c>
      <c r="R134" s="555">
        <f t="shared" si="32"/>
        <v>0.61236526081991705</v>
      </c>
      <c r="S134" s="564">
        <v>100000</v>
      </c>
      <c r="T134" s="569"/>
      <c r="U134" s="2569"/>
      <c r="W134" s="566">
        <f t="shared" si="33"/>
        <v>0</v>
      </c>
      <c r="X134" s="566">
        <f t="shared" si="19"/>
        <v>0</v>
      </c>
      <c r="Y134" s="566">
        <f t="shared" si="20"/>
        <v>0</v>
      </c>
      <c r="Z134" s="566">
        <f t="shared" si="21"/>
        <v>0</v>
      </c>
      <c r="AA134" s="566">
        <f t="shared" si="22"/>
        <v>0</v>
      </c>
      <c r="AB134" s="566">
        <f t="shared" si="23"/>
        <v>200000</v>
      </c>
      <c r="AC134" s="566">
        <f t="shared" si="24"/>
        <v>0</v>
      </c>
      <c r="AD134" s="566">
        <f t="shared" si="25"/>
        <v>0</v>
      </c>
      <c r="AE134" s="566">
        <f t="shared" si="26"/>
        <v>0</v>
      </c>
      <c r="AF134" s="566">
        <f t="shared" si="27"/>
        <v>0</v>
      </c>
      <c r="AG134" s="573"/>
    </row>
    <row r="135" spans="1:33" customFormat="1" ht="25.15" customHeight="1">
      <c r="A135" s="543">
        <v>110</v>
      </c>
      <c r="B135" s="811" t="s">
        <v>1394</v>
      </c>
      <c r="C135" s="541" t="str">
        <f t="shared" si="34"/>
        <v>Paket Bucket 2</v>
      </c>
      <c r="D135" s="542"/>
      <c r="E135" s="542"/>
      <c r="F135" s="542"/>
      <c r="G135" s="542"/>
      <c r="H135" s="542"/>
      <c r="I135" s="542"/>
      <c r="J135" s="542"/>
      <c r="K135" s="542"/>
      <c r="L135" s="542"/>
      <c r="M135" s="542"/>
      <c r="N135" s="554">
        <f t="shared" si="30"/>
        <v>0</v>
      </c>
      <c r="O135" s="554">
        <f t="shared" si="31"/>
        <v>0</v>
      </c>
      <c r="P135" s="555">
        <f>(O135/O273)*100</f>
        <v>0</v>
      </c>
      <c r="Q135" s="570"/>
      <c r="R135" s="555">
        <f t="shared" si="32"/>
        <v>0</v>
      </c>
      <c r="S135" s="564">
        <v>130000</v>
      </c>
      <c r="T135" s="569"/>
      <c r="U135" s="2569"/>
      <c r="W135" s="566">
        <f t="shared" si="33"/>
        <v>0</v>
      </c>
      <c r="X135" s="566">
        <f t="shared" si="19"/>
        <v>0</v>
      </c>
      <c r="Y135" s="566">
        <f t="shared" si="20"/>
        <v>0</v>
      </c>
      <c r="Z135" s="566">
        <f t="shared" si="21"/>
        <v>0</v>
      </c>
      <c r="AA135" s="566">
        <f t="shared" si="22"/>
        <v>0</v>
      </c>
      <c r="AB135" s="566">
        <f t="shared" si="23"/>
        <v>0</v>
      </c>
      <c r="AC135" s="566">
        <f t="shared" si="24"/>
        <v>0</v>
      </c>
      <c r="AD135" s="566">
        <f t="shared" si="25"/>
        <v>0</v>
      </c>
      <c r="AE135" s="566">
        <f t="shared" si="26"/>
        <v>0</v>
      </c>
      <c r="AF135" s="566">
        <f t="shared" si="27"/>
        <v>0</v>
      </c>
      <c r="AG135" s="573"/>
    </row>
    <row r="136" spans="1:33" customFormat="1" ht="25.15" customHeight="1">
      <c r="A136" s="543">
        <v>111</v>
      </c>
      <c r="B136" s="811" t="s">
        <v>1395</v>
      </c>
      <c r="C136" s="541" t="str">
        <f t="shared" si="34"/>
        <v>Paket Bucket 3</v>
      </c>
      <c r="D136" s="542"/>
      <c r="E136" s="542"/>
      <c r="F136" s="542"/>
      <c r="G136" s="542"/>
      <c r="H136" s="542"/>
      <c r="I136" s="542"/>
      <c r="J136" s="542"/>
      <c r="K136" s="542"/>
      <c r="L136" s="542"/>
      <c r="M136" s="542"/>
      <c r="N136" s="554">
        <f t="shared" si="30"/>
        <v>0</v>
      </c>
      <c r="O136" s="554">
        <f t="shared" si="31"/>
        <v>0</v>
      </c>
      <c r="P136" s="555">
        <f>(O136/O273)*100</f>
        <v>0</v>
      </c>
      <c r="Q136" s="570"/>
      <c r="R136" s="555">
        <f t="shared" si="32"/>
        <v>0</v>
      </c>
      <c r="S136" s="564">
        <v>70000</v>
      </c>
      <c r="T136" s="569"/>
      <c r="U136" s="2569"/>
      <c r="W136" s="566">
        <f t="shared" si="33"/>
        <v>0</v>
      </c>
      <c r="X136" s="566">
        <f t="shared" si="19"/>
        <v>0</v>
      </c>
      <c r="Y136" s="566">
        <f t="shared" si="20"/>
        <v>0</v>
      </c>
      <c r="Z136" s="566">
        <f t="shared" si="21"/>
        <v>0</v>
      </c>
      <c r="AA136" s="566">
        <f t="shared" si="22"/>
        <v>0</v>
      </c>
      <c r="AB136" s="566">
        <f t="shared" si="23"/>
        <v>0</v>
      </c>
      <c r="AC136" s="566">
        <f t="shared" si="24"/>
        <v>0</v>
      </c>
      <c r="AD136" s="566">
        <f t="shared" si="25"/>
        <v>0</v>
      </c>
      <c r="AE136" s="566">
        <f t="shared" si="26"/>
        <v>0</v>
      </c>
      <c r="AF136" s="566">
        <f t="shared" si="27"/>
        <v>0</v>
      </c>
      <c r="AG136" s="573"/>
    </row>
    <row r="137" spans="1:33" customFormat="1" ht="25.15" customHeight="1">
      <c r="A137" s="543">
        <v>112</v>
      </c>
      <c r="B137" s="811" t="s">
        <v>1396</v>
      </c>
      <c r="C137" s="541" t="str">
        <f t="shared" si="34"/>
        <v>Paket Bucket 4 (Sambal Geprek)</v>
      </c>
      <c r="D137" s="542"/>
      <c r="E137" s="542"/>
      <c r="F137" s="542"/>
      <c r="G137" s="542"/>
      <c r="H137" s="542"/>
      <c r="I137" s="542"/>
      <c r="J137" s="542"/>
      <c r="K137" s="542"/>
      <c r="L137" s="542"/>
      <c r="M137" s="542"/>
      <c r="N137" s="554">
        <f t="shared" si="30"/>
        <v>0</v>
      </c>
      <c r="O137" s="554">
        <f t="shared" si="31"/>
        <v>0</v>
      </c>
      <c r="P137" s="555">
        <f>(O137/O273)*100</f>
        <v>0</v>
      </c>
      <c r="Q137" s="570"/>
      <c r="R137" s="555">
        <f t="shared" si="32"/>
        <v>0</v>
      </c>
      <c r="S137" s="564">
        <v>80000</v>
      </c>
      <c r="T137" s="569"/>
      <c r="U137" s="2569"/>
      <c r="W137" s="566">
        <f t="shared" si="33"/>
        <v>0</v>
      </c>
      <c r="X137" s="566">
        <f t="shared" ref="X137:X200" si="35">E137*S137</f>
        <v>0</v>
      </c>
      <c r="Y137" s="566">
        <f t="shared" ref="Y137:Y200" si="36">F137*S137</f>
        <v>0</v>
      </c>
      <c r="Z137" s="566">
        <f t="shared" ref="Z137:Z200" si="37">G137*S137</f>
        <v>0</v>
      </c>
      <c r="AA137" s="566">
        <f t="shared" ref="AA137:AA200" si="38">H137*S137</f>
        <v>0</v>
      </c>
      <c r="AB137" s="566">
        <f t="shared" ref="AB137:AB200" si="39">I137*S137</f>
        <v>0</v>
      </c>
      <c r="AC137" s="566">
        <f t="shared" ref="AC137:AC200" si="40">J137*S137</f>
        <v>0</v>
      </c>
      <c r="AD137" s="566">
        <f t="shared" ref="AD137:AD200" si="41">K137*S137</f>
        <v>0</v>
      </c>
      <c r="AE137" s="566">
        <f t="shared" ref="AE137:AE200" si="42">L137*S137</f>
        <v>0</v>
      </c>
      <c r="AF137" s="566">
        <f t="shared" ref="AF137:AF200" si="43">M137*S137</f>
        <v>0</v>
      </c>
      <c r="AG137" s="573"/>
    </row>
    <row r="138" spans="1:33" customFormat="1" ht="25.15" customHeight="1">
      <c r="A138" s="543">
        <v>113</v>
      </c>
      <c r="B138" s="811" t="s">
        <v>1397</v>
      </c>
      <c r="C138" s="541" t="str">
        <f t="shared" si="34"/>
        <v>Paket Bucket 4 (Hot Cheesy)</v>
      </c>
      <c r="D138" s="542"/>
      <c r="E138" s="542"/>
      <c r="F138" s="542"/>
      <c r="G138" s="542"/>
      <c r="H138" s="542"/>
      <c r="I138" s="542"/>
      <c r="J138" s="542"/>
      <c r="K138" s="542"/>
      <c r="L138" s="542"/>
      <c r="M138" s="542"/>
      <c r="N138" s="554">
        <f t="shared" ref="N138" si="44">SUM(D138:M138)</f>
        <v>0</v>
      </c>
      <c r="O138" s="554">
        <f t="shared" ref="O138" si="45">N138*S138</f>
        <v>0</v>
      </c>
      <c r="P138" s="555">
        <f>(O138/O273)*100</f>
        <v>0</v>
      </c>
      <c r="Q138" s="570"/>
      <c r="R138" s="555">
        <f t="shared" ref="R138" si="46">P138*Q138</f>
        <v>0</v>
      </c>
      <c r="S138" s="564"/>
      <c r="T138" s="569"/>
      <c r="U138" s="2569"/>
      <c r="W138" s="566">
        <f t="shared" ref="W138" si="47">D138*S138</f>
        <v>0</v>
      </c>
      <c r="X138" s="566">
        <f t="shared" si="35"/>
        <v>0</v>
      </c>
      <c r="Y138" s="566">
        <f t="shared" si="36"/>
        <v>0</v>
      </c>
      <c r="Z138" s="566">
        <f t="shared" si="37"/>
        <v>0</v>
      </c>
      <c r="AA138" s="566">
        <f t="shared" si="38"/>
        <v>0</v>
      </c>
      <c r="AB138" s="566">
        <f t="shared" si="39"/>
        <v>0</v>
      </c>
      <c r="AC138" s="566">
        <f t="shared" si="40"/>
        <v>0</v>
      </c>
      <c r="AD138" s="566">
        <f t="shared" si="41"/>
        <v>0</v>
      </c>
      <c r="AE138" s="566">
        <f t="shared" si="42"/>
        <v>0</v>
      </c>
      <c r="AF138" s="566">
        <f t="shared" si="43"/>
        <v>0</v>
      </c>
      <c r="AG138" s="573"/>
    </row>
    <row r="139" spans="1:33" customFormat="1" ht="25.15" customHeight="1">
      <c r="A139" s="543"/>
      <c r="B139" s="546"/>
      <c r="C139" s="541"/>
      <c r="D139" s="542"/>
      <c r="E139" s="542"/>
      <c r="F139" s="542"/>
      <c r="G139" s="542"/>
      <c r="H139" s="542"/>
      <c r="I139" s="542"/>
      <c r="J139" s="542"/>
      <c r="K139" s="542"/>
      <c r="L139" s="542"/>
      <c r="M139" s="542"/>
      <c r="N139" s="554">
        <f t="shared" si="30"/>
        <v>0</v>
      </c>
      <c r="O139" s="554">
        <f t="shared" si="31"/>
        <v>0</v>
      </c>
      <c r="P139" s="555">
        <f>(O139/O273)*100</f>
        <v>0</v>
      </c>
      <c r="Q139" s="570"/>
      <c r="R139" s="555">
        <f t="shared" si="32"/>
        <v>0</v>
      </c>
      <c r="S139" s="564"/>
      <c r="T139" s="569"/>
      <c r="U139" s="2569"/>
      <c r="W139" s="566">
        <f t="shared" si="33"/>
        <v>0</v>
      </c>
      <c r="X139" s="566">
        <f t="shared" si="35"/>
        <v>0</v>
      </c>
      <c r="Y139" s="566">
        <f t="shared" si="36"/>
        <v>0</v>
      </c>
      <c r="Z139" s="566">
        <f t="shared" si="37"/>
        <v>0</v>
      </c>
      <c r="AA139" s="566">
        <f t="shared" si="38"/>
        <v>0</v>
      </c>
      <c r="AB139" s="566">
        <f t="shared" si="39"/>
        <v>0</v>
      </c>
      <c r="AC139" s="566">
        <f t="shared" si="40"/>
        <v>0</v>
      </c>
      <c r="AD139" s="566">
        <f t="shared" si="41"/>
        <v>0</v>
      </c>
      <c r="AE139" s="566">
        <f t="shared" si="42"/>
        <v>0</v>
      </c>
      <c r="AF139" s="566">
        <f t="shared" si="43"/>
        <v>0</v>
      </c>
      <c r="AG139" s="573"/>
    </row>
    <row r="140" spans="1:33" customFormat="1" ht="25.15" customHeight="1">
      <c r="A140" s="543">
        <v>114</v>
      </c>
      <c r="B140" s="546" t="s">
        <v>1398</v>
      </c>
      <c r="C140" s="541" t="str">
        <f t="shared" si="34"/>
        <v>Paket Ultah 1</v>
      </c>
      <c r="D140" s="542"/>
      <c r="E140" s="542"/>
      <c r="F140" s="542"/>
      <c r="G140" s="542"/>
      <c r="H140" s="542"/>
      <c r="I140" s="542"/>
      <c r="J140" s="542"/>
      <c r="K140" s="542"/>
      <c r="L140" s="542"/>
      <c r="M140" s="542"/>
      <c r="N140" s="554">
        <f t="shared" ref="N140:N212" si="48">SUM(D140:M140)</f>
        <v>0</v>
      </c>
      <c r="O140" s="554">
        <f t="shared" ref="O140:O212" si="49">N140*S140</f>
        <v>0</v>
      </c>
      <c r="P140" s="555">
        <f>(O140/O273)*100</f>
        <v>0</v>
      </c>
      <c r="Q140" s="570"/>
      <c r="R140" s="555">
        <f t="shared" ref="R140:R212" si="50">P140*Q140</f>
        <v>0</v>
      </c>
      <c r="S140" s="564"/>
      <c r="T140" s="569"/>
      <c r="U140" s="2569"/>
      <c r="W140" s="566">
        <f t="shared" ref="W140:W212" si="51">D140*S140</f>
        <v>0</v>
      </c>
      <c r="X140" s="566">
        <f t="shared" si="35"/>
        <v>0</v>
      </c>
      <c r="Y140" s="566">
        <f t="shared" si="36"/>
        <v>0</v>
      </c>
      <c r="Z140" s="566">
        <f t="shared" si="37"/>
        <v>0</v>
      </c>
      <c r="AA140" s="566">
        <f t="shared" si="38"/>
        <v>0</v>
      </c>
      <c r="AB140" s="566">
        <f t="shared" si="39"/>
        <v>0</v>
      </c>
      <c r="AC140" s="566">
        <f t="shared" si="40"/>
        <v>0</v>
      </c>
      <c r="AD140" s="566">
        <f t="shared" si="41"/>
        <v>0</v>
      </c>
      <c r="AE140" s="566">
        <f t="shared" si="42"/>
        <v>0</v>
      </c>
      <c r="AF140" s="566">
        <f t="shared" si="43"/>
        <v>0</v>
      </c>
      <c r="AG140" s="573"/>
    </row>
    <row r="141" spans="1:33" customFormat="1" ht="25.15" customHeight="1">
      <c r="A141" s="543">
        <v>115</v>
      </c>
      <c r="B141" s="546" t="s">
        <v>1399</v>
      </c>
      <c r="C141" s="541" t="str">
        <f t="shared" si="34"/>
        <v>Paket Ultah 2</v>
      </c>
      <c r="D141" s="542"/>
      <c r="E141" s="542"/>
      <c r="F141" s="542"/>
      <c r="G141" s="542"/>
      <c r="H141" s="542"/>
      <c r="I141" s="542"/>
      <c r="J141" s="542"/>
      <c r="K141" s="542"/>
      <c r="L141" s="542"/>
      <c r="M141" s="542"/>
      <c r="N141" s="554">
        <f t="shared" si="48"/>
        <v>0</v>
      </c>
      <c r="O141" s="554">
        <f t="shared" si="49"/>
        <v>0</v>
      </c>
      <c r="P141" s="555">
        <f>(O141/O273)*100</f>
        <v>0</v>
      </c>
      <c r="Q141" s="570"/>
      <c r="R141" s="555">
        <f t="shared" si="50"/>
        <v>0</v>
      </c>
      <c r="S141" s="564"/>
      <c r="T141" s="569"/>
      <c r="U141" s="2569"/>
      <c r="W141" s="566">
        <f t="shared" si="51"/>
        <v>0</v>
      </c>
      <c r="X141" s="566">
        <f t="shared" si="35"/>
        <v>0</v>
      </c>
      <c r="Y141" s="566">
        <f t="shared" si="36"/>
        <v>0</v>
      </c>
      <c r="Z141" s="566">
        <f t="shared" si="37"/>
        <v>0</v>
      </c>
      <c r="AA141" s="566">
        <f t="shared" si="38"/>
        <v>0</v>
      </c>
      <c r="AB141" s="566">
        <f t="shared" si="39"/>
        <v>0</v>
      </c>
      <c r="AC141" s="566">
        <f t="shared" si="40"/>
        <v>0</v>
      </c>
      <c r="AD141" s="566">
        <f t="shared" si="41"/>
        <v>0</v>
      </c>
      <c r="AE141" s="566">
        <f t="shared" si="42"/>
        <v>0</v>
      </c>
      <c r="AF141" s="566">
        <f t="shared" si="43"/>
        <v>0</v>
      </c>
      <c r="AG141" s="573"/>
    </row>
    <row r="142" spans="1:33" customFormat="1" ht="25.15" customHeight="1">
      <c r="A142" s="543"/>
      <c r="B142" s="546"/>
      <c r="C142" s="541"/>
      <c r="D142" s="542"/>
      <c r="E142" s="542"/>
      <c r="F142" s="542"/>
      <c r="G142" s="542"/>
      <c r="H142" s="542"/>
      <c r="I142" s="542"/>
      <c r="J142" s="542"/>
      <c r="K142" s="542"/>
      <c r="L142" s="542"/>
      <c r="M142" s="542"/>
      <c r="N142" s="554">
        <f t="shared" si="48"/>
        <v>0</v>
      </c>
      <c r="O142" s="554">
        <f t="shared" si="49"/>
        <v>0</v>
      </c>
      <c r="P142" s="555">
        <f>(O142/O273)*100</f>
        <v>0</v>
      </c>
      <c r="Q142" s="570"/>
      <c r="R142" s="555">
        <f t="shared" si="50"/>
        <v>0</v>
      </c>
      <c r="S142" s="564"/>
      <c r="T142" s="569"/>
      <c r="U142" s="2569"/>
      <c r="W142" s="566">
        <f t="shared" si="51"/>
        <v>0</v>
      </c>
      <c r="X142" s="566">
        <f t="shared" si="35"/>
        <v>0</v>
      </c>
      <c r="Y142" s="566">
        <f t="shared" si="36"/>
        <v>0</v>
      </c>
      <c r="Z142" s="566">
        <f t="shared" si="37"/>
        <v>0</v>
      </c>
      <c r="AA142" s="566">
        <f t="shared" si="38"/>
        <v>0</v>
      </c>
      <c r="AB142" s="566">
        <f t="shared" si="39"/>
        <v>0</v>
      </c>
      <c r="AC142" s="566">
        <f t="shared" si="40"/>
        <v>0</v>
      </c>
      <c r="AD142" s="566">
        <f t="shared" si="41"/>
        <v>0</v>
      </c>
      <c r="AE142" s="566">
        <f t="shared" si="42"/>
        <v>0</v>
      </c>
      <c r="AF142" s="566">
        <f t="shared" si="43"/>
        <v>0</v>
      </c>
      <c r="AG142" s="573"/>
    </row>
    <row r="143" spans="1:33" customFormat="1" ht="25.15" customHeight="1">
      <c r="A143" s="543">
        <v>116</v>
      </c>
      <c r="B143" s="546" t="s">
        <v>1400</v>
      </c>
      <c r="C143" s="541" t="str">
        <f t="shared" ref="C143:C145" si="52">B143</f>
        <v>Paket Rocket Kids 1</v>
      </c>
      <c r="D143" s="542"/>
      <c r="E143" s="542"/>
      <c r="F143" s="542"/>
      <c r="G143" s="542"/>
      <c r="H143" s="542"/>
      <c r="I143" s="542"/>
      <c r="J143" s="542"/>
      <c r="K143" s="542"/>
      <c r="L143" s="542"/>
      <c r="M143" s="542"/>
      <c r="N143" s="554">
        <f t="shared" si="48"/>
        <v>0</v>
      </c>
      <c r="O143" s="554">
        <f t="shared" si="49"/>
        <v>0</v>
      </c>
      <c r="P143" s="555">
        <f>(O143/O273)*100</f>
        <v>0</v>
      </c>
      <c r="Q143" s="570"/>
      <c r="R143" s="555">
        <f t="shared" si="50"/>
        <v>0</v>
      </c>
      <c r="S143" s="564"/>
      <c r="T143" s="569"/>
      <c r="U143" s="2569"/>
      <c r="W143" s="566">
        <f t="shared" si="51"/>
        <v>0</v>
      </c>
      <c r="X143" s="566">
        <f t="shared" si="35"/>
        <v>0</v>
      </c>
      <c r="Y143" s="566">
        <f t="shared" si="36"/>
        <v>0</v>
      </c>
      <c r="Z143" s="566">
        <f t="shared" si="37"/>
        <v>0</v>
      </c>
      <c r="AA143" s="566">
        <f t="shared" si="38"/>
        <v>0</v>
      </c>
      <c r="AB143" s="566">
        <f t="shared" si="39"/>
        <v>0</v>
      </c>
      <c r="AC143" s="566">
        <f t="shared" si="40"/>
        <v>0</v>
      </c>
      <c r="AD143" s="566">
        <f t="shared" si="41"/>
        <v>0</v>
      </c>
      <c r="AE143" s="566">
        <f t="shared" si="42"/>
        <v>0</v>
      </c>
      <c r="AF143" s="566">
        <f t="shared" si="43"/>
        <v>0</v>
      </c>
      <c r="AG143" s="573"/>
    </row>
    <row r="144" spans="1:33" customFormat="1" ht="25.15" customHeight="1">
      <c r="A144" s="543">
        <v>117</v>
      </c>
      <c r="B144" s="546" t="s">
        <v>1401</v>
      </c>
      <c r="C144" s="541" t="str">
        <f t="shared" si="52"/>
        <v>Paket Rocket Kids 2</v>
      </c>
      <c r="D144" s="542"/>
      <c r="E144" s="542"/>
      <c r="F144" s="542"/>
      <c r="G144" s="542"/>
      <c r="H144" s="542"/>
      <c r="I144" s="542"/>
      <c r="J144" s="542"/>
      <c r="K144" s="542"/>
      <c r="L144" s="542"/>
      <c r="M144" s="542"/>
      <c r="N144" s="554">
        <f t="shared" si="48"/>
        <v>0</v>
      </c>
      <c r="O144" s="554">
        <f t="shared" si="49"/>
        <v>0</v>
      </c>
      <c r="P144" s="555">
        <f>(O144/O273)*100</f>
        <v>0</v>
      </c>
      <c r="Q144" s="570"/>
      <c r="R144" s="555">
        <f t="shared" si="50"/>
        <v>0</v>
      </c>
      <c r="S144" s="564"/>
      <c r="T144" s="569"/>
      <c r="U144" s="2569"/>
      <c r="W144" s="566">
        <f t="shared" si="51"/>
        <v>0</v>
      </c>
      <c r="X144" s="566">
        <f t="shared" si="35"/>
        <v>0</v>
      </c>
      <c r="Y144" s="566">
        <f t="shared" si="36"/>
        <v>0</v>
      </c>
      <c r="Z144" s="566">
        <f t="shared" si="37"/>
        <v>0</v>
      </c>
      <c r="AA144" s="566">
        <f t="shared" si="38"/>
        <v>0</v>
      </c>
      <c r="AB144" s="566">
        <f t="shared" si="39"/>
        <v>0</v>
      </c>
      <c r="AC144" s="566">
        <f t="shared" si="40"/>
        <v>0</v>
      </c>
      <c r="AD144" s="566">
        <f t="shared" si="41"/>
        <v>0</v>
      </c>
      <c r="AE144" s="566">
        <f t="shared" si="42"/>
        <v>0</v>
      </c>
      <c r="AF144" s="566">
        <f t="shared" si="43"/>
        <v>0</v>
      </c>
      <c r="AG144" s="573"/>
    </row>
    <row r="145" spans="1:33" customFormat="1" ht="25.15" customHeight="1">
      <c r="A145" s="543">
        <v>118</v>
      </c>
      <c r="B145" s="546" t="s">
        <v>1402</v>
      </c>
      <c r="C145" s="541" t="str">
        <f t="shared" si="52"/>
        <v>Paket Rocket Kids 3</v>
      </c>
      <c r="D145" s="542"/>
      <c r="E145" s="542"/>
      <c r="F145" s="542"/>
      <c r="G145" s="542"/>
      <c r="H145" s="542"/>
      <c r="I145" s="542"/>
      <c r="J145" s="542"/>
      <c r="K145" s="542"/>
      <c r="L145" s="542"/>
      <c r="M145" s="542"/>
      <c r="N145" s="554">
        <f t="shared" si="48"/>
        <v>0</v>
      </c>
      <c r="O145" s="554">
        <f t="shared" si="49"/>
        <v>0</v>
      </c>
      <c r="P145" s="555">
        <f>(O145/O273)*100</f>
        <v>0</v>
      </c>
      <c r="Q145" s="570"/>
      <c r="R145" s="555">
        <f t="shared" si="50"/>
        <v>0</v>
      </c>
      <c r="S145" s="564"/>
      <c r="T145" s="569"/>
      <c r="U145" s="2569"/>
      <c r="W145" s="566">
        <f t="shared" si="51"/>
        <v>0</v>
      </c>
      <c r="X145" s="566">
        <f t="shared" si="35"/>
        <v>0</v>
      </c>
      <c r="Y145" s="566">
        <f t="shared" si="36"/>
        <v>0</v>
      </c>
      <c r="Z145" s="566">
        <f t="shared" si="37"/>
        <v>0</v>
      </c>
      <c r="AA145" s="566">
        <f t="shared" si="38"/>
        <v>0</v>
      </c>
      <c r="AB145" s="566">
        <f t="shared" si="39"/>
        <v>0</v>
      </c>
      <c r="AC145" s="566">
        <f t="shared" si="40"/>
        <v>0</v>
      </c>
      <c r="AD145" s="566">
        <f t="shared" si="41"/>
        <v>0</v>
      </c>
      <c r="AE145" s="566">
        <f t="shared" si="42"/>
        <v>0</v>
      </c>
      <c r="AF145" s="566">
        <f t="shared" si="43"/>
        <v>0</v>
      </c>
      <c r="AG145" s="573"/>
    </row>
    <row r="146" spans="1:33" customFormat="1" ht="25.15" customHeight="1">
      <c r="A146" s="543"/>
      <c r="B146" s="546"/>
      <c r="C146" s="541"/>
      <c r="D146" s="542"/>
      <c r="E146" s="542"/>
      <c r="F146" s="542"/>
      <c r="G146" s="542"/>
      <c r="H146" s="542"/>
      <c r="I146" s="542"/>
      <c r="J146" s="542"/>
      <c r="K146" s="542"/>
      <c r="L146" s="542"/>
      <c r="M146" s="542"/>
      <c r="N146" s="554">
        <f t="shared" si="48"/>
        <v>0</v>
      </c>
      <c r="O146" s="554">
        <f t="shared" si="49"/>
        <v>0</v>
      </c>
      <c r="P146" s="555">
        <f>(O146/O273)*100</f>
        <v>0</v>
      </c>
      <c r="Q146" s="570"/>
      <c r="R146" s="555">
        <f t="shared" si="50"/>
        <v>0</v>
      </c>
      <c r="S146" s="564"/>
      <c r="T146" s="569"/>
      <c r="U146" s="2569"/>
      <c r="W146" s="566">
        <f t="shared" si="51"/>
        <v>0</v>
      </c>
      <c r="X146" s="566">
        <f t="shared" si="35"/>
        <v>0</v>
      </c>
      <c r="Y146" s="566">
        <f t="shared" si="36"/>
        <v>0</v>
      </c>
      <c r="Z146" s="566">
        <f t="shared" si="37"/>
        <v>0</v>
      </c>
      <c r="AA146" s="566">
        <f t="shared" si="38"/>
        <v>0</v>
      </c>
      <c r="AB146" s="566">
        <f t="shared" si="39"/>
        <v>0</v>
      </c>
      <c r="AC146" s="566">
        <f t="shared" si="40"/>
        <v>0</v>
      </c>
      <c r="AD146" s="566">
        <f t="shared" si="41"/>
        <v>0</v>
      </c>
      <c r="AE146" s="566">
        <f t="shared" si="42"/>
        <v>0</v>
      </c>
      <c r="AF146" s="566">
        <f t="shared" si="43"/>
        <v>0</v>
      </c>
      <c r="AG146" s="573"/>
    </row>
    <row r="147" spans="1:33" customFormat="1" ht="25.15" customHeight="1">
      <c r="A147" s="543">
        <v>119</v>
      </c>
      <c r="B147" s="677"/>
      <c r="C147" s="541" t="s">
        <v>1403</v>
      </c>
      <c r="D147" s="542"/>
      <c r="E147" s="542"/>
      <c r="F147" s="542"/>
      <c r="G147" s="542"/>
      <c r="H147" s="542"/>
      <c r="I147" s="542"/>
      <c r="J147" s="542"/>
      <c r="K147" s="542"/>
      <c r="L147" s="542"/>
      <c r="M147" s="542"/>
      <c r="N147" s="822">
        <f t="shared" si="48"/>
        <v>0</v>
      </c>
      <c r="O147" s="822">
        <f t="shared" si="49"/>
        <v>0</v>
      </c>
      <c r="P147" s="823">
        <f>(O147/O273)*100</f>
        <v>0</v>
      </c>
      <c r="Q147" s="824"/>
      <c r="R147" s="823">
        <f t="shared" si="50"/>
        <v>0</v>
      </c>
      <c r="S147" s="564"/>
      <c r="T147" s="569"/>
      <c r="U147" s="2569"/>
      <c r="W147" s="566">
        <f t="shared" si="51"/>
        <v>0</v>
      </c>
      <c r="X147" s="566">
        <f t="shared" si="35"/>
        <v>0</v>
      </c>
      <c r="Y147" s="566">
        <f t="shared" si="36"/>
        <v>0</v>
      </c>
      <c r="Z147" s="566">
        <f t="shared" si="37"/>
        <v>0</v>
      </c>
      <c r="AA147" s="566">
        <f t="shared" si="38"/>
        <v>0</v>
      </c>
      <c r="AB147" s="566">
        <f t="shared" si="39"/>
        <v>0</v>
      </c>
      <c r="AC147" s="566">
        <f t="shared" si="40"/>
        <v>0</v>
      </c>
      <c r="AD147" s="566">
        <f t="shared" si="41"/>
        <v>0</v>
      </c>
      <c r="AE147" s="566">
        <f t="shared" si="42"/>
        <v>0</v>
      </c>
      <c r="AF147" s="566">
        <f t="shared" si="43"/>
        <v>0</v>
      </c>
      <c r="AG147" s="573"/>
    </row>
    <row r="148" spans="1:33" customFormat="1" ht="25.15" customHeight="1">
      <c r="A148" s="543"/>
      <c r="B148" s="677"/>
      <c r="C148" s="541"/>
      <c r="D148" s="542"/>
      <c r="E148" s="542"/>
      <c r="F148" s="542"/>
      <c r="G148" s="542"/>
      <c r="H148" s="542"/>
      <c r="I148" s="542"/>
      <c r="J148" s="542"/>
      <c r="K148" s="542"/>
      <c r="L148" s="542"/>
      <c r="M148" s="542"/>
      <c r="N148" s="822">
        <f t="shared" ref="N148:N152" si="53">SUM(D148:M148)</f>
        <v>0</v>
      </c>
      <c r="O148" s="822">
        <f t="shared" ref="O148:O152" si="54">N148*S148</f>
        <v>0</v>
      </c>
      <c r="P148" s="823">
        <f>(O148/O273)*100</f>
        <v>0</v>
      </c>
      <c r="Q148" s="824"/>
      <c r="R148" s="823">
        <f t="shared" ref="R148:R152" si="55">P148*Q148</f>
        <v>0</v>
      </c>
      <c r="S148" s="564"/>
      <c r="T148" s="569"/>
      <c r="U148" s="2569"/>
      <c r="W148" s="566">
        <f t="shared" ref="W148:W152" si="56">D148*S148</f>
        <v>0</v>
      </c>
      <c r="X148" s="566">
        <f t="shared" si="35"/>
        <v>0</v>
      </c>
      <c r="Y148" s="566">
        <f t="shared" si="36"/>
        <v>0</v>
      </c>
      <c r="Z148" s="566">
        <f t="shared" si="37"/>
        <v>0</v>
      </c>
      <c r="AA148" s="566">
        <f t="shared" si="38"/>
        <v>0</v>
      </c>
      <c r="AB148" s="566">
        <f t="shared" si="39"/>
        <v>0</v>
      </c>
      <c r="AC148" s="566">
        <f t="shared" si="40"/>
        <v>0</v>
      </c>
      <c r="AD148" s="566">
        <f t="shared" si="41"/>
        <v>0</v>
      </c>
      <c r="AE148" s="566">
        <f t="shared" si="42"/>
        <v>0</v>
      </c>
      <c r="AF148" s="566">
        <f t="shared" si="43"/>
        <v>0</v>
      </c>
      <c r="AG148" s="573"/>
    </row>
    <row r="149" spans="1:33" customFormat="1" ht="25.15" customHeight="1">
      <c r="A149" s="543">
        <v>120</v>
      </c>
      <c r="B149" s="677"/>
      <c r="C149" s="541" t="s">
        <v>1404</v>
      </c>
      <c r="D149" s="542"/>
      <c r="E149" s="542"/>
      <c r="F149" s="542"/>
      <c r="G149" s="542"/>
      <c r="H149" s="542"/>
      <c r="I149" s="542"/>
      <c r="J149" s="542"/>
      <c r="K149" s="542"/>
      <c r="L149" s="542"/>
      <c r="M149" s="542"/>
      <c r="N149" s="822">
        <f t="shared" si="53"/>
        <v>0</v>
      </c>
      <c r="O149" s="822">
        <f t="shared" si="54"/>
        <v>0</v>
      </c>
      <c r="P149" s="823">
        <f>(O149/O273)*100</f>
        <v>0</v>
      </c>
      <c r="Q149" s="824"/>
      <c r="R149" s="823">
        <f t="shared" si="55"/>
        <v>0</v>
      </c>
      <c r="S149" s="564"/>
      <c r="T149" s="569"/>
      <c r="U149" s="2569"/>
      <c r="W149" s="566">
        <f t="shared" si="56"/>
        <v>0</v>
      </c>
      <c r="X149" s="566">
        <f t="shared" si="35"/>
        <v>0</v>
      </c>
      <c r="Y149" s="566">
        <f t="shared" si="36"/>
        <v>0</v>
      </c>
      <c r="Z149" s="566">
        <f t="shared" si="37"/>
        <v>0</v>
      </c>
      <c r="AA149" s="566">
        <f t="shared" si="38"/>
        <v>0</v>
      </c>
      <c r="AB149" s="566">
        <f t="shared" si="39"/>
        <v>0</v>
      </c>
      <c r="AC149" s="566">
        <f t="shared" si="40"/>
        <v>0</v>
      </c>
      <c r="AD149" s="566">
        <f t="shared" si="41"/>
        <v>0</v>
      </c>
      <c r="AE149" s="566">
        <f t="shared" si="42"/>
        <v>0</v>
      </c>
      <c r="AF149" s="566">
        <f t="shared" si="43"/>
        <v>0</v>
      </c>
      <c r="AG149" s="573"/>
    </row>
    <row r="150" spans="1:33" customFormat="1" ht="25.15" customHeight="1">
      <c r="A150" s="543">
        <v>125</v>
      </c>
      <c r="B150" s="677"/>
      <c r="C150" s="541" t="s">
        <v>1405</v>
      </c>
      <c r="D150" s="542"/>
      <c r="E150" s="542"/>
      <c r="F150" s="542"/>
      <c r="G150" s="542"/>
      <c r="H150" s="542"/>
      <c r="I150" s="542"/>
      <c r="J150" s="542"/>
      <c r="K150" s="542"/>
      <c r="L150" s="542"/>
      <c r="M150" s="542"/>
      <c r="N150" s="822">
        <f t="shared" si="53"/>
        <v>0</v>
      </c>
      <c r="O150" s="822">
        <f t="shared" si="54"/>
        <v>0</v>
      </c>
      <c r="P150" s="823">
        <f>(O150/O273)*100</f>
        <v>0</v>
      </c>
      <c r="Q150" s="824"/>
      <c r="R150" s="823">
        <f t="shared" si="55"/>
        <v>0</v>
      </c>
      <c r="S150" s="564"/>
      <c r="T150" s="569"/>
      <c r="U150" s="2569"/>
      <c r="W150" s="566">
        <f t="shared" si="56"/>
        <v>0</v>
      </c>
      <c r="X150" s="566">
        <f t="shared" si="35"/>
        <v>0</v>
      </c>
      <c r="Y150" s="566">
        <f t="shared" si="36"/>
        <v>0</v>
      </c>
      <c r="Z150" s="566">
        <f t="shared" si="37"/>
        <v>0</v>
      </c>
      <c r="AA150" s="566">
        <f t="shared" si="38"/>
        <v>0</v>
      </c>
      <c r="AB150" s="566">
        <f t="shared" si="39"/>
        <v>0</v>
      </c>
      <c r="AC150" s="566">
        <f t="shared" si="40"/>
        <v>0</v>
      </c>
      <c r="AD150" s="566">
        <f t="shared" si="41"/>
        <v>0</v>
      </c>
      <c r="AE150" s="566">
        <f t="shared" si="42"/>
        <v>0</v>
      </c>
      <c r="AF150" s="566">
        <f t="shared" si="43"/>
        <v>0</v>
      </c>
      <c r="AG150" s="573"/>
    </row>
    <row r="151" spans="1:33" customFormat="1" ht="25.15" customHeight="1">
      <c r="A151" s="543">
        <v>126</v>
      </c>
      <c r="B151" s="677"/>
      <c r="C151" s="541" t="s">
        <v>1406</v>
      </c>
      <c r="D151" s="542"/>
      <c r="E151" s="542"/>
      <c r="F151" s="542"/>
      <c r="G151" s="542"/>
      <c r="H151" s="542"/>
      <c r="I151" s="542"/>
      <c r="J151" s="542"/>
      <c r="K151" s="542"/>
      <c r="L151" s="542"/>
      <c r="M151" s="542"/>
      <c r="N151" s="822">
        <f t="shared" si="53"/>
        <v>0</v>
      </c>
      <c r="O151" s="822">
        <f t="shared" si="54"/>
        <v>0</v>
      </c>
      <c r="P151" s="823">
        <f>(O151/O273)*100</f>
        <v>0</v>
      </c>
      <c r="Q151" s="824"/>
      <c r="R151" s="823">
        <f t="shared" si="55"/>
        <v>0</v>
      </c>
      <c r="S151" s="564"/>
      <c r="T151" s="569"/>
      <c r="U151" s="2569"/>
      <c r="W151" s="566">
        <f t="shared" si="56"/>
        <v>0</v>
      </c>
      <c r="X151" s="566">
        <f t="shared" si="35"/>
        <v>0</v>
      </c>
      <c r="Y151" s="566">
        <f t="shared" si="36"/>
        <v>0</v>
      </c>
      <c r="Z151" s="566">
        <f t="shared" si="37"/>
        <v>0</v>
      </c>
      <c r="AA151" s="566">
        <f t="shared" si="38"/>
        <v>0</v>
      </c>
      <c r="AB151" s="566">
        <f t="shared" si="39"/>
        <v>0</v>
      </c>
      <c r="AC151" s="566">
        <f t="shared" si="40"/>
        <v>0</v>
      </c>
      <c r="AD151" s="566">
        <f t="shared" si="41"/>
        <v>0</v>
      </c>
      <c r="AE151" s="566">
        <f t="shared" si="42"/>
        <v>0</v>
      </c>
      <c r="AF151" s="566">
        <f t="shared" si="43"/>
        <v>0</v>
      </c>
      <c r="AG151" s="573"/>
    </row>
    <row r="152" spans="1:33" customFormat="1" ht="25.15" customHeight="1">
      <c r="A152" s="543">
        <v>127</v>
      </c>
      <c r="B152" s="677"/>
      <c r="C152" s="816" t="s">
        <v>1407</v>
      </c>
      <c r="D152" s="542"/>
      <c r="E152" s="542"/>
      <c r="F152" s="542"/>
      <c r="G152" s="542"/>
      <c r="H152" s="542"/>
      <c r="I152" s="542"/>
      <c r="J152" s="542"/>
      <c r="K152" s="542"/>
      <c r="L152" s="542"/>
      <c r="M152" s="542"/>
      <c r="N152" s="822">
        <f t="shared" si="53"/>
        <v>0</v>
      </c>
      <c r="O152" s="822">
        <f t="shared" si="54"/>
        <v>0</v>
      </c>
      <c r="P152" s="823">
        <f>(O152/O273)*100</f>
        <v>0</v>
      </c>
      <c r="Q152" s="824"/>
      <c r="R152" s="823">
        <f t="shared" si="55"/>
        <v>0</v>
      </c>
      <c r="S152" s="564"/>
      <c r="T152" s="569"/>
      <c r="U152" s="2569"/>
      <c r="W152" s="566">
        <f t="shared" si="56"/>
        <v>0</v>
      </c>
      <c r="X152" s="566">
        <f t="shared" si="35"/>
        <v>0</v>
      </c>
      <c r="Y152" s="566">
        <f t="shared" si="36"/>
        <v>0</v>
      </c>
      <c r="Z152" s="566">
        <f t="shared" si="37"/>
        <v>0</v>
      </c>
      <c r="AA152" s="566">
        <f t="shared" si="38"/>
        <v>0</v>
      </c>
      <c r="AB152" s="566">
        <f t="shared" si="39"/>
        <v>0</v>
      </c>
      <c r="AC152" s="566">
        <f t="shared" si="40"/>
        <v>0</v>
      </c>
      <c r="AD152" s="566">
        <f t="shared" si="41"/>
        <v>0</v>
      </c>
      <c r="AE152" s="566">
        <f t="shared" si="42"/>
        <v>0</v>
      </c>
      <c r="AF152" s="566">
        <f t="shared" si="43"/>
        <v>0</v>
      </c>
      <c r="AG152" s="573"/>
    </row>
    <row r="153" spans="1:33" customFormat="1" ht="25.15" customHeight="1">
      <c r="A153" s="543"/>
      <c r="B153" s="817"/>
      <c r="C153" s="818"/>
      <c r="D153" s="542"/>
      <c r="E153" s="542"/>
      <c r="F153" s="542"/>
      <c r="G153" s="542"/>
      <c r="H153" s="542"/>
      <c r="I153" s="542"/>
      <c r="J153" s="542"/>
      <c r="K153" s="542"/>
      <c r="L153" s="542"/>
      <c r="M153" s="542"/>
      <c r="N153" s="822">
        <f t="shared" si="48"/>
        <v>0</v>
      </c>
      <c r="O153" s="822">
        <f t="shared" si="49"/>
        <v>0</v>
      </c>
      <c r="P153" s="823">
        <f>(O153/O273)*100</f>
        <v>0</v>
      </c>
      <c r="Q153" s="824"/>
      <c r="R153" s="823">
        <f t="shared" si="50"/>
        <v>0</v>
      </c>
      <c r="S153" s="564"/>
      <c r="T153" s="569"/>
      <c r="U153" s="2569"/>
      <c r="W153" s="566">
        <f t="shared" si="51"/>
        <v>0</v>
      </c>
      <c r="X153" s="566">
        <f t="shared" si="35"/>
        <v>0</v>
      </c>
      <c r="Y153" s="566">
        <f t="shared" si="36"/>
        <v>0</v>
      </c>
      <c r="Z153" s="566">
        <f t="shared" si="37"/>
        <v>0</v>
      </c>
      <c r="AA153" s="566">
        <f t="shared" si="38"/>
        <v>0</v>
      </c>
      <c r="AB153" s="566">
        <f t="shared" si="39"/>
        <v>0</v>
      </c>
      <c r="AC153" s="566">
        <f t="shared" si="40"/>
        <v>0</v>
      </c>
      <c r="AD153" s="566">
        <f t="shared" si="41"/>
        <v>0</v>
      </c>
      <c r="AE153" s="566">
        <f t="shared" si="42"/>
        <v>0</v>
      </c>
      <c r="AF153" s="566">
        <f t="shared" si="43"/>
        <v>0</v>
      </c>
      <c r="AG153" s="573"/>
    </row>
    <row r="154" spans="1:33" customFormat="1" ht="25.15" customHeight="1">
      <c r="A154" s="543"/>
      <c r="B154" s="546"/>
      <c r="C154" s="819" t="s">
        <v>1408</v>
      </c>
      <c r="D154" s="542"/>
      <c r="E154" s="542"/>
      <c r="F154" s="542"/>
      <c r="G154" s="542"/>
      <c r="H154" s="542"/>
      <c r="I154" s="542"/>
      <c r="J154" s="542"/>
      <c r="K154" s="542"/>
      <c r="L154" s="542"/>
      <c r="M154" s="542"/>
      <c r="N154" s="554">
        <f t="shared" si="48"/>
        <v>0</v>
      </c>
      <c r="O154" s="554">
        <f t="shared" si="49"/>
        <v>0</v>
      </c>
      <c r="P154" s="555">
        <f>(O154/O273)*100</f>
        <v>0</v>
      </c>
      <c r="Q154" s="570"/>
      <c r="R154" s="555">
        <f t="shared" si="50"/>
        <v>0</v>
      </c>
      <c r="S154" s="564"/>
      <c r="T154" s="569"/>
      <c r="U154" s="2569"/>
      <c r="W154" s="566">
        <f t="shared" si="51"/>
        <v>0</v>
      </c>
      <c r="X154" s="566">
        <f t="shared" si="35"/>
        <v>0</v>
      </c>
      <c r="Y154" s="566">
        <f t="shared" si="36"/>
        <v>0</v>
      </c>
      <c r="Z154" s="566">
        <f t="shared" si="37"/>
        <v>0</v>
      </c>
      <c r="AA154" s="566">
        <f t="shared" si="38"/>
        <v>0</v>
      </c>
      <c r="AB154" s="566">
        <f t="shared" si="39"/>
        <v>0</v>
      </c>
      <c r="AC154" s="566">
        <f t="shared" si="40"/>
        <v>0</v>
      </c>
      <c r="AD154" s="566">
        <f t="shared" si="41"/>
        <v>0</v>
      </c>
      <c r="AE154" s="566">
        <f t="shared" si="42"/>
        <v>0</v>
      </c>
      <c r="AF154" s="566">
        <f t="shared" si="43"/>
        <v>0</v>
      </c>
      <c r="AG154" s="573"/>
    </row>
    <row r="155" spans="1:33" customFormat="1" ht="25.15" customHeight="1">
      <c r="A155" s="543">
        <v>1</v>
      </c>
      <c r="B155" s="546"/>
      <c r="C155" s="702" t="s">
        <v>1409</v>
      </c>
      <c r="D155" s="542"/>
      <c r="E155" s="542"/>
      <c r="F155" s="542"/>
      <c r="G155" s="542"/>
      <c r="H155" s="542"/>
      <c r="I155" s="542"/>
      <c r="J155" s="542"/>
      <c r="K155" s="542"/>
      <c r="L155" s="542"/>
      <c r="M155" s="542"/>
      <c r="N155" s="554">
        <f t="shared" si="48"/>
        <v>0</v>
      </c>
      <c r="O155" s="554">
        <f t="shared" si="49"/>
        <v>0</v>
      </c>
      <c r="P155" s="555">
        <f>(O155/O273)*100</f>
        <v>0</v>
      </c>
      <c r="Q155" s="570">
        <v>0.63</v>
      </c>
      <c r="R155" s="555">
        <f t="shared" si="50"/>
        <v>0</v>
      </c>
      <c r="S155" s="700">
        <v>9000</v>
      </c>
      <c r="T155" s="569"/>
      <c r="U155" s="2569"/>
      <c r="W155" s="566">
        <f t="shared" si="51"/>
        <v>0</v>
      </c>
      <c r="X155" s="566">
        <f t="shared" si="35"/>
        <v>0</v>
      </c>
      <c r="Y155" s="566">
        <f t="shared" si="36"/>
        <v>0</v>
      </c>
      <c r="Z155" s="566">
        <f t="shared" si="37"/>
        <v>0</v>
      </c>
      <c r="AA155" s="566">
        <f t="shared" si="38"/>
        <v>0</v>
      </c>
      <c r="AB155" s="566">
        <f t="shared" si="39"/>
        <v>0</v>
      </c>
      <c r="AC155" s="566">
        <f t="shared" si="40"/>
        <v>0</v>
      </c>
      <c r="AD155" s="566">
        <f t="shared" si="41"/>
        <v>0</v>
      </c>
      <c r="AE155" s="566">
        <f t="shared" si="42"/>
        <v>0</v>
      </c>
      <c r="AF155" s="566">
        <f t="shared" si="43"/>
        <v>0</v>
      </c>
      <c r="AG155" s="573"/>
    </row>
    <row r="156" spans="1:33" customFormat="1" ht="25.15" customHeight="1">
      <c r="A156" s="543">
        <v>2</v>
      </c>
      <c r="B156" s="546"/>
      <c r="C156" s="702" t="s">
        <v>1410</v>
      </c>
      <c r="D156" s="542"/>
      <c r="E156" s="542"/>
      <c r="F156" s="542"/>
      <c r="G156" s="542"/>
      <c r="H156" s="542"/>
      <c r="I156" s="542"/>
      <c r="J156" s="542"/>
      <c r="K156" s="542"/>
      <c r="L156" s="542"/>
      <c r="M156" s="542"/>
      <c r="N156" s="554">
        <f t="shared" si="48"/>
        <v>0</v>
      </c>
      <c r="O156" s="554">
        <f t="shared" si="49"/>
        <v>0</v>
      </c>
      <c r="P156" s="555">
        <f>(O156/O273)*100</f>
        <v>0</v>
      </c>
      <c r="Q156" s="570">
        <v>0.59599999999999997</v>
      </c>
      <c r="R156" s="555">
        <f t="shared" si="50"/>
        <v>0</v>
      </c>
      <c r="S156" s="700">
        <v>13000</v>
      </c>
      <c r="T156" s="569"/>
      <c r="U156" s="2569"/>
      <c r="W156" s="566">
        <f t="shared" si="51"/>
        <v>0</v>
      </c>
      <c r="X156" s="566">
        <f t="shared" si="35"/>
        <v>0</v>
      </c>
      <c r="Y156" s="566">
        <f t="shared" si="36"/>
        <v>0</v>
      </c>
      <c r="Z156" s="566">
        <f t="shared" si="37"/>
        <v>0</v>
      </c>
      <c r="AA156" s="566">
        <f t="shared" si="38"/>
        <v>0</v>
      </c>
      <c r="AB156" s="566">
        <f t="shared" si="39"/>
        <v>0</v>
      </c>
      <c r="AC156" s="566">
        <f t="shared" si="40"/>
        <v>0</v>
      </c>
      <c r="AD156" s="566">
        <f t="shared" si="41"/>
        <v>0</v>
      </c>
      <c r="AE156" s="566">
        <f t="shared" si="42"/>
        <v>0</v>
      </c>
      <c r="AF156" s="566">
        <f t="shared" si="43"/>
        <v>0</v>
      </c>
      <c r="AG156" s="573"/>
    </row>
    <row r="157" spans="1:33" customFormat="1" ht="25.15" customHeight="1">
      <c r="A157" s="543">
        <v>3</v>
      </c>
      <c r="B157" s="546"/>
      <c r="C157" s="702" t="s">
        <v>1411</v>
      </c>
      <c r="D157" s="542"/>
      <c r="E157" s="542"/>
      <c r="F157" s="542"/>
      <c r="G157" s="542"/>
      <c r="H157" s="542"/>
      <c r="I157" s="542"/>
      <c r="J157" s="542"/>
      <c r="K157" s="542"/>
      <c r="L157" s="542"/>
      <c r="M157" s="542"/>
      <c r="N157" s="554">
        <f t="shared" si="48"/>
        <v>0</v>
      </c>
      <c r="O157" s="554">
        <f t="shared" si="49"/>
        <v>0</v>
      </c>
      <c r="P157" s="555">
        <f>(O157/O273)*100</f>
        <v>0</v>
      </c>
      <c r="Q157" s="570">
        <v>0.51100000000000001</v>
      </c>
      <c r="R157" s="555">
        <f t="shared" si="50"/>
        <v>0</v>
      </c>
      <c r="S157" s="700">
        <v>13000</v>
      </c>
      <c r="T157" s="569"/>
      <c r="U157" s="2569"/>
      <c r="W157" s="566">
        <f t="shared" si="51"/>
        <v>0</v>
      </c>
      <c r="X157" s="566">
        <f t="shared" si="35"/>
        <v>0</v>
      </c>
      <c r="Y157" s="566">
        <f t="shared" si="36"/>
        <v>0</v>
      </c>
      <c r="Z157" s="566">
        <f t="shared" si="37"/>
        <v>0</v>
      </c>
      <c r="AA157" s="566">
        <f t="shared" si="38"/>
        <v>0</v>
      </c>
      <c r="AB157" s="566">
        <f t="shared" si="39"/>
        <v>0</v>
      </c>
      <c r="AC157" s="566">
        <f t="shared" si="40"/>
        <v>0</v>
      </c>
      <c r="AD157" s="566">
        <f t="shared" si="41"/>
        <v>0</v>
      </c>
      <c r="AE157" s="566">
        <f t="shared" si="42"/>
        <v>0</v>
      </c>
      <c r="AF157" s="566">
        <f t="shared" si="43"/>
        <v>0</v>
      </c>
      <c r="AG157" s="573"/>
    </row>
    <row r="158" spans="1:33" customFormat="1" ht="25.15" customHeight="1">
      <c r="A158" s="543">
        <v>4</v>
      </c>
      <c r="B158" s="546"/>
      <c r="C158" s="702" t="s">
        <v>1412</v>
      </c>
      <c r="D158" s="542"/>
      <c r="E158" s="542"/>
      <c r="F158" s="542"/>
      <c r="G158" s="542"/>
      <c r="H158" s="542"/>
      <c r="I158" s="542"/>
      <c r="J158" s="542"/>
      <c r="K158" s="542"/>
      <c r="L158" s="542"/>
      <c r="M158" s="542"/>
      <c r="N158" s="554">
        <f t="shared" si="48"/>
        <v>0</v>
      </c>
      <c r="O158" s="554">
        <f t="shared" si="49"/>
        <v>0</v>
      </c>
      <c r="P158" s="555">
        <f>(O158/O273)*100</f>
        <v>0</v>
      </c>
      <c r="Q158" s="570">
        <v>0.57799999999999996</v>
      </c>
      <c r="R158" s="555">
        <f t="shared" si="50"/>
        <v>0</v>
      </c>
      <c r="S158" s="700">
        <v>15000</v>
      </c>
      <c r="T158" s="569"/>
      <c r="U158" s="2569"/>
      <c r="W158" s="566">
        <f t="shared" si="51"/>
        <v>0</v>
      </c>
      <c r="X158" s="566">
        <f t="shared" si="35"/>
        <v>0</v>
      </c>
      <c r="Y158" s="566">
        <f t="shared" si="36"/>
        <v>0</v>
      </c>
      <c r="Z158" s="566">
        <f t="shared" si="37"/>
        <v>0</v>
      </c>
      <c r="AA158" s="566">
        <f t="shared" si="38"/>
        <v>0</v>
      </c>
      <c r="AB158" s="566">
        <f t="shared" si="39"/>
        <v>0</v>
      </c>
      <c r="AC158" s="566">
        <f t="shared" si="40"/>
        <v>0</v>
      </c>
      <c r="AD158" s="566">
        <f t="shared" si="41"/>
        <v>0</v>
      </c>
      <c r="AE158" s="566">
        <f t="shared" si="42"/>
        <v>0</v>
      </c>
      <c r="AF158" s="566">
        <f t="shared" si="43"/>
        <v>0</v>
      </c>
      <c r="AG158" s="573"/>
    </row>
    <row r="159" spans="1:33" customFormat="1" ht="25.15" customHeight="1">
      <c r="A159" s="543">
        <v>5</v>
      </c>
      <c r="B159" s="546"/>
      <c r="C159" s="702" t="s">
        <v>1413</v>
      </c>
      <c r="D159" s="542"/>
      <c r="E159" s="542"/>
      <c r="F159" s="542"/>
      <c r="G159" s="542"/>
      <c r="H159" s="820"/>
      <c r="I159" s="542"/>
      <c r="J159" s="542"/>
      <c r="K159" s="542"/>
      <c r="L159" s="542"/>
      <c r="M159" s="542"/>
      <c r="N159" s="554">
        <f t="shared" si="48"/>
        <v>0</v>
      </c>
      <c r="O159" s="554">
        <f t="shared" si="49"/>
        <v>0</v>
      </c>
      <c r="P159" s="555">
        <f>(O159/O273)*100</f>
        <v>0</v>
      </c>
      <c r="Q159" s="570">
        <v>0.63</v>
      </c>
      <c r="R159" s="555">
        <f t="shared" si="50"/>
        <v>0</v>
      </c>
      <c r="S159" s="697">
        <v>10500</v>
      </c>
      <c r="T159" s="569"/>
      <c r="U159" s="2569"/>
      <c r="W159" s="566">
        <f t="shared" si="51"/>
        <v>0</v>
      </c>
      <c r="X159" s="566">
        <f t="shared" si="35"/>
        <v>0</v>
      </c>
      <c r="Y159" s="566">
        <f t="shared" si="36"/>
        <v>0</v>
      </c>
      <c r="Z159" s="566">
        <f t="shared" si="37"/>
        <v>0</v>
      </c>
      <c r="AA159" s="566">
        <f t="shared" si="38"/>
        <v>0</v>
      </c>
      <c r="AB159" s="566">
        <f t="shared" si="39"/>
        <v>0</v>
      </c>
      <c r="AC159" s="566">
        <f t="shared" si="40"/>
        <v>0</v>
      </c>
      <c r="AD159" s="566">
        <f t="shared" si="41"/>
        <v>0</v>
      </c>
      <c r="AE159" s="566">
        <f t="shared" si="42"/>
        <v>0</v>
      </c>
      <c r="AF159" s="566">
        <f t="shared" si="43"/>
        <v>0</v>
      </c>
      <c r="AG159" s="573"/>
    </row>
    <row r="160" spans="1:33" customFormat="1" ht="25.15" customHeight="1">
      <c r="A160" s="543">
        <v>6</v>
      </c>
      <c r="B160" s="546"/>
      <c r="C160" s="702" t="s">
        <v>1414</v>
      </c>
      <c r="D160" s="542"/>
      <c r="E160" s="542"/>
      <c r="F160" s="542"/>
      <c r="G160" s="542"/>
      <c r="H160" s="820"/>
      <c r="I160" s="542"/>
      <c r="J160" s="542"/>
      <c r="K160" s="542"/>
      <c r="L160" s="542"/>
      <c r="M160" s="542"/>
      <c r="N160" s="822">
        <f t="shared" si="48"/>
        <v>0</v>
      </c>
      <c r="O160" s="822">
        <f t="shared" si="49"/>
        <v>0</v>
      </c>
      <c r="P160" s="823">
        <f>(O160/O273)*100</f>
        <v>0</v>
      </c>
      <c r="Q160" s="824">
        <v>0.51</v>
      </c>
      <c r="R160" s="823">
        <f t="shared" si="50"/>
        <v>0</v>
      </c>
      <c r="S160" s="697">
        <v>14500</v>
      </c>
      <c r="T160" s="569"/>
      <c r="U160" s="2569"/>
      <c r="W160" s="566">
        <f t="shared" si="51"/>
        <v>0</v>
      </c>
      <c r="X160" s="566">
        <f t="shared" si="35"/>
        <v>0</v>
      </c>
      <c r="Y160" s="566">
        <f t="shared" si="36"/>
        <v>0</v>
      </c>
      <c r="Z160" s="566">
        <f t="shared" si="37"/>
        <v>0</v>
      </c>
      <c r="AA160" s="566">
        <f t="shared" si="38"/>
        <v>0</v>
      </c>
      <c r="AB160" s="566">
        <f t="shared" si="39"/>
        <v>0</v>
      </c>
      <c r="AC160" s="566">
        <f t="shared" si="40"/>
        <v>0</v>
      </c>
      <c r="AD160" s="566">
        <f t="shared" si="41"/>
        <v>0</v>
      </c>
      <c r="AE160" s="566">
        <f t="shared" si="42"/>
        <v>0</v>
      </c>
      <c r="AF160" s="566">
        <f t="shared" si="43"/>
        <v>0</v>
      </c>
      <c r="AG160" s="573"/>
    </row>
    <row r="161" spans="1:33" customFormat="1" ht="25.15" customHeight="1">
      <c r="A161" s="543">
        <v>7</v>
      </c>
      <c r="B161" s="546"/>
      <c r="C161" s="702" t="s">
        <v>1415</v>
      </c>
      <c r="D161" s="542"/>
      <c r="E161" s="542"/>
      <c r="F161" s="542"/>
      <c r="G161" s="542"/>
      <c r="H161" s="820"/>
      <c r="I161" s="542"/>
      <c r="J161" s="542"/>
      <c r="K161" s="542"/>
      <c r="L161" s="542"/>
      <c r="M161" s="542"/>
      <c r="N161" s="822">
        <f t="shared" ref="N161:N176" si="57">SUM(D161:M161)</f>
        <v>0</v>
      </c>
      <c r="O161" s="822">
        <f t="shared" ref="O161:O176" si="58">N161*S161</f>
        <v>0</v>
      </c>
      <c r="P161" s="823">
        <f>(O161/O273)*100</f>
        <v>0</v>
      </c>
      <c r="Q161" s="824">
        <v>0.51</v>
      </c>
      <c r="R161" s="823">
        <f t="shared" ref="R161:R176" si="59">P161*Q161</f>
        <v>0</v>
      </c>
      <c r="S161" s="697">
        <v>14500</v>
      </c>
      <c r="T161" s="569"/>
      <c r="U161" s="2569"/>
      <c r="W161" s="566">
        <f t="shared" ref="W161:W176" si="60">D161*S161</f>
        <v>0</v>
      </c>
      <c r="X161" s="566">
        <f t="shared" si="35"/>
        <v>0</v>
      </c>
      <c r="Y161" s="566">
        <f t="shared" si="36"/>
        <v>0</v>
      </c>
      <c r="Z161" s="566">
        <f t="shared" si="37"/>
        <v>0</v>
      </c>
      <c r="AA161" s="566">
        <f t="shared" si="38"/>
        <v>0</v>
      </c>
      <c r="AB161" s="566">
        <f t="shared" si="39"/>
        <v>0</v>
      </c>
      <c r="AC161" s="566">
        <f t="shared" si="40"/>
        <v>0</v>
      </c>
      <c r="AD161" s="566">
        <f t="shared" si="41"/>
        <v>0</v>
      </c>
      <c r="AE161" s="566">
        <f t="shared" si="42"/>
        <v>0</v>
      </c>
      <c r="AF161" s="566">
        <f t="shared" si="43"/>
        <v>0</v>
      </c>
      <c r="AG161" s="573"/>
    </row>
    <row r="162" spans="1:33" customFormat="1" ht="25.15" customHeight="1">
      <c r="A162" s="543">
        <v>8</v>
      </c>
      <c r="B162" s="546"/>
      <c r="C162" s="702" t="s">
        <v>1416</v>
      </c>
      <c r="D162" s="542"/>
      <c r="E162" s="542"/>
      <c r="F162" s="542"/>
      <c r="G162" s="542"/>
      <c r="H162" s="820"/>
      <c r="I162" s="542"/>
      <c r="J162" s="542"/>
      <c r="K162" s="542"/>
      <c r="L162" s="542"/>
      <c r="M162" s="542"/>
      <c r="N162" s="822">
        <f t="shared" si="57"/>
        <v>0</v>
      </c>
      <c r="O162" s="822">
        <f t="shared" si="58"/>
        <v>0</v>
      </c>
      <c r="P162" s="823">
        <f>(O162/O273)*100</f>
        <v>0</v>
      </c>
      <c r="Q162" s="824">
        <v>0.5</v>
      </c>
      <c r="R162" s="823">
        <f t="shared" si="59"/>
        <v>0</v>
      </c>
      <c r="S162" s="697">
        <v>16500</v>
      </c>
      <c r="T162" s="569"/>
      <c r="U162" s="2569"/>
      <c r="W162" s="566">
        <f t="shared" si="60"/>
        <v>0</v>
      </c>
      <c r="X162" s="566">
        <f t="shared" si="35"/>
        <v>0</v>
      </c>
      <c r="Y162" s="566">
        <f t="shared" si="36"/>
        <v>0</v>
      </c>
      <c r="Z162" s="566">
        <f t="shared" si="37"/>
        <v>0</v>
      </c>
      <c r="AA162" s="566">
        <f t="shared" si="38"/>
        <v>0</v>
      </c>
      <c r="AB162" s="566">
        <f t="shared" si="39"/>
        <v>0</v>
      </c>
      <c r="AC162" s="566">
        <f t="shared" si="40"/>
        <v>0</v>
      </c>
      <c r="AD162" s="566">
        <f t="shared" si="41"/>
        <v>0</v>
      </c>
      <c r="AE162" s="566">
        <f t="shared" si="42"/>
        <v>0</v>
      </c>
      <c r="AF162" s="566">
        <f t="shared" si="43"/>
        <v>0</v>
      </c>
      <c r="AG162" s="573"/>
    </row>
    <row r="163" spans="1:33" customFormat="1" ht="25.15" customHeight="1">
      <c r="A163" s="543">
        <v>9</v>
      </c>
      <c r="B163" s="546"/>
      <c r="C163" s="821" t="s">
        <v>1417</v>
      </c>
      <c r="D163" s="542"/>
      <c r="E163" s="542"/>
      <c r="F163" s="542"/>
      <c r="G163" s="542"/>
      <c r="H163" s="542"/>
      <c r="I163" s="542"/>
      <c r="J163" s="542"/>
      <c r="K163" s="542"/>
      <c r="L163" s="542"/>
      <c r="M163" s="542"/>
      <c r="N163" s="822">
        <f t="shared" si="57"/>
        <v>0</v>
      </c>
      <c r="O163" s="822">
        <f t="shared" si="58"/>
        <v>0</v>
      </c>
      <c r="P163" s="823">
        <f>(O163/O273)*100</f>
        <v>0</v>
      </c>
      <c r="Q163" s="824">
        <v>0.73899999999999999</v>
      </c>
      <c r="R163" s="823">
        <f t="shared" si="59"/>
        <v>0</v>
      </c>
      <c r="S163" s="697">
        <v>12000</v>
      </c>
      <c r="T163" s="569"/>
      <c r="U163" s="2569"/>
      <c r="W163" s="566">
        <f t="shared" si="60"/>
        <v>0</v>
      </c>
      <c r="X163" s="566">
        <f t="shared" si="35"/>
        <v>0</v>
      </c>
      <c r="Y163" s="566">
        <f t="shared" si="36"/>
        <v>0</v>
      </c>
      <c r="Z163" s="566">
        <f t="shared" si="37"/>
        <v>0</v>
      </c>
      <c r="AA163" s="566">
        <f t="shared" si="38"/>
        <v>0</v>
      </c>
      <c r="AB163" s="566">
        <f t="shared" si="39"/>
        <v>0</v>
      </c>
      <c r="AC163" s="566">
        <f t="shared" si="40"/>
        <v>0</v>
      </c>
      <c r="AD163" s="566">
        <f t="shared" si="41"/>
        <v>0</v>
      </c>
      <c r="AE163" s="566">
        <f t="shared" si="42"/>
        <v>0</v>
      </c>
      <c r="AF163" s="566">
        <f t="shared" si="43"/>
        <v>0</v>
      </c>
      <c r="AG163" s="573"/>
    </row>
    <row r="164" spans="1:33" customFormat="1" ht="25.15" customHeight="1">
      <c r="A164" s="543">
        <v>10</v>
      </c>
      <c r="B164" s="546"/>
      <c r="C164" s="821" t="s">
        <v>1418</v>
      </c>
      <c r="D164" s="542"/>
      <c r="E164" s="542"/>
      <c r="F164" s="542"/>
      <c r="G164" s="542"/>
      <c r="H164" s="542"/>
      <c r="I164" s="542"/>
      <c r="J164" s="542"/>
      <c r="K164" s="542"/>
      <c r="L164" s="542"/>
      <c r="M164" s="542"/>
      <c r="N164" s="822">
        <f t="shared" si="57"/>
        <v>0</v>
      </c>
      <c r="O164" s="822">
        <f t="shared" si="58"/>
        <v>0</v>
      </c>
      <c r="P164" s="823">
        <f>(O164/O273)*100</f>
        <v>0</v>
      </c>
      <c r="Q164" s="824">
        <v>0.79</v>
      </c>
      <c r="R164" s="823">
        <f t="shared" si="59"/>
        <v>0</v>
      </c>
      <c r="S164" s="697">
        <v>16000</v>
      </c>
      <c r="T164" s="569"/>
      <c r="U164" s="2569"/>
      <c r="W164" s="566">
        <f t="shared" si="60"/>
        <v>0</v>
      </c>
      <c r="X164" s="566">
        <f t="shared" si="35"/>
        <v>0</v>
      </c>
      <c r="Y164" s="566">
        <f t="shared" si="36"/>
        <v>0</v>
      </c>
      <c r="Z164" s="566">
        <f t="shared" si="37"/>
        <v>0</v>
      </c>
      <c r="AA164" s="566">
        <f t="shared" si="38"/>
        <v>0</v>
      </c>
      <c r="AB164" s="566">
        <f t="shared" si="39"/>
        <v>0</v>
      </c>
      <c r="AC164" s="566">
        <f t="shared" si="40"/>
        <v>0</v>
      </c>
      <c r="AD164" s="566">
        <f t="shared" si="41"/>
        <v>0</v>
      </c>
      <c r="AE164" s="566">
        <f t="shared" si="42"/>
        <v>0</v>
      </c>
      <c r="AF164" s="566">
        <f t="shared" si="43"/>
        <v>0</v>
      </c>
      <c r="AG164" s="573"/>
    </row>
    <row r="165" spans="1:33" customFormat="1" ht="25.15" customHeight="1">
      <c r="A165" s="543">
        <v>11</v>
      </c>
      <c r="B165" s="546"/>
      <c r="C165" s="821" t="s">
        <v>1419</v>
      </c>
      <c r="D165" s="542"/>
      <c r="E165" s="542"/>
      <c r="F165" s="542"/>
      <c r="G165" s="542"/>
      <c r="H165" s="542"/>
      <c r="I165" s="542"/>
      <c r="J165" s="542"/>
      <c r="K165" s="542"/>
      <c r="L165" s="542"/>
      <c r="M165" s="542"/>
      <c r="N165" s="822">
        <f t="shared" si="57"/>
        <v>0</v>
      </c>
      <c r="O165" s="822">
        <f t="shared" si="58"/>
        <v>0</v>
      </c>
      <c r="P165" s="823">
        <f>(O165/O273)*100</f>
        <v>0</v>
      </c>
      <c r="Q165" s="824">
        <v>0.71</v>
      </c>
      <c r="R165" s="823">
        <f t="shared" si="59"/>
        <v>0</v>
      </c>
      <c r="S165" s="697">
        <v>15000</v>
      </c>
      <c r="T165" s="569"/>
      <c r="U165" s="2569"/>
      <c r="W165" s="566">
        <f t="shared" si="60"/>
        <v>0</v>
      </c>
      <c r="X165" s="566">
        <f t="shared" si="35"/>
        <v>0</v>
      </c>
      <c r="Y165" s="566">
        <f t="shared" si="36"/>
        <v>0</v>
      </c>
      <c r="Z165" s="566">
        <f t="shared" si="37"/>
        <v>0</v>
      </c>
      <c r="AA165" s="566">
        <f t="shared" si="38"/>
        <v>0</v>
      </c>
      <c r="AB165" s="566">
        <f t="shared" si="39"/>
        <v>0</v>
      </c>
      <c r="AC165" s="566">
        <f t="shared" si="40"/>
        <v>0</v>
      </c>
      <c r="AD165" s="566">
        <f t="shared" si="41"/>
        <v>0</v>
      </c>
      <c r="AE165" s="566">
        <f t="shared" si="42"/>
        <v>0</v>
      </c>
      <c r="AF165" s="566">
        <f t="shared" si="43"/>
        <v>0</v>
      </c>
      <c r="AG165" s="573"/>
    </row>
    <row r="166" spans="1:33" customFormat="1" ht="25.15" customHeight="1">
      <c r="A166" s="543">
        <v>12</v>
      </c>
      <c r="B166" s="546"/>
      <c r="C166" s="821" t="s">
        <v>1420</v>
      </c>
      <c r="D166" s="542"/>
      <c r="E166" s="542"/>
      <c r="F166" s="542"/>
      <c r="G166" s="542"/>
      <c r="H166" s="542"/>
      <c r="I166" s="542"/>
      <c r="J166" s="542"/>
      <c r="K166" s="542"/>
      <c r="L166" s="542"/>
      <c r="M166" s="542"/>
      <c r="N166" s="822">
        <f t="shared" si="57"/>
        <v>0</v>
      </c>
      <c r="O166" s="822">
        <f t="shared" si="58"/>
        <v>0</v>
      </c>
      <c r="P166" s="823">
        <f>(O166/O273)*100</f>
        <v>0</v>
      </c>
      <c r="Q166" s="824">
        <v>0.72899999999999998</v>
      </c>
      <c r="R166" s="823">
        <f t="shared" si="59"/>
        <v>0</v>
      </c>
      <c r="S166" s="697">
        <v>24000</v>
      </c>
      <c r="T166" s="569"/>
      <c r="U166" s="2569"/>
      <c r="W166" s="566">
        <f t="shared" si="60"/>
        <v>0</v>
      </c>
      <c r="X166" s="566">
        <f t="shared" si="35"/>
        <v>0</v>
      </c>
      <c r="Y166" s="566">
        <f t="shared" si="36"/>
        <v>0</v>
      </c>
      <c r="Z166" s="566">
        <f t="shared" si="37"/>
        <v>0</v>
      </c>
      <c r="AA166" s="566">
        <f t="shared" si="38"/>
        <v>0</v>
      </c>
      <c r="AB166" s="566">
        <f t="shared" si="39"/>
        <v>0</v>
      </c>
      <c r="AC166" s="566">
        <f t="shared" si="40"/>
        <v>0</v>
      </c>
      <c r="AD166" s="566">
        <f t="shared" si="41"/>
        <v>0</v>
      </c>
      <c r="AE166" s="566">
        <f t="shared" si="42"/>
        <v>0</v>
      </c>
      <c r="AF166" s="566">
        <f t="shared" si="43"/>
        <v>0</v>
      </c>
      <c r="AG166" s="573"/>
    </row>
    <row r="167" spans="1:33" customFormat="1" ht="25.15" customHeight="1">
      <c r="A167" s="543">
        <v>13</v>
      </c>
      <c r="B167" s="546"/>
      <c r="C167" s="702" t="s">
        <v>1421</v>
      </c>
      <c r="D167" s="542"/>
      <c r="E167" s="542"/>
      <c r="F167" s="542"/>
      <c r="G167" s="542"/>
      <c r="H167" s="542"/>
      <c r="I167" s="542"/>
      <c r="J167" s="542"/>
      <c r="K167" s="542"/>
      <c r="L167" s="542"/>
      <c r="M167" s="542"/>
      <c r="N167" s="822">
        <f t="shared" si="57"/>
        <v>0</v>
      </c>
      <c r="O167" s="822">
        <f t="shared" si="58"/>
        <v>0</v>
      </c>
      <c r="P167" s="823">
        <f>(O167/O273)*100</f>
        <v>0</v>
      </c>
      <c r="Q167" s="824">
        <v>0.71299999999999997</v>
      </c>
      <c r="R167" s="823">
        <f t="shared" si="59"/>
        <v>0</v>
      </c>
      <c r="S167" s="700">
        <v>21000</v>
      </c>
      <c r="T167" s="569"/>
      <c r="U167" s="2569"/>
      <c r="W167" s="566">
        <f t="shared" si="60"/>
        <v>0</v>
      </c>
      <c r="X167" s="566">
        <f t="shared" si="35"/>
        <v>0</v>
      </c>
      <c r="Y167" s="566">
        <f t="shared" si="36"/>
        <v>0</v>
      </c>
      <c r="Z167" s="566">
        <f t="shared" si="37"/>
        <v>0</v>
      </c>
      <c r="AA167" s="566">
        <f t="shared" si="38"/>
        <v>0</v>
      </c>
      <c r="AB167" s="566">
        <f t="shared" si="39"/>
        <v>0</v>
      </c>
      <c r="AC167" s="566">
        <f t="shared" si="40"/>
        <v>0</v>
      </c>
      <c r="AD167" s="566">
        <f t="shared" si="41"/>
        <v>0</v>
      </c>
      <c r="AE167" s="566">
        <f t="shared" si="42"/>
        <v>0</v>
      </c>
      <c r="AF167" s="566">
        <f t="shared" si="43"/>
        <v>0</v>
      </c>
      <c r="AG167" s="573"/>
    </row>
    <row r="168" spans="1:33" customFormat="1" ht="25.15" customHeight="1">
      <c r="A168" s="543">
        <v>14</v>
      </c>
      <c r="B168" s="546"/>
      <c r="C168" s="702" t="s">
        <v>1422</v>
      </c>
      <c r="D168" s="542"/>
      <c r="E168" s="542"/>
      <c r="F168" s="542"/>
      <c r="G168" s="542"/>
      <c r="H168" s="542"/>
      <c r="I168" s="542"/>
      <c r="J168" s="542"/>
      <c r="K168" s="542"/>
      <c r="L168" s="542"/>
      <c r="M168" s="542"/>
      <c r="N168" s="822">
        <f t="shared" si="57"/>
        <v>0</v>
      </c>
      <c r="O168" s="822">
        <f t="shared" si="58"/>
        <v>0</v>
      </c>
      <c r="P168" s="823">
        <f>(O168/O273)*100</f>
        <v>0</v>
      </c>
      <c r="Q168" s="824">
        <v>0.91700000000000004</v>
      </c>
      <c r="R168" s="823">
        <f t="shared" si="59"/>
        <v>0</v>
      </c>
      <c r="S168" s="700">
        <v>23000</v>
      </c>
      <c r="T168" s="569"/>
      <c r="U168" s="2569"/>
      <c r="W168" s="566">
        <f t="shared" si="60"/>
        <v>0</v>
      </c>
      <c r="X168" s="566">
        <f t="shared" si="35"/>
        <v>0</v>
      </c>
      <c r="Y168" s="566">
        <f t="shared" si="36"/>
        <v>0</v>
      </c>
      <c r="Z168" s="566">
        <f t="shared" si="37"/>
        <v>0</v>
      </c>
      <c r="AA168" s="566">
        <f t="shared" si="38"/>
        <v>0</v>
      </c>
      <c r="AB168" s="566">
        <f t="shared" si="39"/>
        <v>0</v>
      </c>
      <c r="AC168" s="566">
        <f t="shared" si="40"/>
        <v>0</v>
      </c>
      <c r="AD168" s="566">
        <f t="shared" si="41"/>
        <v>0</v>
      </c>
      <c r="AE168" s="566">
        <f t="shared" si="42"/>
        <v>0</v>
      </c>
      <c r="AF168" s="566">
        <f t="shared" si="43"/>
        <v>0</v>
      </c>
      <c r="AG168" s="573"/>
    </row>
    <row r="169" spans="1:33" customFormat="1" ht="25.15" customHeight="1">
      <c r="A169" s="543">
        <v>15</v>
      </c>
      <c r="B169" s="546"/>
      <c r="C169" s="702" t="s">
        <v>1423</v>
      </c>
      <c r="D169" s="542"/>
      <c r="E169" s="542"/>
      <c r="F169" s="542"/>
      <c r="G169" s="542"/>
      <c r="H169" s="542"/>
      <c r="I169" s="542"/>
      <c r="J169" s="542"/>
      <c r="K169" s="542"/>
      <c r="L169" s="542"/>
      <c r="M169" s="542"/>
      <c r="N169" s="822">
        <f t="shared" si="57"/>
        <v>0</v>
      </c>
      <c r="O169" s="822">
        <f t="shared" si="58"/>
        <v>0</v>
      </c>
      <c r="P169" s="823">
        <f>(O169/O273)*100</f>
        <v>0</v>
      </c>
      <c r="Q169" s="824">
        <v>0.82399999999999995</v>
      </c>
      <c r="R169" s="823">
        <f t="shared" si="59"/>
        <v>0</v>
      </c>
      <c r="S169" s="700">
        <v>21000</v>
      </c>
      <c r="T169" s="569"/>
      <c r="U169" s="2569"/>
      <c r="W169" s="566">
        <f t="shared" si="60"/>
        <v>0</v>
      </c>
      <c r="X169" s="566">
        <f t="shared" si="35"/>
        <v>0</v>
      </c>
      <c r="Y169" s="566">
        <f t="shared" si="36"/>
        <v>0</v>
      </c>
      <c r="Z169" s="566">
        <f t="shared" si="37"/>
        <v>0</v>
      </c>
      <c r="AA169" s="566">
        <f t="shared" si="38"/>
        <v>0</v>
      </c>
      <c r="AB169" s="566">
        <f t="shared" si="39"/>
        <v>0</v>
      </c>
      <c r="AC169" s="566">
        <f t="shared" si="40"/>
        <v>0</v>
      </c>
      <c r="AD169" s="566">
        <f t="shared" si="41"/>
        <v>0</v>
      </c>
      <c r="AE169" s="566">
        <f t="shared" si="42"/>
        <v>0</v>
      </c>
      <c r="AF169" s="566">
        <f t="shared" si="43"/>
        <v>0</v>
      </c>
      <c r="AG169" s="573"/>
    </row>
    <row r="170" spans="1:33" customFormat="1" ht="25.15" customHeight="1">
      <c r="A170" s="543">
        <v>16</v>
      </c>
      <c r="B170" s="546"/>
      <c r="C170" s="821" t="s">
        <v>1424</v>
      </c>
      <c r="D170" s="542"/>
      <c r="E170" s="542"/>
      <c r="F170" s="542"/>
      <c r="G170" s="542"/>
      <c r="H170" s="542"/>
      <c r="I170" s="542"/>
      <c r="J170" s="542"/>
      <c r="K170" s="542"/>
      <c r="L170" s="542"/>
      <c r="M170" s="542"/>
      <c r="N170" s="822">
        <f t="shared" si="57"/>
        <v>0</v>
      </c>
      <c r="O170" s="822">
        <f t="shared" si="58"/>
        <v>0</v>
      </c>
      <c r="P170" s="823">
        <f>(O170/O273)*100</f>
        <v>0</v>
      </c>
      <c r="Q170" s="824">
        <v>0.23</v>
      </c>
      <c r="R170" s="823">
        <f t="shared" si="59"/>
        <v>0</v>
      </c>
      <c r="S170" s="564"/>
      <c r="T170" s="569"/>
      <c r="U170" s="2569"/>
      <c r="W170" s="566">
        <f t="shared" si="60"/>
        <v>0</v>
      </c>
      <c r="X170" s="566">
        <f t="shared" si="35"/>
        <v>0</v>
      </c>
      <c r="Y170" s="566">
        <f t="shared" si="36"/>
        <v>0</v>
      </c>
      <c r="Z170" s="566">
        <f t="shared" si="37"/>
        <v>0</v>
      </c>
      <c r="AA170" s="566">
        <f t="shared" si="38"/>
        <v>0</v>
      </c>
      <c r="AB170" s="566">
        <f t="shared" si="39"/>
        <v>0</v>
      </c>
      <c r="AC170" s="566">
        <f t="shared" si="40"/>
        <v>0</v>
      </c>
      <c r="AD170" s="566">
        <f t="shared" si="41"/>
        <v>0</v>
      </c>
      <c r="AE170" s="566">
        <f t="shared" si="42"/>
        <v>0</v>
      </c>
      <c r="AF170" s="566">
        <f t="shared" si="43"/>
        <v>0</v>
      </c>
      <c r="AG170" s="573"/>
    </row>
    <row r="171" spans="1:33" customFormat="1" ht="25.15" customHeight="1">
      <c r="A171" s="543">
        <v>17</v>
      </c>
      <c r="B171" s="546"/>
      <c r="C171" s="821" t="s">
        <v>1425</v>
      </c>
      <c r="D171" s="542"/>
      <c r="E171" s="542"/>
      <c r="F171" s="542"/>
      <c r="G171" s="542"/>
      <c r="H171" s="542"/>
      <c r="I171" s="542"/>
      <c r="J171" s="542"/>
      <c r="K171" s="542"/>
      <c r="L171" s="542"/>
      <c r="M171" s="542"/>
      <c r="N171" s="822">
        <f t="shared" si="57"/>
        <v>0</v>
      </c>
      <c r="O171" s="822">
        <f t="shared" si="58"/>
        <v>0</v>
      </c>
      <c r="P171" s="823">
        <f>(O171/O273)*100</f>
        <v>0</v>
      </c>
      <c r="Q171" s="824">
        <v>0.32700000000000001</v>
      </c>
      <c r="R171" s="823">
        <f t="shared" si="59"/>
        <v>0</v>
      </c>
      <c r="S171" s="564"/>
      <c r="T171" s="569"/>
      <c r="U171" s="2569"/>
      <c r="W171" s="566">
        <f t="shared" si="60"/>
        <v>0</v>
      </c>
      <c r="X171" s="566">
        <f t="shared" si="35"/>
        <v>0</v>
      </c>
      <c r="Y171" s="566">
        <f t="shared" si="36"/>
        <v>0</v>
      </c>
      <c r="Z171" s="566">
        <f t="shared" si="37"/>
        <v>0</v>
      </c>
      <c r="AA171" s="566">
        <f t="shared" si="38"/>
        <v>0</v>
      </c>
      <c r="AB171" s="566">
        <f t="shared" si="39"/>
        <v>0</v>
      </c>
      <c r="AC171" s="566">
        <f t="shared" si="40"/>
        <v>0</v>
      </c>
      <c r="AD171" s="566">
        <f t="shared" si="41"/>
        <v>0</v>
      </c>
      <c r="AE171" s="566">
        <f t="shared" si="42"/>
        <v>0</v>
      </c>
      <c r="AF171" s="566">
        <f t="shared" si="43"/>
        <v>0</v>
      </c>
      <c r="AG171" s="573"/>
    </row>
    <row r="172" spans="1:33" customFormat="1" ht="25.15" customHeight="1">
      <c r="A172" s="543">
        <v>18</v>
      </c>
      <c r="B172" s="546"/>
      <c r="C172" s="821" t="s">
        <v>1426</v>
      </c>
      <c r="D172" s="542"/>
      <c r="E172" s="542"/>
      <c r="F172" s="542"/>
      <c r="G172" s="542"/>
      <c r="H172" s="542"/>
      <c r="I172" s="542"/>
      <c r="J172" s="542"/>
      <c r="K172" s="542"/>
      <c r="L172" s="542"/>
      <c r="M172" s="542"/>
      <c r="N172" s="822">
        <f t="shared" si="57"/>
        <v>0</v>
      </c>
      <c r="O172" s="822">
        <f t="shared" si="58"/>
        <v>0</v>
      </c>
      <c r="P172" s="823">
        <f>(O172/O273)*100</f>
        <v>0</v>
      </c>
      <c r="Q172" s="824">
        <v>0.28599999999999998</v>
      </c>
      <c r="R172" s="823">
        <f t="shared" si="59"/>
        <v>0</v>
      </c>
      <c r="S172" s="564"/>
      <c r="T172" s="569"/>
      <c r="U172" s="2569"/>
      <c r="W172" s="566">
        <f t="shared" si="60"/>
        <v>0</v>
      </c>
      <c r="X172" s="566">
        <f t="shared" si="35"/>
        <v>0</v>
      </c>
      <c r="Y172" s="566">
        <f t="shared" si="36"/>
        <v>0</v>
      </c>
      <c r="Z172" s="566">
        <f t="shared" si="37"/>
        <v>0</v>
      </c>
      <c r="AA172" s="566">
        <f t="shared" si="38"/>
        <v>0</v>
      </c>
      <c r="AB172" s="566">
        <f t="shared" si="39"/>
        <v>0</v>
      </c>
      <c r="AC172" s="566">
        <f t="shared" si="40"/>
        <v>0</v>
      </c>
      <c r="AD172" s="566">
        <f t="shared" si="41"/>
        <v>0</v>
      </c>
      <c r="AE172" s="566">
        <f t="shared" si="42"/>
        <v>0</v>
      </c>
      <c r="AF172" s="566">
        <f t="shared" si="43"/>
        <v>0</v>
      </c>
      <c r="AG172" s="573"/>
    </row>
    <row r="173" spans="1:33" customFormat="1" ht="25.15" customHeight="1">
      <c r="A173" s="543">
        <v>19</v>
      </c>
      <c r="B173" s="546"/>
      <c r="C173" s="678" t="s">
        <v>1427</v>
      </c>
      <c r="D173" s="542"/>
      <c r="E173" s="542"/>
      <c r="F173" s="542"/>
      <c r="G173" s="542"/>
      <c r="H173" s="542"/>
      <c r="I173" s="542"/>
      <c r="J173" s="542"/>
      <c r="K173" s="542"/>
      <c r="L173" s="542"/>
      <c r="M173" s="542"/>
      <c r="N173" s="822">
        <f t="shared" si="57"/>
        <v>0</v>
      </c>
      <c r="O173" s="822">
        <f t="shared" si="58"/>
        <v>0</v>
      </c>
      <c r="P173" s="823">
        <f>(O173/O273)*100</f>
        <v>0</v>
      </c>
      <c r="Q173" s="824"/>
      <c r="R173" s="823">
        <f t="shared" si="59"/>
        <v>0</v>
      </c>
      <c r="S173" s="564"/>
      <c r="T173" s="569"/>
      <c r="U173" s="2569"/>
      <c r="W173" s="566">
        <f t="shared" si="60"/>
        <v>0</v>
      </c>
      <c r="X173" s="566">
        <f t="shared" si="35"/>
        <v>0</v>
      </c>
      <c r="Y173" s="566">
        <f t="shared" si="36"/>
        <v>0</v>
      </c>
      <c r="Z173" s="566">
        <f t="shared" si="37"/>
        <v>0</v>
      </c>
      <c r="AA173" s="566">
        <f t="shared" si="38"/>
        <v>0</v>
      </c>
      <c r="AB173" s="566">
        <f t="shared" si="39"/>
        <v>0</v>
      </c>
      <c r="AC173" s="566">
        <f t="shared" si="40"/>
        <v>0</v>
      </c>
      <c r="AD173" s="566">
        <f t="shared" si="41"/>
        <v>0</v>
      </c>
      <c r="AE173" s="566">
        <f t="shared" si="42"/>
        <v>0</v>
      </c>
      <c r="AF173" s="566">
        <f t="shared" si="43"/>
        <v>0</v>
      </c>
      <c r="AG173" s="573"/>
    </row>
    <row r="174" spans="1:33" customFormat="1" ht="25.15" customHeight="1">
      <c r="A174" s="543">
        <v>20</v>
      </c>
      <c r="B174" s="546"/>
      <c r="C174" s="821" t="s">
        <v>1428</v>
      </c>
      <c r="D174" s="542"/>
      <c r="E174" s="542"/>
      <c r="F174" s="542"/>
      <c r="G174" s="542"/>
      <c r="H174" s="542"/>
      <c r="I174" s="542"/>
      <c r="J174" s="542"/>
      <c r="K174" s="542"/>
      <c r="L174" s="542"/>
      <c r="M174" s="542"/>
      <c r="N174" s="822">
        <f t="shared" si="57"/>
        <v>0</v>
      </c>
      <c r="O174" s="822">
        <f t="shared" si="58"/>
        <v>0</v>
      </c>
      <c r="P174" s="823">
        <f>(O174/O273)*100</f>
        <v>0</v>
      </c>
      <c r="Q174" s="824">
        <v>0.74299999999999999</v>
      </c>
      <c r="R174" s="823">
        <f t="shared" si="59"/>
        <v>0</v>
      </c>
      <c r="S174" s="697">
        <v>13000</v>
      </c>
      <c r="T174" s="569"/>
      <c r="U174" s="2569"/>
      <c r="W174" s="566">
        <f t="shared" si="60"/>
        <v>0</v>
      </c>
      <c r="X174" s="566">
        <f t="shared" si="35"/>
        <v>0</v>
      </c>
      <c r="Y174" s="566">
        <f t="shared" si="36"/>
        <v>0</v>
      </c>
      <c r="Z174" s="566">
        <f t="shared" si="37"/>
        <v>0</v>
      </c>
      <c r="AA174" s="566">
        <f t="shared" si="38"/>
        <v>0</v>
      </c>
      <c r="AB174" s="566">
        <f t="shared" si="39"/>
        <v>0</v>
      </c>
      <c r="AC174" s="566">
        <f t="shared" si="40"/>
        <v>0</v>
      </c>
      <c r="AD174" s="566">
        <f t="shared" si="41"/>
        <v>0</v>
      </c>
      <c r="AE174" s="566">
        <f t="shared" si="42"/>
        <v>0</v>
      </c>
      <c r="AF174" s="566">
        <f t="shared" si="43"/>
        <v>0</v>
      </c>
      <c r="AG174" s="573"/>
    </row>
    <row r="175" spans="1:33" customFormat="1" ht="25.15" customHeight="1">
      <c r="A175" s="543">
        <v>21</v>
      </c>
      <c r="B175" s="546"/>
      <c r="C175" s="821" t="s">
        <v>1429</v>
      </c>
      <c r="D175" s="542"/>
      <c r="E175" s="542"/>
      <c r="F175" s="542"/>
      <c r="G175" s="542"/>
      <c r="H175" s="542"/>
      <c r="I175" s="542"/>
      <c r="J175" s="542"/>
      <c r="K175" s="542"/>
      <c r="L175" s="542"/>
      <c r="M175" s="542"/>
      <c r="N175" s="822">
        <f t="shared" si="57"/>
        <v>0</v>
      </c>
      <c r="O175" s="822">
        <f t="shared" si="58"/>
        <v>0</v>
      </c>
      <c r="P175" s="823">
        <f>(O175/O273)*100</f>
        <v>0</v>
      </c>
      <c r="Q175" s="824">
        <v>0.70399999999999996</v>
      </c>
      <c r="R175" s="823">
        <f t="shared" si="59"/>
        <v>0</v>
      </c>
      <c r="S175" s="697">
        <v>15000</v>
      </c>
      <c r="T175" s="569"/>
      <c r="U175" s="2569"/>
      <c r="W175" s="566">
        <f t="shared" si="60"/>
        <v>0</v>
      </c>
      <c r="X175" s="566">
        <f t="shared" si="35"/>
        <v>0</v>
      </c>
      <c r="Y175" s="566">
        <f t="shared" si="36"/>
        <v>0</v>
      </c>
      <c r="Z175" s="566">
        <f t="shared" si="37"/>
        <v>0</v>
      </c>
      <c r="AA175" s="566">
        <f t="shared" si="38"/>
        <v>0</v>
      </c>
      <c r="AB175" s="566">
        <f t="shared" si="39"/>
        <v>0</v>
      </c>
      <c r="AC175" s="566">
        <f t="shared" si="40"/>
        <v>0</v>
      </c>
      <c r="AD175" s="566">
        <f t="shared" si="41"/>
        <v>0</v>
      </c>
      <c r="AE175" s="566">
        <f t="shared" si="42"/>
        <v>0</v>
      </c>
      <c r="AF175" s="566">
        <f t="shared" si="43"/>
        <v>0</v>
      </c>
      <c r="AG175" s="573"/>
    </row>
    <row r="176" spans="1:33" customFormat="1" ht="25.15" customHeight="1">
      <c r="A176" s="543">
        <v>22</v>
      </c>
      <c r="B176" s="546"/>
      <c r="C176" s="821" t="s">
        <v>1430</v>
      </c>
      <c r="D176" s="542"/>
      <c r="E176" s="542"/>
      <c r="F176" s="542"/>
      <c r="G176" s="542"/>
      <c r="H176" s="542"/>
      <c r="I176" s="542"/>
      <c r="J176" s="542"/>
      <c r="K176" s="542"/>
      <c r="L176" s="542"/>
      <c r="M176" s="542"/>
      <c r="N176" s="822">
        <f t="shared" si="57"/>
        <v>0</v>
      </c>
      <c r="O176" s="822">
        <f t="shared" si="58"/>
        <v>0</v>
      </c>
      <c r="P176" s="823">
        <f>(O176/O273)*100</f>
        <v>0</v>
      </c>
      <c r="Q176" s="824">
        <v>0.58399999999999996</v>
      </c>
      <c r="R176" s="823">
        <f t="shared" si="59"/>
        <v>0</v>
      </c>
      <c r="S176" s="697">
        <v>21000</v>
      </c>
      <c r="T176" s="569"/>
      <c r="U176" s="2569"/>
      <c r="W176" s="566">
        <f t="shared" si="60"/>
        <v>0</v>
      </c>
      <c r="X176" s="566">
        <f t="shared" si="35"/>
        <v>0</v>
      </c>
      <c r="Y176" s="566">
        <f t="shared" si="36"/>
        <v>0</v>
      </c>
      <c r="Z176" s="566">
        <f t="shared" si="37"/>
        <v>0</v>
      </c>
      <c r="AA176" s="566">
        <f t="shared" si="38"/>
        <v>0</v>
      </c>
      <c r="AB176" s="566">
        <f t="shared" si="39"/>
        <v>0</v>
      </c>
      <c r="AC176" s="566">
        <f t="shared" si="40"/>
        <v>0</v>
      </c>
      <c r="AD176" s="566">
        <f t="shared" si="41"/>
        <v>0</v>
      </c>
      <c r="AE176" s="566">
        <f t="shared" si="42"/>
        <v>0</v>
      </c>
      <c r="AF176" s="566">
        <f t="shared" si="43"/>
        <v>0</v>
      </c>
      <c r="AG176" s="573"/>
    </row>
    <row r="177" spans="1:33" customFormat="1" ht="25.15" customHeight="1">
      <c r="A177" s="543">
        <v>23</v>
      </c>
      <c r="B177" s="546"/>
      <c r="C177" s="678" t="s">
        <v>1431</v>
      </c>
      <c r="D177" s="542"/>
      <c r="E177" s="542"/>
      <c r="F177" s="542"/>
      <c r="G177" s="542"/>
      <c r="H177" s="542"/>
      <c r="I177" s="542"/>
      <c r="J177" s="542"/>
      <c r="K177" s="542"/>
      <c r="L177" s="542"/>
      <c r="M177" s="542"/>
      <c r="N177" s="822">
        <f t="shared" si="48"/>
        <v>0</v>
      </c>
      <c r="O177" s="822">
        <f t="shared" si="49"/>
        <v>0</v>
      </c>
      <c r="P177" s="823">
        <f>(O177/O273)*100</f>
        <v>0</v>
      </c>
      <c r="Q177" s="824">
        <v>0.60599999999999998</v>
      </c>
      <c r="R177" s="823">
        <f t="shared" si="50"/>
        <v>0</v>
      </c>
      <c r="S177" s="564">
        <v>12000</v>
      </c>
      <c r="T177" s="569"/>
      <c r="U177" s="2569"/>
      <c r="W177" s="566">
        <f t="shared" si="51"/>
        <v>0</v>
      </c>
      <c r="X177" s="566">
        <f t="shared" si="35"/>
        <v>0</v>
      </c>
      <c r="Y177" s="566">
        <f t="shared" si="36"/>
        <v>0</v>
      </c>
      <c r="Z177" s="566">
        <f t="shared" si="37"/>
        <v>0</v>
      </c>
      <c r="AA177" s="566">
        <f t="shared" si="38"/>
        <v>0</v>
      </c>
      <c r="AB177" s="566">
        <f t="shared" si="39"/>
        <v>0</v>
      </c>
      <c r="AC177" s="566">
        <f t="shared" si="40"/>
        <v>0</v>
      </c>
      <c r="AD177" s="566">
        <f t="shared" si="41"/>
        <v>0</v>
      </c>
      <c r="AE177" s="566">
        <f t="shared" si="42"/>
        <v>0</v>
      </c>
      <c r="AF177" s="566">
        <f t="shared" si="43"/>
        <v>0</v>
      </c>
      <c r="AG177" s="573"/>
    </row>
    <row r="178" spans="1:33" customFormat="1" ht="25.15" customHeight="1">
      <c r="A178" s="543">
        <v>24</v>
      </c>
      <c r="B178" s="546"/>
      <c r="C178" s="678" t="s">
        <v>1432</v>
      </c>
      <c r="D178" s="542"/>
      <c r="E178" s="542"/>
      <c r="F178" s="542"/>
      <c r="G178" s="542"/>
      <c r="H178" s="542"/>
      <c r="I178" s="542"/>
      <c r="J178" s="542"/>
      <c r="K178" s="542"/>
      <c r="L178" s="542"/>
      <c r="M178" s="542"/>
      <c r="N178" s="554">
        <f t="shared" si="48"/>
        <v>0</v>
      </c>
      <c r="O178" s="554">
        <f t="shared" si="49"/>
        <v>0</v>
      </c>
      <c r="P178" s="555">
        <f>(O178/O273)*100</f>
        <v>0</v>
      </c>
      <c r="Q178" s="570">
        <v>0.79200000000000004</v>
      </c>
      <c r="R178" s="555">
        <f t="shared" si="50"/>
        <v>0</v>
      </c>
      <c r="S178" s="564">
        <v>13000</v>
      </c>
      <c r="T178" s="569"/>
      <c r="U178" s="2569"/>
      <c r="W178" s="566">
        <f t="shared" si="51"/>
        <v>0</v>
      </c>
      <c r="X178" s="566">
        <f t="shared" si="35"/>
        <v>0</v>
      </c>
      <c r="Y178" s="566">
        <f t="shared" si="36"/>
        <v>0</v>
      </c>
      <c r="Z178" s="566">
        <f t="shared" si="37"/>
        <v>0</v>
      </c>
      <c r="AA178" s="566">
        <f t="shared" si="38"/>
        <v>0</v>
      </c>
      <c r="AB178" s="566">
        <f t="shared" si="39"/>
        <v>0</v>
      </c>
      <c r="AC178" s="566">
        <f t="shared" si="40"/>
        <v>0</v>
      </c>
      <c r="AD178" s="566">
        <f t="shared" si="41"/>
        <v>0</v>
      </c>
      <c r="AE178" s="566">
        <f t="shared" si="42"/>
        <v>0</v>
      </c>
      <c r="AF178" s="566">
        <f t="shared" si="43"/>
        <v>0</v>
      </c>
      <c r="AG178" s="573"/>
    </row>
    <row r="179" spans="1:33" customFormat="1" ht="25.15" customHeight="1">
      <c r="A179" s="543">
        <v>25</v>
      </c>
      <c r="B179" s="546"/>
      <c r="C179" s="678" t="s">
        <v>1433</v>
      </c>
      <c r="D179" s="542"/>
      <c r="E179" s="542"/>
      <c r="F179" s="542"/>
      <c r="G179" s="542"/>
      <c r="H179" s="542"/>
      <c r="I179" s="542"/>
      <c r="J179" s="542"/>
      <c r="K179" s="542"/>
      <c r="L179" s="542"/>
      <c r="M179" s="542"/>
      <c r="N179" s="554">
        <f t="shared" si="48"/>
        <v>0</v>
      </c>
      <c r="O179" s="554">
        <f t="shared" si="49"/>
        <v>0</v>
      </c>
      <c r="P179" s="555">
        <f>(O179/O273)*100</f>
        <v>0</v>
      </c>
      <c r="Q179" s="570">
        <v>0.74</v>
      </c>
      <c r="R179" s="555">
        <f t="shared" si="50"/>
        <v>0</v>
      </c>
      <c r="S179" s="564">
        <v>10000</v>
      </c>
      <c r="T179" s="569"/>
      <c r="U179" s="2569"/>
      <c r="W179" s="566">
        <f t="shared" si="51"/>
        <v>0</v>
      </c>
      <c r="X179" s="566">
        <f t="shared" si="35"/>
        <v>0</v>
      </c>
      <c r="Y179" s="566">
        <f t="shared" si="36"/>
        <v>0</v>
      </c>
      <c r="Z179" s="566">
        <f t="shared" si="37"/>
        <v>0</v>
      </c>
      <c r="AA179" s="566">
        <f t="shared" si="38"/>
        <v>0</v>
      </c>
      <c r="AB179" s="566">
        <f t="shared" si="39"/>
        <v>0</v>
      </c>
      <c r="AC179" s="566">
        <f t="shared" si="40"/>
        <v>0</v>
      </c>
      <c r="AD179" s="566">
        <f t="shared" si="41"/>
        <v>0</v>
      </c>
      <c r="AE179" s="566">
        <f t="shared" si="42"/>
        <v>0</v>
      </c>
      <c r="AF179" s="566">
        <f t="shared" si="43"/>
        <v>0</v>
      </c>
      <c r="AG179" s="573"/>
    </row>
    <row r="180" spans="1:33" customFormat="1" ht="25.15" customHeight="1">
      <c r="A180" s="543">
        <v>26</v>
      </c>
      <c r="B180" s="546"/>
      <c r="C180" s="678" t="s">
        <v>1434</v>
      </c>
      <c r="D180" s="542"/>
      <c r="E180" s="542">
        <v>2</v>
      </c>
      <c r="F180" s="542"/>
      <c r="G180" s="542"/>
      <c r="H180" s="542"/>
      <c r="I180" s="542"/>
      <c r="J180" s="542"/>
      <c r="K180" s="542"/>
      <c r="L180" s="542"/>
      <c r="M180" s="542"/>
      <c r="N180" s="554">
        <f t="shared" si="48"/>
        <v>2</v>
      </c>
      <c r="O180" s="554">
        <f t="shared" si="49"/>
        <v>0</v>
      </c>
      <c r="P180" s="555">
        <f>(O180/O273)*100</f>
        <v>0</v>
      </c>
      <c r="Q180" s="570"/>
      <c r="R180" s="555">
        <f t="shared" si="50"/>
        <v>0</v>
      </c>
      <c r="S180" s="564">
        <v>0</v>
      </c>
      <c r="T180" s="569"/>
      <c r="U180" s="2569"/>
      <c r="W180" s="566">
        <f t="shared" si="51"/>
        <v>0</v>
      </c>
      <c r="X180" s="566">
        <f t="shared" si="35"/>
        <v>0</v>
      </c>
      <c r="Y180" s="566">
        <f t="shared" si="36"/>
        <v>0</v>
      </c>
      <c r="Z180" s="566">
        <f t="shared" si="37"/>
        <v>0</v>
      </c>
      <c r="AA180" s="566">
        <f t="shared" si="38"/>
        <v>0</v>
      </c>
      <c r="AB180" s="566">
        <f t="shared" si="39"/>
        <v>0</v>
      </c>
      <c r="AC180" s="566">
        <f t="shared" si="40"/>
        <v>0</v>
      </c>
      <c r="AD180" s="566">
        <f t="shared" si="41"/>
        <v>0</v>
      </c>
      <c r="AE180" s="566">
        <f t="shared" si="42"/>
        <v>0</v>
      </c>
      <c r="AF180" s="566">
        <f t="shared" si="43"/>
        <v>0</v>
      </c>
      <c r="AG180" s="573"/>
    </row>
    <row r="181" spans="1:33" customFormat="1" ht="25.15" customHeight="1">
      <c r="A181" s="543">
        <v>27</v>
      </c>
      <c r="B181" s="546"/>
      <c r="C181" s="678" t="s">
        <v>1435</v>
      </c>
      <c r="D181" s="542"/>
      <c r="E181" s="542">
        <v>2</v>
      </c>
      <c r="F181" s="542"/>
      <c r="G181" s="542"/>
      <c r="H181" s="542"/>
      <c r="I181" s="542"/>
      <c r="J181" s="542"/>
      <c r="K181" s="542"/>
      <c r="L181" s="542"/>
      <c r="M181" s="542"/>
      <c r="N181" s="554">
        <f t="shared" si="48"/>
        <v>2</v>
      </c>
      <c r="O181" s="554">
        <f t="shared" si="49"/>
        <v>0</v>
      </c>
      <c r="P181" s="555">
        <f>(O181/O273)*100</f>
        <v>0</v>
      </c>
      <c r="Q181" s="570"/>
      <c r="R181" s="555">
        <f t="shared" si="50"/>
        <v>0</v>
      </c>
      <c r="S181" s="564">
        <v>0</v>
      </c>
      <c r="T181" s="569"/>
      <c r="U181" s="2569"/>
      <c r="W181" s="566">
        <f t="shared" si="51"/>
        <v>0</v>
      </c>
      <c r="X181" s="566">
        <f t="shared" si="35"/>
        <v>0</v>
      </c>
      <c r="Y181" s="566">
        <f t="shared" si="36"/>
        <v>0</v>
      </c>
      <c r="Z181" s="566">
        <f t="shared" si="37"/>
        <v>0</v>
      </c>
      <c r="AA181" s="566">
        <f t="shared" si="38"/>
        <v>0</v>
      </c>
      <c r="AB181" s="566">
        <f t="shared" si="39"/>
        <v>0</v>
      </c>
      <c r="AC181" s="566">
        <f t="shared" si="40"/>
        <v>0</v>
      </c>
      <c r="AD181" s="566">
        <f t="shared" si="41"/>
        <v>0</v>
      </c>
      <c r="AE181" s="566">
        <f t="shared" si="42"/>
        <v>0</v>
      </c>
      <c r="AF181" s="566">
        <f t="shared" si="43"/>
        <v>0</v>
      </c>
      <c r="AG181" s="573"/>
    </row>
    <row r="182" spans="1:33" customFormat="1" ht="25.15" customHeight="1">
      <c r="A182" s="543">
        <v>28</v>
      </c>
      <c r="B182" s="546"/>
      <c r="C182" s="678" t="s">
        <v>1436</v>
      </c>
      <c r="D182" s="542">
        <v>16</v>
      </c>
      <c r="E182" s="542">
        <v>30</v>
      </c>
      <c r="F182" s="542">
        <v>18</v>
      </c>
      <c r="G182" s="542">
        <v>31</v>
      </c>
      <c r="H182" s="542">
        <v>15</v>
      </c>
      <c r="I182" s="542">
        <v>17</v>
      </c>
      <c r="J182" s="542">
        <v>64</v>
      </c>
      <c r="K182" s="542"/>
      <c r="L182" s="542"/>
      <c r="M182" s="542"/>
      <c r="N182" s="554">
        <f t="shared" si="48"/>
        <v>191</v>
      </c>
      <c r="O182" s="554">
        <f t="shared" si="49"/>
        <v>0</v>
      </c>
      <c r="P182" s="555">
        <f>(O182/O273)*100</f>
        <v>0</v>
      </c>
      <c r="Q182" s="570"/>
      <c r="R182" s="555">
        <f t="shared" si="50"/>
        <v>0</v>
      </c>
      <c r="S182" s="564">
        <v>0</v>
      </c>
      <c r="T182" s="569"/>
      <c r="U182" s="2569"/>
      <c r="W182" s="566">
        <f t="shared" si="51"/>
        <v>0</v>
      </c>
      <c r="X182" s="566">
        <f t="shared" si="35"/>
        <v>0</v>
      </c>
      <c r="Y182" s="566">
        <f t="shared" si="36"/>
        <v>0</v>
      </c>
      <c r="Z182" s="566">
        <f t="shared" si="37"/>
        <v>0</v>
      </c>
      <c r="AA182" s="566">
        <f t="shared" si="38"/>
        <v>0</v>
      </c>
      <c r="AB182" s="566">
        <f t="shared" si="39"/>
        <v>0</v>
      </c>
      <c r="AC182" s="566">
        <f t="shared" si="40"/>
        <v>0</v>
      </c>
      <c r="AD182" s="566">
        <f t="shared" si="41"/>
        <v>0</v>
      </c>
      <c r="AE182" s="566">
        <f t="shared" si="42"/>
        <v>0</v>
      </c>
      <c r="AF182" s="566">
        <f t="shared" si="43"/>
        <v>0</v>
      </c>
      <c r="AG182" s="573"/>
    </row>
    <row r="183" spans="1:33" customFormat="1" ht="25.15" customHeight="1">
      <c r="A183" s="543">
        <v>29</v>
      </c>
      <c r="B183" s="546"/>
      <c r="C183" s="678" t="s">
        <v>1437</v>
      </c>
      <c r="D183" s="542"/>
      <c r="E183" s="542"/>
      <c r="F183" s="542"/>
      <c r="G183" s="542">
        <v>4</v>
      </c>
      <c r="H183" s="542"/>
      <c r="I183" s="542"/>
      <c r="J183" s="542"/>
      <c r="K183" s="542"/>
      <c r="L183" s="542"/>
      <c r="M183" s="542"/>
      <c r="N183" s="554">
        <f t="shared" si="48"/>
        <v>4</v>
      </c>
      <c r="O183" s="554">
        <f t="shared" si="49"/>
        <v>0</v>
      </c>
      <c r="P183" s="555">
        <f>(O183/O273)*100</f>
        <v>0</v>
      </c>
      <c r="Q183" s="570"/>
      <c r="R183" s="555">
        <f t="shared" si="50"/>
        <v>0</v>
      </c>
      <c r="S183" s="564">
        <v>0</v>
      </c>
      <c r="T183" s="569"/>
      <c r="U183" s="2569"/>
      <c r="W183" s="566">
        <f t="shared" si="51"/>
        <v>0</v>
      </c>
      <c r="X183" s="566">
        <f t="shared" si="35"/>
        <v>0</v>
      </c>
      <c r="Y183" s="566">
        <f t="shared" si="36"/>
        <v>0</v>
      </c>
      <c r="Z183" s="566">
        <f t="shared" si="37"/>
        <v>0</v>
      </c>
      <c r="AA183" s="566">
        <f t="shared" si="38"/>
        <v>0</v>
      </c>
      <c r="AB183" s="566">
        <f t="shared" si="39"/>
        <v>0</v>
      </c>
      <c r="AC183" s="566">
        <f t="shared" si="40"/>
        <v>0</v>
      </c>
      <c r="AD183" s="566">
        <f t="shared" si="41"/>
        <v>0</v>
      </c>
      <c r="AE183" s="566">
        <f t="shared" si="42"/>
        <v>0</v>
      </c>
      <c r="AF183" s="566">
        <f t="shared" si="43"/>
        <v>0</v>
      </c>
      <c r="AG183" s="573"/>
    </row>
    <row r="184" spans="1:33" customFormat="1" ht="25.15" customHeight="1">
      <c r="A184" s="543">
        <v>30</v>
      </c>
      <c r="B184" s="546"/>
      <c r="C184" s="678" t="s">
        <v>1438</v>
      </c>
      <c r="D184" s="542"/>
      <c r="E184" s="542"/>
      <c r="F184" s="542"/>
      <c r="G184" s="542"/>
      <c r="H184" s="542"/>
      <c r="I184" s="542"/>
      <c r="J184" s="542"/>
      <c r="K184" s="542"/>
      <c r="L184" s="542"/>
      <c r="M184" s="542"/>
      <c r="N184" s="554">
        <f t="shared" si="48"/>
        <v>0</v>
      </c>
      <c r="O184" s="554">
        <f t="shared" si="49"/>
        <v>0</v>
      </c>
      <c r="P184" s="555">
        <f>(O184/O273)*100</f>
        <v>0</v>
      </c>
      <c r="Q184" s="570"/>
      <c r="R184" s="555">
        <f t="shared" si="50"/>
        <v>0</v>
      </c>
      <c r="S184" s="564"/>
      <c r="T184" s="569"/>
      <c r="U184" s="2569"/>
      <c r="W184" s="566">
        <f t="shared" si="51"/>
        <v>0</v>
      </c>
      <c r="X184" s="566">
        <f t="shared" si="35"/>
        <v>0</v>
      </c>
      <c r="Y184" s="566">
        <f t="shared" si="36"/>
        <v>0</v>
      </c>
      <c r="Z184" s="566">
        <f t="shared" si="37"/>
        <v>0</v>
      </c>
      <c r="AA184" s="566">
        <f t="shared" si="38"/>
        <v>0</v>
      </c>
      <c r="AB184" s="566">
        <f t="shared" si="39"/>
        <v>0</v>
      </c>
      <c r="AC184" s="566">
        <f t="shared" si="40"/>
        <v>0</v>
      </c>
      <c r="AD184" s="566">
        <f t="shared" si="41"/>
        <v>0</v>
      </c>
      <c r="AE184" s="566">
        <f t="shared" si="42"/>
        <v>0</v>
      </c>
      <c r="AF184" s="566">
        <f t="shared" si="43"/>
        <v>0</v>
      </c>
      <c r="AG184" s="573"/>
    </row>
    <row r="185" spans="1:33" customFormat="1" ht="25.15" customHeight="1">
      <c r="A185" s="543">
        <v>31</v>
      </c>
      <c r="B185" s="546"/>
      <c r="C185" s="678" t="s">
        <v>1439</v>
      </c>
      <c r="D185" s="542"/>
      <c r="E185" s="542"/>
      <c r="F185" s="542"/>
      <c r="G185" s="542"/>
      <c r="H185" s="542"/>
      <c r="I185" s="542"/>
      <c r="J185" s="542"/>
      <c r="K185" s="542"/>
      <c r="L185" s="542"/>
      <c r="M185" s="542"/>
      <c r="N185" s="554">
        <f t="shared" si="48"/>
        <v>0</v>
      </c>
      <c r="O185" s="554">
        <f t="shared" si="49"/>
        <v>0</v>
      </c>
      <c r="P185" s="555">
        <f>(O185/O273)*100</f>
        <v>0</v>
      </c>
      <c r="Q185" s="570">
        <v>0.45300000000000001</v>
      </c>
      <c r="R185" s="555">
        <f t="shared" si="50"/>
        <v>0</v>
      </c>
      <c r="S185" s="564">
        <v>6000</v>
      </c>
      <c r="T185" s="569"/>
      <c r="U185" s="2569"/>
      <c r="W185" s="566">
        <f t="shared" si="51"/>
        <v>0</v>
      </c>
      <c r="X185" s="566">
        <f t="shared" si="35"/>
        <v>0</v>
      </c>
      <c r="Y185" s="566">
        <f t="shared" si="36"/>
        <v>0</v>
      </c>
      <c r="Z185" s="566">
        <f t="shared" si="37"/>
        <v>0</v>
      </c>
      <c r="AA185" s="566">
        <f t="shared" si="38"/>
        <v>0</v>
      </c>
      <c r="AB185" s="566">
        <f t="shared" si="39"/>
        <v>0</v>
      </c>
      <c r="AC185" s="566">
        <f t="shared" si="40"/>
        <v>0</v>
      </c>
      <c r="AD185" s="566">
        <f t="shared" si="41"/>
        <v>0</v>
      </c>
      <c r="AE185" s="566">
        <f t="shared" si="42"/>
        <v>0</v>
      </c>
      <c r="AF185" s="566">
        <f t="shared" si="43"/>
        <v>0</v>
      </c>
      <c r="AG185" s="573"/>
    </row>
    <row r="186" spans="1:33" customFormat="1" ht="25.15" customHeight="1">
      <c r="A186" s="543">
        <v>32</v>
      </c>
      <c r="B186" s="546"/>
      <c r="C186" s="678" t="s">
        <v>1440</v>
      </c>
      <c r="D186" s="542">
        <v>4</v>
      </c>
      <c r="E186" s="542">
        <v>1</v>
      </c>
      <c r="F186" s="542">
        <v>2</v>
      </c>
      <c r="G186" s="542">
        <v>2</v>
      </c>
      <c r="H186" s="542">
        <v>2</v>
      </c>
      <c r="I186" s="542">
        <v>3</v>
      </c>
      <c r="J186" s="542"/>
      <c r="K186" s="542"/>
      <c r="L186" s="542"/>
      <c r="M186" s="542"/>
      <c r="N186" s="554">
        <f t="shared" si="48"/>
        <v>14</v>
      </c>
      <c r="O186" s="554">
        <f t="shared" si="49"/>
        <v>98000</v>
      </c>
      <c r="P186" s="555">
        <f>(O186/O273)*100</f>
        <v>0.49189996360944099</v>
      </c>
      <c r="Q186" s="570">
        <v>0.45300000000000001</v>
      </c>
      <c r="R186" s="555">
        <f t="shared" si="50"/>
        <v>0.22283068351507701</v>
      </c>
      <c r="S186" s="564">
        <v>7000</v>
      </c>
      <c r="T186" s="569"/>
      <c r="U186" s="2569"/>
      <c r="W186" s="566">
        <f t="shared" si="51"/>
        <v>28000</v>
      </c>
      <c r="X186" s="566">
        <f t="shared" si="35"/>
        <v>7000</v>
      </c>
      <c r="Y186" s="566">
        <f t="shared" si="36"/>
        <v>14000</v>
      </c>
      <c r="Z186" s="566">
        <f t="shared" si="37"/>
        <v>14000</v>
      </c>
      <c r="AA186" s="566">
        <f t="shared" si="38"/>
        <v>14000</v>
      </c>
      <c r="AB186" s="566">
        <f t="shared" si="39"/>
        <v>21000</v>
      </c>
      <c r="AC186" s="566">
        <f t="shared" si="40"/>
        <v>0</v>
      </c>
      <c r="AD186" s="566">
        <f t="shared" si="41"/>
        <v>0</v>
      </c>
      <c r="AE186" s="566">
        <f t="shared" si="42"/>
        <v>0</v>
      </c>
      <c r="AF186" s="566">
        <f t="shared" si="43"/>
        <v>0</v>
      </c>
      <c r="AG186" s="573"/>
    </row>
    <row r="187" spans="1:33" customFormat="1" ht="25.15" customHeight="1">
      <c r="A187" s="543">
        <v>33</v>
      </c>
      <c r="B187" s="546"/>
      <c r="C187" s="678" t="s">
        <v>1441</v>
      </c>
      <c r="D187" s="542"/>
      <c r="E187" s="542"/>
      <c r="F187" s="542"/>
      <c r="G187" s="542"/>
      <c r="H187" s="542"/>
      <c r="I187" s="542"/>
      <c r="J187" s="542"/>
      <c r="K187" s="542"/>
      <c r="L187" s="542"/>
      <c r="M187" s="542"/>
      <c r="N187" s="554">
        <f t="shared" si="48"/>
        <v>0</v>
      </c>
      <c r="O187" s="554">
        <f t="shared" si="49"/>
        <v>0</v>
      </c>
      <c r="P187" s="555">
        <f>(O187/O273)*100</f>
        <v>0</v>
      </c>
      <c r="Q187" s="570"/>
      <c r="R187" s="555">
        <f t="shared" si="50"/>
        <v>0</v>
      </c>
      <c r="S187" s="564">
        <v>16250</v>
      </c>
      <c r="T187" s="569"/>
      <c r="U187" s="2569"/>
      <c r="W187" s="566">
        <f t="shared" si="51"/>
        <v>0</v>
      </c>
      <c r="X187" s="566">
        <f t="shared" si="35"/>
        <v>0</v>
      </c>
      <c r="Y187" s="566">
        <f t="shared" si="36"/>
        <v>0</v>
      </c>
      <c r="Z187" s="566">
        <f t="shared" si="37"/>
        <v>0</v>
      </c>
      <c r="AA187" s="566">
        <f t="shared" si="38"/>
        <v>0</v>
      </c>
      <c r="AB187" s="566">
        <f t="shared" si="39"/>
        <v>0</v>
      </c>
      <c r="AC187" s="566">
        <f t="shared" si="40"/>
        <v>0</v>
      </c>
      <c r="AD187" s="566">
        <f t="shared" si="41"/>
        <v>0</v>
      </c>
      <c r="AE187" s="566">
        <f t="shared" si="42"/>
        <v>0</v>
      </c>
      <c r="AF187" s="566">
        <f t="shared" si="43"/>
        <v>0</v>
      </c>
      <c r="AG187" s="573"/>
    </row>
    <row r="188" spans="1:33" customFormat="1" ht="25.15" customHeight="1">
      <c r="A188" s="543">
        <v>34</v>
      </c>
      <c r="B188" s="546"/>
      <c r="C188" s="678" t="s">
        <v>1442</v>
      </c>
      <c r="D188" s="542"/>
      <c r="E188" s="542"/>
      <c r="F188" s="542"/>
      <c r="G188" s="542"/>
      <c r="H188" s="542"/>
      <c r="I188" s="542"/>
      <c r="J188" s="542"/>
      <c r="K188" s="542"/>
      <c r="L188" s="542"/>
      <c r="M188" s="542"/>
      <c r="N188" s="554">
        <f t="shared" si="48"/>
        <v>0</v>
      </c>
      <c r="O188" s="554">
        <f t="shared" si="49"/>
        <v>0</v>
      </c>
      <c r="P188" s="555">
        <f>(O188/O273)*100</f>
        <v>0</v>
      </c>
      <c r="Q188" s="570"/>
      <c r="R188" s="555">
        <f t="shared" si="50"/>
        <v>0</v>
      </c>
      <c r="S188" s="564">
        <v>3000</v>
      </c>
      <c r="T188" s="569"/>
      <c r="U188" s="2569"/>
      <c r="W188" s="566">
        <f t="shared" si="51"/>
        <v>0</v>
      </c>
      <c r="X188" s="566">
        <f t="shared" si="35"/>
        <v>0</v>
      </c>
      <c r="Y188" s="566">
        <f t="shared" si="36"/>
        <v>0</v>
      </c>
      <c r="Z188" s="566">
        <f t="shared" si="37"/>
        <v>0</v>
      </c>
      <c r="AA188" s="566">
        <f t="shared" si="38"/>
        <v>0</v>
      </c>
      <c r="AB188" s="566">
        <f t="shared" si="39"/>
        <v>0</v>
      </c>
      <c r="AC188" s="566">
        <f t="shared" si="40"/>
        <v>0</v>
      </c>
      <c r="AD188" s="566">
        <f t="shared" si="41"/>
        <v>0</v>
      </c>
      <c r="AE188" s="566">
        <f t="shared" si="42"/>
        <v>0</v>
      </c>
      <c r="AF188" s="566">
        <f t="shared" si="43"/>
        <v>0</v>
      </c>
      <c r="AG188" s="573"/>
    </row>
    <row r="189" spans="1:33" customFormat="1" ht="25.15" customHeight="1">
      <c r="A189" s="543">
        <v>35</v>
      </c>
      <c r="B189" s="546"/>
      <c r="C189" s="678" t="s">
        <v>1443</v>
      </c>
      <c r="D189" s="542"/>
      <c r="E189" s="542"/>
      <c r="F189" s="542"/>
      <c r="G189" s="542"/>
      <c r="H189" s="542"/>
      <c r="I189" s="542"/>
      <c r="J189" s="542"/>
      <c r="K189" s="542"/>
      <c r="L189" s="542"/>
      <c r="M189" s="542"/>
      <c r="N189" s="554">
        <f t="shared" si="48"/>
        <v>0</v>
      </c>
      <c r="O189" s="554">
        <f t="shared" si="49"/>
        <v>0</v>
      </c>
      <c r="P189" s="555">
        <f>(O189/O273)*100</f>
        <v>0</v>
      </c>
      <c r="Q189" s="570"/>
      <c r="R189" s="555">
        <f t="shared" si="50"/>
        <v>0</v>
      </c>
      <c r="S189" s="564"/>
      <c r="T189" s="569"/>
      <c r="U189" s="2569"/>
      <c r="W189" s="566">
        <f t="shared" si="51"/>
        <v>0</v>
      </c>
      <c r="X189" s="566">
        <f t="shared" si="35"/>
        <v>0</v>
      </c>
      <c r="Y189" s="566">
        <f t="shared" si="36"/>
        <v>0</v>
      </c>
      <c r="Z189" s="566">
        <f t="shared" si="37"/>
        <v>0</v>
      </c>
      <c r="AA189" s="566">
        <f t="shared" si="38"/>
        <v>0</v>
      </c>
      <c r="AB189" s="566">
        <f t="shared" si="39"/>
        <v>0</v>
      </c>
      <c r="AC189" s="566">
        <f t="shared" si="40"/>
        <v>0</v>
      </c>
      <c r="AD189" s="566">
        <f t="shared" si="41"/>
        <v>0</v>
      </c>
      <c r="AE189" s="566">
        <f t="shared" si="42"/>
        <v>0</v>
      </c>
      <c r="AF189" s="566">
        <f t="shared" si="43"/>
        <v>0</v>
      </c>
      <c r="AG189" s="573"/>
    </row>
    <row r="190" spans="1:33" customFormat="1" ht="25.15" customHeight="1">
      <c r="A190" s="543">
        <v>36</v>
      </c>
      <c r="B190" s="546"/>
      <c r="C190" s="678" t="s">
        <v>1444</v>
      </c>
      <c r="D190" s="542"/>
      <c r="E190" s="542"/>
      <c r="F190" s="542"/>
      <c r="G190" s="542"/>
      <c r="H190" s="542"/>
      <c r="I190" s="542"/>
      <c r="J190" s="542"/>
      <c r="K190" s="542"/>
      <c r="L190" s="542"/>
      <c r="M190" s="542"/>
      <c r="N190" s="554">
        <f t="shared" si="48"/>
        <v>0</v>
      </c>
      <c r="O190" s="554">
        <f t="shared" si="49"/>
        <v>0</v>
      </c>
      <c r="P190" s="555">
        <f>(O190/O273)*100</f>
        <v>0</v>
      </c>
      <c r="Q190" s="570"/>
      <c r="R190" s="555">
        <f t="shared" si="50"/>
        <v>0</v>
      </c>
      <c r="S190" s="564">
        <v>7000</v>
      </c>
      <c r="T190" s="569"/>
      <c r="U190" s="2569"/>
      <c r="W190" s="566">
        <f t="shared" si="51"/>
        <v>0</v>
      </c>
      <c r="X190" s="566">
        <f t="shared" si="35"/>
        <v>0</v>
      </c>
      <c r="Y190" s="566">
        <f t="shared" si="36"/>
        <v>0</v>
      </c>
      <c r="Z190" s="566">
        <f t="shared" si="37"/>
        <v>0</v>
      </c>
      <c r="AA190" s="566">
        <f t="shared" si="38"/>
        <v>0</v>
      </c>
      <c r="AB190" s="566">
        <f t="shared" si="39"/>
        <v>0</v>
      </c>
      <c r="AC190" s="566">
        <f t="shared" si="40"/>
        <v>0</v>
      </c>
      <c r="AD190" s="566">
        <f t="shared" si="41"/>
        <v>0</v>
      </c>
      <c r="AE190" s="566">
        <f t="shared" si="42"/>
        <v>0</v>
      </c>
      <c r="AF190" s="566">
        <f t="shared" si="43"/>
        <v>0</v>
      </c>
      <c r="AG190" s="573"/>
    </row>
    <row r="191" spans="1:33" customFormat="1" ht="25.15" customHeight="1">
      <c r="A191" s="543">
        <v>37</v>
      </c>
      <c r="B191" s="546"/>
      <c r="C191" s="678" t="s">
        <v>1445</v>
      </c>
      <c r="D191" s="542"/>
      <c r="E191" s="542"/>
      <c r="F191" s="542"/>
      <c r="G191" s="542"/>
      <c r="H191" s="542"/>
      <c r="I191" s="542"/>
      <c r="J191" s="542"/>
      <c r="K191" s="542"/>
      <c r="L191" s="542"/>
      <c r="M191" s="542"/>
      <c r="N191" s="554">
        <f t="shared" si="48"/>
        <v>0</v>
      </c>
      <c r="O191" s="554">
        <f t="shared" si="49"/>
        <v>0</v>
      </c>
      <c r="P191" s="555">
        <f>(O191/O273)*100</f>
        <v>0</v>
      </c>
      <c r="Q191" s="570"/>
      <c r="R191" s="555">
        <f t="shared" si="50"/>
        <v>0</v>
      </c>
      <c r="S191" s="564"/>
      <c r="T191" s="569"/>
      <c r="U191" s="2569"/>
      <c r="W191" s="566">
        <f t="shared" si="51"/>
        <v>0</v>
      </c>
      <c r="X191" s="566">
        <f t="shared" si="35"/>
        <v>0</v>
      </c>
      <c r="Y191" s="566">
        <f t="shared" si="36"/>
        <v>0</v>
      </c>
      <c r="Z191" s="566">
        <f t="shared" si="37"/>
        <v>0</v>
      </c>
      <c r="AA191" s="566">
        <f t="shared" si="38"/>
        <v>0</v>
      </c>
      <c r="AB191" s="566">
        <f t="shared" si="39"/>
        <v>0</v>
      </c>
      <c r="AC191" s="566">
        <f t="shared" si="40"/>
        <v>0</v>
      </c>
      <c r="AD191" s="566">
        <f t="shared" si="41"/>
        <v>0</v>
      </c>
      <c r="AE191" s="566">
        <f t="shared" si="42"/>
        <v>0</v>
      </c>
      <c r="AF191" s="566">
        <f t="shared" si="43"/>
        <v>0</v>
      </c>
      <c r="AG191" s="573"/>
    </row>
    <row r="192" spans="1:33" customFormat="1" ht="25.15" customHeight="1">
      <c r="A192" s="543">
        <v>38</v>
      </c>
      <c r="B192" s="546"/>
      <c r="C192" s="678" t="s">
        <v>1446</v>
      </c>
      <c r="D192" s="542"/>
      <c r="E192" s="542"/>
      <c r="F192" s="542"/>
      <c r="G192" s="542"/>
      <c r="H192" s="542"/>
      <c r="I192" s="542"/>
      <c r="J192" s="542"/>
      <c r="K192" s="542"/>
      <c r="L192" s="542"/>
      <c r="M192" s="542"/>
      <c r="N192" s="554">
        <f t="shared" si="48"/>
        <v>0</v>
      </c>
      <c r="O192" s="554">
        <f t="shared" si="49"/>
        <v>0</v>
      </c>
      <c r="P192" s="555">
        <f>(O192/O273)*100</f>
        <v>0</v>
      </c>
      <c r="Q192" s="570"/>
      <c r="R192" s="555">
        <f t="shared" si="50"/>
        <v>0</v>
      </c>
      <c r="S192" s="564"/>
      <c r="T192" s="569"/>
      <c r="U192" s="2569"/>
      <c r="W192" s="566">
        <f t="shared" si="51"/>
        <v>0</v>
      </c>
      <c r="X192" s="566">
        <f t="shared" si="35"/>
        <v>0</v>
      </c>
      <c r="Y192" s="566">
        <f t="shared" si="36"/>
        <v>0</v>
      </c>
      <c r="Z192" s="566">
        <f t="shared" si="37"/>
        <v>0</v>
      </c>
      <c r="AA192" s="566">
        <f t="shared" si="38"/>
        <v>0</v>
      </c>
      <c r="AB192" s="566">
        <f t="shared" si="39"/>
        <v>0</v>
      </c>
      <c r="AC192" s="566">
        <f t="shared" si="40"/>
        <v>0</v>
      </c>
      <c r="AD192" s="566">
        <f t="shared" si="41"/>
        <v>0</v>
      </c>
      <c r="AE192" s="566">
        <f t="shared" si="42"/>
        <v>0</v>
      </c>
      <c r="AF192" s="566">
        <f t="shared" si="43"/>
        <v>0</v>
      </c>
      <c r="AG192" s="573"/>
    </row>
    <row r="193" spans="1:33" ht="25.15" customHeight="1">
      <c r="A193" s="543">
        <v>39</v>
      </c>
      <c r="B193" s="546"/>
      <c r="C193" s="678" t="s">
        <v>1447</v>
      </c>
      <c r="D193" s="542"/>
      <c r="E193" s="542"/>
      <c r="F193" s="542"/>
      <c r="G193" s="542"/>
      <c r="H193" s="542"/>
      <c r="I193" s="542"/>
      <c r="J193" s="542"/>
      <c r="K193" s="542"/>
      <c r="L193" s="542"/>
      <c r="M193" s="542"/>
      <c r="N193" s="554">
        <f t="shared" si="48"/>
        <v>0</v>
      </c>
      <c r="O193" s="554">
        <f t="shared" si="49"/>
        <v>0</v>
      </c>
      <c r="P193" s="555">
        <f>(O193/O273)*100</f>
        <v>0</v>
      </c>
      <c r="Q193" s="570"/>
      <c r="R193" s="555">
        <f t="shared" si="50"/>
        <v>0</v>
      </c>
      <c r="S193" s="564">
        <v>16000</v>
      </c>
      <c r="T193" s="569"/>
      <c r="U193" s="2569"/>
      <c r="W193" s="566">
        <f t="shared" si="51"/>
        <v>0</v>
      </c>
      <c r="X193" s="566">
        <f t="shared" si="35"/>
        <v>0</v>
      </c>
      <c r="Y193" s="566">
        <f t="shared" si="36"/>
        <v>0</v>
      </c>
      <c r="Z193" s="566">
        <f t="shared" si="37"/>
        <v>0</v>
      </c>
      <c r="AA193" s="566">
        <f t="shared" si="38"/>
        <v>0</v>
      </c>
      <c r="AB193" s="566">
        <f t="shared" si="39"/>
        <v>0</v>
      </c>
      <c r="AC193" s="566">
        <f t="shared" si="40"/>
        <v>0</v>
      </c>
      <c r="AD193" s="566">
        <f t="shared" si="41"/>
        <v>0</v>
      </c>
      <c r="AE193" s="566">
        <f t="shared" si="42"/>
        <v>0</v>
      </c>
      <c r="AF193" s="566">
        <f t="shared" si="43"/>
        <v>0</v>
      </c>
      <c r="AG193" s="573"/>
    </row>
    <row r="194" spans="1:33" ht="25.15" customHeight="1">
      <c r="A194" s="543">
        <v>40</v>
      </c>
      <c r="B194" s="546"/>
      <c r="C194" s="678" t="s">
        <v>1448</v>
      </c>
      <c r="D194" s="542"/>
      <c r="E194" s="542"/>
      <c r="F194" s="542"/>
      <c r="G194" s="542"/>
      <c r="H194" s="542"/>
      <c r="I194" s="542"/>
      <c r="J194" s="542"/>
      <c r="K194" s="542"/>
      <c r="L194" s="542"/>
      <c r="M194" s="542"/>
      <c r="N194" s="554">
        <f t="shared" si="48"/>
        <v>0</v>
      </c>
      <c r="O194" s="554">
        <f t="shared" si="49"/>
        <v>0</v>
      </c>
      <c r="P194" s="555">
        <f>(O194/O273)*100</f>
        <v>0</v>
      </c>
      <c r="Q194" s="570">
        <v>0.59830000000000005</v>
      </c>
      <c r="R194" s="555">
        <f t="shared" si="50"/>
        <v>0</v>
      </c>
      <c r="S194" s="564">
        <v>21000</v>
      </c>
      <c r="T194" s="569"/>
      <c r="U194" s="2569"/>
      <c r="W194" s="566">
        <f t="shared" si="51"/>
        <v>0</v>
      </c>
      <c r="X194" s="566">
        <f t="shared" si="35"/>
        <v>0</v>
      </c>
      <c r="Y194" s="566">
        <f t="shared" si="36"/>
        <v>0</v>
      </c>
      <c r="Z194" s="566">
        <f t="shared" si="37"/>
        <v>0</v>
      </c>
      <c r="AA194" s="566">
        <f t="shared" si="38"/>
        <v>0</v>
      </c>
      <c r="AB194" s="566">
        <f t="shared" si="39"/>
        <v>0</v>
      </c>
      <c r="AC194" s="566">
        <f t="shared" si="40"/>
        <v>0</v>
      </c>
      <c r="AD194" s="566">
        <f t="shared" si="41"/>
        <v>0</v>
      </c>
      <c r="AE194" s="566">
        <f t="shared" si="42"/>
        <v>0</v>
      </c>
      <c r="AF194" s="566">
        <f t="shared" si="43"/>
        <v>0</v>
      </c>
      <c r="AG194" s="573"/>
    </row>
    <row r="195" spans="1:33" ht="25.15" customHeight="1">
      <c r="A195" s="543">
        <v>41</v>
      </c>
      <c r="B195" s="546"/>
      <c r="C195" s="678" t="s">
        <v>1449</v>
      </c>
      <c r="D195" s="542"/>
      <c r="E195" s="542"/>
      <c r="F195" s="542"/>
      <c r="G195" s="542"/>
      <c r="H195" s="542"/>
      <c r="I195" s="542"/>
      <c r="J195" s="542"/>
      <c r="K195" s="542"/>
      <c r="L195" s="542"/>
      <c r="M195" s="542"/>
      <c r="N195" s="554">
        <f t="shared" si="48"/>
        <v>0</v>
      </c>
      <c r="O195" s="554">
        <f t="shared" si="49"/>
        <v>0</v>
      </c>
      <c r="P195" s="555">
        <f>(O195/O273)*100</f>
        <v>0</v>
      </c>
      <c r="Q195" s="570">
        <v>0.52300000000000002</v>
      </c>
      <c r="R195" s="555">
        <f t="shared" si="50"/>
        <v>0</v>
      </c>
      <c r="S195" s="564">
        <v>21000</v>
      </c>
      <c r="T195" s="569"/>
      <c r="U195" s="2569"/>
      <c r="W195" s="566">
        <f t="shared" si="51"/>
        <v>0</v>
      </c>
      <c r="X195" s="566">
        <f t="shared" si="35"/>
        <v>0</v>
      </c>
      <c r="Y195" s="566">
        <f t="shared" si="36"/>
        <v>0</v>
      </c>
      <c r="Z195" s="566">
        <f t="shared" si="37"/>
        <v>0</v>
      </c>
      <c r="AA195" s="566">
        <f t="shared" si="38"/>
        <v>0</v>
      </c>
      <c r="AB195" s="566">
        <f t="shared" si="39"/>
        <v>0</v>
      </c>
      <c r="AC195" s="566">
        <f t="shared" si="40"/>
        <v>0</v>
      </c>
      <c r="AD195" s="566">
        <f t="shared" si="41"/>
        <v>0</v>
      </c>
      <c r="AE195" s="566">
        <f t="shared" si="42"/>
        <v>0</v>
      </c>
      <c r="AF195" s="566">
        <f t="shared" si="43"/>
        <v>0</v>
      </c>
      <c r="AG195" s="573"/>
    </row>
    <row r="196" spans="1:33" ht="25.15" customHeight="1">
      <c r="A196" s="543">
        <v>42</v>
      </c>
      <c r="B196" s="546"/>
      <c r="C196" s="678" t="s">
        <v>1450</v>
      </c>
      <c r="D196" s="542"/>
      <c r="E196" s="542"/>
      <c r="F196" s="542"/>
      <c r="G196" s="542"/>
      <c r="H196" s="542"/>
      <c r="I196" s="542"/>
      <c r="J196" s="542"/>
      <c r="K196" s="542"/>
      <c r="L196" s="542"/>
      <c r="M196" s="542"/>
      <c r="N196" s="554">
        <f t="shared" si="48"/>
        <v>0</v>
      </c>
      <c r="O196" s="554">
        <f t="shared" si="49"/>
        <v>0</v>
      </c>
      <c r="P196" s="555">
        <f>(O196/O273)*100</f>
        <v>0</v>
      </c>
      <c r="Q196" s="570">
        <v>0.48709999999999998</v>
      </c>
      <c r="R196" s="555">
        <f t="shared" si="50"/>
        <v>0</v>
      </c>
      <c r="S196" s="564">
        <v>21000</v>
      </c>
      <c r="T196" s="569"/>
      <c r="U196" s="2569"/>
      <c r="W196" s="566">
        <f t="shared" si="51"/>
        <v>0</v>
      </c>
      <c r="X196" s="566">
        <f t="shared" si="35"/>
        <v>0</v>
      </c>
      <c r="Y196" s="566">
        <f t="shared" si="36"/>
        <v>0</v>
      </c>
      <c r="Z196" s="566">
        <f t="shared" si="37"/>
        <v>0</v>
      </c>
      <c r="AA196" s="566">
        <f t="shared" si="38"/>
        <v>0</v>
      </c>
      <c r="AB196" s="566">
        <f t="shared" si="39"/>
        <v>0</v>
      </c>
      <c r="AC196" s="566">
        <f t="shared" si="40"/>
        <v>0</v>
      </c>
      <c r="AD196" s="566">
        <f t="shared" si="41"/>
        <v>0</v>
      </c>
      <c r="AE196" s="566">
        <f t="shared" si="42"/>
        <v>0</v>
      </c>
      <c r="AF196" s="566">
        <f t="shared" si="43"/>
        <v>0</v>
      </c>
      <c r="AG196" s="573"/>
    </row>
    <row r="197" spans="1:33" ht="25.15" customHeight="1">
      <c r="A197" s="543">
        <v>43</v>
      </c>
      <c r="B197" s="546"/>
      <c r="C197" s="678" t="s">
        <v>1451</v>
      </c>
      <c r="D197" s="542"/>
      <c r="E197" s="542">
        <v>1</v>
      </c>
      <c r="F197" s="542"/>
      <c r="G197" s="542"/>
      <c r="H197" s="542"/>
      <c r="I197" s="542"/>
      <c r="J197" s="542"/>
      <c r="K197" s="542"/>
      <c r="L197" s="542"/>
      <c r="M197" s="542"/>
      <c r="N197" s="554">
        <f t="shared" si="48"/>
        <v>1</v>
      </c>
      <c r="O197" s="554">
        <f t="shared" si="49"/>
        <v>21000</v>
      </c>
      <c r="P197" s="555">
        <f>(O197/O273)*100</f>
        <v>0.105407135059166</v>
      </c>
      <c r="Q197" s="570">
        <v>0.59</v>
      </c>
      <c r="R197" s="555">
        <f t="shared" si="50"/>
        <v>6.2190209684907898E-2</v>
      </c>
      <c r="S197" s="564">
        <v>21000</v>
      </c>
      <c r="T197" s="569"/>
      <c r="U197" s="2569"/>
      <c r="W197" s="566">
        <f t="shared" si="51"/>
        <v>0</v>
      </c>
      <c r="X197" s="566">
        <f t="shared" si="35"/>
        <v>21000</v>
      </c>
      <c r="Y197" s="566">
        <f t="shared" si="36"/>
        <v>0</v>
      </c>
      <c r="Z197" s="566">
        <f t="shared" si="37"/>
        <v>0</v>
      </c>
      <c r="AA197" s="566">
        <f t="shared" si="38"/>
        <v>0</v>
      </c>
      <c r="AB197" s="566">
        <f t="shared" si="39"/>
        <v>0</v>
      </c>
      <c r="AC197" s="566">
        <f t="shared" si="40"/>
        <v>0</v>
      </c>
      <c r="AD197" s="566">
        <f t="shared" si="41"/>
        <v>0</v>
      </c>
      <c r="AE197" s="566">
        <f t="shared" si="42"/>
        <v>0</v>
      </c>
      <c r="AF197" s="566">
        <f t="shared" si="43"/>
        <v>0</v>
      </c>
      <c r="AG197" s="573"/>
    </row>
    <row r="198" spans="1:33" ht="25.15" customHeight="1">
      <c r="A198" s="543">
        <v>44</v>
      </c>
      <c r="B198" s="546"/>
      <c r="C198" s="678" t="s">
        <v>1452</v>
      </c>
      <c r="D198" s="542"/>
      <c r="E198" s="542"/>
      <c r="F198" s="542"/>
      <c r="G198" s="542"/>
      <c r="H198" s="542"/>
      <c r="I198" s="542"/>
      <c r="J198" s="542"/>
      <c r="K198" s="542"/>
      <c r="L198" s="542"/>
      <c r="M198" s="542"/>
      <c r="N198" s="554">
        <f t="shared" si="48"/>
        <v>0</v>
      </c>
      <c r="O198" s="554">
        <f t="shared" si="49"/>
        <v>0</v>
      </c>
      <c r="P198" s="555">
        <f>(O198/O273)*100</f>
        <v>0</v>
      </c>
      <c r="Q198" s="570"/>
      <c r="R198" s="555">
        <f t="shared" si="50"/>
        <v>0</v>
      </c>
      <c r="S198" s="564">
        <v>21000</v>
      </c>
      <c r="T198" s="569"/>
      <c r="U198" s="2569"/>
      <c r="W198" s="566">
        <f t="shared" si="51"/>
        <v>0</v>
      </c>
      <c r="X198" s="566">
        <f t="shared" si="35"/>
        <v>0</v>
      </c>
      <c r="Y198" s="566">
        <f t="shared" si="36"/>
        <v>0</v>
      </c>
      <c r="Z198" s="566">
        <f t="shared" si="37"/>
        <v>0</v>
      </c>
      <c r="AA198" s="566">
        <f t="shared" si="38"/>
        <v>0</v>
      </c>
      <c r="AB198" s="566">
        <f t="shared" si="39"/>
        <v>0</v>
      </c>
      <c r="AC198" s="566">
        <f t="shared" si="40"/>
        <v>0</v>
      </c>
      <c r="AD198" s="566">
        <f t="shared" si="41"/>
        <v>0</v>
      </c>
      <c r="AE198" s="566">
        <f t="shared" si="42"/>
        <v>0</v>
      </c>
      <c r="AF198" s="566">
        <f t="shared" si="43"/>
        <v>0</v>
      </c>
      <c r="AG198" s="573"/>
    </row>
    <row r="199" spans="1:33" ht="25.15" customHeight="1">
      <c r="A199" s="543">
        <v>45</v>
      </c>
      <c r="B199" s="546"/>
      <c r="C199" s="678" t="s">
        <v>1453</v>
      </c>
      <c r="D199" s="542"/>
      <c r="E199" s="542"/>
      <c r="F199" s="542"/>
      <c r="G199" s="542"/>
      <c r="H199" s="542"/>
      <c r="I199" s="542"/>
      <c r="J199" s="542"/>
      <c r="K199" s="542"/>
      <c r="L199" s="542"/>
      <c r="M199" s="542"/>
      <c r="N199" s="554">
        <f t="shared" si="48"/>
        <v>0</v>
      </c>
      <c r="O199" s="554">
        <f t="shared" si="49"/>
        <v>0</v>
      </c>
      <c r="P199" s="555">
        <f>(O199/O273)*100</f>
        <v>0</v>
      </c>
      <c r="Q199" s="570"/>
      <c r="R199" s="555">
        <f t="shared" si="50"/>
        <v>0</v>
      </c>
      <c r="S199" s="564">
        <v>21000</v>
      </c>
      <c r="T199" s="569"/>
      <c r="U199" s="2569"/>
      <c r="W199" s="566">
        <f t="shared" si="51"/>
        <v>0</v>
      </c>
      <c r="X199" s="566">
        <f t="shared" si="35"/>
        <v>0</v>
      </c>
      <c r="Y199" s="566">
        <f t="shared" si="36"/>
        <v>0</v>
      </c>
      <c r="Z199" s="566">
        <f t="shared" si="37"/>
        <v>0</v>
      </c>
      <c r="AA199" s="566">
        <f t="shared" si="38"/>
        <v>0</v>
      </c>
      <c r="AB199" s="566">
        <f t="shared" si="39"/>
        <v>0</v>
      </c>
      <c r="AC199" s="566">
        <f t="shared" si="40"/>
        <v>0</v>
      </c>
      <c r="AD199" s="566">
        <f t="shared" si="41"/>
        <v>0</v>
      </c>
      <c r="AE199" s="566">
        <f t="shared" si="42"/>
        <v>0</v>
      </c>
      <c r="AF199" s="566">
        <f t="shared" si="43"/>
        <v>0</v>
      </c>
      <c r="AG199" s="573"/>
    </row>
    <row r="200" spans="1:33" ht="25.15" customHeight="1">
      <c r="A200" s="543">
        <v>46</v>
      </c>
      <c r="B200" s="546"/>
      <c r="C200" s="678"/>
      <c r="D200" s="542"/>
      <c r="E200" s="542"/>
      <c r="F200" s="542"/>
      <c r="G200" s="542"/>
      <c r="H200" s="542"/>
      <c r="I200" s="542"/>
      <c r="J200" s="542"/>
      <c r="K200" s="542"/>
      <c r="L200" s="542"/>
      <c r="M200" s="542"/>
      <c r="N200" s="554">
        <f t="shared" si="48"/>
        <v>0</v>
      </c>
      <c r="O200" s="554">
        <f t="shared" si="49"/>
        <v>0</v>
      </c>
      <c r="P200" s="555">
        <f>(O200/O273)*100</f>
        <v>0</v>
      </c>
      <c r="Q200" s="570"/>
      <c r="R200" s="555">
        <f t="shared" si="50"/>
        <v>0</v>
      </c>
      <c r="S200" s="564"/>
      <c r="T200" s="569"/>
      <c r="U200" s="2569"/>
      <c r="W200" s="566">
        <f t="shared" si="51"/>
        <v>0</v>
      </c>
      <c r="X200" s="566">
        <f t="shared" si="35"/>
        <v>0</v>
      </c>
      <c r="Y200" s="566">
        <f t="shared" si="36"/>
        <v>0</v>
      </c>
      <c r="Z200" s="566">
        <f t="shared" si="37"/>
        <v>0</v>
      </c>
      <c r="AA200" s="566">
        <f t="shared" si="38"/>
        <v>0</v>
      </c>
      <c r="AB200" s="566">
        <f t="shared" si="39"/>
        <v>0</v>
      </c>
      <c r="AC200" s="566">
        <f t="shared" si="40"/>
        <v>0</v>
      </c>
      <c r="AD200" s="566">
        <f t="shared" si="41"/>
        <v>0</v>
      </c>
      <c r="AE200" s="566">
        <f t="shared" si="42"/>
        <v>0</v>
      </c>
      <c r="AF200" s="566">
        <f t="shared" si="43"/>
        <v>0</v>
      </c>
      <c r="AG200" s="573"/>
    </row>
    <row r="201" spans="1:33" ht="25.15" customHeight="1">
      <c r="A201" s="543">
        <v>47</v>
      </c>
      <c r="B201" s="546"/>
      <c r="C201" s="678" t="s">
        <v>1454</v>
      </c>
      <c r="D201" s="542"/>
      <c r="E201" s="542"/>
      <c r="F201" s="542"/>
      <c r="G201" s="542"/>
      <c r="H201" s="542"/>
      <c r="I201" s="542"/>
      <c r="J201" s="542"/>
      <c r="K201" s="542"/>
      <c r="L201" s="542"/>
      <c r="M201" s="542"/>
      <c r="N201" s="554">
        <f t="shared" si="48"/>
        <v>0</v>
      </c>
      <c r="O201" s="554">
        <f t="shared" si="49"/>
        <v>0</v>
      </c>
      <c r="P201" s="555">
        <f>(O201/O273)*100</f>
        <v>0</v>
      </c>
      <c r="Q201" s="570">
        <v>0.59</v>
      </c>
      <c r="R201" s="555">
        <f t="shared" si="50"/>
        <v>0</v>
      </c>
      <c r="S201" s="564">
        <v>85000</v>
      </c>
      <c r="T201" s="569"/>
      <c r="U201" s="2569"/>
      <c r="W201" s="566">
        <f t="shared" si="51"/>
        <v>0</v>
      </c>
      <c r="X201" s="566">
        <f t="shared" ref="X201:X212" si="61">E201*S201</f>
        <v>0</v>
      </c>
      <c r="Y201" s="566">
        <f t="shared" ref="Y201:Y212" si="62">F201*S201</f>
        <v>0</v>
      </c>
      <c r="Z201" s="566">
        <f t="shared" ref="Z201:Z212" si="63">G201*S201</f>
        <v>0</v>
      </c>
      <c r="AA201" s="566">
        <f t="shared" ref="AA201:AA212" si="64">H201*S201</f>
        <v>0</v>
      </c>
      <c r="AB201" s="566">
        <f t="shared" ref="AB201:AB212" si="65">I201*S201</f>
        <v>0</v>
      </c>
      <c r="AC201" s="566">
        <f t="shared" ref="AC201:AC212" si="66">J201*S201</f>
        <v>0</v>
      </c>
      <c r="AD201" s="566">
        <f t="shared" ref="AD201:AD212" si="67">K201*S201</f>
        <v>0</v>
      </c>
      <c r="AE201" s="566">
        <f t="shared" ref="AE201:AE212" si="68">L201*S201</f>
        <v>0</v>
      </c>
      <c r="AF201" s="566">
        <f t="shared" ref="AF201:AF212" si="69">M201*S201</f>
        <v>0</v>
      </c>
      <c r="AG201" s="573"/>
    </row>
    <row r="202" spans="1:33" ht="25.15" customHeight="1">
      <c r="A202" s="543">
        <v>48</v>
      </c>
      <c r="B202" s="546"/>
      <c r="C202" s="678" t="s">
        <v>1455</v>
      </c>
      <c r="D202" s="542"/>
      <c r="E202" s="542"/>
      <c r="F202" s="542"/>
      <c r="G202" s="542"/>
      <c r="H202" s="542"/>
      <c r="I202" s="542"/>
      <c r="J202" s="542"/>
      <c r="K202" s="542"/>
      <c r="L202" s="542"/>
      <c r="M202" s="542"/>
      <c r="N202" s="554">
        <f t="shared" si="48"/>
        <v>0</v>
      </c>
      <c r="O202" s="554">
        <f t="shared" si="49"/>
        <v>0</v>
      </c>
      <c r="P202" s="555">
        <f>(O202/O273)*100</f>
        <v>0</v>
      </c>
      <c r="Q202" s="570">
        <v>0.56000000000000005</v>
      </c>
      <c r="R202" s="555">
        <f t="shared" si="50"/>
        <v>0</v>
      </c>
      <c r="S202" s="564">
        <v>85000</v>
      </c>
      <c r="T202" s="569"/>
      <c r="U202" s="2569"/>
      <c r="W202" s="566">
        <f t="shared" si="51"/>
        <v>0</v>
      </c>
      <c r="X202" s="566">
        <f t="shared" si="61"/>
        <v>0</v>
      </c>
      <c r="Y202" s="566">
        <f t="shared" si="62"/>
        <v>0</v>
      </c>
      <c r="Z202" s="566">
        <f t="shared" si="63"/>
        <v>0</v>
      </c>
      <c r="AA202" s="566">
        <f t="shared" si="64"/>
        <v>0</v>
      </c>
      <c r="AB202" s="566">
        <f t="shared" si="65"/>
        <v>0</v>
      </c>
      <c r="AC202" s="566">
        <f t="shared" si="66"/>
        <v>0</v>
      </c>
      <c r="AD202" s="566">
        <f t="shared" si="67"/>
        <v>0</v>
      </c>
      <c r="AE202" s="566">
        <f t="shared" si="68"/>
        <v>0</v>
      </c>
      <c r="AF202" s="566">
        <f t="shared" si="69"/>
        <v>0</v>
      </c>
      <c r="AG202" s="573"/>
    </row>
    <row r="203" spans="1:33" ht="25.15" customHeight="1">
      <c r="A203" s="543">
        <v>49</v>
      </c>
      <c r="B203" s="546"/>
      <c r="C203" s="678" t="s">
        <v>1456</v>
      </c>
      <c r="D203" s="542"/>
      <c r="E203" s="542"/>
      <c r="F203" s="542"/>
      <c r="G203" s="542"/>
      <c r="H203" s="542"/>
      <c r="I203" s="542"/>
      <c r="J203" s="542"/>
      <c r="K203" s="542"/>
      <c r="L203" s="542"/>
      <c r="M203" s="542"/>
      <c r="N203" s="554">
        <f t="shared" si="48"/>
        <v>0</v>
      </c>
      <c r="O203" s="554">
        <f t="shared" si="49"/>
        <v>0</v>
      </c>
      <c r="P203" s="555">
        <f>(O203/O273)*100</f>
        <v>0</v>
      </c>
      <c r="Q203" s="570">
        <v>0.57999999999999996</v>
      </c>
      <c r="R203" s="555">
        <f t="shared" si="50"/>
        <v>0</v>
      </c>
      <c r="S203" s="564">
        <v>85000</v>
      </c>
      <c r="T203" s="569"/>
      <c r="U203" s="2569"/>
      <c r="W203" s="566">
        <f t="shared" si="51"/>
        <v>0</v>
      </c>
      <c r="X203" s="566">
        <f t="shared" si="61"/>
        <v>0</v>
      </c>
      <c r="Y203" s="566">
        <f t="shared" si="62"/>
        <v>0</v>
      </c>
      <c r="Z203" s="566">
        <f t="shared" si="63"/>
        <v>0</v>
      </c>
      <c r="AA203" s="566">
        <f t="shared" si="64"/>
        <v>0</v>
      </c>
      <c r="AB203" s="566">
        <f t="shared" si="65"/>
        <v>0</v>
      </c>
      <c r="AC203" s="566">
        <f t="shared" si="66"/>
        <v>0</v>
      </c>
      <c r="AD203" s="566">
        <f t="shared" si="67"/>
        <v>0</v>
      </c>
      <c r="AE203" s="566">
        <f t="shared" si="68"/>
        <v>0</v>
      </c>
      <c r="AF203" s="566">
        <f t="shared" si="69"/>
        <v>0</v>
      </c>
      <c r="AG203" s="573"/>
    </row>
    <row r="204" spans="1:33" ht="25.15" customHeight="1">
      <c r="A204" s="543">
        <v>50</v>
      </c>
      <c r="B204" s="546"/>
      <c r="C204" s="678" t="s">
        <v>1457</v>
      </c>
      <c r="D204" s="542"/>
      <c r="E204" s="542"/>
      <c r="F204" s="542"/>
      <c r="G204" s="542"/>
      <c r="H204" s="542"/>
      <c r="I204" s="542"/>
      <c r="J204" s="542"/>
      <c r="K204" s="542"/>
      <c r="L204" s="542"/>
      <c r="M204" s="542"/>
      <c r="N204" s="554">
        <f t="shared" si="48"/>
        <v>0</v>
      </c>
      <c r="O204" s="554">
        <f t="shared" si="49"/>
        <v>0</v>
      </c>
      <c r="P204" s="555">
        <f>(O204/O273)*100</f>
        <v>0</v>
      </c>
      <c r="Q204" s="570"/>
      <c r="R204" s="555">
        <f t="shared" si="50"/>
        <v>0</v>
      </c>
      <c r="S204" s="564">
        <v>85000</v>
      </c>
      <c r="T204" s="569"/>
      <c r="U204" s="2569"/>
      <c r="W204" s="566">
        <f t="shared" si="51"/>
        <v>0</v>
      </c>
      <c r="X204" s="566">
        <f t="shared" si="61"/>
        <v>0</v>
      </c>
      <c r="Y204" s="566">
        <f t="shared" si="62"/>
        <v>0</v>
      </c>
      <c r="Z204" s="566">
        <f t="shared" si="63"/>
        <v>0</v>
      </c>
      <c r="AA204" s="566">
        <f t="shared" si="64"/>
        <v>0</v>
      </c>
      <c r="AB204" s="566">
        <f t="shared" si="65"/>
        <v>0</v>
      </c>
      <c r="AC204" s="566">
        <f t="shared" si="66"/>
        <v>0</v>
      </c>
      <c r="AD204" s="566">
        <f t="shared" si="67"/>
        <v>0</v>
      </c>
      <c r="AE204" s="566">
        <f t="shared" si="68"/>
        <v>0</v>
      </c>
      <c r="AF204" s="566">
        <f t="shared" si="69"/>
        <v>0</v>
      </c>
      <c r="AG204" s="573"/>
    </row>
    <row r="205" spans="1:33" ht="25.15" customHeight="1">
      <c r="A205" s="543">
        <v>51</v>
      </c>
      <c r="B205" s="546"/>
      <c r="C205" s="678"/>
      <c r="D205" s="542"/>
      <c r="E205" s="542"/>
      <c r="F205" s="542"/>
      <c r="G205" s="542"/>
      <c r="H205" s="542"/>
      <c r="I205" s="542"/>
      <c r="J205" s="542"/>
      <c r="K205" s="542"/>
      <c r="L205" s="542"/>
      <c r="M205" s="542"/>
      <c r="N205" s="554">
        <f t="shared" si="48"/>
        <v>0</v>
      </c>
      <c r="O205" s="554">
        <f t="shared" si="49"/>
        <v>0</v>
      </c>
      <c r="P205" s="555">
        <f>(O205/O273)*100</f>
        <v>0</v>
      </c>
      <c r="Q205" s="570"/>
      <c r="R205" s="555">
        <f t="shared" si="50"/>
        <v>0</v>
      </c>
      <c r="S205" s="564">
        <v>160100</v>
      </c>
      <c r="T205" s="569"/>
      <c r="U205" s="2569"/>
      <c r="W205" s="566">
        <f t="shared" si="51"/>
        <v>0</v>
      </c>
      <c r="X205" s="566">
        <f t="shared" si="61"/>
        <v>0</v>
      </c>
      <c r="Y205" s="566">
        <f t="shared" si="62"/>
        <v>0</v>
      </c>
      <c r="Z205" s="566">
        <f t="shared" si="63"/>
        <v>0</v>
      </c>
      <c r="AA205" s="566">
        <f t="shared" si="64"/>
        <v>0</v>
      </c>
      <c r="AB205" s="566">
        <f t="shared" si="65"/>
        <v>0</v>
      </c>
      <c r="AC205" s="566">
        <f t="shared" si="66"/>
        <v>0</v>
      </c>
      <c r="AD205" s="566">
        <f t="shared" si="67"/>
        <v>0</v>
      </c>
      <c r="AE205" s="566">
        <f t="shared" si="68"/>
        <v>0</v>
      </c>
      <c r="AF205" s="566">
        <f t="shared" si="69"/>
        <v>0</v>
      </c>
      <c r="AG205" s="573"/>
    </row>
    <row r="206" spans="1:33" ht="25.15" customHeight="1">
      <c r="A206" s="543">
        <v>52</v>
      </c>
      <c r="B206" s="546"/>
      <c r="C206" s="678" t="s">
        <v>1458</v>
      </c>
      <c r="D206" s="542"/>
      <c r="E206" s="542"/>
      <c r="F206" s="542"/>
      <c r="G206" s="542"/>
      <c r="H206" s="542"/>
      <c r="I206" s="542"/>
      <c r="J206" s="542"/>
      <c r="K206" s="542"/>
      <c r="L206" s="542"/>
      <c r="M206" s="542"/>
      <c r="N206" s="554">
        <f t="shared" si="48"/>
        <v>0</v>
      </c>
      <c r="O206" s="554">
        <f t="shared" si="49"/>
        <v>0</v>
      </c>
      <c r="P206" s="555">
        <f>(O206/O273)*100</f>
        <v>0</v>
      </c>
      <c r="Q206" s="570">
        <v>0.55000000000000004</v>
      </c>
      <c r="R206" s="555">
        <f t="shared" si="50"/>
        <v>0</v>
      </c>
      <c r="S206" s="564">
        <v>160100</v>
      </c>
      <c r="T206" s="569"/>
      <c r="U206" s="2569"/>
      <c r="W206" s="566">
        <f t="shared" si="51"/>
        <v>0</v>
      </c>
      <c r="X206" s="566">
        <f t="shared" si="61"/>
        <v>0</v>
      </c>
      <c r="Y206" s="566">
        <f t="shared" si="62"/>
        <v>0</v>
      </c>
      <c r="Z206" s="566">
        <f t="shared" si="63"/>
        <v>0</v>
      </c>
      <c r="AA206" s="566">
        <f t="shared" si="64"/>
        <v>0</v>
      </c>
      <c r="AB206" s="566">
        <f t="shared" si="65"/>
        <v>0</v>
      </c>
      <c r="AC206" s="566">
        <f t="shared" si="66"/>
        <v>0</v>
      </c>
      <c r="AD206" s="566">
        <f t="shared" si="67"/>
        <v>0</v>
      </c>
      <c r="AE206" s="566">
        <f t="shared" si="68"/>
        <v>0</v>
      </c>
      <c r="AF206" s="566">
        <f t="shared" si="69"/>
        <v>0</v>
      </c>
      <c r="AG206" s="573"/>
    </row>
    <row r="207" spans="1:33" ht="25.15" customHeight="1">
      <c r="A207" s="543">
        <v>53</v>
      </c>
      <c r="B207" s="546"/>
      <c r="C207" s="678" t="s">
        <v>1459</v>
      </c>
      <c r="D207" s="542"/>
      <c r="E207" s="542"/>
      <c r="F207" s="542"/>
      <c r="G207" s="542"/>
      <c r="H207" s="542"/>
      <c r="I207" s="542"/>
      <c r="J207" s="542"/>
      <c r="K207" s="542"/>
      <c r="L207" s="542"/>
      <c r="M207" s="542"/>
      <c r="N207" s="554">
        <f t="shared" si="48"/>
        <v>0</v>
      </c>
      <c r="O207" s="554">
        <f t="shared" si="49"/>
        <v>0</v>
      </c>
      <c r="P207" s="555">
        <f>(O207/O273)*100</f>
        <v>0</v>
      </c>
      <c r="Q207" s="570">
        <v>0.59</v>
      </c>
      <c r="R207" s="555">
        <f t="shared" si="50"/>
        <v>0</v>
      </c>
      <c r="S207" s="564">
        <v>14000</v>
      </c>
      <c r="T207" s="569"/>
      <c r="U207" s="2569"/>
      <c r="W207" s="566">
        <f t="shared" si="51"/>
        <v>0</v>
      </c>
      <c r="X207" s="566">
        <f t="shared" si="61"/>
        <v>0</v>
      </c>
      <c r="Y207" s="566">
        <f t="shared" si="62"/>
        <v>0</v>
      </c>
      <c r="Z207" s="566">
        <f t="shared" si="63"/>
        <v>0</v>
      </c>
      <c r="AA207" s="566">
        <f t="shared" si="64"/>
        <v>0</v>
      </c>
      <c r="AB207" s="566">
        <f t="shared" si="65"/>
        <v>0</v>
      </c>
      <c r="AC207" s="566">
        <f t="shared" si="66"/>
        <v>0</v>
      </c>
      <c r="AD207" s="566">
        <f t="shared" si="67"/>
        <v>0</v>
      </c>
      <c r="AE207" s="566">
        <f t="shared" si="68"/>
        <v>0</v>
      </c>
      <c r="AF207" s="566">
        <f t="shared" si="69"/>
        <v>0</v>
      </c>
      <c r="AG207" s="573"/>
    </row>
    <row r="208" spans="1:33" ht="25.15" customHeight="1">
      <c r="A208" s="543">
        <v>54</v>
      </c>
      <c r="B208" s="546"/>
      <c r="C208" s="678" t="s">
        <v>1460</v>
      </c>
      <c r="D208" s="542"/>
      <c r="E208" s="542"/>
      <c r="F208" s="542"/>
      <c r="G208" s="542"/>
      <c r="H208" s="542"/>
      <c r="I208" s="542"/>
      <c r="J208" s="542"/>
      <c r="K208" s="542"/>
      <c r="L208" s="542"/>
      <c r="M208" s="542"/>
      <c r="N208" s="554">
        <f t="shared" si="48"/>
        <v>0</v>
      </c>
      <c r="O208" s="554">
        <f t="shared" si="49"/>
        <v>0</v>
      </c>
      <c r="P208" s="555">
        <f>(O208/O273)*100</f>
        <v>0</v>
      </c>
      <c r="Q208" s="570">
        <v>0.55000000000000004</v>
      </c>
      <c r="R208" s="555">
        <f t="shared" si="50"/>
        <v>0</v>
      </c>
      <c r="S208" s="564">
        <v>13000</v>
      </c>
      <c r="T208" s="569"/>
      <c r="U208" s="2569"/>
      <c r="W208" s="566">
        <f t="shared" si="51"/>
        <v>0</v>
      </c>
      <c r="X208" s="566">
        <f t="shared" si="61"/>
        <v>0</v>
      </c>
      <c r="Y208" s="566">
        <f t="shared" si="62"/>
        <v>0</v>
      </c>
      <c r="Z208" s="566">
        <f t="shared" si="63"/>
        <v>0</v>
      </c>
      <c r="AA208" s="566">
        <f t="shared" si="64"/>
        <v>0</v>
      </c>
      <c r="AB208" s="566">
        <f t="shared" si="65"/>
        <v>0</v>
      </c>
      <c r="AC208" s="566">
        <f t="shared" si="66"/>
        <v>0</v>
      </c>
      <c r="AD208" s="566">
        <f t="shared" si="67"/>
        <v>0</v>
      </c>
      <c r="AE208" s="566">
        <f t="shared" si="68"/>
        <v>0</v>
      </c>
      <c r="AF208" s="566">
        <f t="shared" si="69"/>
        <v>0</v>
      </c>
      <c r="AG208" s="573"/>
    </row>
    <row r="209" spans="1:33" ht="25.15" customHeight="1">
      <c r="A209" s="543">
        <v>55</v>
      </c>
      <c r="B209" s="546"/>
      <c r="C209" s="678" t="s">
        <v>1461</v>
      </c>
      <c r="D209" s="542"/>
      <c r="E209" s="542"/>
      <c r="F209" s="542"/>
      <c r="G209" s="542"/>
      <c r="H209" s="542"/>
      <c r="I209" s="542"/>
      <c r="J209" s="542"/>
      <c r="K209" s="542"/>
      <c r="L209" s="542"/>
      <c r="M209" s="542"/>
      <c r="N209" s="554">
        <f t="shared" si="48"/>
        <v>0</v>
      </c>
      <c r="O209" s="554">
        <f t="shared" si="49"/>
        <v>0</v>
      </c>
      <c r="P209" s="555">
        <f>(O209/O273)*100</f>
        <v>0</v>
      </c>
      <c r="Q209" s="570">
        <v>0.56000000000000005</v>
      </c>
      <c r="R209" s="555">
        <f t="shared" si="50"/>
        <v>0</v>
      </c>
      <c r="S209" s="564">
        <v>13000</v>
      </c>
      <c r="T209" s="569"/>
      <c r="U209" s="2569"/>
      <c r="W209" s="566">
        <f t="shared" si="51"/>
        <v>0</v>
      </c>
      <c r="X209" s="566">
        <f t="shared" si="61"/>
        <v>0</v>
      </c>
      <c r="Y209" s="566">
        <f t="shared" si="62"/>
        <v>0</v>
      </c>
      <c r="Z209" s="566">
        <f t="shared" si="63"/>
        <v>0</v>
      </c>
      <c r="AA209" s="566">
        <f t="shared" si="64"/>
        <v>0</v>
      </c>
      <c r="AB209" s="566">
        <f t="shared" si="65"/>
        <v>0</v>
      </c>
      <c r="AC209" s="566">
        <f t="shared" si="66"/>
        <v>0</v>
      </c>
      <c r="AD209" s="566">
        <f t="shared" si="67"/>
        <v>0</v>
      </c>
      <c r="AE209" s="566">
        <f t="shared" si="68"/>
        <v>0</v>
      </c>
      <c r="AF209" s="566">
        <f t="shared" si="69"/>
        <v>0</v>
      </c>
      <c r="AG209" s="573"/>
    </row>
    <row r="210" spans="1:33" ht="25.15" customHeight="1">
      <c r="A210" s="543">
        <v>56</v>
      </c>
      <c r="B210" s="546"/>
      <c r="C210" s="678" t="s">
        <v>1462</v>
      </c>
      <c r="D210" s="542"/>
      <c r="E210" s="542"/>
      <c r="F210" s="542"/>
      <c r="G210" s="542"/>
      <c r="H210" s="542"/>
      <c r="I210" s="542"/>
      <c r="J210" s="542"/>
      <c r="K210" s="542"/>
      <c r="L210" s="542"/>
      <c r="M210" s="542"/>
      <c r="N210" s="554">
        <f t="shared" si="48"/>
        <v>0</v>
      </c>
      <c r="O210" s="554">
        <f t="shared" si="49"/>
        <v>0</v>
      </c>
      <c r="P210" s="555">
        <f>(O210/O273)*100</f>
        <v>0</v>
      </c>
      <c r="Q210" s="570">
        <v>0.70899999999999996</v>
      </c>
      <c r="R210" s="555">
        <f t="shared" si="50"/>
        <v>0</v>
      </c>
      <c r="S210" s="564">
        <v>13000</v>
      </c>
      <c r="T210" s="569"/>
      <c r="U210" s="2569"/>
      <c r="W210" s="566">
        <f t="shared" si="51"/>
        <v>0</v>
      </c>
      <c r="X210" s="566">
        <f t="shared" si="61"/>
        <v>0</v>
      </c>
      <c r="Y210" s="566">
        <f t="shared" si="62"/>
        <v>0</v>
      </c>
      <c r="Z210" s="566">
        <f t="shared" si="63"/>
        <v>0</v>
      </c>
      <c r="AA210" s="566">
        <f t="shared" si="64"/>
        <v>0</v>
      </c>
      <c r="AB210" s="566">
        <f t="shared" si="65"/>
        <v>0</v>
      </c>
      <c r="AC210" s="566">
        <f t="shared" si="66"/>
        <v>0</v>
      </c>
      <c r="AD210" s="566">
        <f t="shared" si="67"/>
        <v>0</v>
      </c>
      <c r="AE210" s="566">
        <f t="shared" si="68"/>
        <v>0</v>
      </c>
      <c r="AF210" s="566">
        <f t="shared" si="69"/>
        <v>0</v>
      </c>
      <c r="AG210" s="573"/>
    </row>
    <row r="211" spans="1:33" ht="25.15" customHeight="1">
      <c r="A211" s="543">
        <v>57</v>
      </c>
      <c r="B211" s="546"/>
      <c r="C211" s="678" t="s">
        <v>1463</v>
      </c>
      <c r="D211" s="542"/>
      <c r="E211" s="542"/>
      <c r="F211" s="542"/>
      <c r="G211" s="542"/>
      <c r="H211" s="542"/>
      <c r="I211" s="542"/>
      <c r="J211" s="542"/>
      <c r="K211" s="542"/>
      <c r="L211" s="542"/>
      <c r="M211" s="542"/>
      <c r="N211" s="554">
        <f t="shared" si="48"/>
        <v>0</v>
      </c>
      <c r="O211" s="554">
        <f t="shared" si="49"/>
        <v>0</v>
      </c>
      <c r="P211" s="555">
        <f>(O211/O273)*100</f>
        <v>0</v>
      </c>
      <c r="Q211" s="570"/>
      <c r="R211" s="555">
        <f t="shared" si="50"/>
        <v>0</v>
      </c>
      <c r="S211" s="564">
        <v>12000</v>
      </c>
      <c r="T211" s="569"/>
      <c r="U211" s="2569"/>
      <c r="W211" s="566">
        <f t="shared" si="51"/>
        <v>0</v>
      </c>
      <c r="X211" s="566">
        <f t="shared" si="61"/>
        <v>0</v>
      </c>
      <c r="Y211" s="566">
        <f t="shared" si="62"/>
        <v>0</v>
      </c>
      <c r="Z211" s="566">
        <f t="shared" si="63"/>
        <v>0</v>
      </c>
      <c r="AA211" s="566">
        <f t="shared" si="64"/>
        <v>0</v>
      </c>
      <c r="AB211" s="566">
        <f t="shared" si="65"/>
        <v>0</v>
      </c>
      <c r="AC211" s="566">
        <f t="shared" si="66"/>
        <v>0</v>
      </c>
      <c r="AD211" s="566">
        <f t="shared" si="67"/>
        <v>0</v>
      </c>
      <c r="AE211" s="566">
        <f t="shared" si="68"/>
        <v>0</v>
      </c>
      <c r="AF211" s="566">
        <f t="shared" si="69"/>
        <v>0</v>
      </c>
      <c r="AG211" s="573"/>
    </row>
    <row r="212" spans="1:33" ht="25.15" customHeight="1">
      <c r="A212" s="543">
        <v>58</v>
      </c>
      <c r="B212" s="576"/>
      <c r="C212" s="678" t="s">
        <v>1464</v>
      </c>
      <c r="D212" s="542"/>
      <c r="E212" s="542"/>
      <c r="F212" s="542"/>
      <c r="G212" s="542"/>
      <c r="H212" s="542"/>
      <c r="I212" s="542"/>
      <c r="J212" s="542"/>
      <c r="K212" s="542"/>
      <c r="L212" s="542"/>
      <c r="M212" s="542"/>
      <c r="N212" s="590">
        <f t="shared" si="48"/>
        <v>0</v>
      </c>
      <c r="O212" s="590">
        <f t="shared" si="49"/>
        <v>0</v>
      </c>
      <c r="P212" s="591">
        <f>(O212/O273)*100</f>
        <v>0</v>
      </c>
      <c r="Q212" s="602"/>
      <c r="R212" s="591">
        <f t="shared" si="50"/>
        <v>0</v>
      </c>
      <c r="S212" s="564">
        <v>22120</v>
      </c>
      <c r="T212" s="569"/>
      <c r="U212" s="2569"/>
      <c r="W212" s="566">
        <f t="shared" si="51"/>
        <v>0</v>
      </c>
      <c r="X212" s="566">
        <f t="shared" si="61"/>
        <v>0</v>
      </c>
      <c r="Y212" s="566">
        <f t="shared" si="62"/>
        <v>0</v>
      </c>
      <c r="Z212" s="566">
        <f t="shared" si="63"/>
        <v>0</v>
      </c>
      <c r="AA212" s="566">
        <f t="shared" si="64"/>
        <v>0</v>
      </c>
      <c r="AB212" s="566">
        <f t="shared" si="65"/>
        <v>0</v>
      </c>
      <c r="AC212" s="566">
        <f t="shared" si="66"/>
        <v>0</v>
      </c>
      <c r="AD212" s="566">
        <f t="shared" si="67"/>
        <v>0</v>
      </c>
      <c r="AE212" s="566">
        <f t="shared" si="68"/>
        <v>0</v>
      </c>
      <c r="AF212" s="566">
        <f t="shared" si="69"/>
        <v>0</v>
      </c>
      <c r="AG212" s="573"/>
    </row>
    <row r="213" spans="1:33" ht="114" customHeight="1">
      <c r="A213" s="2561" t="s">
        <v>300</v>
      </c>
      <c r="B213" s="2562"/>
      <c r="C213" s="2563"/>
      <c r="D213" s="577">
        <f t="shared" ref="D213:M213" si="70">W213</f>
        <v>2048000</v>
      </c>
      <c r="E213" s="578">
        <f t="shared" si="70"/>
        <v>3000000</v>
      </c>
      <c r="F213" s="578">
        <f t="shared" si="70"/>
        <v>2727000</v>
      </c>
      <c r="G213" s="578">
        <f t="shared" si="70"/>
        <v>3105000</v>
      </c>
      <c r="H213" s="578">
        <f t="shared" si="70"/>
        <v>2778000</v>
      </c>
      <c r="I213" s="578">
        <f t="shared" si="70"/>
        <v>2522000</v>
      </c>
      <c r="J213" s="578">
        <f t="shared" si="70"/>
        <v>3205000</v>
      </c>
      <c r="K213" s="578">
        <f t="shared" si="70"/>
        <v>0</v>
      </c>
      <c r="L213" s="578">
        <f t="shared" si="70"/>
        <v>0</v>
      </c>
      <c r="M213" s="578">
        <f t="shared" si="70"/>
        <v>0</v>
      </c>
      <c r="N213" s="578"/>
      <c r="O213" s="592">
        <f>SUM(D213:M213)</f>
        <v>19385000</v>
      </c>
      <c r="P213" s="593">
        <f>SUM(P8:P212)/100</f>
        <v>0.97300824434377797</v>
      </c>
      <c r="Q213" s="604"/>
      <c r="R213" s="605">
        <f>SUM(R8:R212)/100</f>
        <v>0.56307092719901797</v>
      </c>
      <c r="S213" s="607"/>
      <c r="T213" s="608"/>
      <c r="U213" s="573"/>
      <c r="W213" s="609">
        <f t="shared" ref="W213:AF213" si="71">SUM(W8:W212)</f>
        <v>2048000</v>
      </c>
      <c r="X213" s="609">
        <f t="shared" si="71"/>
        <v>3000000</v>
      </c>
      <c r="Y213" s="609">
        <f t="shared" si="71"/>
        <v>2727000</v>
      </c>
      <c r="Z213" s="609">
        <f t="shared" si="71"/>
        <v>3105000</v>
      </c>
      <c r="AA213" s="609">
        <f t="shared" si="71"/>
        <v>2778000</v>
      </c>
      <c r="AB213" s="609">
        <f t="shared" si="71"/>
        <v>2522000</v>
      </c>
      <c r="AC213" s="609">
        <f t="shared" si="71"/>
        <v>3205000</v>
      </c>
      <c r="AD213" s="609">
        <f t="shared" si="71"/>
        <v>0</v>
      </c>
      <c r="AE213" s="609">
        <f t="shared" si="71"/>
        <v>0</v>
      </c>
      <c r="AF213" s="609">
        <f t="shared" si="71"/>
        <v>0</v>
      </c>
      <c r="AG213" s="573"/>
    </row>
    <row r="214" spans="1:33" ht="45" customHeight="1">
      <c r="A214" s="579"/>
      <c r="B214" s="579"/>
      <c r="C214" s="579"/>
      <c r="D214" s="573"/>
      <c r="E214" s="573"/>
      <c r="F214" s="573"/>
      <c r="G214" s="573"/>
      <c r="H214" s="573"/>
      <c r="I214" s="573"/>
      <c r="J214" s="573"/>
      <c r="K214" s="573"/>
      <c r="L214" s="573"/>
      <c r="M214" s="573"/>
      <c r="N214" s="573"/>
      <c r="O214" s="573"/>
      <c r="Q214" s="610"/>
      <c r="R214" s="611"/>
      <c r="S214" s="573"/>
      <c r="T214" s="573"/>
      <c r="U214" s="573"/>
      <c r="W214" s="573"/>
      <c r="X214" s="573"/>
      <c r="Y214" s="573"/>
      <c r="Z214" s="573"/>
      <c r="AA214" s="573"/>
      <c r="AB214" s="573"/>
      <c r="AC214" s="573"/>
      <c r="AD214" s="573"/>
      <c r="AE214" s="573"/>
      <c r="AF214" s="573"/>
      <c r="AG214" s="573"/>
    </row>
    <row r="215" spans="1:33" ht="45" customHeight="1">
      <c r="A215" s="825" t="s">
        <v>65</v>
      </c>
      <c r="B215" s="826" t="s">
        <v>1465</v>
      </c>
      <c r="C215" s="580" t="str">
        <f t="shared" ref="C215:C223" si="72">B215</f>
        <v>BEVERAGES</v>
      </c>
      <c r="D215" s="827">
        <f>D6</f>
        <v>46030</v>
      </c>
      <c r="E215" s="581">
        <f t="shared" ref="E215:M215" si="73">E6</f>
        <v>46031</v>
      </c>
      <c r="F215" s="581">
        <f t="shared" si="73"/>
        <v>46032</v>
      </c>
      <c r="G215" s="581">
        <f t="shared" si="73"/>
        <v>46033</v>
      </c>
      <c r="H215" s="581">
        <f t="shared" si="73"/>
        <v>46034</v>
      </c>
      <c r="I215" s="581">
        <f t="shared" si="73"/>
        <v>46035</v>
      </c>
      <c r="J215" s="581">
        <f t="shared" si="73"/>
        <v>46036</v>
      </c>
      <c r="K215" s="581">
        <f t="shared" si="73"/>
        <v>0</v>
      </c>
      <c r="L215" s="581">
        <f t="shared" si="73"/>
        <v>0</v>
      </c>
      <c r="M215" s="581">
        <f t="shared" si="73"/>
        <v>0</v>
      </c>
      <c r="N215" s="594" t="s">
        <v>67</v>
      </c>
      <c r="O215" s="594" t="s">
        <v>415</v>
      </c>
      <c r="P215" s="595" t="s">
        <v>1154</v>
      </c>
      <c r="Q215" s="613" t="s">
        <v>1280</v>
      </c>
      <c r="R215" s="613" t="s">
        <v>1281</v>
      </c>
      <c r="S215" s="615" t="s">
        <v>1466</v>
      </c>
      <c r="T215" s="616"/>
      <c r="U215" s="2570" t="s">
        <v>180</v>
      </c>
      <c r="W215" s="573"/>
      <c r="X215" s="573"/>
      <c r="Y215" s="573"/>
      <c r="Z215" s="573"/>
      <c r="AA215" s="573"/>
      <c r="AB215" s="573"/>
      <c r="AC215" s="573"/>
      <c r="AD215" s="573"/>
      <c r="AE215" s="573"/>
      <c r="AF215" s="573"/>
      <c r="AG215" s="573"/>
    </row>
    <row r="216" spans="1:33" ht="25.15" customHeight="1">
      <c r="A216" s="539">
        <v>1</v>
      </c>
      <c r="B216" s="828" t="s">
        <v>1467</v>
      </c>
      <c r="C216" s="829" t="str">
        <f t="shared" si="72"/>
        <v>Air Mineral Botol  (600 ML)</v>
      </c>
      <c r="D216" s="694">
        <v>1</v>
      </c>
      <c r="E216" s="694">
        <v>7</v>
      </c>
      <c r="F216" s="694">
        <v>10</v>
      </c>
      <c r="G216" s="694">
        <v>4</v>
      </c>
      <c r="H216" s="694">
        <v>7</v>
      </c>
      <c r="I216" s="694">
        <v>7</v>
      </c>
      <c r="J216" s="694">
        <v>8</v>
      </c>
      <c r="K216" s="694"/>
      <c r="L216" s="694"/>
      <c r="M216" s="694"/>
      <c r="N216" s="552">
        <f t="shared" ref="N216:N244" si="74">SUM(D216:M216)</f>
        <v>44</v>
      </c>
      <c r="O216" s="552">
        <f t="shared" ref="O216:O271" si="75">N216*S216</f>
        <v>264000</v>
      </c>
      <c r="P216" s="553">
        <f>(O216/O273)*100</f>
        <v>1.3251182693152299</v>
      </c>
      <c r="Q216" s="831">
        <v>0.33300000000000002</v>
      </c>
      <c r="R216" s="553">
        <f t="shared" ref="R216:R271" si="76">P216*Q216</f>
        <v>0.44126438368197202</v>
      </c>
      <c r="S216" s="698">
        <v>6000</v>
      </c>
      <c r="T216" s="569"/>
      <c r="U216" s="2570"/>
      <c r="W216" s="566">
        <f t="shared" ref="W216:W271" si="77">D216*S216</f>
        <v>6000</v>
      </c>
      <c r="X216" s="566">
        <f t="shared" ref="X216:X271" si="78">E216*S216</f>
        <v>42000</v>
      </c>
      <c r="Y216" s="566">
        <f t="shared" ref="Y216:Y271" si="79">F216*S216</f>
        <v>60000</v>
      </c>
      <c r="Z216" s="566">
        <f t="shared" ref="Z216:Z271" si="80">G216*S216</f>
        <v>24000</v>
      </c>
      <c r="AA216" s="566">
        <f t="shared" ref="AA216:AA271" si="81">H216*S216</f>
        <v>42000</v>
      </c>
      <c r="AB216" s="566">
        <f t="shared" ref="AB216:AB271" si="82">I216*S216</f>
        <v>42000</v>
      </c>
      <c r="AC216" s="566">
        <f t="shared" ref="AC216:AC271" si="83">J216*S216</f>
        <v>48000</v>
      </c>
      <c r="AD216" s="566">
        <f t="shared" ref="AD216:AD271" si="84">K216*S216</f>
        <v>0</v>
      </c>
      <c r="AE216" s="566">
        <f t="shared" ref="AE216:AE271" si="85">L216*S216</f>
        <v>0</v>
      </c>
      <c r="AF216" s="566">
        <f t="shared" ref="AF216:AF271" si="86">M216*S216</f>
        <v>0</v>
      </c>
      <c r="AG216" s="573"/>
    </row>
    <row r="217" spans="1:33" ht="25.15" customHeight="1">
      <c r="A217" s="539">
        <v>2</v>
      </c>
      <c r="B217" s="828" t="s">
        <v>1468</v>
      </c>
      <c r="C217" s="541" t="str">
        <f t="shared" si="72"/>
        <v>Air Mineral Botol (330 ML)</v>
      </c>
      <c r="D217" s="694"/>
      <c r="E217" s="694"/>
      <c r="F217" s="694"/>
      <c r="G217" s="694"/>
      <c r="H217" s="694"/>
      <c r="I217" s="694"/>
      <c r="J217" s="694"/>
      <c r="K217" s="694"/>
      <c r="L217" s="694"/>
      <c r="M217" s="694"/>
      <c r="N217" s="552">
        <f t="shared" ref="N217" si="87">SUM(D217:M217)</f>
        <v>0</v>
      </c>
      <c r="O217" s="552">
        <f t="shared" ref="O217" si="88">N217*S217</f>
        <v>0</v>
      </c>
      <c r="P217" s="553">
        <f>(O217/O273)*100</f>
        <v>0</v>
      </c>
      <c r="Q217" s="831"/>
      <c r="R217" s="553">
        <f t="shared" ref="R217" si="89">P217*Q217</f>
        <v>0</v>
      </c>
      <c r="S217" s="698"/>
      <c r="T217" s="569"/>
      <c r="U217" s="2570"/>
      <c r="W217" s="566">
        <f t="shared" ref="W217" si="90">D217*S217</f>
        <v>0</v>
      </c>
      <c r="X217" s="566">
        <f t="shared" ref="X217" si="91">E217*S217</f>
        <v>0</v>
      </c>
      <c r="Y217" s="566">
        <f t="shared" ref="Y217" si="92">F217*S217</f>
        <v>0</v>
      </c>
      <c r="Z217" s="566">
        <f t="shared" ref="Z217" si="93">G217*S217</f>
        <v>0</v>
      </c>
      <c r="AA217" s="566">
        <f t="shared" ref="AA217" si="94">H217*S217</f>
        <v>0</v>
      </c>
      <c r="AB217" s="566">
        <f t="shared" ref="AB217" si="95">I217*S217</f>
        <v>0</v>
      </c>
      <c r="AC217" s="566">
        <f t="shared" ref="AC217" si="96">J217*S217</f>
        <v>0</v>
      </c>
      <c r="AD217" s="566">
        <f t="shared" ref="AD217" si="97">K217*S217</f>
        <v>0</v>
      </c>
      <c r="AE217" s="566">
        <f t="shared" ref="AE217" si="98">L217*S217</f>
        <v>0</v>
      </c>
      <c r="AF217" s="566">
        <f t="shared" ref="AF217" si="99">M217*S217</f>
        <v>0</v>
      </c>
      <c r="AG217" s="573"/>
    </row>
    <row r="218" spans="1:33" ht="25.15" customHeight="1">
      <c r="A218" s="539">
        <v>3</v>
      </c>
      <c r="B218" s="546" t="s">
        <v>1469</v>
      </c>
      <c r="C218" s="541" t="str">
        <f t="shared" si="72"/>
        <v>Air Mineral Cup</v>
      </c>
      <c r="D218" s="694"/>
      <c r="E218" s="694">
        <v>1</v>
      </c>
      <c r="F218" s="694"/>
      <c r="G218" s="694"/>
      <c r="H218" s="694"/>
      <c r="I218" s="694"/>
      <c r="J218" s="694"/>
      <c r="K218" s="694"/>
      <c r="L218" s="694"/>
      <c r="M218" s="694"/>
      <c r="N218" s="554">
        <f t="shared" si="74"/>
        <v>1</v>
      </c>
      <c r="O218" s="554">
        <f t="shared" si="75"/>
        <v>2000</v>
      </c>
      <c r="P218" s="555">
        <f>(O218/O273)*100</f>
        <v>1.00387747675396E-2</v>
      </c>
      <c r="Q218" s="570">
        <v>0.22900000000000001</v>
      </c>
      <c r="R218" s="555">
        <f t="shared" si="76"/>
        <v>2.2988794217665698E-3</v>
      </c>
      <c r="S218" s="698">
        <v>2000</v>
      </c>
      <c r="T218" s="569"/>
      <c r="U218" s="2570"/>
      <c r="V218" s="532" t="s">
        <v>61</v>
      </c>
      <c r="W218" s="566">
        <f t="shared" si="77"/>
        <v>0</v>
      </c>
      <c r="X218" s="566">
        <f t="shared" si="78"/>
        <v>2000</v>
      </c>
      <c r="Y218" s="566">
        <f t="shared" si="79"/>
        <v>0</v>
      </c>
      <c r="Z218" s="566">
        <f t="shared" si="80"/>
        <v>0</v>
      </c>
      <c r="AA218" s="566">
        <f t="shared" si="81"/>
        <v>0</v>
      </c>
      <c r="AB218" s="566">
        <f t="shared" si="82"/>
        <v>0</v>
      </c>
      <c r="AC218" s="566">
        <f t="shared" si="83"/>
        <v>0</v>
      </c>
      <c r="AD218" s="566">
        <f t="shared" si="84"/>
        <v>0</v>
      </c>
      <c r="AE218" s="566">
        <f t="shared" si="85"/>
        <v>0</v>
      </c>
      <c r="AF218" s="566">
        <f t="shared" si="86"/>
        <v>0</v>
      </c>
      <c r="AG218" s="573"/>
    </row>
    <row r="219" spans="1:33" ht="25.15" customHeight="1">
      <c r="A219" s="539">
        <v>4</v>
      </c>
      <c r="B219" s="546" t="s">
        <v>1470</v>
      </c>
      <c r="C219" s="541" t="str">
        <f t="shared" si="72"/>
        <v>Teh Botol</v>
      </c>
      <c r="D219" s="694"/>
      <c r="E219" s="694">
        <v>2</v>
      </c>
      <c r="F219" s="694"/>
      <c r="G219" s="694"/>
      <c r="H219" s="694"/>
      <c r="I219" s="694"/>
      <c r="J219" s="694"/>
      <c r="K219" s="694"/>
      <c r="L219" s="694"/>
      <c r="M219" s="694"/>
      <c r="N219" s="554">
        <f t="shared" si="74"/>
        <v>2</v>
      </c>
      <c r="O219" s="554">
        <f t="shared" si="75"/>
        <v>12000</v>
      </c>
      <c r="P219" s="555">
        <f>(O219/O273)*100</f>
        <v>6.02326486052377E-2</v>
      </c>
      <c r="Q219" s="570">
        <v>0.36099999999999999</v>
      </c>
      <c r="R219" s="555">
        <f t="shared" si="76"/>
        <v>2.1743986146490799E-2</v>
      </c>
      <c r="S219" s="698">
        <v>6000</v>
      </c>
      <c r="T219" s="569"/>
      <c r="U219" s="2570"/>
      <c r="W219" s="566">
        <f t="shared" si="77"/>
        <v>0</v>
      </c>
      <c r="X219" s="566">
        <f t="shared" si="78"/>
        <v>12000</v>
      </c>
      <c r="Y219" s="566">
        <f t="shared" si="79"/>
        <v>0</v>
      </c>
      <c r="Z219" s="566">
        <f t="shared" si="80"/>
        <v>0</v>
      </c>
      <c r="AA219" s="566">
        <f t="shared" si="81"/>
        <v>0</v>
      </c>
      <c r="AB219" s="566">
        <f t="shared" si="82"/>
        <v>0</v>
      </c>
      <c r="AC219" s="566">
        <f t="shared" si="83"/>
        <v>0</v>
      </c>
      <c r="AD219" s="566">
        <f t="shared" si="84"/>
        <v>0</v>
      </c>
      <c r="AE219" s="566">
        <f t="shared" si="85"/>
        <v>0</v>
      </c>
      <c r="AF219" s="566">
        <f t="shared" si="86"/>
        <v>0</v>
      </c>
      <c r="AG219" s="573"/>
    </row>
    <row r="220" spans="1:33" ht="25.15" customHeight="1">
      <c r="A220" s="539">
        <v>5</v>
      </c>
      <c r="B220" s="546" t="s">
        <v>1471</v>
      </c>
      <c r="C220" s="541" t="str">
        <f t="shared" si="72"/>
        <v>Teh Sosro Genggam</v>
      </c>
      <c r="D220" s="694"/>
      <c r="E220" s="694"/>
      <c r="F220" s="694"/>
      <c r="G220" s="694"/>
      <c r="H220" s="694"/>
      <c r="I220" s="694"/>
      <c r="J220" s="694"/>
      <c r="K220" s="694"/>
      <c r="L220" s="694"/>
      <c r="M220" s="694"/>
      <c r="N220" s="554">
        <f t="shared" si="74"/>
        <v>0</v>
      </c>
      <c r="O220" s="554">
        <f t="shared" si="75"/>
        <v>0</v>
      </c>
      <c r="P220" s="555">
        <f>(O220/O273)*100</f>
        <v>0</v>
      </c>
      <c r="Q220" s="570"/>
      <c r="R220" s="555">
        <f t="shared" si="76"/>
        <v>0</v>
      </c>
      <c r="S220" s="698">
        <v>8000</v>
      </c>
      <c r="T220" s="569"/>
      <c r="U220" s="2570"/>
      <c r="W220" s="566">
        <f t="shared" si="77"/>
        <v>0</v>
      </c>
      <c r="X220" s="566">
        <f t="shared" si="78"/>
        <v>0</v>
      </c>
      <c r="Y220" s="566">
        <f t="shared" si="79"/>
        <v>0</v>
      </c>
      <c r="Z220" s="566">
        <f t="shared" si="80"/>
        <v>0</v>
      </c>
      <c r="AA220" s="566">
        <f t="shared" si="81"/>
        <v>0</v>
      </c>
      <c r="AB220" s="566">
        <f t="shared" si="82"/>
        <v>0</v>
      </c>
      <c r="AC220" s="566">
        <f t="shared" si="83"/>
        <v>0</v>
      </c>
      <c r="AD220" s="566">
        <f t="shared" si="84"/>
        <v>0</v>
      </c>
      <c r="AE220" s="566">
        <f t="shared" si="85"/>
        <v>0</v>
      </c>
      <c r="AF220" s="566">
        <f t="shared" si="86"/>
        <v>0</v>
      </c>
      <c r="AG220" s="573"/>
    </row>
    <row r="221" spans="1:33" ht="25.15" customHeight="1">
      <c r="A221" s="539">
        <v>6</v>
      </c>
      <c r="B221" s="546" t="s">
        <v>1472</v>
      </c>
      <c r="C221" s="541" t="str">
        <f t="shared" si="72"/>
        <v>Fruit Tea Botol</v>
      </c>
      <c r="D221" s="694"/>
      <c r="E221" s="694">
        <v>1</v>
      </c>
      <c r="F221" s="694"/>
      <c r="G221" s="694">
        <v>1</v>
      </c>
      <c r="H221" s="694"/>
      <c r="I221" s="694"/>
      <c r="J221" s="694"/>
      <c r="K221" s="694"/>
      <c r="L221" s="694"/>
      <c r="M221" s="694"/>
      <c r="N221" s="554">
        <f t="shared" si="74"/>
        <v>2</v>
      </c>
      <c r="O221" s="554">
        <f t="shared" si="75"/>
        <v>12000</v>
      </c>
      <c r="P221" s="555">
        <f>(O221/O273)*100</f>
        <v>6.02326486052377E-2</v>
      </c>
      <c r="Q221" s="570">
        <v>0.58299999999999996</v>
      </c>
      <c r="R221" s="555">
        <f t="shared" si="76"/>
        <v>3.5115634136853598E-2</v>
      </c>
      <c r="S221" s="698">
        <v>6000</v>
      </c>
      <c r="T221" s="569"/>
      <c r="U221" s="2570"/>
      <c r="W221" s="566">
        <f t="shared" si="77"/>
        <v>0</v>
      </c>
      <c r="X221" s="566">
        <f t="shared" si="78"/>
        <v>6000</v>
      </c>
      <c r="Y221" s="566">
        <f t="shared" si="79"/>
        <v>0</v>
      </c>
      <c r="Z221" s="566">
        <f t="shared" si="80"/>
        <v>6000</v>
      </c>
      <c r="AA221" s="566">
        <f t="shared" si="81"/>
        <v>0</v>
      </c>
      <c r="AB221" s="566">
        <f t="shared" si="82"/>
        <v>0</v>
      </c>
      <c r="AC221" s="566">
        <f t="shared" si="83"/>
        <v>0</v>
      </c>
      <c r="AD221" s="566">
        <f t="shared" si="84"/>
        <v>0</v>
      </c>
      <c r="AE221" s="566">
        <f t="shared" si="85"/>
        <v>0</v>
      </c>
      <c r="AF221" s="566">
        <f t="shared" si="86"/>
        <v>0</v>
      </c>
      <c r="AG221" s="573"/>
    </row>
    <row r="222" spans="1:33" ht="25.15" customHeight="1">
      <c r="A222" s="539">
        <v>7</v>
      </c>
      <c r="B222" s="546" t="s">
        <v>1473</v>
      </c>
      <c r="C222" s="541" t="str">
        <f t="shared" si="72"/>
        <v>Fuit Tea Genggam</v>
      </c>
      <c r="D222" s="694"/>
      <c r="E222" s="694"/>
      <c r="F222" s="694"/>
      <c r="G222" s="694"/>
      <c r="H222" s="694"/>
      <c r="I222" s="694"/>
      <c r="J222" s="694"/>
      <c r="K222" s="694"/>
      <c r="L222" s="694"/>
      <c r="M222" s="694"/>
      <c r="N222" s="554">
        <f t="shared" si="74"/>
        <v>0</v>
      </c>
      <c r="O222" s="554">
        <f t="shared" si="75"/>
        <v>0</v>
      </c>
      <c r="P222" s="555">
        <f>(O222/O273)*100</f>
        <v>0</v>
      </c>
      <c r="Q222" s="570"/>
      <c r="R222" s="555">
        <f t="shared" si="76"/>
        <v>0</v>
      </c>
      <c r="S222" s="698"/>
      <c r="T222" s="569"/>
      <c r="U222" s="2570"/>
      <c r="W222" s="566">
        <f t="shared" si="77"/>
        <v>0</v>
      </c>
      <c r="X222" s="566">
        <f t="shared" si="78"/>
        <v>0</v>
      </c>
      <c r="Y222" s="566">
        <f t="shared" si="79"/>
        <v>0</v>
      </c>
      <c r="Z222" s="566">
        <f t="shared" si="80"/>
        <v>0</v>
      </c>
      <c r="AA222" s="566">
        <f t="shared" si="81"/>
        <v>0</v>
      </c>
      <c r="AB222" s="566">
        <f t="shared" si="82"/>
        <v>0</v>
      </c>
      <c r="AC222" s="566">
        <f t="shared" si="83"/>
        <v>0</v>
      </c>
      <c r="AD222" s="566">
        <f t="shared" si="84"/>
        <v>0</v>
      </c>
      <c r="AE222" s="566">
        <f t="shared" si="85"/>
        <v>0</v>
      </c>
      <c r="AF222" s="566">
        <f t="shared" si="86"/>
        <v>0</v>
      </c>
      <c r="AG222" s="573"/>
    </row>
    <row r="223" spans="1:33" ht="25.15" customHeight="1">
      <c r="A223" s="539">
        <v>8</v>
      </c>
      <c r="B223" s="546" t="s">
        <v>1474</v>
      </c>
      <c r="C223" s="541" t="str">
        <f t="shared" si="72"/>
        <v>Tebs</v>
      </c>
      <c r="D223" s="694"/>
      <c r="E223" s="694"/>
      <c r="F223" s="694"/>
      <c r="G223" s="694"/>
      <c r="H223" s="694"/>
      <c r="I223" s="694"/>
      <c r="J223" s="694"/>
      <c r="K223" s="694"/>
      <c r="L223" s="694"/>
      <c r="M223" s="694"/>
      <c r="N223" s="554">
        <f t="shared" si="74"/>
        <v>0</v>
      </c>
      <c r="O223" s="554">
        <f t="shared" si="75"/>
        <v>0</v>
      </c>
      <c r="P223" s="555">
        <f>(O223/O273)*100</f>
        <v>0</v>
      </c>
      <c r="Q223" s="570">
        <v>0.58299999999999996</v>
      </c>
      <c r="R223" s="555">
        <f t="shared" si="76"/>
        <v>0</v>
      </c>
      <c r="S223" s="698">
        <v>6000</v>
      </c>
      <c r="T223" s="569"/>
      <c r="U223" s="2570"/>
      <c r="W223" s="566">
        <f t="shared" si="77"/>
        <v>0</v>
      </c>
      <c r="X223" s="566">
        <f t="shared" si="78"/>
        <v>0</v>
      </c>
      <c r="Y223" s="566">
        <f t="shared" si="79"/>
        <v>0</v>
      </c>
      <c r="Z223" s="566">
        <f t="shared" si="80"/>
        <v>0</v>
      </c>
      <c r="AA223" s="566">
        <f t="shared" si="81"/>
        <v>0</v>
      </c>
      <c r="AB223" s="566">
        <f t="shared" si="82"/>
        <v>0</v>
      </c>
      <c r="AC223" s="566">
        <f t="shared" si="83"/>
        <v>0</v>
      </c>
      <c r="AD223" s="566">
        <f t="shared" si="84"/>
        <v>0</v>
      </c>
      <c r="AE223" s="566">
        <f t="shared" si="85"/>
        <v>0</v>
      </c>
      <c r="AF223" s="566">
        <f t="shared" si="86"/>
        <v>0</v>
      </c>
      <c r="AG223" s="573"/>
    </row>
    <row r="224" spans="1:33" ht="25.15" customHeight="1">
      <c r="A224" s="539">
        <v>9</v>
      </c>
      <c r="B224" s="546" t="s">
        <v>1475</v>
      </c>
      <c r="C224" s="541" t="s">
        <v>1475</v>
      </c>
      <c r="D224" s="694"/>
      <c r="E224" s="694"/>
      <c r="F224" s="694"/>
      <c r="G224" s="694"/>
      <c r="H224" s="694"/>
      <c r="I224" s="694"/>
      <c r="J224" s="694"/>
      <c r="K224" s="694"/>
      <c r="L224" s="694"/>
      <c r="M224" s="694"/>
      <c r="N224" s="554">
        <f t="shared" si="74"/>
        <v>0</v>
      </c>
      <c r="O224" s="554">
        <f t="shared" si="75"/>
        <v>0</v>
      </c>
      <c r="P224" s="555">
        <f>(O224/O273)*100</f>
        <v>0</v>
      </c>
      <c r="Q224" s="570">
        <v>0.39600000000000002</v>
      </c>
      <c r="R224" s="555">
        <f t="shared" si="76"/>
        <v>0</v>
      </c>
      <c r="S224" s="698">
        <v>5000</v>
      </c>
      <c r="T224" s="569"/>
      <c r="U224" s="2570"/>
      <c r="W224" s="566">
        <f t="shared" si="77"/>
        <v>0</v>
      </c>
      <c r="X224" s="566">
        <f t="shared" si="78"/>
        <v>0</v>
      </c>
      <c r="Y224" s="566">
        <f t="shared" si="79"/>
        <v>0</v>
      </c>
      <c r="Z224" s="566">
        <f t="shared" si="80"/>
        <v>0</v>
      </c>
      <c r="AA224" s="566">
        <f t="shared" si="81"/>
        <v>0</v>
      </c>
      <c r="AB224" s="566">
        <f t="shared" si="82"/>
        <v>0</v>
      </c>
      <c r="AC224" s="566">
        <f t="shared" si="83"/>
        <v>0</v>
      </c>
      <c r="AD224" s="566">
        <f t="shared" si="84"/>
        <v>0</v>
      </c>
      <c r="AE224" s="566">
        <f t="shared" si="85"/>
        <v>0</v>
      </c>
      <c r="AF224" s="566">
        <f t="shared" si="86"/>
        <v>0</v>
      </c>
      <c r="AG224" s="573"/>
    </row>
    <row r="225" spans="1:33" ht="25.15" customHeight="1">
      <c r="A225" s="539">
        <v>10</v>
      </c>
      <c r="B225" s="546"/>
      <c r="C225" s="541"/>
      <c r="D225" s="694"/>
      <c r="E225" s="694"/>
      <c r="F225" s="694"/>
      <c r="G225" s="694"/>
      <c r="H225" s="694"/>
      <c r="I225" s="694"/>
      <c r="J225" s="694"/>
      <c r="K225" s="694"/>
      <c r="L225" s="694"/>
      <c r="M225" s="694"/>
      <c r="N225" s="554">
        <f t="shared" si="74"/>
        <v>0</v>
      </c>
      <c r="O225" s="554">
        <f t="shared" si="75"/>
        <v>0</v>
      </c>
      <c r="P225" s="555">
        <f>(O225/O273)*100</f>
        <v>0</v>
      </c>
      <c r="Q225" s="570"/>
      <c r="R225" s="555">
        <f t="shared" si="76"/>
        <v>0</v>
      </c>
      <c r="S225" s="698"/>
      <c r="T225" s="569"/>
      <c r="U225" s="2570"/>
      <c r="W225" s="566">
        <f t="shared" si="77"/>
        <v>0</v>
      </c>
      <c r="X225" s="566">
        <f t="shared" si="78"/>
        <v>0</v>
      </c>
      <c r="Y225" s="566">
        <f t="shared" si="79"/>
        <v>0</v>
      </c>
      <c r="Z225" s="566">
        <f t="shared" si="80"/>
        <v>0</v>
      </c>
      <c r="AA225" s="566">
        <f t="shared" si="81"/>
        <v>0</v>
      </c>
      <c r="AB225" s="566">
        <f t="shared" si="82"/>
        <v>0</v>
      </c>
      <c r="AC225" s="566">
        <f t="shared" si="83"/>
        <v>0</v>
      </c>
      <c r="AD225" s="566">
        <f t="shared" si="84"/>
        <v>0</v>
      </c>
      <c r="AE225" s="566">
        <f t="shared" si="85"/>
        <v>0</v>
      </c>
      <c r="AF225" s="566">
        <f t="shared" si="86"/>
        <v>0</v>
      </c>
      <c r="AG225" s="573"/>
    </row>
    <row r="226" spans="1:33" ht="25.15" customHeight="1">
      <c r="A226" s="539">
        <v>11</v>
      </c>
      <c r="B226" s="546" t="s">
        <v>1476</v>
      </c>
      <c r="C226" s="541" t="str">
        <f t="shared" ref="C226:C237" si="100">B226</f>
        <v>Juice Durian Float</v>
      </c>
      <c r="D226" s="694"/>
      <c r="E226" s="694"/>
      <c r="F226" s="694"/>
      <c r="G226" s="694"/>
      <c r="H226" s="694"/>
      <c r="I226" s="694"/>
      <c r="J226" s="694"/>
      <c r="K226" s="694"/>
      <c r="L226" s="694"/>
      <c r="M226" s="694"/>
      <c r="N226" s="554">
        <f t="shared" si="74"/>
        <v>0</v>
      </c>
      <c r="O226" s="554">
        <f t="shared" si="75"/>
        <v>0</v>
      </c>
      <c r="P226" s="555">
        <f>(O226/O273)*100</f>
        <v>0</v>
      </c>
      <c r="Q226" s="570"/>
      <c r="R226" s="555">
        <f t="shared" si="76"/>
        <v>0</v>
      </c>
      <c r="S226" s="698"/>
      <c r="T226" s="569"/>
      <c r="U226" s="2570"/>
      <c r="W226" s="566">
        <f t="shared" si="77"/>
        <v>0</v>
      </c>
      <c r="X226" s="566">
        <f t="shared" si="78"/>
        <v>0</v>
      </c>
      <c r="Y226" s="566">
        <f t="shared" si="79"/>
        <v>0</v>
      </c>
      <c r="Z226" s="566">
        <f t="shared" si="80"/>
        <v>0</v>
      </c>
      <c r="AA226" s="566">
        <f t="shared" si="81"/>
        <v>0</v>
      </c>
      <c r="AB226" s="566">
        <f t="shared" si="82"/>
        <v>0</v>
      </c>
      <c r="AC226" s="566">
        <f t="shared" si="83"/>
        <v>0</v>
      </c>
      <c r="AD226" s="566">
        <f t="shared" si="84"/>
        <v>0</v>
      </c>
      <c r="AE226" s="566">
        <f t="shared" si="85"/>
        <v>0</v>
      </c>
      <c r="AF226" s="566">
        <f t="shared" si="86"/>
        <v>0</v>
      </c>
      <c r="AG226" s="573"/>
    </row>
    <row r="227" spans="1:33" ht="25.15" customHeight="1">
      <c r="A227" s="539">
        <v>12</v>
      </c>
      <c r="B227" s="546" t="s">
        <v>1477</v>
      </c>
      <c r="C227" s="541" t="str">
        <f t="shared" si="100"/>
        <v>Juice Durian</v>
      </c>
      <c r="D227" s="694"/>
      <c r="E227" s="694"/>
      <c r="F227" s="694"/>
      <c r="G227" s="694"/>
      <c r="H227" s="694"/>
      <c r="I227" s="694"/>
      <c r="J227" s="694"/>
      <c r="K227" s="694"/>
      <c r="L227" s="694"/>
      <c r="M227" s="694"/>
      <c r="N227" s="554">
        <f t="shared" si="74"/>
        <v>0</v>
      </c>
      <c r="O227" s="554">
        <f t="shared" si="75"/>
        <v>0</v>
      </c>
      <c r="P227" s="555">
        <f>(O227/O273)*100</f>
        <v>0</v>
      </c>
      <c r="Q227" s="570"/>
      <c r="R227" s="555">
        <f t="shared" si="76"/>
        <v>0</v>
      </c>
      <c r="S227" s="698"/>
      <c r="T227" s="569"/>
      <c r="U227" s="2570"/>
      <c r="W227" s="566">
        <f t="shared" si="77"/>
        <v>0</v>
      </c>
      <c r="X227" s="566">
        <f t="shared" si="78"/>
        <v>0</v>
      </c>
      <c r="Y227" s="566">
        <f t="shared" si="79"/>
        <v>0</v>
      </c>
      <c r="Z227" s="566">
        <f t="shared" si="80"/>
        <v>0</v>
      </c>
      <c r="AA227" s="566">
        <f t="shared" si="81"/>
        <v>0</v>
      </c>
      <c r="AB227" s="566">
        <f t="shared" si="82"/>
        <v>0</v>
      </c>
      <c r="AC227" s="566">
        <f t="shared" si="83"/>
        <v>0</v>
      </c>
      <c r="AD227" s="566">
        <f t="shared" si="84"/>
        <v>0</v>
      </c>
      <c r="AE227" s="566">
        <f t="shared" si="85"/>
        <v>0</v>
      </c>
      <c r="AF227" s="566">
        <f t="shared" si="86"/>
        <v>0</v>
      </c>
      <c r="AG227" s="573"/>
    </row>
    <row r="228" spans="1:33" ht="25.15" customHeight="1">
      <c r="A228" s="539">
        <v>13</v>
      </c>
      <c r="B228" s="546" t="s">
        <v>1478</v>
      </c>
      <c r="C228" s="541" t="str">
        <f t="shared" si="100"/>
        <v>Juice Melon Float</v>
      </c>
      <c r="D228" s="694"/>
      <c r="E228" s="694"/>
      <c r="F228" s="694"/>
      <c r="G228" s="694"/>
      <c r="H228" s="694"/>
      <c r="I228" s="694"/>
      <c r="J228" s="694"/>
      <c r="K228" s="694"/>
      <c r="L228" s="694"/>
      <c r="M228" s="694"/>
      <c r="N228" s="554">
        <f t="shared" si="74"/>
        <v>0</v>
      </c>
      <c r="O228" s="554">
        <f t="shared" si="75"/>
        <v>0</v>
      </c>
      <c r="P228" s="555">
        <f>(O228/O273)*100</f>
        <v>0</v>
      </c>
      <c r="Q228" s="570"/>
      <c r="R228" s="555">
        <f t="shared" si="76"/>
        <v>0</v>
      </c>
      <c r="S228" s="698"/>
      <c r="T228" s="569"/>
      <c r="U228" s="2570"/>
      <c r="W228" s="566">
        <f t="shared" si="77"/>
        <v>0</v>
      </c>
      <c r="X228" s="566">
        <f t="shared" si="78"/>
        <v>0</v>
      </c>
      <c r="Y228" s="566">
        <f t="shared" si="79"/>
        <v>0</v>
      </c>
      <c r="Z228" s="566">
        <f t="shared" si="80"/>
        <v>0</v>
      </c>
      <c r="AA228" s="566">
        <f t="shared" si="81"/>
        <v>0</v>
      </c>
      <c r="AB228" s="566">
        <f t="shared" si="82"/>
        <v>0</v>
      </c>
      <c r="AC228" s="566">
        <f t="shared" si="83"/>
        <v>0</v>
      </c>
      <c r="AD228" s="566">
        <f t="shared" si="84"/>
        <v>0</v>
      </c>
      <c r="AE228" s="566">
        <f t="shared" si="85"/>
        <v>0</v>
      </c>
      <c r="AF228" s="566">
        <f t="shared" si="86"/>
        <v>0</v>
      </c>
      <c r="AG228" s="573"/>
    </row>
    <row r="229" spans="1:33" ht="25.15" customHeight="1">
      <c r="A229" s="539">
        <v>14</v>
      </c>
      <c r="B229" s="546" t="s">
        <v>1479</v>
      </c>
      <c r="C229" s="541" t="str">
        <f t="shared" si="100"/>
        <v>Juice Melon</v>
      </c>
      <c r="D229" s="694"/>
      <c r="E229" s="694"/>
      <c r="F229" s="694"/>
      <c r="G229" s="694"/>
      <c r="H229" s="694"/>
      <c r="I229" s="694"/>
      <c r="J229" s="694"/>
      <c r="K229" s="694"/>
      <c r="L229" s="694"/>
      <c r="M229" s="694"/>
      <c r="N229" s="554">
        <f t="shared" si="74"/>
        <v>0</v>
      </c>
      <c r="O229" s="554">
        <f t="shared" si="75"/>
        <v>0</v>
      </c>
      <c r="P229" s="555">
        <f>(O229/O273)*100</f>
        <v>0</v>
      </c>
      <c r="Q229" s="570"/>
      <c r="R229" s="555">
        <f t="shared" si="76"/>
        <v>0</v>
      </c>
      <c r="S229" s="698"/>
      <c r="T229" s="569"/>
      <c r="U229" s="2570"/>
      <c r="W229" s="566">
        <f t="shared" si="77"/>
        <v>0</v>
      </c>
      <c r="X229" s="566">
        <f t="shared" si="78"/>
        <v>0</v>
      </c>
      <c r="Y229" s="566">
        <f t="shared" si="79"/>
        <v>0</v>
      </c>
      <c r="Z229" s="566">
        <f t="shared" si="80"/>
        <v>0</v>
      </c>
      <c r="AA229" s="566">
        <f t="shared" si="81"/>
        <v>0</v>
      </c>
      <c r="AB229" s="566">
        <f t="shared" si="82"/>
        <v>0</v>
      </c>
      <c r="AC229" s="566">
        <f t="shared" si="83"/>
        <v>0</v>
      </c>
      <c r="AD229" s="566">
        <f t="shared" si="84"/>
        <v>0</v>
      </c>
      <c r="AE229" s="566">
        <f t="shared" si="85"/>
        <v>0</v>
      </c>
      <c r="AF229" s="566">
        <f t="shared" si="86"/>
        <v>0</v>
      </c>
      <c r="AG229" s="573"/>
    </row>
    <row r="230" spans="1:33" ht="25.15" customHeight="1">
      <c r="A230" s="539">
        <v>15</v>
      </c>
      <c r="B230" s="546" t="s">
        <v>1480</v>
      </c>
      <c r="C230" s="541" t="str">
        <f t="shared" si="100"/>
        <v>Juice Strawberry Float</v>
      </c>
      <c r="D230" s="694"/>
      <c r="E230" s="694"/>
      <c r="F230" s="694"/>
      <c r="G230" s="694"/>
      <c r="H230" s="694"/>
      <c r="I230" s="694"/>
      <c r="J230" s="694"/>
      <c r="K230" s="694"/>
      <c r="L230" s="694"/>
      <c r="M230" s="694"/>
      <c r="N230" s="554">
        <f t="shared" si="74"/>
        <v>0</v>
      </c>
      <c r="O230" s="554">
        <f t="shared" si="75"/>
        <v>0</v>
      </c>
      <c r="P230" s="555">
        <f>(O230/O273)*100</f>
        <v>0</v>
      </c>
      <c r="Q230" s="570"/>
      <c r="R230" s="555">
        <f t="shared" si="76"/>
        <v>0</v>
      </c>
      <c r="S230" s="698"/>
      <c r="T230" s="569"/>
      <c r="U230" s="2570"/>
      <c r="W230" s="566">
        <f t="shared" si="77"/>
        <v>0</v>
      </c>
      <c r="X230" s="566">
        <f t="shared" si="78"/>
        <v>0</v>
      </c>
      <c r="Y230" s="566">
        <f t="shared" si="79"/>
        <v>0</v>
      </c>
      <c r="Z230" s="566">
        <f t="shared" si="80"/>
        <v>0</v>
      </c>
      <c r="AA230" s="566">
        <f t="shared" si="81"/>
        <v>0</v>
      </c>
      <c r="AB230" s="566">
        <f t="shared" si="82"/>
        <v>0</v>
      </c>
      <c r="AC230" s="566">
        <f t="shared" si="83"/>
        <v>0</v>
      </c>
      <c r="AD230" s="566">
        <f t="shared" si="84"/>
        <v>0</v>
      </c>
      <c r="AE230" s="566">
        <f t="shared" si="85"/>
        <v>0</v>
      </c>
      <c r="AF230" s="566">
        <f t="shared" si="86"/>
        <v>0</v>
      </c>
      <c r="AG230" s="573"/>
    </row>
    <row r="231" spans="1:33" ht="25.15" customHeight="1">
      <c r="A231" s="539">
        <v>16</v>
      </c>
      <c r="B231" s="546" t="s">
        <v>1481</v>
      </c>
      <c r="C231" s="541" t="str">
        <f t="shared" si="100"/>
        <v>Juice Strawberry</v>
      </c>
      <c r="D231" s="694"/>
      <c r="E231" s="694"/>
      <c r="F231" s="694"/>
      <c r="G231" s="694"/>
      <c r="H231" s="694"/>
      <c r="I231" s="694"/>
      <c r="J231" s="694"/>
      <c r="K231" s="694"/>
      <c r="L231" s="694"/>
      <c r="M231" s="694"/>
      <c r="N231" s="554">
        <f t="shared" si="74"/>
        <v>0</v>
      </c>
      <c r="O231" s="554">
        <f t="shared" si="75"/>
        <v>0</v>
      </c>
      <c r="P231" s="555">
        <f>(O231/O273)*100</f>
        <v>0</v>
      </c>
      <c r="Q231" s="570"/>
      <c r="R231" s="555">
        <f t="shared" si="76"/>
        <v>0</v>
      </c>
      <c r="S231" s="698"/>
      <c r="T231" s="569"/>
      <c r="U231" s="2570"/>
      <c r="W231" s="566">
        <f t="shared" si="77"/>
        <v>0</v>
      </c>
      <c r="X231" s="566">
        <f t="shared" si="78"/>
        <v>0</v>
      </c>
      <c r="Y231" s="566">
        <f t="shared" si="79"/>
        <v>0</v>
      </c>
      <c r="Z231" s="566">
        <f t="shared" si="80"/>
        <v>0</v>
      </c>
      <c r="AA231" s="566">
        <f t="shared" si="81"/>
        <v>0</v>
      </c>
      <c r="AB231" s="566">
        <f t="shared" si="82"/>
        <v>0</v>
      </c>
      <c r="AC231" s="566">
        <f t="shared" si="83"/>
        <v>0</v>
      </c>
      <c r="AD231" s="566">
        <f t="shared" si="84"/>
        <v>0</v>
      </c>
      <c r="AE231" s="566">
        <f t="shared" si="85"/>
        <v>0</v>
      </c>
      <c r="AF231" s="566">
        <f t="shared" si="86"/>
        <v>0</v>
      </c>
      <c r="AG231" s="573"/>
    </row>
    <row r="232" spans="1:33" ht="25.15" customHeight="1">
      <c r="A232" s="539">
        <v>17</v>
      </c>
      <c r="B232" s="546" t="s">
        <v>1482</v>
      </c>
      <c r="C232" s="541" t="str">
        <f t="shared" si="100"/>
        <v>Juice Mangga Float</v>
      </c>
      <c r="D232" s="694"/>
      <c r="E232" s="694"/>
      <c r="F232" s="694"/>
      <c r="G232" s="694"/>
      <c r="H232" s="694"/>
      <c r="I232" s="694"/>
      <c r="J232" s="694"/>
      <c r="K232" s="694"/>
      <c r="L232" s="694"/>
      <c r="M232" s="694"/>
      <c r="N232" s="554">
        <f t="shared" si="74"/>
        <v>0</v>
      </c>
      <c r="O232" s="554">
        <f t="shared" si="75"/>
        <v>0</v>
      </c>
      <c r="P232" s="555">
        <f>(O232/O273)*100</f>
        <v>0</v>
      </c>
      <c r="Q232" s="570"/>
      <c r="R232" s="555">
        <f t="shared" si="76"/>
        <v>0</v>
      </c>
      <c r="S232" s="698"/>
      <c r="T232" s="569"/>
      <c r="U232" s="2570"/>
      <c r="W232" s="566">
        <f t="shared" si="77"/>
        <v>0</v>
      </c>
      <c r="X232" s="566">
        <f t="shared" si="78"/>
        <v>0</v>
      </c>
      <c r="Y232" s="566">
        <f t="shared" si="79"/>
        <v>0</v>
      </c>
      <c r="Z232" s="566">
        <f t="shared" si="80"/>
        <v>0</v>
      </c>
      <c r="AA232" s="566">
        <f t="shared" si="81"/>
        <v>0</v>
      </c>
      <c r="AB232" s="566">
        <f t="shared" si="82"/>
        <v>0</v>
      </c>
      <c r="AC232" s="566">
        <f t="shared" si="83"/>
        <v>0</v>
      </c>
      <c r="AD232" s="566">
        <f t="shared" si="84"/>
        <v>0</v>
      </c>
      <c r="AE232" s="566">
        <f t="shared" si="85"/>
        <v>0</v>
      </c>
      <c r="AF232" s="566">
        <f t="shared" si="86"/>
        <v>0</v>
      </c>
      <c r="AG232" s="573"/>
    </row>
    <row r="233" spans="1:33" ht="25.15" customHeight="1">
      <c r="A233" s="539">
        <v>18</v>
      </c>
      <c r="B233" s="546" t="s">
        <v>1483</v>
      </c>
      <c r="C233" s="541" t="str">
        <f t="shared" si="100"/>
        <v>Juice Mangga</v>
      </c>
      <c r="D233" s="694"/>
      <c r="E233" s="694"/>
      <c r="F233" s="694"/>
      <c r="G233" s="694"/>
      <c r="H233" s="694"/>
      <c r="I233" s="694"/>
      <c r="J233" s="694"/>
      <c r="K233" s="694"/>
      <c r="L233" s="694"/>
      <c r="M233" s="694"/>
      <c r="N233" s="554">
        <f t="shared" si="74"/>
        <v>0</v>
      </c>
      <c r="O233" s="554">
        <f t="shared" si="75"/>
        <v>0</v>
      </c>
      <c r="P233" s="555">
        <f>(O233/O273)*100</f>
        <v>0</v>
      </c>
      <c r="Q233" s="570"/>
      <c r="R233" s="555">
        <f t="shared" si="76"/>
        <v>0</v>
      </c>
      <c r="S233" s="698"/>
      <c r="T233" s="569"/>
      <c r="U233" s="2570"/>
      <c r="W233" s="566">
        <f t="shared" si="77"/>
        <v>0</v>
      </c>
      <c r="X233" s="566">
        <f t="shared" si="78"/>
        <v>0</v>
      </c>
      <c r="Y233" s="566">
        <f t="shared" si="79"/>
        <v>0</v>
      </c>
      <c r="Z233" s="566">
        <f t="shared" si="80"/>
        <v>0</v>
      </c>
      <c r="AA233" s="566">
        <f t="shared" si="81"/>
        <v>0</v>
      </c>
      <c r="AB233" s="566">
        <f t="shared" si="82"/>
        <v>0</v>
      </c>
      <c r="AC233" s="566">
        <f t="shared" si="83"/>
        <v>0</v>
      </c>
      <c r="AD233" s="566">
        <f t="shared" si="84"/>
        <v>0</v>
      </c>
      <c r="AE233" s="566">
        <f t="shared" si="85"/>
        <v>0</v>
      </c>
      <c r="AF233" s="566">
        <f t="shared" si="86"/>
        <v>0</v>
      </c>
      <c r="AG233" s="573"/>
    </row>
    <row r="234" spans="1:33" ht="25.15" customHeight="1">
      <c r="A234" s="539">
        <v>19</v>
      </c>
      <c r="B234" s="546" t="s">
        <v>1484</v>
      </c>
      <c r="C234" s="541" t="str">
        <f t="shared" si="100"/>
        <v>Juice Jambu Float</v>
      </c>
      <c r="D234" s="694"/>
      <c r="E234" s="694"/>
      <c r="F234" s="694"/>
      <c r="G234" s="694"/>
      <c r="H234" s="694"/>
      <c r="I234" s="694"/>
      <c r="J234" s="694"/>
      <c r="K234" s="694"/>
      <c r="L234" s="694"/>
      <c r="M234" s="694"/>
      <c r="N234" s="554">
        <f t="shared" si="74"/>
        <v>0</v>
      </c>
      <c r="O234" s="554">
        <f t="shared" si="75"/>
        <v>0</v>
      </c>
      <c r="P234" s="555">
        <f>(O234/O273)*100</f>
        <v>0</v>
      </c>
      <c r="Q234" s="570"/>
      <c r="R234" s="555">
        <f t="shared" si="76"/>
        <v>0</v>
      </c>
      <c r="S234" s="698"/>
      <c r="T234" s="569"/>
      <c r="U234" s="2570"/>
      <c r="W234" s="566">
        <f t="shared" si="77"/>
        <v>0</v>
      </c>
      <c r="X234" s="566">
        <f t="shared" si="78"/>
        <v>0</v>
      </c>
      <c r="Y234" s="566">
        <f t="shared" si="79"/>
        <v>0</v>
      </c>
      <c r="Z234" s="566">
        <f t="shared" si="80"/>
        <v>0</v>
      </c>
      <c r="AA234" s="566">
        <f t="shared" si="81"/>
        <v>0</v>
      </c>
      <c r="AB234" s="566">
        <f t="shared" si="82"/>
        <v>0</v>
      </c>
      <c r="AC234" s="566">
        <f t="shared" si="83"/>
        <v>0</v>
      </c>
      <c r="AD234" s="566">
        <f t="shared" si="84"/>
        <v>0</v>
      </c>
      <c r="AE234" s="566">
        <f t="shared" si="85"/>
        <v>0</v>
      </c>
      <c r="AF234" s="566">
        <f t="shared" si="86"/>
        <v>0</v>
      </c>
      <c r="AG234" s="573"/>
    </row>
    <row r="235" spans="1:33" ht="25.15" customHeight="1">
      <c r="A235" s="539">
        <v>20</v>
      </c>
      <c r="B235" s="546" t="s">
        <v>1485</v>
      </c>
      <c r="C235" s="541" t="str">
        <f t="shared" si="100"/>
        <v>Juice Jambu</v>
      </c>
      <c r="D235" s="694"/>
      <c r="E235" s="694"/>
      <c r="F235" s="694"/>
      <c r="G235" s="694"/>
      <c r="H235" s="694"/>
      <c r="I235" s="694"/>
      <c r="J235" s="694"/>
      <c r="K235" s="694"/>
      <c r="L235" s="694"/>
      <c r="M235" s="694"/>
      <c r="N235" s="554">
        <f t="shared" si="74"/>
        <v>0</v>
      </c>
      <c r="O235" s="554">
        <f t="shared" si="75"/>
        <v>0</v>
      </c>
      <c r="P235" s="555">
        <f>(O235/O273)*100</f>
        <v>0</v>
      </c>
      <c r="Q235" s="570"/>
      <c r="R235" s="555">
        <f t="shared" si="76"/>
        <v>0</v>
      </c>
      <c r="S235" s="698"/>
      <c r="T235" s="569"/>
      <c r="U235" s="2570"/>
      <c r="W235" s="566">
        <f t="shared" si="77"/>
        <v>0</v>
      </c>
      <c r="X235" s="566">
        <f t="shared" si="78"/>
        <v>0</v>
      </c>
      <c r="Y235" s="566">
        <f t="shared" si="79"/>
        <v>0</v>
      </c>
      <c r="Z235" s="566">
        <f t="shared" si="80"/>
        <v>0</v>
      </c>
      <c r="AA235" s="566">
        <f t="shared" si="81"/>
        <v>0</v>
      </c>
      <c r="AB235" s="566">
        <f t="shared" si="82"/>
        <v>0</v>
      </c>
      <c r="AC235" s="566">
        <f t="shared" si="83"/>
        <v>0</v>
      </c>
      <c r="AD235" s="566">
        <f t="shared" si="84"/>
        <v>0</v>
      </c>
      <c r="AE235" s="566">
        <f t="shared" si="85"/>
        <v>0</v>
      </c>
      <c r="AF235" s="566">
        <f t="shared" si="86"/>
        <v>0</v>
      </c>
      <c r="AG235" s="573"/>
    </row>
    <row r="236" spans="1:33" ht="25.15" customHeight="1">
      <c r="A236" s="539">
        <v>21</v>
      </c>
      <c r="B236" s="546" t="s">
        <v>1486</v>
      </c>
      <c r="C236" s="541" t="str">
        <f t="shared" si="100"/>
        <v>Juice Sirsak Float</v>
      </c>
      <c r="D236" s="694"/>
      <c r="E236" s="694"/>
      <c r="F236" s="694"/>
      <c r="G236" s="694"/>
      <c r="H236" s="694"/>
      <c r="I236" s="694"/>
      <c r="J236" s="694"/>
      <c r="K236" s="694"/>
      <c r="L236" s="694"/>
      <c r="M236" s="694"/>
      <c r="N236" s="554">
        <f t="shared" si="74"/>
        <v>0</v>
      </c>
      <c r="O236" s="554">
        <f t="shared" si="75"/>
        <v>0</v>
      </c>
      <c r="P236" s="555">
        <f>(O236/O273)*100</f>
        <v>0</v>
      </c>
      <c r="Q236" s="570"/>
      <c r="R236" s="555">
        <f t="shared" si="76"/>
        <v>0</v>
      </c>
      <c r="S236" s="698"/>
      <c r="T236" s="569"/>
      <c r="U236" s="2570"/>
      <c r="W236" s="566">
        <f t="shared" si="77"/>
        <v>0</v>
      </c>
      <c r="X236" s="566">
        <f t="shared" si="78"/>
        <v>0</v>
      </c>
      <c r="Y236" s="566">
        <f t="shared" si="79"/>
        <v>0</v>
      </c>
      <c r="Z236" s="566">
        <f t="shared" si="80"/>
        <v>0</v>
      </c>
      <c r="AA236" s="566">
        <f t="shared" si="81"/>
        <v>0</v>
      </c>
      <c r="AB236" s="566">
        <f t="shared" si="82"/>
        <v>0</v>
      </c>
      <c r="AC236" s="566">
        <f t="shared" si="83"/>
        <v>0</v>
      </c>
      <c r="AD236" s="566">
        <f t="shared" si="84"/>
        <v>0</v>
      </c>
      <c r="AE236" s="566">
        <f t="shared" si="85"/>
        <v>0</v>
      </c>
      <c r="AF236" s="566">
        <f t="shared" si="86"/>
        <v>0</v>
      </c>
      <c r="AG236" s="573"/>
    </row>
    <row r="237" spans="1:33" ht="25.15" customHeight="1">
      <c r="A237" s="539">
        <v>22</v>
      </c>
      <c r="B237" s="546" t="s">
        <v>1487</v>
      </c>
      <c r="C237" s="541" t="str">
        <f t="shared" si="100"/>
        <v>Juice Sirsak</v>
      </c>
      <c r="D237" s="694"/>
      <c r="E237" s="694"/>
      <c r="F237" s="694"/>
      <c r="G237" s="694"/>
      <c r="H237" s="694"/>
      <c r="I237" s="694"/>
      <c r="J237" s="694"/>
      <c r="K237" s="694"/>
      <c r="L237" s="694"/>
      <c r="M237" s="694"/>
      <c r="N237" s="554">
        <f t="shared" si="74"/>
        <v>0</v>
      </c>
      <c r="O237" s="554">
        <f t="shared" si="75"/>
        <v>0</v>
      </c>
      <c r="P237" s="555">
        <f>(O237/O273)*100</f>
        <v>0</v>
      </c>
      <c r="Q237" s="570"/>
      <c r="R237" s="555">
        <f t="shared" si="76"/>
        <v>0</v>
      </c>
      <c r="S237" s="698"/>
      <c r="T237" s="569"/>
      <c r="U237" s="2570"/>
      <c r="W237" s="566">
        <f t="shared" si="77"/>
        <v>0</v>
      </c>
      <c r="X237" s="566">
        <f t="shared" si="78"/>
        <v>0</v>
      </c>
      <c r="Y237" s="566">
        <f t="shared" si="79"/>
        <v>0</v>
      </c>
      <c r="Z237" s="566">
        <f t="shared" si="80"/>
        <v>0</v>
      </c>
      <c r="AA237" s="566">
        <f t="shared" si="81"/>
        <v>0</v>
      </c>
      <c r="AB237" s="566">
        <f t="shared" si="82"/>
        <v>0</v>
      </c>
      <c r="AC237" s="566">
        <f t="shared" si="83"/>
        <v>0</v>
      </c>
      <c r="AD237" s="566">
        <f t="shared" si="84"/>
        <v>0</v>
      </c>
      <c r="AE237" s="566">
        <f t="shared" si="85"/>
        <v>0</v>
      </c>
      <c r="AF237" s="566">
        <f t="shared" si="86"/>
        <v>0</v>
      </c>
      <c r="AG237" s="573"/>
    </row>
    <row r="238" spans="1:33" ht="25.15" customHeight="1">
      <c r="A238" s="539">
        <v>23</v>
      </c>
      <c r="B238" s="546"/>
      <c r="C238" s="541"/>
      <c r="D238" s="694"/>
      <c r="E238" s="694"/>
      <c r="F238" s="694"/>
      <c r="G238" s="694"/>
      <c r="H238" s="694"/>
      <c r="I238" s="694"/>
      <c r="J238" s="694"/>
      <c r="K238" s="694"/>
      <c r="L238" s="694"/>
      <c r="M238" s="694"/>
      <c r="N238" s="554">
        <f t="shared" si="74"/>
        <v>0</v>
      </c>
      <c r="O238" s="554">
        <f t="shared" si="75"/>
        <v>0</v>
      </c>
      <c r="P238" s="555">
        <f>(O238/O273)*100</f>
        <v>0</v>
      </c>
      <c r="Q238" s="570"/>
      <c r="R238" s="555">
        <f t="shared" si="76"/>
        <v>0</v>
      </c>
      <c r="S238" s="698"/>
      <c r="T238" s="569"/>
      <c r="U238" s="2570"/>
      <c r="W238" s="566">
        <f t="shared" si="77"/>
        <v>0</v>
      </c>
      <c r="X238" s="566">
        <f t="shared" si="78"/>
        <v>0</v>
      </c>
      <c r="Y238" s="566">
        <f t="shared" si="79"/>
        <v>0</v>
      </c>
      <c r="Z238" s="566">
        <f t="shared" si="80"/>
        <v>0</v>
      </c>
      <c r="AA238" s="566">
        <f t="shared" si="81"/>
        <v>0</v>
      </c>
      <c r="AB238" s="566">
        <f t="shared" si="82"/>
        <v>0</v>
      </c>
      <c r="AC238" s="566">
        <f t="shared" si="83"/>
        <v>0</v>
      </c>
      <c r="AD238" s="566">
        <f t="shared" si="84"/>
        <v>0</v>
      </c>
      <c r="AE238" s="566">
        <f t="shared" si="85"/>
        <v>0</v>
      </c>
      <c r="AF238" s="566">
        <f t="shared" si="86"/>
        <v>0</v>
      </c>
      <c r="AG238" s="573"/>
    </row>
    <row r="239" spans="1:33" ht="25.15" customHeight="1">
      <c r="A239" s="539">
        <v>24</v>
      </c>
      <c r="B239" s="546" t="s">
        <v>1488</v>
      </c>
      <c r="C239" s="541" t="str">
        <f t="shared" ref="C239:C242" si="101">B239</f>
        <v>Milkshake Coklat</v>
      </c>
      <c r="D239" s="694"/>
      <c r="E239" s="694"/>
      <c r="F239" s="694"/>
      <c r="G239" s="694"/>
      <c r="H239" s="694"/>
      <c r="I239" s="694"/>
      <c r="J239" s="694"/>
      <c r="K239" s="694"/>
      <c r="L239" s="694"/>
      <c r="M239" s="694"/>
      <c r="N239" s="554">
        <f t="shared" si="74"/>
        <v>0</v>
      </c>
      <c r="O239" s="554">
        <f t="shared" si="75"/>
        <v>0</v>
      </c>
      <c r="P239" s="555">
        <f>(O239/O273)*100</f>
        <v>0</v>
      </c>
      <c r="Q239" s="570"/>
      <c r="R239" s="555">
        <f t="shared" si="76"/>
        <v>0</v>
      </c>
      <c r="S239" s="698"/>
      <c r="T239" s="569"/>
      <c r="U239" s="2570"/>
      <c r="W239" s="566">
        <f t="shared" si="77"/>
        <v>0</v>
      </c>
      <c r="X239" s="566">
        <f t="shared" si="78"/>
        <v>0</v>
      </c>
      <c r="Y239" s="566">
        <f t="shared" si="79"/>
        <v>0</v>
      </c>
      <c r="Z239" s="566">
        <f t="shared" si="80"/>
        <v>0</v>
      </c>
      <c r="AA239" s="566">
        <f t="shared" si="81"/>
        <v>0</v>
      </c>
      <c r="AB239" s="566">
        <f t="shared" si="82"/>
        <v>0</v>
      </c>
      <c r="AC239" s="566">
        <f t="shared" si="83"/>
        <v>0</v>
      </c>
      <c r="AD239" s="566">
        <f t="shared" si="84"/>
        <v>0</v>
      </c>
      <c r="AE239" s="566">
        <f t="shared" si="85"/>
        <v>0</v>
      </c>
      <c r="AF239" s="566">
        <f t="shared" si="86"/>
        <v>0</v>
      </c>
      <c r="AG239" s="573"/>
    </row>
    <row r="240" spans="1:33" ht="25.15" customHeight="1">
      <c r="A240" s="539">
        <v>25</v>
      </c>
      <c r="B240" s="546" t="s">
        <v>1489</v>
      </c>
      <c r="C240" s="541" t="str">
        <f t="shared" si="101"/>
        <v>Milkshake Coklat Float</v>
      </c>
      <c r="D240" s="694"/>
      <c r="E240" s="694"/>
      <c r="F240" s="694"/>
      <c r="G240" s="694"/>
      <c r="H240" s="694">
        <v>1</v>
      </c>
      <c r="I240" s="694"/>
      <c r="J240" s="694"/>
      <c r="K240" s="694"/>
      <c r="L240" s="694"/>
      <c r="M240" s="694"/>
      <c r="N240" s="554">
        <f t="shared" si="74"/>
        <v>1</v>
      </c>
      <c r="O240" s="554">
        <f t="shared" si="75"/>
        <v>11000</v>
      </c>
      <c r="P240" s="555">
        <f>(O240/O273)*100</f>
        <v>5.5213261221467899E-2</v>
      </c>
      <c r="Q240" s="570">
        <v>0.66600000000000004</v>
      </c>
      <c r="R240" s="555">
        <f t="shared" si="76"/>
        <v>3.6772031973497599E-2</v>
      </c>
      <c r="S240" s="698">
        <v>11000</v>
      </c>
      <c r="T240" s="569"/>
      <c r="U240" s="2570"/>
      <c r="W240" s="566">
        <f t="shared" si="77"/>
        <v>0</v>
      </c>
      <c r="X240" s="566">
        <f t="shared" si="78"/>
        <v>0</v>
      </c>
      <c r="Y240" s="566">
        <f t="shared" si="79"/>
        <v>0</v>
      </c>
      <c r="Z240" s="566">
        <f t="shared" si="80"/>
        <v>0</v>
      </c>
      <c r="AA240" s="566">
        <f t="shared" si="81"/>
        <v>11000</v>
      </c>
      <c r="AB240" s="566">
        <f t="shared" si="82"/>
        <v>0</v>
      </c>
      <c r="AC240" s="566">
        <f t="shared" si="83"/>
        <v>0</v>
      </c>
      <c r="AD240" s="566">
        <f t="shared" si="84"/>
        <v>0</v>
      </c>
      <c r="AE240" s="566">
        <f t="shared" si="85"/>
        <v>0</v>
      </c>
      <c r="AF240" s="566">
        <f t="shared" si="86"/>
        <v>0</v>
      </c>
      <c r="AG240" s="573"/>
    </row>
    <row r="241" spans="1:33" ht="25.15" customHeight="1">
      <c r="A241" s="539">
        <v>26</v>
      </c>
      <c r="B241" s="546" t="s">
        <v>1490</v>
      </c>
      <c r="C241" s="541" t="str">
        <f t="shared" si="101"/>
        <v>Milkshake Strawberry</v>
      </c>
      <c r="D241" s="694"/>
      <c r="E241" s="694"/>
      <c r="F241" s="694"/>
      <c r="G241" s="694"/>
      <c r="H241" s="694"/>
      <c r="I241" s="694"/>
      <c r="J241" s="694"/>
      <c r="K241" s="694"/>
      <c r="L241" s="694"/>
      <c r="M241" s="694"/>
      <c r="N241" s="554">
        <f t="shared" si="74"/>
        <v>0</v>
      </c>
      <c r="O241" s="554">
        <f t="shared" si="75"/>
        <v>0</v>
      </c>
      <c r="P241" s="555">
        <f>(O241/O273)*100</f>
        <v>0</v>
      </c>
      <c r="Q241" s="570"/>
      <c r="R241" s="555">
        <f t="shared" si="76"/>
        <v>0</v>
      </c>
      <c r="S241" s="698"/>
      <c r="T241" s="569"/>
      <c r="U241" s="2570"/>
      <c r="W241" s="566">
        <f t="shared" si="77"/>
        <v>0</v>
      </c>
      <c r="X241" s="566">
        <f t="shared" si="78"/>
        <v>0</v>
      </c>
      <c r="Y241" s="566">
        <f t="shared" si="79"/>
        <v>0</v>
      </c>
      <c r="Z241" s="566">
        <f t="shared" si="80"/>
        <v>0</v>
      </c>
      <c r="AA241" s="566">
        <f t="shared" si="81"/>
        <v>0</v>
      </c>
      <c r="AB241" s="566">
        <f t="shared" si="82"/>
        <v>0</v>
      </c>
      <c r="AC241" s="566">
        <f t="shared" si="83"/>
        <v>0</v>
      </c>
      <c r="AD241" s="566">
        <f t="shared" si="84"/>
        <v>0</v>
      </c>
      <c r="AE241" s="566">
        <f t="shared" si="85"/>
        <v>0</v>
      </c>
      <c r="AF241" s="566">
        <f t="shared" si="86"/>
        <v>0</v>
      </c>
      <c r="AG241" s="573"/>
    </row>
    <row r="242" spans="1:33" ht="25.15" customHeight="1">
      <c r="A242" s="539">
        <v>27</v>
      </c>
      <c r="B242" s="546" t="s">
        <v>1491</v>
      </c>
      <c r="C242" s="541" t="str">
        <f t="shared" si="101"/>
        <v>Milkshake Strawberry Float</v>
      </c>
      <c r="D242" s="694"/>
      <c r="E242" s="694"/>
      <c r="F242" s="694"/>
      <c r="G242" s="694"/>
      <c r="H242" s="694"/>
      <c r="I242" s="694"/>
      <c r="J242" s="694"/>
      <c r="K242" s="694"/>
      <c r="L242" s="694"/>
      <c r="M242" s="694"/>
      <c r="N242" s="554">
        <f t="shared" si="74"/>
        <v>0</v>
      </c>
      <c r="O242" s="554">
        <f t="shared" si="75"/>
        <v>0</v>
      </c>
      <c r="P242" s="555">
        <f>(O242/O273)*100</f>
        <v>0</v>
      </c>
      <c r="Q242" s="570">
        <v>0.51900000000000002</v>
      </c>
      <c r="R242" s="555">
        <f t="shared" si="76"/>
        <v>0</v>
      </c>
      <c r="S242" s="698">
        <v>10000</v>
      </c>
      <c r="T242" s="569"/>
      <c r="U242" s="2570"/>
      <c r="W242" s="566">
        <f t="shared" si="77"/>
        <v>0</v>
      </c>
      <c r="X242" s="566">
        <f t="shared" si="78"/>
        <v>0</v>
      </c>
      <c r="Y242" s="566">
        <f t="shared" si="79"/>
        <v>0</v>
      </c>
      <c r="Z242" s="566">
        <f t="shared" si="80"/>
        <v>0</v>
      </c>
      <c r="AA242" s="566">
        <f t="shared" si="81"/>
        <v>0</v>
      </c>
      <c r="AB242" s="566">
        <f t="shared" si="82"/>
        <v>0</v>
      </c>
      <c r="AC242" s="566">
        <f t="shared" si="83"/>
        <v>0</v>
      </c>
      <c r="AD242" s="566">
        <f t="shared" si="84"/>
        <v>0</v>
      </c>
      <c r="AE242" s="566">
        <f t="shared" si="85"/>
        <v>0</v>
      </c>
      <c r="AF242" s="566">
        <f t="shared" si="86"/>
        <v>0</v>
      </c>
      <c r="AG242" s="573"/>
    </row>
    <row r="243" spans="1:33" ht="25.15" customHeight="1">
      <c r="A243" s="539">
        <v>28</v>
      </c>
      <c r="B243" s="546"/>
      <c r="C243" s="541"/>
      <c r="D243" s="694"/>
      <c r="E243" s="694"/>
      <c r="F243" s="694"/>
      <c r="G243" s="694"/>
      <c r="H243" s="694"/>
      <c r="I243" s="694"/>
      <c r="J243" s="694"/>
      <c r="K243" s="694"/>
      <c r="L243" s="694"/>
      <c r="M243" s="694"/>
      <c r="N243" s="554">
        <f t="shared" si="74"/>
        <v>0</v>
      </c>
      <c r="O243" s="554">
        <f t="shared" si="75"/>
        <v>0</v>
      </c>
      <c r="P243" s="555">
        <f>(O243/O273)*100</f>
        <v>0</v>
      </c>
      <c r="Q243" s="570"/>
      <c r="R243" s="555">
        <f t="shared" si="76"/>
        <v>0</v>
      </c>
      <c r="S243" s="698"/>
      <c r="T243" s="569"/>
      <c r="U243" s="2570"/>
      <c r="W243" s="566">
        <f t="shared" si="77"/>
        <v>0</v>
      </c>
      <c r="X243" s="566">
        <f t="shared" si="78"/>
        <v>0</v>
      </c>
      <c r="Y243" s="566">
        <f t="shared" si="79"/>
        <v>0</v>
      </c>
      <c r="Z243" s="566">
        <f t="shared" si="80"/>
        <v>0</v>
      </c>
      <c r="AA243" s="566">
        <f t="shared" si="81"/>
        <v>0</v>
      </c>
      <c r="AB243" s="566">
        <f t="shared" si="82"/>
        <v>0</v>
      </c>
      <c r="AC243" s="566">
        <f t="shared" si="83"/>
        <v>0</v>
      </c>
      <c r="AD243" s="566">
        <f t="shared" si="84"/>
        <v>0</v>
      </c>
      <c r="AE243" s="566">
        <f t="shared" si="85"/>
        <v>0</v>
      </c>
      <c r="AF243" s="566">
        <f t="shared" si="86"/>
        <v>0</v>
      </c>
      <c r="AG243" s="573"/>
    </row>
    <row r="244" spans="1:33" ht="25.15" customHeight="1">
      <c r="A244" s="539">
        <v>29</v>
      </c>
      <c r="B244" s="546" t="s">
        <v>1492</v>
      </c>
      <c r="C244" s="541" t="str">
        <f>B244</f>
        <v>Nestle Lemon Tea</v>
      </c>
      <c r="D244" s="694"/>
      <c r="E244" s="694">
        <v>2</v>
      </c>
      <c r="F244" s="694">
        <v>5</v>
      </c>
      <c r="G244" s="694"/>
      <c r="H244" s="694"/>
      <c r="I244" s="694"/>
      <c r="J244" s="694">
        <v>1</v>
      </c>
      <c r="K244" s="694"/>
      <c r="L244" s="694"/>
      <c r="M244" s="694"/>
      <c r="N244" s="554">
        <f t="shared" si="74"/>
        <v>8</v>
      </c>
      <c r="O244" s="554">
        <f t="shared" si="75"/>
        <v>56000</v>
      </c>
      <c r="P244" s="555">
        <f>(O244/O273)*100</f>
        <v>0.28108569349110901</v>
      </c>
      <c r="Q244" s="570">
        <v>0.27600000000000002</v>
      </c>
      <c r="R244" s="555">
        <f t="shared" si="76"/>
        <v>7.7579651403546196E-2</v>
      </c>
      <c r="S244" s="698">
        <v>7000</v>
      </c>
      <c r="T244" s="569"/>
      <c r="U244" s="2570"/>
      <c r="W244" s="566">
        <f t="shared" si="77"/>
        <v>0</v>
      </c>
      <c r="X244" s="566">
        <f t="shared" si="78"/>
        <v>14000</v>
      </c>
      <c r="Y244" s="566">
        <f t="shared" si="79"/>
        <v>35000</v>
      </c>
      <c r="Z244" s="566">
        <f t="shared" si="80"/>
        <v>0</v>
      </c>
      <c r="AA244" s="566">
        <f t="shared" si="81"/>
        <v>0</v>
      </c>
      <c r="AB244" s="566">
        <f t="shared" si="82"/>
        <v>0</v>
      </c>
      <c r="AC244" s="566">
        <f t="shared" si="83"/>
        <v>7000</v>
      </c>
      <c r="AD244" s="566">
        <f t="shared" si="84"/>
        <v>0</v>
      </c>
      <c r="AE244" s="566">
        <f t="shared" si="85"/>
        <v>0</v>
      </c>
      <c r="AF244" s="566">
        <f t="shared" si="86"/>
        <v>0</v>
      </c>
      <c r="AG244" s="573"/>
    </row>
    <row r="245" spans="1:33" ht="25.15" customHeight="1">
      <c r="A245" s="539">
        <v>30</v>
      </c>
      <c r="B245" s="546" t="s">
        <v>1493</v>
      </c>
      <c r="C245" s="541" t="str">
        <f>B245</f>
        <v>Milo</v>
      </c>
      <c r="D245" s="694"/>
      <c r="E245" s="694"/>
      <c r="F245" s="694">
        <v>2</v>
      </c>
      <c r="G245" s="694"/>
      <c r="H245" s="694">
        <v>2</v>
      </c>
      <c r="I245" s="694"/>
      <c r="J245" s="694">
        <v>1</v>
      </c>
      <c r="K245" s="694"/>
      <c r="L245" s="694"/>
      <c r="M245" s="694"/>
      <c r="N245" s="554">
        <f t="shared" ref="N245:N271" si="102">SUM(D245:M245)</f>
        <v>5</v>
      </c>
      <c r="O245" s="554">
        <f t="shared" si="75"/>
        <v>45000</v>
      </c>
      <c r="P245" s="555">
        <f>(O245/O273)*100</f>
        <v>0.22587243226964099</v>
      </c>
      <c r="Q245" s="570">
        <v>0.44700000000000001</v>
      </c>
      <c r="R245" s="555">
        <f t="shared" si="76"/>
        <v>0.10096497722453</v>
      </c>
      <c r="S245" s="698">
        <v>9000</v>
      </c>
      <c r="T245" s="569"/>
      <c r="U245" s="2570"/>
      <c r="W245" s="566">
        <f t="shared" si="77"/>
        <v>0</v>
      </c>
      <c r="X245" s="566">
        <f t="shared" si="78"/>
        <v>0</v>
      </c>
      <c r="Y245" s="566">
        <f t="shared" si="79"/>
        <v>18000</v>
      </c>
      <c r="Z245" s="566">
        <f t="shared" si="80"/>
        <v>0</v>
      </c>
      <c r="AA245" s="566">
        <f t="shared" si="81"/>
        <v>18000</v>
      </c>
      <c r="AB245" s="566">
        <f t="shared" si="82"/>
        <v>0</v>
      </c>
      <c r="AC245" s="566">
        <f t="shared" si="83"/>
        <v>9000</v>
      </c>
      <c r="AD245" s="566">
        <f t="shared" si="84"/>
        <v>0</v>
      </c>
      <c r="AE245" s="566">
        <f t="shared" si="85"/>
        <v>0</v>
      </c>
      <c r="AF245" s="566">
        <f t="shared" si="86"/>
        <v>0</v>
      </c>
      <c r="AG245" s="573"/>
    </row>
    <row r="246" spans="1:33" ht="25.15" customHeight="1">
      <c r="A246" s="539">
        <v>31</v>
      </c>
      <c r="B246" s="546" t="s">
        <v>1494</v>
      </c>
      <c r="C246" s="541" t="str">
        <f>B246</f>
        <v>Ice Cream</v>
      </c>
      <c r="D246" s="694"/>
      <c r="E246" s="694"/>
      <c r="F246" s="694"/>
      <c r="G246" s="694"/>
      <c r="H246" s="694"/>
      <c r="I246" s="694"/>
      <c r="J246" s="694"/>
      <c r="K246" s="694"/>
      <c r="L246" s="694"/>
      <c r="M246" s="694"/>
      <c r="N246" s="554">
        <f t="shared" si="102"/>
        <v>0</v>
      </c>
      <c r="O246" s="554">
        <f t="shared" si="75"/>
        <v>0</v>
      </c>
      <c r="P246" s="555">
        <f>(O246/O273)*100</f>
        <v>0</v>
      </c>
      <c r="Q246" s="567">
        <v>0.35299999999999998</v>
      </c>
      <c r="R246" s="555">
        <f t="shared" si="76"/>
        <v>0</v>
      </c>
      <c r="S246" s="698">
        <v>5000</v>
      </c>
      <c r="T246" s="569"/>
      <c r="U246" s="2570"/>
      <c r="W246" s="566">
        <f t="shared" si="77"/>
        <v>0</v>
      </c>
      <c r="X246" s="566">
        <f t="shared" si="78"/>
        <v>0</v>
      </c>
      <c r="Y246" s="566">
        <f t="shared" si="79"/>
        <v>0</v>
      </c>
      <c r="Z246" s="566">
        <f t="shared" si="80"/>
        <v>0</v>
      </c>
      <c r="AA246" s="566">
        <f t="shared" si="81"/>
        <v>0</v>
      </c>
      <c r="AB246" s="566">
        <f t="shared" si="82"/>
        <v>0</v>
      </c>
      <c r="AC246" s="566">
        <f t="shared" si="83"/>
        <v>0</v>
      </c>
      <c r="AD246" s="566">
        <f t="shared" si="84"/>
        <v>0</v>
      </c>
      <c r="AE246" s="566">
        <f t="shared" si="85"/>
        <v>0</v>
      </c>
      <c r="AF246" s="566">
        <f t="shared" si="86"/>
        <v>0</v>
      </c>
      <c r="AG246" s="573"/>
    </row>
    <row r="247" spans="1:33" ht="25.15" customHeight="1">
      <c r="A247" s="539">
        <v>32</v>
      </c>
      <c r="B247" s="546"/>
      <c r="C247" s="541"/>
      <c r="D247" s="694"/>
      <c r="E247" s="694"/>
      <c r="F247" s="694"/>
      <c r="G247" s="694"/>
      <c r="H247" s="694"/>
      <c r="I247" s="694"/>
      <c r="J247" s="694"/>
      <c r="K247" s="694"/>
      <c r="L247" s="694"/>
      <c r="M247" s="694"/>
      <c r="N247" s="554">
        <f t="shared" si="102"/>
        <v>0</v>
      </c>
      <c r="O247" s="554">
        <f t="shared" si="75"/>
        <v>0</v>
      </c>
      <c r="P247" s="555">
        <f>(O247/O273)*100</f>
        <v>0</v>
      </c>
      <c r="Q247" s="567"/>
      <c r="R247" s="555">
        <f t="shared" si="76"/>
        <v>0</v>
      </c>
      <c r="S247" s="698"/>
      <c r="T247" s="569"/>
      <c r="U247" s="2570"/>
      <c r="W247" s="566">
        <f t="shared" si="77"/>
        <v>0</v>
      </c>
      <c r="X247" s="566">
        <f t="shared" si="78"/>
        <v>0</v>
      </c>
      <c r="Y247" s="566">
        <f t="shared" si="79"/>
        <v>0</v>
      </c>
      <c r="Z247" s="566">
        <f t="shared" si="80"/>
        <v>0</v>
      </c>
      <c r="AA247" s="566">
        <f t="shared" si="81"/>
        <v>0</v>
      </c>
      <c r="AB247" s="566">
        <f t="shared" si="82"/>
        <v>0</v>
      </c>
      <c r="AC247" s="566">
        <f t="shared" si="83"/>
        <v>0</v>
      </c>
      <c r="AD247" s="566">
        <f t="shared" si="84"/>
        <v>0</v>
      </c>
      <c r="AE247" s="566">
        <f t="shared" si="85"/>
        <v>0</v>
      </c>
      <c r="AF247" s="566">
        <f t="shared" si="86"/>
        <v>0</v>
      </c>
      <c r="AG247" s="573"/>
    </row>
    <row r="248" spans="1:33" ht="25.15" customHeight="1">
      <c r="A248" s="539">
        <v>33</v>
      </c>
      <c r="B248" s="546" t="s">
        <v>1495</v>
      </c>
      <c r="C248" s="541" t="str">
        <f>B248</f>
        <v>Es Teh</v>
      </c>
      <c r="D248" s="694"/>
      <c r="E248" s="694">
        <v>1</v>
      </c>
      <c r="F248" s="694"/>
      <c r="G248" s="694"/>
      <c r="H248" s="694">
        <v>1</v>
      </c>
      <c r="I248" s="694">
        <v>2</v>
      </c>
      <c r="J248" s="694">
        <v>2</v>
      </c>
      <c r="K248" s="694"/>
      <c r="L248" s="694"/>
      <c r="M248" s="694"/>
      <c r="N248" s="554">
        <f t="shared" si="102"/>
        <v>6</v>
      </c>
      <c r="O248" s="554">
        <f t="shared" si="75"/>
        <v>30000</v>
      </c>
      <c r="P248" s="555">
        <f>O248/O273*100</f>
        <v>0.15058162151309401</v>
      </c>
      <c r="Q248" s="567">
        <v>0.152</v>
      </c>
      <c r="R248" s="555">
        <f t="shared" si="76"/>
        <v>2.28884064699903E-2</v>
      </c>
      <c r="S248" s="698">
        <v>5000</v>
      </c>
      <c r="T248" s="569"/>
      <c r="U248" s="2570"/>
      <c r="W248" s="566">
        <f t="shared" si="77"/>
        <v>0</v>
      </c>
      <c r="X248" s="566">
        <f t="shared" si="78"/>
        <v>5000</v>
      </c>
      <c r="Y248" s="566">
        <f t="shared" si="79"/>
        <v>0</v>
      </c>
      <c r="Z248" s="566">
        <f t="shared" si="80"/>
        <v>0</v>
      </c>
      <c r="AA248" s="566">
        <f t="shared" si="81"/>
        <v>5000</v>
      </c>
      <c r="AB248" s="566">
        <f t="shared" si="82"/>
        <v>10000</v>
      </c>
      <c r="AC248" s="566">
        <f t="shared" si="83"/>
        <v>10000</v>
      </c>
      <c r="AD248" s="566">
        <f t="shared" si="84"/>
        <v>0</v>
      </c>
      <c r="AE248" s="566">
        <f t="shared" si="85"/>
        <v>0</v>
      </c>
      <c r="AF248" s="566">
        <f t="shared" si="86"/>
        <v>0</v>
      </c>
      <c r="AG248" s="573"/>
    </row>
    <row r="249" spans="1:33" ht="25.15" customHeight="1">
      <c r="A249" s="539">
        <v>34</v>
      </c>
      <c r="B249" s="546" t="s">
        <v>1496</v>
      </c>
      <c r="C249" s="541" t="str">
        <f>B249</f>
        <v>Es Teh RC</v>
      </c>
      <c r="D249" s="694"/>
      <c r="E249" s="694"/>
      <c r="F249" s="694"/>
      <c r="G249" s="694"/>
      <c r="H249" s="694"/>
      <c r="I249" s="694"/>
      <c r="J249" s="694"/>
      <c r="K249" s="694"/>
      <c r="L249" s="694"/>
      <c r="M249" s="694"/>
      <c r="N249" s="554">
        <f t="shared" ref="N249" si="103">SUM(D249:M249)</f>
        <v>0</v>
      </c>
      <c r="O249" s="554">
        <f t="shared" ref="O249" si="104">N249*S249</f>
        <v>0</v>
      </c>
      <c r="P249" s="555">
        <f>O249/O273*100</f>
        <v>0</v>
      </c>
      <c r="Q249" s="567"/>
      <c r="R249" s="555">
        <f t="shared" ref="R249" si="105">P249*Q249</f>
        <v>0</v>
      </c>
      <c r="S249" s="698"/>
      <c r="T249" s="569"/>
      <c r="U249" s="2570"/>
      <c r="W249" s="566">
        <f t="shared" ref="W249" si="106">D249*S249</f>
        <v>0</v>
      </c>
      <c r="X249" s="566">
        <f t="shared" ref="X249" si="107">E249*S249</f>
        <v>0</v>
      </c>
      <c r="Y249" s="566">
        <f t="shared" ref="Y249" si="108">F249*S249</f>
        <v>0</v>
      </c>
      <c r="Z249" s="566">
        <f t="shared" ref="Z249" si="109">G249*S249</f>
        <v>0</v>
      </c>
      <c r="AA249" s="566">
        <f t="shared" ref="AA249" si="110">H249*S249</f>
        <v>0</v>
      </c>
      <c r="AB249" s="566">
        <f t="shared" ref="AB249" si="111">I249*S249</f>
        <v>0</v>
      </c>
      <c r="AC249" s="566">
        <f t="shared" ref="AC249" si="112">J249*S249</f>
        <v>0</v>
      </c>
      <c r="AD249" s="566">
        <f t="shared" ref="AD249" si="113">K249*S249</f>
        <v>0</v>
      </c>
      <c r="AE249" s="566">
        <f t="shared" ref="AE249" si="114">L249*S249</f>
        <v>0</v>
      </c>
      <c r="AF249" s="566">
        <f t="shared" ref="AF249" si="115">M249*S249</f>
        <v>0</v>
      </c>
      <c r="AG249" s="573"/>
    </row>
    <row r="250" spans="1:33" ht="25.15" customHeight="1">
      <c r="A250" s="539">
        <v>35</v>
      </c>
      <c r="B250" s="546"/>
      <c r="C250" s="541"/>
      <c r="D250" s="694"/>
      <c r="E250" s="694"/>
      <c r="F250" s="694"/>
      <c r="G250" s="694"/>
      <c r="H250" s="694"/>
      <c r="I250" s="694"/>
      <c r="J250" s="694"/>
      <c r="K250" s="694"/>
      <c r="L250" s="694"/>
      <c r="M250" s="694"/>
      <c r="N250" s="554">
        <f t="shared" si="102"/>
        <v>0</v>
      </c>
      <c r="O250" s="554">
        <f t="shared" si="75"/>
        <v>0</v>
      </c>
      <c r="P250" s="555">
        <f>(O250/O273)*100</f>
        <v>0</v>
      </c>
      <c r="Q250" s="567"/>
      <c r="R250" s="555">
        <f t="shared" si="76"/>
        <v>0</v>
      </c>
      <c r="S250" s="698"/>
      <c r="T250" s="569"/>
      <c r="U250" s="2570"/>
      <c r="W250" s="566">
        <f t="shared" si="77"/>
        <v>0</v>
      </c>
      <c r="X250" s="566">
        <f t="shared" si="78"/>
        <v>0</v>
      </c>
      <c r="Y250" s="566">
        <f t="shared" si="79"/>
        <v>0</v>
      </c>
      <c r="Z250" s="566">
        <f t="shared" si="80"/>
        <v>0</v>
      </c>
      <c r="AA250" s="566">
        <f t="shared" si="81"/>
        <v>0</v>
      </c>
      <c r="AB250" s="566">
        <f t="shared" si="82"/>
        <v>0</v>
      </c>
      <c r="AC250" s="566">
        <f t="shared" si="83"/>
        <v>0</v>
      </c>
      <c r="AD250" s="566">
        <f t="shared" si="84"/>
        <v>0</v>
      </c>
      <c r="AE250" s="566">
        <f t="shared" si="85"/>
        <v>0</v>
      </c>
      <c r="AF250" s="566">
        <f t="shared" si="86"/>
        <v>0</v>
      </c>
      <c r="AG250" s="573"/>
    </row>
    <row r="251" spans="1:33" ht="25.15" customHeight="1">
      <c r="A251" s="539">
        <v>36</v>
      </c>
      <c r="B251" s="546"/>
      <c r="C251" s="541" t="s">
        <v>1497</v>
      </c>
      <c r="D251" s="694"/>
      <c r="E251" s="694"/>
      <c r="F251" s="694"/>
      <c r="G251" s="694">
        <v>1</v>
      </c>
      <c r="H251" s="694"/>
      <c r="I251" s="694"/>
      <c r="J251" s="694"/>
      <c r="K251" s="694"/>
      <c r="L251" s="694"/>
      <c r="M251" s="694"/>
      <c r="N251" s="554">
        <f t="shared" si="102"/>
        <v>1</v>
      </c>
      <c r="O251" s="554">
        <f t="shared" si="75"/>
        <v>11000</v>
      </c>
      <c r="P251" s="555">
        <f>(O251/O273)*100</f>
        <v>5.5213261221467899E-2</v>
      </c>
      <c r="Q251" s="567">
        <v>0.32400000000000001</v>
      </c>
      <c r="R251" s="555">
        <f t="shared" si="76"/>
        <v>1.7889096635755601E-2</v>
      </c>
      <c r="S251" s="698">
        <v>11000</v>
      </c>
      <c r="T251" s="569"/>
      <c r="U251" s="2570"/>
      <c r="W251" s="566">
        <f t="shared" si="77"/>
        <v>0</v>
      </c>
      <c r="X251" s="566">
        <f t="shared" si="78"/>
        <v>0</v>
      </c>
      <c r="Y251" s="566">
        <f t="shared" si="79"/>
        <v>0</v>
      </c>
      <c r="Z251" s="566">
        <f t="shared" si="80"/>
        <v>11000</v>
      </c>
      <c r="AA251" s="566">
        <f t="shared" si="81"/>
        <v>0</v>
      </c>
      <c r="AB251" s="566">
        <f t="shared" si="82"/>
        <v>0</v>
      </c>
      <c r="AC251" s="566">
        <f t="shared" si="83"/>
        <v>0</v>
      </c>
      <c r="AD251" s="566">
        <f t="shared" si="84"/>
        <v>0</v>
      </c>
      <c r="AE251" s="566">
        <f t="shared" si="85"/>
        <v>0</v>
      </c>
      <c r="AF251" s="566">
        <f t="shared" si="86"/>
        <v>0</v>
      </c>
      <c r="AG251" s="573"/>
    </row>
    <row r="252" spans="1:33" ht="25.15" customHeight="1">
      <c r="A252" s="539">
        <v>37</v>
      </c>
      <c r="B252" s="545"/>
      <c r="C252" s="541" t="s">
        <v>1498</v>
      </c>
      <c r="D252" s="830"/>
      <c r="E252" s="694"/>
      <c r="F252" s="694"/>
      <c r="G252" s="694"/>
      <c r="H252" s="694"/>
      <c r="I252" s="694"/>
      <c r="J252" s="694"/>
      <c r="K252" s="694"/>
      <c r="L252" s="694"/>
      <c r="M252" s="694"/>
      <c r="N252" s="554">
        <f t="shared" si="102"/>
        <v>0</v>
      </c>
      <c r="O252" s="554">
        <f t="shared" si="75"/>
        <v>0</v>
      </c>
      <c r="P252" s="555">
        <f>(O252/O273)*100</f>
        <v>0</v>
      </c>
      <c r="Q252" s="567">
        <v>0.28100000000000003</v>
      </c>
      <c r="R252" s="555">
        <f t="shared" si="76"/>
        <v>0</v>
      </c>
      <c r="S252" s="698">
        <v>11000</v>
      </c>
      <c r="T252" s="569"/>
      <c r="U252" s="2570"/>
      <c r="W252" s="566">
        <f t="shared" si="77"/>
        <v>0</v>
      </c>
      <c r="X252" s="566">
        <f t="shared" si="78"/>
        <v>0</v>
      </c>
      <c r="Y252" s="566">
        <f t="shared" si="79"/>
        <v>0</v>
      </c>
      <c r="Z252" s="566">
        <f t="shared" si="80"/>
        <v>0</v>
      </c>
      <c r="AA252" s="566">
        <f t="shared" si="81"/>
        <v>0</v>
      </c>
      <c r="AB252" s="566">
        <f t="shared" si="82"/>
        <v>0</v>
      </c>
      <c r="AC252" s="566">
        <f t="shared" si="83"/>
        <v>0</v>
      </c>
      <c r="AD252" s="566">
        <f t="shared" si="84"/>
        <v>0</v>
      </c>
      <c r="AE252" s="566">
        <f t="shared" si="85"/>
        <v>0</v>
      </c>
      <c r="AF252" s="566">
        <f t="shared" si="86"/>
        <v>0</v>
      </c>
      <c r="AG252" s="573"/>
    </row>
    <row r="253" spans="1:33" ht="25.15" customHeight="1">
      <c r="A253" s="539">
        <v>38</v>
      </c>
      <c r="B253" s="545"/>
      <c r="C253" s="541" t="s">
        <v>1098</v>
      </c>
      <c r="D253" s="694"/>
      <c r="E253" s="694"/>
      <c r="F253" s="694"/>
      <c r="G253" s="694"/>
      <c r="H253" s="694">
        <v>1</v>
      </c>
      <c r="I253" s="694"/>
      <c r="J253" s="694">
        <v>1</v>
      </c>
      <c r="K253" s="694"/>
      <c r="L253" s="694"/>
      <c r="M253" s="694"/>
      <c r="N253" s="554">
        <f t="shared" si="102"/>
        <v>2</v>
      </c>
      <c r="O253" s="554">
        <f t="shared" si="75"/>
        <v>22000</v>
      </c>
      <c r="P253" s="555">
        <f>(O253/O273)*100</f>
        <v>0.11042652244293601</v>
      </c>
      <c r="Q253" s="567">
        <v>0.152</v>
      </c>
      <c r="R253" s="555">
        <f t="shared" si="76"/>
        <v>1.6784831411326199E-2</v>
      </c>
      <c r="S253" s="698">
        <v>11000</v>
      </c>
      <c r="T253" s="569"/>
      <c r="U253" s="2570"/>
      <c r="W253" s="566">
        <f t="shared" si="77"/>
        <v>0</v>
      </c>
      <c r="X253" s="566">
        <f t="shared" si="78"/>
        <v>0</v>
      </c>
      <c r="Y253" s="566">
        <f t="shared" si="79"/>
        <v>0</v>
      </c>
      <c r="Z253" s="566">
        <f t="shared" si="80"/>
        <v>0</v>
      </c>
      <c r="AA253" s="566">
        <f t="shared" si="81"/>
        <v>11000</v>
      </c>
      <c r="AB253" s="566">
        <f t="shared" si="82"/>
        <v>0</v>
      </c>
      <c r="AC253" s="566">
        <f t="shared" si="83"/>
        <v>11000</v>
      </c>
      <c r="AD253" s="566">
        <f t="shared" si="84"/>
        <v>0</v>
      </c>
      <c r="AE253" s="566">
        <f t="shared" si="85"/>
        <v>0</v>
      </c>
      <c r="AF253" s="566">
        <f t="shared" si="86"/>
        <v>0</v>
      </c>
      <c r="AG253" s="573"/>
    </row>
    <row r="254" spans="1:33" ht="25.15" customHeight="1">
      <c r="A254" s="539">
        <v>39</v>
      </c>
      <c r="B254" s="545"/>
      <c r="C254" s="541"/>
      <c r="D254" s="694"/>
      <c r="E254" s="694"/>
      <c r="F254" s="694"/>
      <c r="G254" s="694"/>
      <c r="H254" s="694"/>
      <c r="I254" s="694"/>
      <c r="J254" s="694"/>
      <c r="K254" s="694"/>
      <c r="L254" s="694"/>
      <c r="M254" s="694"/>
      <c r="N254" s="554">
        <f t="shared" si="102"/>
        <v>0</v>
      </c>
      <c r="O254" s="554">
        <f t="shared" si="75"/>
        <v>0</v>
      </c>
      <c r="P254" s="555">
        <f>(O254/O273)*100</f>
        <v>0</v>
      </c>
      <c r="Q254" s="567">
        <v>0.5</v>
      </c>
      <c r="R254" s="555">
        <f t="shared" si="76"/>
        <v>0</v>
      </c>
      <c r="S254" s="698"/>
      <c r="T254" s="569"/>
      <c r="U254" s="2570"/>
      <c r="W254" s="566">
        <f t="shared" si="77"/>
        <v>0</v>
      </c>
      <c r="X254" s="566">
        <f t="shared" si="78"/>
        <v>0</v>
      </c>
      <c r="Y254" s="566">
        <f t="shared" si="79"/>
        <v>0</v>
      </c>
      <c r="Z254" s="566">
        <f t="shared" si="80"/>
        <v>0</v>
      </c>
      <c r="AA254" s="566">
        <f t="shared" si="81"/>
        <v>0</v>
      </c>
      <c r="AB254" s="566">
        <f t="shared" si="82"/>
        <v>0</v>
      </c>
      <c r="AC254" s="566">
        <f t="shared" si="83"/>
        <v>0</v>
      </c>
      <c r="AD254" s="566">
        <f t="shared" si="84"/>
        <v>0</v>
      </c>
      <c r="AE254" s="566">
        <f t="shared" si="85"/>
        <v>0</v>
      </c>
      <c r="AF254" s="566">
        <f t="shared" si="86"/>
        <v>0</v>
      </c>
      <c r="AG254" s="573"/>
    </row>
    <row r="255" spans="1:33" ht="25.15" customHeight="1">
      <c r="A255" s="539">
        <v>40</v>
      </c>
      <c r="B255" s="545"/>
      <c r="C255" s="541" t="s">
        <v>1499</v>
      </c>
      <c r="D255" s="694"/>
      <c r="E255" s="694"/>
      <c r="F255" s="694"/>
      <c r="G255" s="694"/>
      <c r="H255" s="694"/>
      <c r="I255" s="694"/>
      <c r="J255" s="694"/>
      <c r="K255" s="694"/>
      <c r="L255" s="694"/>
      <c r="M255" s="694"/>
      <c r="N255" s="554">
        <f t="shared" si="102"/>
        <v>0</v>
      </c>
      <c r="O255" s="554">
        <f t="shared" si="75"/>
        <v>0</v>
      </c>
      <c r="P255" s="555">
        <f>(O255/O273)*100</f>
        <v>0</v>
      </c>
      <c r="Q255" s="567">
        <v>0.5</v>
      </c>
      <c r="R255" s="555">
        <f t="shared" si="76"/>
        <v>0</v>
      </c>
      <c r="S255" s="698"/>
      <c r="T255" s="569"/>
      <c r="U255" s="2570"/>
      <c r="W255" s="566">
        <f t="shared" si="77"/>
        <v>0</v>
      </c>
      <c r="X255" s="566">
        <f t="shared" si="78"/>
        <v>0</v>
      </c>
      <c r="Y255" s="566">
        <f t="shared" si="79"/>
        <v>0</v>
      </c>
      <c r="Z255" s="566">
        <f t="shared" si="80"/>
        <v>0</v>
      </c>
      <c r="AA255" s="566">
        <f t="shared" si="81"/>
        <v>0</v>
      </c>
      <c r="AB255" s="566">
        <f t="shared" si="82"/>
        <v>0</v>
      </c>
      <c r="AC255" s="566">
        <f t="shared" si="83"/>
        <v>0</v>
      </c>
      <c r="AD255" s="566">
        <f t="shared" si="84"/>
        <v>0</v>
      </c>
      <c r="AE255" s="566">
        <f t="shared" si="85"/>
        <v>0</v>
      </c>
      <c r="AF255" s="566">
        <f t="shared" si="86"/>
        <v>0</v>
      </c>
      <c r="AG255" s="573"/>
    </row>
    <row r="256" spans="1:33" ht="25.15" customHeight="1">
      <c r="A256" s="539">
        <v>41</v>
      </c>
      <c r="B256" s="545"/>
      <c r="C256" s="541" t="s">
        <v>1500</v>
      </c>
      <c r="D256" s="694"/>
      <c r="E256" s="694"/>
      <c r="F256" s="694"/>
      <c r="G256" s="694"/>
      <c r="H256" s="694"/>
      <c r="I256" s="694"/>
      <c r="J256" s="694"/>
      <c r="K256" s="694"/>
      <c r="L256" s="694"/>
      <c r="M256" s="694"/>
      <c r="N256" s="554">
        <f t="shared" si="102"/>
        <v>0</v>
      </c>
      <c r="O256" s="554">
        <f t="shared" si="75"/>
        <v>0</v>
      </c>
      <c r="P256" s="555">
        <f>(O256/O273)*100</f>
        <v>0</v>
      </c>
      <c r="Q256" s="567">
        <v>0.5</v>
      </c>
      <c r="R256" s="555">
        <f t="shared" si="76"/>
        <v>0</v>
      </c>
      <c r="S256" s="698"/>
      <c r="T256" s="569"/>
      <c r="U256" s="2570"/>
      <c r="W256" s="566">
        <f t="shared" si="77"/>
        <v>0</v>
      </c>
      <c r="X256" s="566">
        <f t="shared" si="78"/>
        <v>0</v>
      </c>
      <c r="Y256" s="566">
        <f t="shared" si="79"/>
        <v>0</v>
      </c>
      <c r="Z256" s="566">
        <f t="shared" si="80"/>
        <v>0</v>
      </c>
      <c r="AA256" s="566">
        <f t="shared" si="81"/>
        <v>0</v>
      </c>
      <c r="AB256" s="566">
        <f t="shared" si="82"/>
        <v>0</v>
      </c>
      <c r="AC256" s="566">
        <f t="shared" si="83"/>
        <v>0</v>
      </c>
      <c r="AD256" s="566">
        <f t="shared" si="84"/>
        <v>0</v>
      </c>
      <c r="AE256" s="566">
        <f t="shared" si="85"/>
        <v>0</v>
      </c>
      <c r="AF256" s="566">
        <f t="shared" si="86"/>
        <v>0</v>
      </c>
      <c r="AG256" s="573"/>
    </row>
    <row r="257" spans="1:33" ht="25.15" customHeight="1">
      <c r="A257" s="539">
        <v>42</v>
      </c>
      <c r="B257" s="545"/>
      <c r="C257" s="541" t="s">
        <v>1501</v>
      </c>
      <c r="D257" s="694"/>
      <c r="E257" s="694"/>
      <c r="F257" s="694"/>
      <c r="G257" s="694"/>
      <c r="H257" s="694"/>
      <c r="I257" s="694"/>
      <c r="J257" s="694"/>
      <c r="K257" s="694"/>
      <c r="L257" s="694"/>
      <c r="M257" s="694"/>
      <c r="N257" s="554">
        <f t="shared" si="102"/>
        <v>0</v>
      </c>
      <c r="O257" s="554">
        <f t="shared" si="75"/>
        <v>0</v>
      </c>
      <c r="P257" s="555">
        <f>(O257/O273)*100</f>
        <v>0</v>
      </c>
      <c r="Q257" s="567">
        <v>0.5</v>
      </c>
      <c r="R257" s="555">
        <f t="shared" si="76"/>
        <v>0</v>
      </c>
      <c r="S257" s="698"/>
      <c r="T257" s="569"/>
      <c r="U257" s="2570"/>
      <c r="W257" s="566">
        <f t="shared" si="77"/>
        <v>0</v>
      </c>
      <c r="X257" s="566">
        <f t="shared" si="78"/>
        <v>0</v>
      </c>
      <c r="Y257" s="566">
        <f t="shared" si="79"/>
        <v>0</v>
      </c>
      <c r="Z257" s="566">
        <f t="shared" si="80"/>
        <v>0</v>
      </c>
      <c r="AA257" s="566">
        <f t="shared" si="81"/>
        <v>0</v>
      </c>
      <c r="AB257" s="566">
        <f t="shared" si="82"/>
        <v>0</v>
      </c>
      <c r="AC257" s="566">
        <f t="shared" si="83"/>
        <v>0</v>
      </c>
      <c r="AD257" s="566">
        <f t="shared" si="84"/>
        <v>0</v>
      </c>
      <c r="AE257" s="566">
        <f t="shared" si="85"/>
        <v>0</v>
      </c>
      <c r="AF257" s="566">
        <f t="shared" si="86"/>
        <v>0</v>
      </c>
      <c r="AG257" s="573"/>
    </row>
    <row r="258" spans="1:33" ht="25.15" customHeight="1">
      <c r="A258" s="539">
        <v>43</v>
      </c>
      <c r="B258" s="545"/>
      <c r="C258" s="541"/>
      <c r="D258" s="694"/>
      <c r="E258" s="694"/>
      <c r="F258" s="694"/>
      <c r="G258" s="694"/>
      <c r="H258" s="694"/>
      <c r="I258" s="694"/>
      <c r="J258" s="694"/>
      <c r="K258" s="694"/>
      <c r="L258" s="694"/>
      <c r="M258" s="694"/>
      <c r="N258" s="554">
        <f t="shared" si="102"/>
        <v>0</v>
      </c>
      <c r="O258" s="554">
        <f t="shared" si="75"/>
        <v>0</v>
      </c>
      <c r="P258" s="555">
        <f>(O258/O273)*100</f>
        <v>0</v>
      </c>
      <c r="Q258" s="567">
        <v>0.5</v>
      </c>
      <c r="R258" s="555">
        <f t="shared" si="76"/>
        <v>0</v>
      </c>
      <c r="S258" s="698"/>
      <c r="T258" s="569"/>
      <c r="U258" s="2570"/>
      <c r="W258" s="566">
        <f t="shared" si="77"/>
        <v>0</v>
      </c>
      <c r="X258" s="566">
        <f t="shared" si="78"/>
        <v>0</v>
      </c>
      <c r="Y258" s="566">
        <f t="shared" si="79"/>
        <v>0</v>
      </c>
      <c r="Z258" s="566">
        <f t="shared" si="80"/>
        <v>0</v>
      </c>
      <c r="AA258" s="566">
        <f t="shared" si="81"/>
        <v>0</v>
      </c>
      <c r="AB258" s="566">
        <f t="shared" si="82"/>
        <v>0</v>
      </c>
      <c r="AC258" s="566">
        <f t="shared" si="83"/>
        <v>0</v>
      </c>
      <c r="AD258" s="566">
        <f t="shared" si="84"/>
        <v>0</v>
      </c>
      <c r="AE258" s="566">
        <f t="shared" si="85"/>
        <v>0</v>
      </c>
      <c r="AF258" s="566">
        <f t="shared" si="86"/>
        <v>0</v>
      </c>
      <c r="AG258" s="573"/>
    </row>
    <row r="259" spans="1:33" ht="25.15" customHeight="1">
      <c r="A259" s="539">
        <v>44</v>
      </c>
      <c r="B259" s="545"/>
      <c r="C259" s="541" t="s">
        <v>1502</v>
      </c>
      <c r="D259" s="694"/>
      <c r="E259" s="694"/>
      <c r="F259" s="694"/>
      <c r="G259" s="694"/>
      <c r="H259" s="694"/>
      <c r="I259" s="694"/>
      <c r="J259" s="694"/>
      <c r="K259" s="694"/>
      <c r="L259" s="694"/>
      <c r="M259" s="694"/>
      <c r="N259" s="554">
        <f t="shared" si="102"/>
        <v>0</v>
      </c>
      <c r="O259" s="554">
        <f t="shared" si="75"/>
        <v>0</v>
      </c>
      <c r="P259" s="555">
        <f>(O259/O273)*100</f>
        <v>0</v>
      </c>
      <c r="Q259" s="567">
        <v>0.5</v>
      </c>
      <c r="R259" s="555">
        <f t="shared" si="76"/>
        <v>0</v>
      </c>
      <c r="S259" s="698"/>
      <c r="T259" s="569"/>
      <c r="U259" s="2570"/>
      <c r="W259" s="566">
        <f t="shared" si="77"/>
        <v>0</v>
      </c>
      <c r="X259" s="566">
        <f t="shared" si="78"/>
        <v>0</v>
      </c>
      <c r="Y259" s="566">
        <f t="shared" si="79"/>
        <v>0</v>
      </c>
      <c r="Z259" s="566">
        <f t="shared" si="80"/>
        <v>0</v>
      </c>
      <c r="AA259" s="566">
        <f t="shared" si="81"/>
        <v>0</v>
      </c>
      <c r="AB259" s="566">
        <f t="shared" si="82"/>
        <v>0</v>
      </c>
      <c r="AC259" s="566">
        <f t="shared" si="83"/>
        <v>0</v>
      </c>
      <c r="AD259" s="566">
        <f t="shared" si="84"/>
        <v>0</v>
      </c>
      <c r="AE259" s="566">
        <f t="shared" si="85"/>
        <v>0</v>
      </c>
      <c r="AF259" s="566">
        <f t="shared" si="86"/>
        <v>0</v>
      </c>
      <c r="AG259" s="573"/>
    </row>
    <row r="260" spans="1:33" ht="25.15" customHeight="1">
      <c r="A260" s="539">
        <v>45</v>
      </c>
      <c r="B260" s="545"/>
      <c r="C260" s="541" t="s">
        <v>1503</v>
      </c>
      <c r="D260" s="694"/>
      <c r="E260" s="694"/>
      <c r="F260" s="694"/>
      <c r="G260" s="694"/>
      <c r="H260" s="694"/>
      <c r="I260" s="694"/>
      <c r="J260" s="694"/>
      <c r="K260" s="694"/>
      <c r="L260" s="694"/>
      <c r="M260" s="694"/>
      <c r="N260" s="554">
        <f t="shared" si="102"/>
        <v>0</v>
      </c>
      <c r="O260" s="554">
        <f t="shared" si="75"/>
        <v>0</v>
      </c>
      <c r="P260" s="555">
        <f>(O260/O273)*100</f>
        <v>0</v>
      </c>
      <c r="Q260" s="567">
        <v>0.5</v>
      </c>
      <c r="R260" s="555">
        <f t="shared" si="76"/>
        <v>0</v>
      </c>
      <c r="S260" s="698"/>
      <c r="T260" s="569"/>
      <c r="U260" s="2570"/>
      <c r="W260" s="566">
        <f t="shared" si="77"/>
        <v>0</v>
      </c>
      <c r="X260" s="566">
        <f t="shared" si="78"/>
        <v>0</v>
      </c>
      <c r="Y260" s="566">
        <f t="shared" si="79"/>
        <v>0</v>
      </c>
      <c r="Z260" s="566">
        <f t="shared" si="80"/>
        <v>0</v>
      </c>
      <c r="AA260" s="566">
        <f t="shared" si="81"/>
        <v>0</v>
      </c>
      <c r="AB260" s="566">
        <f t="shared" si="82"/>
        <v>0</v>
      </c>
      <c r="AC260" s="566">
        <f t="shared" si="83"/>
        <v>0</v>
      </c>
      <c r="AD260" s="566">
        <f t="shared" si="84"/>
        <v>0</v>
      </c>
      <c r="AE260" s="566">
        <f t="shared" si="85"/>
        <v>0</v>
      </c>
      <c r="AF260" s="566">
        <f t="shared" si="86"/>
        <v>0</v>
      </c>
      <c r="AG260" s="573"/>
    </row>
    <row r="261" spans="1:33" ht="25.15" customHeight="1">
      <c r="A261" s="539">
        <v>46</v>
      </c>
      <c r="B261" s="545"/>
      <c r="C261" s="589"/>
      <c r="D261" s="694"/>
      <c r="E261" s="694"/>
      <c r="F261" s="694"/>
      <c r="G261" s="694"/>
      <c r="H261" s="694"/>
      <c r="I261" s="694"/>
      <c r="J261" s="694"/>
      <c r="K261" s="694"/>
      <c r="L261" s="694"/>
      <c r="M261" s="694"/>
      <c r="N261" s="554">
        <f t="shared" ref="N261:N266" si="116">SUM(D261:M261)</f>
        <v>0</v>
      </c>
      <c r="O261" s="554">
        <f t="shared" ref="O261:O266" si="117">N261*S261</f>
        <v>0</v>
      </c>
      <c r="P261" s="555">
        <f>(O261/O273)*100</f>
        <v>0</v>
      </c>
      <c r="Q261" s="567">
        <v>1.5</v>
      </c>
      <c r="R261" s="555">
        <f t="shared" ref="R261:R266" si="118">P261*Q261</f>
        <v>0</v>
      </c>
      <c r="S261" s="698"/>
      <c r="T261" s="569"/>
      <c r="U261" s="2570"/>
      <c r="W261" s="566">
        <f t="shared" ref="W261:W266" si="119">D261*S261</f>
        <v>0</v>
      </c>
      <c r="X261" s="566">
        <f t="shared" ref="X261:X266" si="120">E261*S261</f>
        <v>0</v>
      </c>
      <c r="Y261" s="566">
        <f t="shared" ref="Y261:Y266" si="121">F261*S261</f>
        <v>0</v>
      </c>
      <c r="Z261" s="566">
        <f t="shared" ref="Z261:Z266" si="122">G261*S261</f>
        <v>0</v>
      </c>
      <c r="AA261" s="566">
        <f t="shared" ref="AA261:AA266" si="123">H261*S261</f>
        <v>0</v>
      </c>
      <c r="AB261" s="566">
        <f t="shared" ref="AB261:AB266" si="124">I261*S261</f>
        <v>0</v>
      </c>
      <c r="AC261" s="566">
        <f t="shared" ref="AC261:AC266" si="125">J261*S261</f>
        <v>0</v>
      </c>
      <c r="AD261" s="566">
        <f t="shared" ref="AD261:AD266" si="126">K261*S261</f>
        <v>0</v>
      </c>
      <c r="AE261" s="566">
        <f t="shared" ref="AE261:AE266" si="127">L261*S261</f>
        <v>0</v>
      </c>
      <c r="AF261" s="566">
        <f t="shared" ref="AF261:AF266" si="128">M261*S261</f>
        <v>0</v>
      </c>
      <c r="AG261" s="573"/>
    </row>
    <row r="262" spans="1:33" ht="25.15" customHeight="1">
      <c r="A262" s="539">
        <v>47</v>
      </c>
      <c r="B262" s="545"/>
      <c r="C262" s="589" t="s">
        <v>1427</v>
      </c>
      <c r="D262" s="694"/>
      <c r="E262" s="694"/>
      <c r="F262" s="694"/>
      <c r="G262" s="694"/>
      <c r="H262" s="694"/>
      <c r="I262" s="694"/>
      <c r="J262" s="694"/>
      <c r="K262" s="694"/>
      <c r="L262" s="694"/>
      <c r="M262" s="694"/>
      <c r="N262" s="554">
        <f t="shared" si="116"/>
        <v>0</v>
      </c>
      <c r="O262" s="554">
        <f t="shared" si="117"/>
        <v>0</v>
      </c>
      <c r="P262" s="555">
        <f>(O262/O273)*100</f>
        <v>0</v>
      </c>
      <c r="Q262" s="567">
        <v>2.5</v>
      </c>
      <c r="R262" s="555">
        <f t="shared" si="118"/>
        <v>0</v>
      </c>
      <c r="S262" s="698"/>
      <c r="T262" s="569"/>
      <c r="U262" s="2570"/>
      <c r="W262" s="566">
        <f t="shared" si="119"/>
        <v>0</v>
      </c>
      <c r="X262" s="566">
        <f t="shared" si="120"/>
        <v>0</v>
      </c>
      <c r="Y262" s="566">
        <f t="shared" si="121"/>
        <v>0</v>
      </c>
      <c r="Z262" s="566">
        <f t="shared" si="122"/>
        <v>0</v>
      </c>
      <c r="AA262" s="566">
        <f t="shared" si="123"/>
        <v>0</v>
      </c>
      <c r="AB262" s="566">
        <f t="shared" si="124"/>
        <v>0</v>
      </c>
      <c r="AC262" s="566">
        <f t="shared" si="125"/>
        <v>0</v>
      </c>
      <c r="AD262" s="566">
        <f t="shared" si="126"/>
        <v>0</v>
      </c>
      <c r="AE262" s="566">
        <f t="shared" si="127"/>
        <v>0</v>
      </c>
      <c r="AF262" s="566">
        <f t="shared" si="128"/>
        <v>0</v>
      </c>
      <c r="AG262" s="573"/>
    </row>
    <row r="263" spans="1:33" ht="25.15" customHeight="1">
      <c r="A263" s="539">
        <v>48</v>
      </c>
      <c r="B263" s="545"/>
      <c r="C263" s="589" t="s">
        <v>1437</v>
      </c>
      <c r="D263" s="694"/>
      <c r="E263" s="694"/>
      <c r="F263" s="694"/>
      <c r="G263" s="694"/>
      <c r="H263" s="694"/>
      <c r="I263" s="694"/>
      <c r="J263" s="694"/>
      <c r="K263" s="694"/>
      <c r="L263" s="694"/>
      <c r="M263" s="694"/>
      <c r="N263" s="554">
        <f t="shared" si="116"/>
        <v>0</v>
      </c>
      <c r="O263" s="554">
        <f t="shared" si="117"/>
        <v>0</v>
      </c>
      <c r="P263" s="555">
        <f>(O263/O273)*100</f>
        <v>0</v>
      </c>
      <c r="Q263" s="567">
        <v>3.5</v>
      </c>
      <c r="R263" s="555">
        <f t="shared" si="118"/>
        <v>0</v>
      </c>
      <c r="S263" s="698"/>
      <c r="T263" s="569"/>
      <c r="U263" s="2570"/>
      <c r="W263" s="566">
        <f t="shared" si="119"/>
        <v>0</v>
      </c>
      <c r="X263" s="566">
        <f t="shared" si="120"/>
        <v>0</v>
      </c>
      <c r="Y263" s="566">
        <f t="shared" si="121"/>
        <v>0</v>
      </c>
      <c r="Z263" s="566">
        <f t="shared" si="122"/>
        <v>0</v>
      </c>
      <c r="AA263" s="566">
        <f t="shared" si="123"/>
        <v>0</v>
      </c>
      <c r="AB263" s="566">
        <f t="shared" si="124"/>
        <v>0</v>
      </c>
      <c r="AC263" s="566">
        <f t="shared" si="125"/>
        <v>0</v>
      </c>
      <c r="AD263" s="566">
        <f t="shared" si="126"/>
        <v>0</v>
      </c>
      <c r="AE263" s="566">
        <f t="shared" si="127"/>
        <v>0</v>
      </c>
      <c r="AF263" s="566">
        <f t="shared" si="128"/>
        <v>0</v>
      </c>
      <c r="AG263" s="573"/>
    </row>
    <row r="264" spans="1:33" ht="25.15" customHeight="1">
      <c r="A264" s="539">
        <v>49</v>
      </c>
      <c r="B264" s="545"/>
      <c r="C264" s="589" t="s">
        <v>1504</v>
      </c>
      <c r="D264" s="694"/>
      <c r="E264" s="694"/>
      <c r="F264" s="694"/>
      <c r="G264" s="694"/>
      <c r="H264" s="694"/>
      <c r="I264" s="694"/>
      <c r="J264" s="694"/>
      <c r="K264" s="694"/>
      <c r="L264" s="694"/>
      <c r="M264" s="694"/>
      <c r="N264" s="554">
        <f t="shared" si="116"/>
        <v>0</v>
      </c>
      <c r="O264" s="554">
        <f t="shared" si="117"/>
        <v>0</v>
      </c>
      <c r="P264" s="555">
        <f>(O264/O273)*100</f>
        <v>0</v>
      </c>
      <c r="Q264" s="567">
        <v>4.5</v>
      </c>
      <c r="R264" s="555">
        <f t="shared" si="118"/>
        <v>0</v>
      </c>
      <c r="S264" s="698"/>
      <c r="T264" s="569"/>
      <c r="U264" s="2570"/>
      <c r="W264" s="566">
        <f t="shared" si="119"/>
        <v>0</v>
      </c>
      <c r="X264" s="566">
        <f t="shared" si="120"/>
        <v>0</v>
      </c>
      <c r="Y264" s="566">
        <f t="shared" si="121"/>
        <v>0</v>
      </c>
      <c r="Z264" s="566">
        <f t="shared" si="122"/>
        <v>0</v>
      </c>
      <c r="AA264" s="566">
        <f t="shared" si="123"/>
        <v>0</v>
      </c>
      <c r="AB264" s="566">
        <f t="shared" si="124"/>
        <v>0</v>
      </c>
      <c r="AC264" s="566">
        <f t="shared" si="125"/>
        <v>0</v>
      </c>
      <c r="AD264" s="566">
        <f t="shared" si="126"/>
        <v>0</v>
      </c>
      <c r="AE264" s="566">
        <f t="shared" si="127"/>
        <v>0</v>
      </c>
      <c r="AF264" s="566">
        <f t="shared" si="128"/>
        <v>0</v>
      </c>
      <c r="AG264" s="573"/>
    </row>
    <row r="265" spans="1:33" ht="25.15" customHeight="1">
      <c r="A265" s="539">
        <v>50</v>
      </c>
      <c r="B265" s="545"/>
      <c r="C265" s="589" t="s">
        <v>1505</v>
      </c>
      <c r="D265" s="694"/>
      <c r="E265" s="694"/>
      <c r="F265" s="694"/>
      <c r="G265" s="694"/>
      <c r="H265" s="694"/>
      <c r="I265" s="694"/>
      <c r="J265" s="694"/>
      <c r="K265" s="694"/>
      <c r="L265" s="694"/>
      <c r="M265" s="694"/>
      <c r="N265" s="554">
        <f t="shared" si="116"/>
        <v>0</v>
      </c>
      <c r="O265" s="554">
        <f t="shared" si="117"/>
        <v>0</v>
      </c>
      <c r="P265" s="555">
        <f>(O265/O273)*100</f>
        <v>0</v>
      </c>
      <c r="Q265" s="567">
        <v>5.5</v>
      </c>
      <c r="R265" s="555">
        <f t="shared" si="118"/>
        <v>0</v>
      </c>
      <c r="S265" s="698"/>
      <c r="T265" s="569"/>
      <c r="U265" s="2570"/>
      <c r="W265" s="566">
        <f t="shared" si="119"/>
        <v>0</v>
      </c>
      <c r="X265" s="566">
        <f t="shared" si="120"/>
        <v>0</v>
      </c>
      <c r="Y265" s="566">
        <f t="shared" si="121"/>
        <v>0</v>
      </c>
      <c r="Z265" s="566">
        <f t="shared" si="122"/>
        <v>0</v>
      </c>
      <c r="AA265" s="566">
        <f t="shared" si="123"/>
        <v>0</v>
      </c>
      <c r="AB265" s="566">
        <f t="shared" si="124"/>
        <v>0</v>
      </c>
      <c r="AC265" s="566">
        <f t="shared" si="125"/>
        <v>0</v>
      </c>
      <c r="AD265" s="566">
        <f t="shared" si="126"/>
        <v>0</v>
      </c>
      <c r="AE265" s="566">
        <f t="shared" si="127"/>
        <v>0</v>
      </c>
      <c r="AF265" s="566">
        <f t="shared" si="128"/>
        <v>0</v>
      </c>
      <c r="AG265" s="573"/>
    </row>
    <row r="266" spans="1:33" ht="25.15" customHeight="1">
      <c r="A266" s="539">
        <v>51</v>
      </c>
      <c r="B266" s="545"/>
      <c r="C266" s="589" t="s">
        <v>1506</v>
      </c>
      <c r="D266" s="694"/>
      <c r="E266" s="694"/>
      <c r="F266" s="694"/>
      <c r="G266" s="694"/>
      <c r="H266" s="694"/>
      <c r="I266" s="694"/>
      <c r="J266" s="694"/>
      <c r="K266" s="694"/>
      <c r="L266" s="694"/>
      <c r="M266" s="694"/>
      <c r="N266" s="554">
        <f t="shared" si="116"/>
        <v>0</v>
      </c>
      <c r="O266" s="554">
        <f t="shared" si="117"/>
        <v>0</v>
      </c>
      <c r="P266" s="555">
        <f>(O266/O273)*100</f>
        <v>0</v>
      </c>
      <c r="Q266" s="567">
        <v>6.5</v>
      </c>
      <c r="R266" s="555">
        <f t="shared" si="118"/>
        <v>0</v>
      </c>
      <c r="S266" s="698">
        <v>8000</v>
      </c>
      <c r="T266" s="569"/>
      <c r="U266" s="2570"/>
      <c r="W266" s="566">
        <f t="shared" si="119"/>
        <v>0</v>
      </c>
      <c r="X266" s="566">
        <f t="shared" si="120"/>
        <v>0</v>
      </c>
      <c r="Y266" s="566">
        <f t="shared" si="121"/>
        <v>0</v>
      </c>
      <c r="Z266" s="566">
        <f t="shared" si="122"/>
        <v>0</v>
      </c>
      <c r="AA266" s="566">
        <f t="shared" si="123"/>
        <v>0</v>
      </c>
      <c r="AB266" s="566">
        <f t="shared" si="124"/>
        <v>0</v>
      </c>
      <c r="AC266" s="566">
        <f t="shared" si="125"/>
        <v>0</v>
      </c>
      <c r="AD266" s="566">
        <f t="shared" si="126"/>
        <v>0</v>
      </c>
      <c r="AE266" s="566">
        <f t="shared" si="127"/>
        <v>0</v>
      </c>
      <c r="AF266" s="566">
        <f t="shared" si="128"/>
        <v>0</v>
      </c>
      <c r="AG266" s="573"/>
    </row>
    <row r="267" spans="1:33" ht="25.15" customHeight="1">
      <c r="A267" s="539">
        <v>52</v>
      </c>
      <c r="B267" s="545"/>
      <c r="C267" s="589" t="s">
        <v>629</v>
      </c>
      <c r="D267" s="694"/>
      <c r="E267" s="694"/>
      <c r="F267" s="694">
        <v>1</v>
      </c>
      <c r="G267" s="694"/>
      <c r="H267" s="694"/>
      <c r="I267" s="694"/>
      <c r="J267" s="694"/>
      <c r="K267" s="694"/>
      <c r="L267" s="694"/>
      <c r="M267" s="694"/>
      <c r="N267" s="554">
        <f t="shared" si="102"/>
        <v>1</v>
      </c>
      <c r="O267" s="554">
        <f t="shared" si="75"/>
        <v>46000</v>
      </c>
      <c r="P267" s="555">
        <f>(O267/O273)*100</f>
        <v>0.23089181965341099</v>
      </c>
      <c r="Q267" s="567">
        <v>0.5</v>
      </c>
      <c r="R267" s="555">
        <f t="shared" si="76"/>
        <v>0.11544590982670599</v>
      </c>
      <c r="S267" s="698">
        <v>46000</v>
      </c>
      <c r="T267" s="569"/>
      <c r="U267" s="2570"/>
      <c r="W267" s="566">
        <f t="shared" si="77"/>
        <v>0</v>
      </c>
      <c r="X267" s="566">
        <f t="shared" si="78"/>
        <v>0</v>
      </c>
      <c r="Y267" s="566">
        <f t="shared" si="79"/>
        <v>46000</v>
      </c>
      <c r="Z267" s="566">
        <f t="shared" si="80"/>
        <v>0</v>
      </c>
      <c r="AA267" s="566">
        <f t="shared" si="81"/>
        <v>0</v>
      </c>
      <c r="AB267" s="566">
        <f t="shared" si="82"/>
        <v>0</v>
      </c>
      <c r="AC267" s="566">
        <f t="shared" si="83"/>
        <v>0</v>
      </c>
      <c r="AD267" s="566">
        <f t="shared" si="84"/>
        <v>0</v>
      </c>
      <c r="AE267" s="566">
        <f t="shared" si="85"/>
        <v>0</v>
      </c>
      <c r="AF267" s="566">
        <f t="shared" si="86"/>
        <v>0</v>
      </c>
      <c r="AG267" s="573"/>
    </row>
    <row r="268" spans="1:33" ht="25.15" customHeight="1">
      <c r="A268" s="539">
        <v>53</v>
      </c>
      <c r="B268" s="545"/>
      <c r="C268" s="589"/>
      <c r="D268" s="694"/>
      <c r="E268" s="694"/>
      <c r="F268" s="694"/>
      <c r="G268" s="694"/>
      <c r="H268" s="694"/>
      <c r="I268" s="694"/>
      <c r="J268" s="694"/>
      <c r="K268" s="694"/>
      <c r="L268" s="694"/>
      <c r="M268" s="694"/>
      <c r="N268" s="554">
        <f t="shared" si="102"/>
        <v>0</v>
      </c>
      <c r="O268" s="554">
        <f t="shared" si="75"/>
        <v>0</v>
      </c>
      <c r="P268" s="555">
        <f>(O268/O273)*100</f>
        <v>0</v>
      </c>
      <c r="Q268" s="567">
        <v>0.5</v>
      </c>
      <c r="R268" s="555">
        <f t="shared" si="76"/>
        <v>0</v>
      </c>
      <c r="S268" s="698"/>
      <c r="T268" s="569"/>
      <c r="U268" s="2570"/>
      <c r="W268" s="566">
        <f t="shared" si="77"/>
        <v>0</v>
      </c>
      <c r="X268" s="566">
        <f t="shared" si="78"/>
        <v>0</v>
      </c>
      <c r="Y268" s="566">
        <f t="shared" si="79"/>
        <v>0</v>
      </c>
      <c r="Z268" s="566">
        <f t="shared" si="80"/>
        <v>0</v>
      </c>
      <c r="AA268" s="566">
        <f t="shared" si="81"/>
        <v>0</v>
      </c>
      <c r="AB268" s="566">
        <f t="shared" si="82"/>
        <v>0</v>
      </c>
      <c r="AC268" s="566">
        <f t="shared" si="83"/>
        <v>0</v>
      </c>
      <c r="AD268" s="566">
        <f t="shared" si="84"/>
        <v>0</v>
      </c>
      <c r="AE268" s="566">
        <f t="shared" si="85"/>
        <v>0</v>
      </c>
      <c r="AF268" s="566">
        <f t="shared" si="86"/>
        <v>0</v>
      </c>
      <c r="AG268" s="573"/>
    </row>
    <row r="269" spans="1:33" ht="25.15" customHeight="1">
      <c r="A269" s="539">
        <v>54</v>
      </c>
      <c r="B269" s="545"/>
      <c r="C269" s="589" t="s">
        <v>1507</v>
      </c>
      <c r="D269" s="694"/>
      <c r="E269" s="694"/>
      <c r="F269" s="694"/>
      <c r="G269" s="694"/>
      <c r="H269" s="694"/>
      <c r="I269" s="694"/>
      <c r="J269" s="694">
        <v>1</v>
      </c>
      <c r="K269" s="694"/>
      <c r="L269" s="694"/>
      <c r="M269" s="694"/>
      <c r="N269" s="554">
        <f t="shared" si="102"/>
        <v>1</v>
      </c>
      <c r="O269" s="554">
        <f t="shared" si="75"/>
        <v>26750</v>
      </c>
      <c r="P269" s="555">
        <f>(O269/O273)*100</f>
        <v>0.13426861251584199</v>
      </c>
      <c r="Q269" s="567"/>
      <c r="R269" s="555">
        <f t="shared" si="76"/>
        <v>0</v>
      </c>
      <c r="S269" s="698">
        <v>26750</v>
      </c>
      <c r="T269" s="569"/>
      <c r="U269" s="2570"/>
      <c r="W269" s="566">
        <f t="shared" si="77"/>
        <v>0</v>
      </c>
      <c r="X269" s="566">
        <f t="shared" si="78"/>
        <v>0</v>
      </c>
      <c r="Y269" s="566">
        <f t="shared" si="79"/>
        <v>0</v>
      </c>
      <c r="Z269" s="566">
        <f t="shared" si="80"/>
        <v>0</v>
      </c>
      <c r="AA269" s="566">
        <f t="shared" si="81"/>
        <v>0</v>
      </c>
      <c r="AB269" s="566">
        <f t="shared" si="82"/>
        <v>0</v>
      </c>
      <c r="AC269" s="566">
        <f t="shared" si="83"/>
        <v>26750</v>
      </c>
      <c r="AD269" s="566">
        <f t="shared" si="84"/>
        <v>0</v>
      </c>
      <c r="AE269" s="566">
        <f t="shared" si="85"/>
        <v>0</v>
      </c>
      <c r="AF269" s="566">
        <f t="shared" si="86"/>
        <v>0</v>
      </c>
      <c r="AG269" s="573"/>
    </row>
    <row r="270" spans="1:33" ht="25.15" customHeight="1">
      <c r="A270" s="539">
        <v>55</v>
      </c>
      <c r="B270" s="545"/>
      <c r="C270" s="589"/>
      <c r="D270" s="694"/>
      <c r="E270" s="694"/>
      <c r="F270" s="694"/>
      <c r="G270" s="694"/>
      <c r="H270" s="694"/>
      <c r="I270" s="694"/>
      <c r="J270" s="694"/>
      <c r="K270" s="694"/>
      <c r="L270" s="694"/>
      <c r="M270" s="694"/>
      <c r="N270" s="554">
        <f t="shared" si="102"/>
        <v>0</v>
      </c>
      <c r="O270" s="554">
        <f t="shared" si="75"/>
        <v>0</v>
      </c>
      <c r="P270" s="555">
        <f>(O270/O273)*100</f>
        <v>0</v>
      </c>
      <c r="Q270" s="567"/>
      <c r="R270" s="555">
        <f t="shared" si="76"/>
        <v>0</v>
      </c>
      <c r="S270" s="698"/>
      <c r="T270" s="569"/>
      <c r="U270" s="2570"/>
      <c r="W270" s="566">
        <f t="shared" si="77"/>
        <v>0</v>
      </c>
      <c r="X270" s="566">
        <f t="shared" si="78"/>
        <v>0</v>
      </c>
      <c r="Y270" s="566">
        <f t="shared" si="79"/>
        <v>0</v>
      </c>
      <c r="Z270" s="566">
        <f t="shared" si="80"/>
        <v>0</v>
      </c>
      <c r="AA270" s="566">
        <f t="shared" si="81"/>
        <v>0</v>
      </c>
      <c r="AB270" s="566">
        <f t="shared" si="82"/>
        <v>0</v>
      </c>
      <c r="AC270" s="566">
        <f t="shared" si="83"/>
        <v>0</v>
      </c>
      <c r="AD270" s="566">
        <f t="shared" si="84"/>
        <v>0</v>
      </c>
      <c r="AE270" s="566">
        <f t="shared" si="85"/>
        <v>0</v>
      </c>
      <c r="AF270" s="566">
        <f t="shared" si="86"/>
        <v>0</v>
      </c>
      <c r="AG270" s="573"/>
    </row>
    <row r="271" spans="1:33" ht="25.15" customHeight="1">
      <c r="A271" s="539">
        <v>56</v>
      </c>
      <c r="B271" s="832"/>
      <c r="C271" s="833"/>
      <c r="D271" s="694"/>
      <c r="E271" s="694"/>
      <c r="F271" s="694"/>
      <c r="G271" s="694"/>
      <c r="H271" s="694"/>
      <c r="I271" s="694"/>
      <c r="J271" s="694"/>
      <c r="K271" s="694"/>
      <c r="L271" s="694"/>
      <c r="M271" s="694"/>
      <c r="N271" s="590">
        <f t="shared" si="102"/>
        <v>0</v>
      </c>
      <c r="O271" s="590">
        <f t="shared" si="75"/>
        <v>0</v>
      </c>
      <c r="P271" s="591">
        <f>(O271/O273)*100</f>
        <v>0</v>
      </c>
      <c r="Q271" s="721"/>
      <c r="R271" s="591">
        <f t="shared" si="76"/>
        <v>0</v>
      </c>
      <c r="S271" s="674"/>
      <c r="T271" s="569"/>
      <c r="U271" s="2570"/>
      <c r="W271" s="566">
        <f t="shared" si="77"/>
        <v>0</v>
      </c>
      <c r="X271" s="566">
        <f t="shared" si="78"/>
        <v>0</v>
      </c>
      <c r="Y271" s="566">
        <f t="shared" si="79"/>
        <v>0</v>
      </c>
      <c r="Z271" s="566">
        <f t="shared" si="80"/>
        <v>0</v>
      </c>
      <c r="AA271" s="566">
        <f t="shared" si="81"/>
        <v>0</v>
      </c>
      <c r="AB271" s="566">
        <f t="shared" si="82"/>
        <v>0</v>
      </c>
      <c r="AC271" s="566">
        <f t="shared" si="83"/>
        <v>0</v>
      </c>
      <c r="AD271" s="566">
        <f t="shared" si="84"/>
        <v>0</v>
      </c>
      <c r="AE271" s="566">
        <f t="shared" si="85"/>
        <v>0</v>
      </c>
      <c r="AF271" s="566">
        <f t="shared" si="86"/>
        <v>0</v>
      </c>
      <c r="AG271" s="573"/>
    </row>
    <row r="272" spans="1:33" ht="108.4" customHeight="1">
      <c r="A272" s="2561" t="s">
        <v>1508</v>
      </c>
      <c r="B272" s="2562"/>
      <c r="C272" s="2563"/>
      <c r="D272" s="577">
        <f t="shared" ref="D272:M272" si="129">W272</f>
        <v>6000</v>
      </c>
      <c r="E272" s="578">
        <f t="shared" si="129"/>
        <v>81000</v>
      </c>
      <c r="F272" s="578">
        <f t="shared" si="129"/>
        <v>159000</v>
      </c>
      <c r="G272" s="578">
        <f t="shared" si="129"/>
        <v>41000</v>
      </c>
      <c r="H272" s="578">
        <f t="shared" si="129"/>
        <v>87000</v>
      </c>
      <c r="I272" s="578">
        <f t="shared" si="129"/>
        <v>52000</v>
      </c>
      <c r="J272" s="578">
        <f t="shared" si="129"/>
        <v>111750</v>
      </c>
      <c r="K272" s="578">
        <f t="shared" si="129"/>
        <v>0</v>
      </c>
      <c r="L272" s="578">
        <f t="shared" si="129"/>
        <v>0</v>
      </c>
      <c r="M272" s="578">
        <f t="shared" si="129"/>
        <v>0</v>
      </c>
      <c r="N272" s="578"/>
      <c r="O272" s="592">
        <f>SUM(D272:M272)</f>
        <v>537750</v>
      </c>
      <c r="P272" s="836">
        <f>SUM(P216:P271)/100</f>
        <v>2.6991755656222201E-2</v>
      </c>
      <c r="Q272" s="841"/>
      <c r="R272" s="842">
        <f>SUM(R216:R271)/100</f>
        <v>8.8874778833243403E-3</v>
      </c>
      <c r="S272" s="607"/>
      <c r="T272" s="608"/>
      <c r="U272" s="2570"/>
      <c r="W272" s="566">
        <f t="shared" ref="W272:AF272" si="130">SUM(W216:W271)</f>
        <v>6000</v>
      </c>
      <c r="X272" s="566">
        <f t="shared" si="130"/>
        <v>81000</v>
      </c>
      <c r="Y272" s="566">
        <f t="shared" si="130"/>
        <v>159000</v>
      </c>
      <c r="Z272" s="566">
        <f t="shared" si="130"/>
        <v>41000</v>
      </c>
      <c r="AA272" s="566">
        <f t="shared" si="130"/>
        <v>87000</v>
      </c>
      <c r="AB272" s="566">
        <f t="shared" si="130"/>
        <v>52000</v>
      </c>
      <c r="AC272" s="566">
        <f t="shared" si="130"/>
        <v>111750</v>
      </c>
      <c r="AD272" s="566">
        <f t="shared" si="130"/>
        <v>0</v>
      </c>
      <c r="AE272" s="566">
        <f t="shared" si="130"/>
        <v>0</v>
      </c>
      <c r="AF272" s="566">
        <f t="shared" si="130"/>
        <v>0</v>
      </c>
      <c r="AG272" s="573"/>
    </row>
    <row r="273" spans="1:35" ht="119.65" customHeight="1">
      <c r="A273" s="2561" t="s">
        <v>1509</v>
      </c>
      <c r="B273" s="2562"/>
      <c r="C273" s="2563"/>
      <c r="D273" s="834">
        <f t="shared" ref="D273:P273" si="131">D213+D272</f>
        <v>2054000</v>
      </c>
      <c r="E273" s="835">
        <f t="shared" si="131"/>
        <v>3081000</v>
      </c>
      <c r="F273" s="835">
        <f t="shared" si="131"/>
        <v>2886000</v>
      </c>
      <c r="G273" s="835">
        <f t="shared" si="131"/>
        <v>3146000</v>
      </c>
      <c r="H273" s="835">
        <f t="shared" si="131"/>
        <v>2865000</v>
      </c>
      <c r="I273" s="835">
        <f t="shared" si="131"/>
        <v>2574000</v>
      </c>
      <c r="J273" s="835">
        <f t="shared" si="131"/>
        <v>3316750</v>
      </c>
      <c r="K273" s="835">
        <f t="shared" si="131"/>
        <v>0</v>
      </c>
      <c r="L273" s="835">
        <f t="shared" si="131"/>
        <v>0</v>
      </c>
      <c r="M273" s="578">
        <f t="shared" si="131"/>
        <v>0</v>
      </c>
      <c r="N273" s="578">
        <f t="shared" si="131"/>
        <v>0</v>
      </c>
      <c r="O273" s="592">
        <f t="shared" si="131"/>
        <v>19922750</v>
      </c>
      <c r="P273" s="836">
        <f t="shared" si="131"/>
        <v>1</v>
      </c>
      <c r="Q273" s="841"/>
      <c r="R273" s="605">
        <f>R213+R272</f>
        <v>0.57195840508234197</v>
      </c>
      <c r="S273" s="607"/>
      <c r="T273" s="608"/>
      <c r="U273" s="2570"/>
      <c r="W273" s="573"/>
      <c r="X273" s="573"/>
      <c r="Y273" s="573"/>
      <c r="Z273" s="573"/>
      <c r="AA273" s="573"/>
      <c r="AB273" s="573"/>
      <c r="AC273" s="573"/>
      <c r="AD273" s="573"/>
      <c r="AE273" s="573"/>
      <c r="AF273" s="573"/>
      <c r="AG273" s="573"/>
    </row>
    <row r="274" spans="1:35" s="771" customFormat="1" ht="30" customHeight="1">
      <c r="A274" s="2561" t="s">
        <v>1510</v>
      </c>
      <c r="B274" s="2562"/>
      <c r="C274" s="2563"/>
      <c r="D274" s="687"/>
      <c r="E274" s="688"/>
      <c r="F274" s="688"/>
      <c r="G274" s="688"/>
      <c r="H274" s="688"/>
      <c r="I274" s="688"/>
      <c r="J274" s="688"/>
      <c r="K274" s="688"/>
      <c r="L274" s="688"/>
      <c r="M274" s="688"/>
      <c r="N274" s="837">
        <f>SUM(D274:M274)</f>
        <v>0</v>
      </c>
      <c r="O274" s="838"/>
      <c r="P274" s="839"/>
      <c r="Q274" s="843"/>
      <c r="R274" s="839"/>
      <c r="S274" s="844"/>
      <c r="T274" s="616"/>
      <c r="U274" s="2570"/>
      <c r="W274" s="795"/>
      <c r="X274" s="795"/>
      <c r="Y274" s="795"/>
      <c r="Z274" s="795"/>
      <c r="AA274" s="795"/>
      <c r="AB274" s="795"/>
      <c r="AC274" s="795"/>
      <c r="AD274" s="795"/>
      <c r="AE274" s="795"/>
      <c r="AF274" s="795"/>
      <c r="AG274" s="795"/>
    </row>
    <row r="275" spans="1:35" ht="18" customHeight="1">
      <c r="Q275" s="665"/>
      <c r="U275" s="2570"/>
    </row>
    <row r="276" spans="1:35" ht="18" customHeight="1">
      <c r="A276" s="635" t="s">
        <v>1511</v>
      </c>
      <c r="N276" s="2417" t="s">
        <v>391</v>
      </c>
      <c r="O276" s="2417"/>
      <c r="T276" s="557"/>
      <c r="U276" s="2570"/>
    </row>
    <row r="277" spans="1:35" ht="32.25" customHeight="1">
      <c r="A277" s="2583" t="s">
        <v>1512</v>
      </c>
      <c r="B277" s="2584"/>
      <c r="C277" s="2584"/>
      <c r="D277" s="2584"/>
      <c r="E277" s="2584"/>
      <c r="F277" s="2584"/>
      <c r="G277" s="2584"/>
      <c r="H277" s="2584"/>
      <c r="I277" s="2584"/>
      <c r="J277" s="636"/>
      <c r="K277" s="636"/>
      <c r="L277" s="636"/>
      <c r="M277" s="636"/>
      <c r="T277" s="557"/>
      <c r="U277" s="2570"/>
      <c r="X277" s="532">
        <v>178</v>
      </c>
    </row>
    <row r="278" spans="1:35" ht="18" customHeight="1">
      <c r="A278" s="2583" t="s">
        <v>1513</v>
      </c>
      <c r="B278" s="2584"/>
      <c r="C278" s="2584"/>
      <c r="D278" s="2584"/>
      <c r="E278" s="2584"/>
      <c r="F278" s="2584"/>
      <c r="G278" s="2584"/>
      <c r="H278" s="2584"/>
      <c r="I278" s="2584"/>
      <c r="J278" s="636"/>
      <c r="K278" s="636"/>
      <c r="L278" s="636"/>
      <c r="M278" s="636"/>
      <c r="T278" s="557"/>
      <c r="U278" s="2570"/>
      <c r="X278" s="532">
        <v>144</v>
      </c>
    </row>
    <row r="279" spans="1:35" ht="18" customHeight="1">
      <c r="A279" s="2585" t="s">
        <v>1514</v>
      </c>
      <c r="B279" s="2585"/>
      <c r="C279" s="2585"/>
      <c r="D279" s="2585"/>
      <c r="E279" s="2585"/>
      <c r="F279" s="2585"/>
      <c r="G279" s="2585"/>
      <c r="H279" s="2585"/>
      <c r="I279" s="2585"/>
      <c r="J279" s="636"/>
      <c r="K279" s="636"/>
      <c r="L279" s="636"/>
      <c r="M279" s="636"/>
      <c r="T279" s="557"/>
      <c r="U279" s="2570"/>
      <c r="X279" s="532">
        <v>151</v>
      </c>
    </row>
    <row r="280" spans="1:35" ht="18" customHeight="1">
      <c r="A280" s="2586" t="s">
        <v>1515</v>
      </c>
      <c r="B280" s="2586"/>
      <c r="C280" s="2586"/>
      <c r="D280" s="2586"/>
      <c r="E280" s="2586"/>
      <c r="F280" s="2586"/>
      <c r="G280" s="2586"/>
      <c r="H280" s="2586"/>
      <c r="I280" s="2586"/>
      <c r="J280" s="636"/>
      <c r="K280" s="636"/>
      <c r="L280" s="636"/>
      <c r="M280" s="636"/>
      <c r="P280" s="652"/>
      <c r="T280" s="557"/>
      <c r="U280" s="2570"/>
      <c r="X280" s="532">
        <v>130</v>
      </c>
    </row>
    <row r="281" spans="1:35" ht="18" customHeight="1">
      <c r="A281" s="2206"/>
      <c r="B281" s="2206"/>
      <c r="C281" s="2206"/>
      <c r="D281" s="2206"/>
      <c r="E281" s="2206"/>
      <c r="F281" s="2206"/>
      <c r="G281" s="2206"/>
      <c r="H281" s="2206"/>
      <c r="I281" s="2206"/>
      <c r="J281" s="636"/>
      <c r="K281" s="636"/>
      <c r="L281" s="636"/>
      <c r="M281" s="636"/>
      <c r="N281" s="2430" t="s">
        <v>1516</v>
      </c>
      <c r="O281" s="2430"/>
      <c r="P281" s="654"/>
      <c r="T281" s="557"/>
      <c r="X281" s="532">
        <v>145</v>
      </c>
    </row>
    <row r="282" spans="1:35" ht="18" customHeight="1">
      <c r="B282" s="636"/>
      <c r="C282" s="636"/>
      <c r="D282" s="636"/>
      <c r="E282" s="636"/>
      <c r="F282" s="636"/>
      <c r="G282" s="636"/>
      <c r="H282" s="636"/>
      <c r="I282" s="636"/>
      <c r="J282" s="636"/>
      <c r="K282" s="636"/>
      <c r="L282" s="636"/>
      <c r="M282" s="636"/>
      <c r="N282" s="655"/>
      <c r="O282" s="655"/>
      <c r="P282" s="654"/>
      <c r="X282" s="532">
        <v>135</v>
      </c>
    </row>
    <row r="283" spans="1:35" s="531" customFormat="1" ht="18" customHeight="1">
      <c r="A283" s="637" t="s">
        <v>343</v>
      </c>
      <c r="B283" s="637"/>
      <c r="C283" s="637"/>
      <c r="D283" s="532"/>
      <c r="E283" s="532"/>
      <c r="F283" s="532"/>
      <c r="G283" s="532"/>
      <c r="H283" s="532"/>
      <c r="I283" s="532"/>
      <c r="J283" s="532"/>
      <c r="K283" s="532"/>
      <c r="L283" s="532"/>
      <c r="M283" s="532"/>
      <c r="N283" s="532"/>
      <c r="O283" s="532"/>
      <c r="Q283" s="533"/>
      <c r="S283" s="532"/>
      <c r="T283" s="532"/>
      <c r="U283" s="532"/>
      <c r="V283" s="532"/>
      <c r="W283" s="532"/>
      <c r="X283" s="532">
        <v>121</v>
      </c>
      <c r="Y283" s="532"/>
      <c r="Z283" s="532"/>
      <c r="AA283" s="532"/>
      <c r="AB283" s="532"/>
      <c r="AC283" s="532"/>
      <c r="AD283" s="532"/>
      <c r="AE283" s="532"/>
      <c r="AF283" s="532"/>
      <c r="AG283" s="532"/>
      <c r="AH283" s="532"/>
      <c r="AI283" s="532"/>
    </row>
    <row r="284" spans="1:35" s="531" customFormat="1" ht="18" customHeight="1">
      <c r="A284" s="532" t="s">
        <v>344</v>
      </c>
      <c r="B284" s="532"/>
      <c r="C284" s="532"/>
      <c r="D284" s="532"/>
      <c r="E284" s="532"/>
      <c r="F284" s="532"/>
      <c r="G284" s="532"/>
      <c r="H284" s="532"/>
      <c r="I284" s="532"/>
      <c r="J284" s="532"/>
      <c r="K284" s="532"/>
      <c r="L284" s="532"/>
      <c r="M284" s="532"/>
      <c r="N284" s="532"/>
      <c r="O284" s="532"/>
      <c r="Q284" s="533"/>
      <c r="S284" s="532"/>
      <c r="T284" s="532"/>
      <c r="U284" s="532"/>
      <c r="V284" s="532"/>
      <c r="W284" s="532"/>
      <c r="X284" s="532">
        <v>156</v>
      </c>
      <c r="Y284" s="532"/>
      <c r="Z284" s="532"/>
      <c r="AA284" s="532"/>
      <c r="AB284" s="532"/>
      <c r="AC284" s="532"/>
      <c r="AD284" s="532"/>
      <c r="AE284" s="532"/>
      <c r="AF284" s="532"/>
      <c r="AG284" s="532"/>
      <c r="AH284" s="532"/>
      <c r="AI284" s="532"/>
    </row>
    <row r="285" spans="1:35" s="531" customFormat="1" ht="58.15" customHeight="1">
      <c r="A285" s="532" t="s">
        <v>345</v>
      </c>
      <c r="B285" s="532"/>
      <c r="C285" s="532"/>
      <c r="D285" s="638" t="s">
        <v>1517</v>
      </c>
      <c r="E285" s="638" t="s">
        <v>1518</v>
      </c>
      <c r="F285" s="639"/>
      <c r="G285" s="639"/>
      <c r="H285" s="639"/>
      <c r="I285" s="639"/>
      <c r="J285" s="639"/>
      <c r="K285" s="639"/>
      <c r="L285" s="656"/>
      <c r="M285" s="656"/>
      <c r="N285" s="656"/>
      <c r="O285" s="656"/>
      <c r="Q285" s="533"/>
      <c r="S285" s="532"/>
      <c r="T285" s="532"/>
      <c r="U285" s="532"/>
      <c r="V285" s="532"/>
      <c r="W285" s="532"/>
      <c r="X285" s="532">
        <v>129</v>
      </c>
      <c r="Y285" s="532"/>
      <c r="Z285" s="532"/>
      <c r="AA285" s="532"/>
      <c r="AB285" s="532"/>
      <c r="AC285" s="532"/>
      <c r="AD285" s="532"/>
      <c r="AE285" s="532"/>
      <c r="AF285" s="532"/>
      <c r="AG285" s="532"/>
      <c r="AH285" s="532"/>
      <c r="AI285" s="532"/>
    </row>
    <row r="286" spans="1:35" s="531" customFormat="1" ht="26">
      <c r="A286" s="532" t="s">
        <v>346</v>
      </c>
      <c r="B286" s="532"/>
      <c r="C286" s="532"/>
      <c r="D286" s="532"/>
      <c r="E286" s="640" t="s">
        <v>1519</v>
      </c>
      <c r="F286" s="532"/>
      <c r="G286" s="532"/>
      <c r="H286" s="532"/>
      <c r="I286" s="532"/>
      <c r="J286" s="532"/>
      <c r="K286" s="532"/>
      <c r="L286" s="532"/>
      <c r="M286" s="532"/>
      <c r="N286" s="532"/>
      <c r="O286" s="532"/>
      <c r="Q286" s="533"/>
      <c r="S286" s="532"/>
      <c r="T286" s="532"/>
      <c r="U286" s="532"/>
      <c r="V286" s="532"/>
      <c r="W286" s="532"/>
      <c r="X286" s="532"/>
      <c r="Y286" s="532"/>
      <c r="Z286" s="532"/>
      <c r="AA286" s="532"/>
      <c r="AB286" s="532"/>
      <c r="AC286" s="532"/>
      <c r="AD286" s="532"/>
      <c r="AE286" s="532"/>
      <c r="AF286" s="532"/>
      <c r="AG286" s="532"/>
      <c r="AH286" s="532"/>
      <c r="AI286" s="532"/>
    </row>
    <row r="287" spans="1:35" s="531" customFormat="1" ht="18" customHeight="1">
      <c r="A287" s="532" t="s">
        <v>347</v>
      </c>
      <c r="B287" s="532"/>
      <c r="C287" s="532"/>
      <c r="D287" s="532"/>
      <c r="E287" s="532"/>
      <c r="F287" s="532"/>
      <c r="G287" s="532"/>
      <c r="H287" s="532"/>
      <c r="I287" s="532"/>
      <c r="J287" s="532"/>
      <c r="K287" s="532"/>
      <c r="L287" s="532"/>
      <c r="M287" s="532"/>
      <c r="N287" s="532"/>
      <c r="O287" s="532"/>
      <c r="Q287" s="533"/>
      <c r="S287" s="532"/>
      <c r="T287" s="532"/>
      <c r="U287" s="532"/>
      <c r="V287" s="532"/>
      <c r="W287" s="532"/>
      <c r="X287" s="532"/>
      <c r="Y287" s="532"/>
      <c r="Z287" s="532"/>
      <c r="AA287" s="532"/>
      <c r="AB287" s="532"/>
      <c r="AC287" s="532"/>
      <c r="AD287" s="532"/>
      <c r="AE287" s="532"/>
      <c r="AF287" s="532"/>
      <c r="AG287" s="532"/>
      <c r="AH287" s="532"/>
      <c r="AI287" s="532"/>
    </row>
    <row r="288" spans="1:35" s="531" customFormat="1" ht="18" customHeight="1">
      <c r="A288" s="532" t="s">
        <v>348</v>
      </c>
      <c r="B288" s="532"/>
      <c r="C288" s="532"/>
      <c r="D288" s="532"/>
      <c r="E288" s="532"/>
      <c r="F288" s="532"/>
      <c r="G288" s="532"/>
      <c r="H288" s="532"/>
      <c r="I288" s="532"/>
      <c r="J288" s="532"/>
      <c r="K288" s="532"/>
      <c r="L288" s="532"/>
      <c r="M288" s="532"/>
      <c r="N288" s="532"/>
      <c r="O288" s="532"/>
      <c r="Q288" s="533"/>
      <c r="S288" s="532"/>
      <c r="T288" s="532"/>
      <c r="U288" s="532"/>
      <c r="V288" s="532"/>
      <c r="W288" s="532"/>
      <c r="X288" s="532"/>
      <c r="Y288" s="532"/>
      <c r="Z288" s="532"/>
      <c r="AA288" s="532"/>
      <c r="AB288" s="532"/>
      <c r="AC288" s="532"/>
      <c r="AD288" s="532"/>
      <c r="AE288" s="532"/>
      <c r="AF288" s="532"/>
      <c r="AG288" s="532"/>
      <c r="AH288" s="532"/>
      <c r="AI288" s="532"/>
    </row>
    <row r="289" spans="1:35" s="531" customFormat="1" ht="18" customHeight="1">
      <c r="A289" s="532" t="s">
        <v>349</v>
      </c>
      <c r="B289" s="532"/>
      <c r="C289" s="532"/>
      <c r="D289" s="532"/>
      <c r="E289" s="532"/>
      <c r="F289" s="532"/>
      <c r="G289" s="532"/>
      <c r="H289" s="532"/>
      <c r="I289" s="532"/>
      <c r="J289" s="532"/>
      <c r="K289" s="532"/>
      <c r="L289" s="532"/>
      <c r="M289" s="532"/>
      <c r="N289" s="532"/>
      <c r="O289" s="532"/>
      <c r="Q289" s="533"/>
      <c r="S289" s="532"/>
      <c r="T289" s="532"/>
      <c r="U289" s="532"/>
      <c r="V289" s="532"/>
      <c r="W289" s="532"/>
      <c r="X289" s="532"/>
      <c r="Y289" s="532"/>
      <c r="Z289" s="532"/>
      <c r="AA289" s="532"/>
      <c r="AB289" s="532"/>
      <c r="AC289" s="532"/>
      <c r="AD289" s="532"/>
      <c r="AE289" s="532"/>
      <c r="AF289" s="532"/>
      <c r="AG289" s="532"/>
      <c r="AH289" s="532"/>
      <c r="AI289" s="532"/>
    </row>
    <row r="290" spans="1:35" s="531" customFormat="1" ht="18" customHeight="1">
      <c r="A290" s="532" t="s">
        <v>350</v>
      </c>
      <c r="B290" s="532"/>
      <c r="C290" s="532"/>
      <c r="D290" s="532"/>
      <c r="E290" s="532"/>
      <c r="F290" s="532"/>
      <c r="G290" s="532"/>
      <c r="H290" s="532"/>
      <c r="I290" s="532"/>
      <c r="J290" s="532"/>
      <c r="K290" s="532"/>
      <c r="L290" s="532"/>
      <c r="M290" s="532"/>
      <c r="N290" s="532"/>
      <c r="O290" s="532"/>
      <c r="Q290" s="533"/>
      <c r="S290" s="532"/>
      <c r="T290" s="532"/>
      <c r="U290" s="532"/>
      <c r="V290" s="532"/>
      <c r="W290" s="532"/>
      <c r="X290" s="532"/>
      <c r="Y290" s="532"/>
      <c r="Z290" s="532"/>
      <c r="AA290" s="532"/>
      <c r="AB290" s="532"/>
      <c r="AC290" s="532"/>
      <c r="AD290" s="532"/>
      <c r="AE290" s="532"/>
      <c r="AF290" s="532"/>
      <c r="AG290" s="532"/>
      <c r="AH290" s="532"/>
      <c r="AI290" s="532"/>
    </row>
    <row r="291" spans="1:35" s="531" customFormat="1" ht="18" customHeight="1">
      <c r="A291" s="641" t="s">
        <v>351</v>
      </c>
      <c r="B291" s="641"/>
      <c r="C291" s="641"/>
      <c r="D291" s="532"/>
      <c r="E291" s="532"/>
      <c r="F291" s="532"/>
      <c r="G291" s="532"/>
      <c r="H291" s="532"/>
      <c r="I291" s="532"/>
      <c r="J291" s="532"/>
      <c r="K291" s="532"/>
      <c r="L291" s="532"/>
      <c r="M291" s="532"/>
      <c r="N291" s="532"/>
      <c r="O291" s="532"/>
      <c r="Q291" s="533"/>
      <c r="S291" s="532"/>
      <c r="T291" s="532"/>
      <c r="U291" s="532"/>
      <c r="V291" s="532"/>
      <c r="W291" s="532"/>
      <c r="X291" s="532"/>
      <c r="Y291" s="532"/>
      <c r="Z291" s="532"/>
      <c r="AA291" s="532"/>
      <c r="AB291" s="532"/>
      <c r="AC291" s="532"/>
      <c r="AD291" s="532"/>
      <c r="AE291" s="532"/>
      <c r="AF291" s="532"/>
      <c r="AG291" s="532"/>
      <c r="AH291" s="532"/>
      <c r="AI291" s="532"/>
    </row>
    <row r="292" spans="1:35" s="531" customFormat="1" ht="18" customHeight="1">
      <c r="A292" s="641" t="s">
        <v>352</v>
      </c>
      <c r="B292" s="641"/>
      <c r="C292" s="641"/>
      <c r="D292" s="532"/>
      <c r="E292" s="532"/>
      <c r="F292" s="532"/>
      <c r="G292" s="532"/>
      <c r="H292" s="532"/>
      <c r="I292" s="532"/>
      <c r="J292" s="532"/>
      <c r="K292" s="532"/>
      <c r="L292" s="532"/>
      <c r="M292" s="532"/>
      <c r="N292" s="532"/>
      <c r="O292" s="532"/>
      <c r="Q292" s="533"/>
      <c r="S292" s="532"/>
      <c r="T292" s="532"/>
      <c r="U292" s="532"/>
      <c r="V292" s="532"/>
      <c r="W292" s="532"/>
      <c r="X292" s="532"/>
      <c r="Y292" s="532"/>
      <c r="Z292" s="532"/>
      <c r="AA292" s="532"/>
      <c r="AB292" s="532"/>
      <c r="AC292" s="532"/>
      <c r="AD292" s="532"/>
      <c r="AE292" s="532"/>
      <c r="AF292" s="532"/>
      <c r="AG292" s="532"/>
      <c r="AH292" s="532"/>
      <c r="AI292" s="532"/>
    </row>
    <row r="293" spans="1:35" s="531" customFormat="1" ht="18" customHeight="1">
      <c r="A293" s="641" t="s">
        <v>353</v>
      </c>
      <c r="B293" s="641"/>
      <c r="C293" s="641"/>
      <c r="D293" s="532"/>
      <c r="E293" s="532"/>
      <c r="F293" s="532"/>
      <c r="G293" s="532"/>
      <c r="H293" s="532"/>
      <c r="I293" s="532" t="s">
        <v>1520</v>
      </c>
      <c r="J293" s="840">
        <f>N8+N9+N31+N36+N42+N49+N53+N56+N64+N69+N72+N77+N80+N119+N127+N134*4+N180+N201*4+N202+N203*4+N61</f>
        <v>565</v>
      </c>
      <c r="K293" s="532"/>
      <c r="L293" s="532"/>
      <c r="M293" s="532"/>
      <c r="N293" s="532"/>
      <c r="O293" s="532"/>
      <c r="Q293" s="533"/>
      <c r="S293" s="532"/>
      <c r="T293" s="532"/>
      <c r="U293" s="532"/>
      <c r="V293" s="532"/>
      <c r="W293" s="532"/>
      <c r="X293" s="532"/>
      <c r="Y293" s="532"/>
      <c r="Z293" s="532"/>
      <c r="AA293" s="532"/>
      <c r="AB293" s="532"/>
      <c r="AC293" s="532"/>
      <c r="AD293" s="532"/>
      <c r="AE293" s="532"/>
      <c r="AF293" s="532"/>
      <c r="AG293" s="532"/>
      <c r="AH293" s="532"/>
      <c r="AI293" s="532"/>
    </row>
    <row r="294" spans="1:35" s="531" customFormat="1" ht="18" customHeight="1">
      <c r="A294" s="641" t="s">
        <v>354</v>
      </c>
      <c r="B294" s="641"/>
      <c r="C294" s="641"/>
      <c r="D294" s="532"/>
      <c r="E294" s="532"/>
      <c r="F294" s="532"/>
      <c r="G294" s="532"/>
      <c r="H294" s="532"/>
      <c r="I294" s="532" t="s">
        <v>1521</v>
      </c>
      <c r="J294" s="840">
        <f>N10+N28+N40+N46+N52+N55+N60+N63+N68+N71+N76+N79+N120+N126+N201*2+N202*2+N203+N184</f>
        <v>192</v>
      </c>
      <c r="K294" s="532"/>
      <c r="L294" s="532"/>
      <c r="M294" s="532"/>
      <c r="N294" s="532"/>
      <c r="O294" s="532"/>
      <c r="Q294" s="533"/>
      <c r="S294" s="532"/>
      <c r="T294" s="532"/>
      <c r="U294" s="532"/>
      <c r="V294" s="532"/>
      <c r="W294" s="532"/>
      <c r="X294" s="532"/>
      <c r="Y294" s="532"/>
      <c r="Z294" s="532"/>
      <c r="AA294" s="532"/>
      <c r="AB294" s="532"/>
      <c r="AC294" s="532"/>
      <c r="AD294" s="532"/>
      <c r="AE294" s="532"/>
      <c r="AF294" s="532"/>
      <c r="AG294" s="532"/>
      <c r="AH294" s="532"/>
      <c r="AI294" s="532"/>
    </row>
    <row r="295" spans="1:35" s="531" customFormat="1" ht="18" customHeight="1">
      <c r="A295" s="532" t="s">
        <v>355</v>
      </c>
      <c r="B295" s="532"/>
      <c r="C295" s="532"/>
      <c r="D295" s="532"/>
      <c r="E295" s="532"/>
      <c r="F295" s="532"/>
      <c r="G295" s="532"/>
      <c r="H295" s="532"/>
      <c r="I295" s="532" t="s">
        <v>1522</v>
      </c>
      <c r="J295" s="840">
        <f>N11+N25+N34+N51+N54+N59+N62+N67+N70+N75+N78+N121+N125+N134*2+N163+N201*2+N202*2+N203+N88</f>
        <v>236</v>
      </c>
      <c r="K295" s="532"/>
      <c r="L295" s="532"/>
      <c r="M295" s="532"/>
      <c r="N295" s="532"/>
      <c r="O295" s="532"/>
      <c r="Q295" s="533"/>
      <c r="S295" s="532"/>
      <c r="T295" s="532"/>
      <c r="U295" s="532"/>
      <c r="V295" s="532"/>
      <c r="W295" s="532"/>
      <c r="X295" s="532"/>
      <c r="Y295" s="532"/>
      <c r="Z295" s="532"/>
      <c r="AA295" s="532"/>
      <c r="AB295" s="532"/>
      <c r="AC295" s="532"/>
      <c r="AD295" s="532"/>
      <c r="AE295" s="532"/>
      <c r="AF295" s="532"/>
      <c r="AG295" s="532"/>
      <c r="AH295" s="532"/>
      <c r="AI295" s="532"/>
    </row>
    <row r="296" spans="1:35" s="531" customFormat="1" ht="18" customHeight="1">
      <c r="A296" s="532"/>
      <c r="B296" s="532"/>
      <c r="C296" s="532"/>
      <c r="D296" s="532"/>
      <c r="E296" s="532"/>
      <c r="F296" s="532"/>
      <c r="G296" s="532"/>
      <c r="H296" s="532"/>
      <c r="I296" s="532"/>
      <c r="J296" s="532"/>
      <c r="K296" s="532"/>
      <c r="L296" s="532"/>
      <c r="M296" s="532"/>
      <c r="N296" s="532"/>
      <c r="O296" s="532"/>
      <c r="Q296" s="533"/>
      <c r="S296" s="532"/>
      <c r="T296" s="532"/>
      <c r="U296" s="532"/>
      <c r="V296" s="532"/>
      <c r="W296" s="532"/>
      <c r="X296" s="532"/>
      <c r="Y296" s="532"/>
      <c r="Z296" s="532"/>
      <c r="AA296" s="532"/>
      <c r="AB296" s="532"/>
      <c r="AC296" s="532"/>
      <c r="AD296" s="532"/>
      <c r="AE296" s="532"/>
      <c r="AF296" s="532"/>
      <c r="AG296" s="532"/>
      <c r="AH296" s="532"/>
      <c r="AI296" s="532"/>
    </row>
    <row r="297" spans="1:35" s="531" customFormat="1" ht="18" customHeight="1">
      <c r="A297" s="532"/>
      <c r="B297" s="532"/>
      <c r="C297" s="532"/>
      <c r="D297" s="532"/>
      <c r="E297" s="532"/>
      <c r="F297" s="532"/>
      <c r="G297" s="532"/>
      <c r="H297" s="532"/>
      <c r="I297" s="532"/>
      <c r="J297" s="532"/>
      <c r="K297" s="532"/>
      <c r="L297" s="532"/>
      <c r="M297" s="532"/>
      <c r="N297" s="532"/>
      <c r="O297" s="532"/>
      <c r="Q297" s="533"/>
      <c r="S297" s="532"/>
      <c r="T297" s="532"/>
      <c r="U297" s="532"/>
      <c r="V297" s="532"/>
      <c r="W297" s="532"/>
      <c r="X297" s="532"/>
      <c r="Y297" s="532"/>
      <c r="Z297" s="532"/>
      <c r="AA297" s="532"/>
      <c r="AB297" s="532"/>
      <c r="AC297" s="532"/>
      <c r="AD297" s="532"/>
      <c r="AE297" s="532"/>
      <c r="AF297" s="532"/>
      <c r="AG297" s="532"/>
      <c r="AH297" s="532"/>
      <c r="AI297" s="532"/>
    </row>
    <row r="298" spans="1:35" s="531" customFormat="1" ht="18" customHeight="1">
      <c r="A298" s="532"/>
      <c r="B298" s="532"/>
      <c r="C298" s="532"/>
      <c r="D298" s="532"/>
      <c r="E298" s="532"/>
      <c r="F298" s="532"/>
      <c r="G298" s="532"/>
      <c r="H298" s="532"/>
      <c r="I298" s="532"/>
      <c r="J298" s="532"/>
      <c r="K298" s="532"/>
      <c r="L298" s="532"/>
      <c r="M298" s="532"/>
      <c r="N298" s="532"/>
      <c r="O298" s="532"/>
      <c r="Q298" s="533"/>
      <c r="S298" s="532"/>
      <c r="T298" s="532"/>
      <c r="U298" s="532"/>
      <c r="V298" s="532"/>
      <c r="W298" s="532"/>
      <c r="X298" s="532"/>
      <c r="Y298" s="532"/>
      <c r="Z298" s="532"/>
      <c r="AA298" s="532"/>
      <c r="AB298" s="532"/>
      <c r="AC298" s="532"/>
      <c r="AD298" s="532"/>
      <c r="AE298" s="532"/>
      <c r="AF298" s="532"/>
      <c r="AG298" s="532"/>
      <c r="AH298" s="532"/>
      <c r="AI298" s="532"/>
    </row>
    <row r="299" spans="1:35" ht="18" customHeight="1"/>
    <row r="300" spans="1:35" ht="18" customHeight="1"/>
    <row r="301" spans="1:35" ht="18" customHeight="1"/>
    <row r="302" spans="1:35" ht="18" customHeight="1"/>
    <row r="303" spans="1:35" ht="18" customHeight="1"/>
    <row r="304" spans="1:35" ht="18" customHeight="1"/>
    <row r="305" spans="1:1" ht="18" customHeight="1"/>
    <row r="306" spans="1:1" ht="18" customHeight="1"/>
    <row r="307" spans="1:1" ht="18" customHeight="1"/>
    <row r="308" spans="1:1" ht="18" customHeight="1"/>
    <row r="309" spans="1:1" ht="18" customHeight="1"/>
    <row r="310" spans="1:1" ht="18" customHeight="1"/>
    <row r="311" spans="1:1" ht="18" customHeight="1"/>
    <row r="312" spans="1:1" ht="18" customHeight="1"/>
    <row r="313" spans="1:1" ht="18" customHeight="1"/>
    <row r="314" spans="1:1" ht="18" customHeight="1"/>
    <row r="315" spans="1:1" ht="18" customHeight="1"/>
    <row r="316" spans="1:1" ht="32.25" customHeight="1">
      <c r="A316" s="642"/>
    </row>
    <row r="317" spans="1:1" ht="18" customHeight="1"/>
    <row r="318" spans="1:1" ht="18" customHeight="1"/>
    <row r="319" spans="1:1" ht="18" customHeight="1"/>
    <row r="320" spans="1:1"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row r="520" ht="18" customHeight="1"/>
    <row r="521" ht="18" customHeight="1"/>
    <row r="522" ht="18" customHeight="1"/>
    <row r="523" ht="18" customHeight="1"/>
    <row r="524" ht="18" customHeight="1"/>
    <row r="525" ht="18" customHeight="1"/>
    <row r="526" ht="18" customHeight="1"/>
    <row r="527" ht="18" customHeight="1"/>
    <row r="528" ht="18" customHeight="1"/>
    <row r="529" ht="18" customHeight="1"/>
    <row r="530" ht="18" customHeight="1"/>
    <row r="531" ht="18" customHeight="1"/>
    <row r="532" ht="18" customHeight="1"/>
    <row r="533" ht="18" customHeight="1"/>
    <row r="534" ht="18" customHeight="1"/>
    <row r="535" ht="18" customHeight="1"/>
    <row r="536" ht="18" customHeight="1"/>
    <row r="537" ht="18" customHeight="1"/>
    <row r="538" ht="18" customHeight="1"/>
    <row r="539" ht="18" customHeight="1"/>
    <row r="540" ht="18" customHeight="1"/>
    <row r="541" ht="18" customHeight="1"/>
    <row r="542" ht="18" customHeight="1"/>
    <row r="543" ht="18" customHeight="1"/>
    <row r="544" ht="18" customHeight="1"/>
    <row r="545" ht="18" customHeight="1"/>
    <row r="546" ht="18" customHeight="1"/>
    <row r="547" ht="18" customHeight="1"/>
    <row r="548" ht="18" customHeight="1"/>
    <row r="549" ht="18" customHeight="1"/>
    <row r="550" ht="18" customHeight="1"/>
    <row r="551" ht="18" customHeight="1"/>
    <row r="552" ht="18" customHeight="1"/>
    <row r="553" ht="18" customHeight="1"/>
    <row r="554" ht="18" customHeight="1"/>
    <row r="555" ht="18" customHeight="1"/>
    <row r="556" ht="18" customHeight="1"/>
    <row r="557" ht="18" customHeight="1"/>
    <row r="558" ht="18" customHeight="1"/>
    <row r="559" ht="18" customHeight="1"/>
    <row r="560" ht="18" customHeight="1"/>
    <row r="561" ht="18" customHeight="1"/>
    <row r="562" ht="18" customHeight="1"/>
    <row r="563" ht="18" customHeight="1"/>
    <row r="564" ht="18" customHeight="1"/>
    <row r="565" ht="18" customHeight="1"/>
    <row r="566" ht="18" customHeight="1"/>
    <row r="567" ht="18" customHeight="1"/>
    <row r="568" ht="18" customHeight="1"/>
    <row r="569" ht="18" customHeight="1"/>
    <row r="570" ht="18" customHeight="1"/>
    <row r="571" ht="18" customHeight="1"/>
    <row r="572" ht="18"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row r="1001" ht="18" customHeight="1"/>
    <row r="1002" ht="18" customHeight="1"/>
    <row r="1003" ht="18" customHeight="1"/>
    <row r="1004" ht="18" customHeight="1"/>
    <row r="1005" ht="18" customHeight="1"/>
    <row r="1006" ht="18" customHeight="1"/>
    <row r="1007" ht="18" customHeight="1"/>
    <row r="1008" ht="18" customHeight="1"/>
    <row r="1009" ht="18" customHeight="1"/>
    <row r="1010" ht="18" customHeight="1"/>
    <row r="1011" ht="18" customHeight="1"/>
    <row r="1012" ht="18" customHeight="1"/>
    <row r="1013" ht="18" customHeight="1"/>
    <row r="1014" ht="18" customHeight="1"/>
    <row r="1015" ht="18" customHeight="1"/>
    <row r="1016" ht="18" customHeight="1"/>
    <row r="1017" ht="18" customHeight="1"/>
    <row r="1018" ht="18" customHeight="1"/>
    <row r="1019" ht="18" customHeight="1"/>
    <row r="1020" ht="18" customHeight="1"/>
    <row r="1021" ht="18" customHeight="1"/>
    <row r="1022" ht="18" customHeight="1"/>
    <row r="1023" ht="18" customHeight="1"/>
    <row r="1024" ht="18" customHeight="1"/>
    <row r="1025" ht="18" customHeight="1"/>
    <row r="1026" ht="18" customHeight="1"/>
    <row r="1027" ht="18" customHeight="1"/>
    <row r="1028" ht="18" customHeight="1"/>
    <row r="1029" ht="18" customHeight="1"/>
    <row r="1030" ht="18" customHeight="1"/>
    <row r="1031" ht="18" customHeight="1"/>
    <row r="1032" ht="18" customHeight="1"/>
    <row r="1033" ht="18" customHeight="1"/>
    <row r="1034" ht="18" customHeight="1"/>
    <row r="1035" ht="18" customHeight="1"/>
    <row r="1036" ht="18" customHeight="1"/>
    <row r="1037" ht="18" customHeight="1"/>
    <row r="1038" ht="18" customHeight="1"/>
    <row r="1039" ht="18" customHeight="1"/>
    <row r="1040" ht="18" customHeight="1"/>
    <row r="1041" ht="18" customHeight="1"/>
    <row r="1042" ht="18" customHeight="1"/>
    <row r="1043" ht="18" customHeight="1"/>
    <row r="1044" ht="18" customHeight="1"/>
    <row r="1045" ht="18" customHeight="1"/>
    <row r="1046" ht="18" customHeight="1"/>
    <row r="1047" ht="18" customHeight="1"/>
    <row r="1048" ht="18" customHeight="1"/>
    <row r="1049" ht="18" customHeight="1"/>
    <row r="1050" ht="18" customHeight="1"/>
    <row r="1051" ht="18" customHeight="1"/>
    <row r="1052" ht="18" customHeight="1"/>
    <row r="1053" ht="18" customHeight="1"/>
    <row r="1054" ht="18" customHeight="1"/>
    <row r="1055" ht="18" customHeight="1"/>
    <row r="1056" ht="18" customHeight="1"/>
    <row r="1057" ht="18" customHeight="1"/>
    <row r="1058" ht="18" customHeight="1"/>
    <row r="1059" ht="18" customHeight="1"/>
    <row r="1060" ht="18" customHeight="1"/>
    <row r="1061" ht="18" customHeight="1"/>
    <row r="1062" ht="18" customHeight="1"/>
    <row r="1063" ht="18" customHeight="1"/>
    <row r="1064" ht="18" customHeight="1"/>
    <row r="1065" ht="18" customHeight="1"/>
    <row r="1066" ht="18" customHeight="1"/>
    <row r="1067" ht="18" customHeight="1"/>
    <row r="1068" ht="18" customHeight="1"/>
    <row r="1069" ht="18" customHeight="1"/>
    <row r="1070" ht="18" customHeight="1"/>
    <row r="1071" ht="18" customHeight="1"/>
    <row r="1072" ht="18" customHeight="1"/>
    <row r="1073" ht="18" customHeight="1"/>
    <row r="1074" ht="18" customHeight="1"/>
    <row r="1075" ht="18" customHeight="1"/>
    <row r="1076" ht="18" customHeight="1"/>
    <row r="1077" ht="18" customHeight="1"/>
    <row r="1078" ht="18" customHeight="1"/>
    <row r="1079" ht="18" customHeight="1"/>
    <row r="1080" ht="18" customHeight="1"/>
    <row r="1081" ht="18" customHeight="1"/>
    <row r="1082" ht="18" customHeight="1"/>
    <row r="1083" ht="18" customHeight="1"/>
    <row r="1084" ht="18" customHeight="1"/>
    <row r="1085" ht="18" customHeight="1"/>
    <row r="1086" ht="18" customHeight="1"/>
    <row r="1087" ht="18" customHeight="1"/>
    <row r="1088" ht="18" customHeight="1"/>
    <row r="1089" ht="18" customHeight="1"/>
    <row r="1090" ht="18" customHeight="1"/>
    <row r="1091" ht="18" customHeight="1"/>
    <row r="1092" ht="18" customHeight="1"/>
    <row r="1093" ht="18" customHeight="1"/>
    <row r="1094" ht="18" customHeight="1"/>
    <row r="1095" ht="18" customHeight="1"/>
    <row r="1096" ht="18" customHeight="1"/>
    <row r="1097" ht="18" customHeight="1"/>
    <row r="1098" ht="18" customHeight="1"/>
    <row r="1099" ht="18" customHeight="1"/>
    <row r="1100" ht="18" customHeight="1"/>
    <row r="1101" ht="18" customHeight="1"/>
    <row r="1102" ht="18" customHeight="1"/>
    <row r="1103" ht="18" customHeight="1"/>
    <row r="1104" ht="18" customHeight="1"/>
    <row r="1105" ht="18" customHeight="1"/>
    <row r="1106" ht="18" customHeight="1"/>
    <row r="1107" ht="18" customHeight="1"/>
    <row r="1108" ht="18" customHeight="1"/>
    <row r="1109" ht="18" customHeight="1"/>
    <row r="1110" ht="18" customHeight="1"/>
    <row r="1111" ht="18" customHeight="1"/>
    <row r="1112" ht="18" customHeight="1"/>
    <row r="1113" ht="18" customHeight="1"/>
    <row r="1114" ht="18" customHeight="1"/>
    <row r="1115" ht="18" customHeight="1"/>
    <row r="1116" ht="18" customHeight="1"/>
    <row r="1117" ht="18" customHeight="1"/>
    <row r="1118" ht="18" customHeight="1"/>
    <row r="1119" ht="18" customHeight="1"/>
    <row r="1120" ht="18" customHeight="1"/>
    <row r="1121" ht="18" customHeight="1"/>
    <row r="1122" ht="18" customHeight="1"/>
    <row r="1123" ht="18" customHeight="1"/>
    <row r="1124" ht="18" customHeight="1"/>
    <row r="1125" ht="18" customHeight="1"/>
    <row r="1126" ht="18" customHeight="1"/>
    <row r="1127" ht="18" customHeight="1"/>
    <row r="1128" ht="18" customHeight="1"/>
    <row r="1129" ht="18" customHeight="1"/>
    <row r="1130" ht="18" customHeight="1"/>
    <row r="1131" ht="18" customHeight="1"/>
    <row r="1132" ht="18" customHeight="1"/>
    <row r="1133" ht="18" customHeight="1"/>
    <row r="1134" ht="18" customHeight="1"/>
    <row r="1135" ht="18" customHeight="1"/>
    <row r="1136" ht="18" customHeight="1"/>
    <row r="1137" ht="18" customHeight="1"/>
    <row r="1138" ht="18" customHeight="1"/>
    <row r="1139" ht="18" customHeight="1"/>
    <row r="1140" ht="18" customHeight="1"/>
    <row r="1141" ht="18" customHeight="1"/>
    <row r="1142" ht="18" customHeight="1"/>
    <row r="1143" ht="18" customHeight="1"/>
    <row r="1144" ht="18" customHeight="1"/>
    <row r="1145" ht="18" customHeight="1"/>
    <row r="1146" ht="18" customHeight="1"/>
    <row r="1147" ht="18" customHeight="1"/>
    <row r="1148" ht="18" customHeight="1"/>
    <row r="1149" ht="18" customHeight="1"/>
    <row r="1150" ht="18" customHeight="1"/>
    <row r="1151" ht="18" customHeight="1"/>
    <row r="1152" ht="18" customHeight="1"/>
    <row r="1153" ht="18" customHeight="1"/>
    <row r="1154" ht="18" customHeight="1"/>
    <row r="1155" ht="18" customHeight="1"/>
    <row r="1156" ht="18" customHeight="1"/>
    <row r="1157" ht="18" customHeight="1"/>
    <row r="1158" ht="18" customHeight="1"/>
    <row r="1159" ht="18" customHeight="1"/>
    <row r="1160" ht="18" customHeight="1"/>
    <row r="1161" ht="18" customHeight="1"/>
    <row r="1162" ht="18" customHeight="1"/>
    <row r="1163" ht="18" customHeight="1"/>
    <row r="1164" ht="18" customHeight="1"/>
    <row r="1165" ht="18" customHeight="1"/>
    <row r="1166" ht="18" customHeight="1"/>
    <row r="1167" ht="18" customHeight="1"/>
    <row r="1168" ht="18" customHeight="1"/>
    <row r="1169" ht="18" customHeight="1"/>
    <row r="1170" ht="18" customHeight="1"/>
    <row r="1171" ht="18" customHeight="1"/>
    <row r="1172" ht="18" customHeight="1"/>
    <row r="1173" ht="18" customHeight="1"/>
    <row r="1174" ht="18" customHeight="1"/>
    <row r="1175" ht="18" customHeight="1"/>
    <row r="1176" ht="18" customHeight="1"/>
    <row r="1177" ht="18" customHeight="1"/>
    <row r="1178" ht="18" customHeight="1"/>
    <row r="1179" ht="18" customHeight="1"/>
    <row r="1180" ht="18" customHeight="1"/>
    <row r="1181" ht="18" customHeight="1"/>
    <row r="1182" ht="18" customHeight="1"/>
    <row r="1183" ht="18" customHeight="1"/>
    <row r="1184" ht="18" customHeight="1"/>
    <row r="1185" ht="18" customHeight="1"/>
    <row r="1186" ht="18" customHeight="1"/>
    <row r="1187" ht="18" customHeight="1"/>
    <row r="1188" ht="18" customHeight="1"/>
    <row r="1189" ht="18" customHeight="1"/>
    <row r="1190" ht="18" customHeight="1"/>
    <row r="1191" ht="18" customHeight="1"/>
    <row r="1192" ht="18" customHeight="1"/>
    <row r="1193" ht="18" customHeight="1"/>
    <row r="1194" ht="18" customHeight="1"/>
    <row r="1195" ht="18" customHeight="1"/>
    <row r="1196" ht="18" customHeight="1"/>
    <row r="1197" ht="18" customHeight="1"/>
    <row r="1198" ht="18" customHeight="1"/>
    <row r="1199" ht="18" customHeight="1"/>
    <row r="1200" ht="18" customHeight="1"/>
    <row r="1201" spans="1:21" ht="18" customHeight="1"/>
    <row r="1202" spans="1:21" ht="18" customHeight="1"/>
    <row r="1203" spans="1:21" ht="18" customHeight="1"/>
    <row r="1204" spans="1:21" ht="18" customHeight="1"/>
    <row r="1205" spans="1:21" ht="18" customHeight="1"/>
    <row r="1206" spans="1:21" ht="18" customHeight="1"/>
    <row r="1207" spans="1:21" ht="18" customHeight="1"/>
    <row r="1208" spans="1:21" ht="18" customHeight="1"/>
    <row r="1209" spans="1:21" ht="18" customHeight="1">
      <c r="A1209" s="2564" t="s">
        <v>1276</v>
      </c>
      <c r="B1209" s="2564"/>
      <c r="C1209" s="2564"/>
      <c r="D1209" s="2564"/>
      <c r="E1209" s="2564"/>
      <c r="F1209" s="2564"/>
      <c r="G1209" s="2564"/>
      <c r="H1209" s="2564"/>
      <c r="I1209" s="2564"/>
      <c r="J1209" s="2564"/>
      <c r="K1209" s="2564"/>
      <c r="L1209" s="2564"/>
      <c r="M1209" s="2564"/>
      <c r="N1209" s="2564"/>
      <c r="O1209" s="2564"/>
      <c r="P1209" s="2564"/>
      <c r="Q1209" s="2564"/>
      <c r="R1209" s="2564"/>
      <c r="S1209" s="2564"/>
      <c r="T1209" s="534"/>
      <c r="U1209" s="534"/>
    </row>
    <row r="1210" spans="1:21" ht="18" customHeight="1"/>
    <row r="1211" spans="1:21" ht="18" customHeight="1"/>
    <row r="1212" spans="1:21" ht="18" customHeight="1"/>
    <row r="1213" spans="1:21" ht="18" customHeight="1"/>
  </sheetData>
  <sheetProtection algorithmName="SHA-512" hashValue="Hpi9RFkNfA5YqZQrn/9u0KdNbaQ0jTwIbLbrQNQJD7Lx45NCODk1QyQHw2zoFkd45LLwVDJ7Cswohlfx59mcKA==" saltValue="kYAtMeLv8MO9BIpnfTqIKw==" spinCount="100000" sheet="1" objects="1" scenarios="1"/>
  <mergeCells count="26">
    <mergeCell ref="N281:O281"/>
    <mergeCell ref="A1209:S1209"/>
    <mergeCell ref="A6:A7"/>
    <mergeCell ref="B6:B7"/>
    <mergeCell ref="C6:C7"/>
    <mergeCell ref="P6:P7"/>
    <mergeCell ref="Q6:Q7"/>
    <mergeCell ref="R6:R7"/>
    <mergeCell ref="A277:I277"/>
    <mergeCell ref="A278:I278"/>
    <mergeCell ref="A279:I279"/>
    <mergeCell ref="A280:I280"/>
    <mergeCell ref="A281:I281"/>
    <mergeCell ref="A213:C213"/>
    <mergeCell ref="N276:O276"/>
    <mergeCell ref="A2:S2"/>
    <mergeCell ref="O3:P3"/>
    <mergeCell ref="O4:P4"/>
    <mergeCell ref="N6:O6"/>
    <mergeCell ref="AH73:AI73"/>
    <mergeCell ref="U3:U83"/>
    <mergeCell ref="A272:C272"/>
    <mergeCell ref="A273:C273"/>
    <mergeCell ref="A274:C274"/>
    <mergeCell ref="U87:U212"/>
    <mergeCell ref="U215:U280"/>
  </mergeCells>
  <printOptions horizontalCentered="1" verticalCentered="1"/>
  <pageMargins left="0" right="0" top="0" bottom="0" header="0.3" footer="0.3"/>
  <pageSetup paperSize="10000" scale="35" orientation="portrait"/>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92D050"/>
    <pageSetUpPr fitToPage="1"/>
  </sheetPr>
  <dimension ref="A1:AI1125"/>
  <sheetViews>
    <sheetView topLeftCell="A33" zoomScale="60" zoomScaleNormal="60" workbookViewId="0">
      <selection activeCell="G72" sqref="A1:S115"/>
    </sheetView>
  </sheetViews>
  <sheetFormatPr defaultColWidth="9.26953125" defaultRowHeight="13"/>
  <cols>
    <col min="1" max="1" width="8.7265625" style="532" customWidth="1"/>
    <col min="2" max="2" width="40.7265625" style="532" hidden="1" customWidth="1"/>
    <col min="3" max="3" width="83.81640625" style="532" customWidth="1"/>
    <col min="4" max="13" width="10.7265625" style="532" customWidth="1"/>
    <col min="14" max="14" width="12.54296875" style="532" customWidth="1"/>
    <col min="15" max="15" width="25.7265625" style="532" customWidth="1"/>
    <col min="16" max="16" width="10.54296875" style="531" customWidth="1"/>
    <col min="17" max="17" width="10.54296875" style="665" customWidth="1"/>
    <col min="18" max="18" width="10.54296875" style="531" customWidth="1"/>
    <col min="19" max="19" width="12.54296875" style="532" customWidth="1"/>
    <col min="20" max="20" width="4.26953125" style="532" customWidth="1"/>
    <col min="21" max="30" width="15.54296875" style="532" customWidth="1"/>
    <col min="31" max="16384" width="9.26953125" style="532"/>
  </cols>
  <sheetData>
    <row r="1" spans="1:31" ht="33.75" customHeight="1"/>
    <row r="2" spans="1:31" ht="40.15" customHeight="1">
      <c r="A2" s="2564" t="s">
        <v>1523</v>
      </c>
      <c r="B2" s="2564"/>
      <c r="C2" s="2564"/>
      <c r="D2" s="2564"/>
      <c r="E2" s="2564"/>
      <c r="F2" s="2564"/>
      <c r="G2" s="2564"/>
      <c r="H2" s="2564"/>
      <c r="I2" s="2564"/>
      <c r="J2" s="2564"/>
      <c r="K2" s="2564"/>
      <c r="L2" s="2564"/>
      <c r="M2" s="2564"/>
      <c r="N2" s="2564"/>
      <c r="O2" s="2564"/>
      <c r="P2" s="2564"/>
      <c r="Q2" s="2564"/>
      <c r="R2" s="2564"/>
      <c r="S2" s="2564"/>
    </row>
    <row r="3" spans="1:31" ht="25.15" customHeight="1">
      <c r="M3" s="535"/>
      <c r="N3" s="547" t="s">
        <v>1277</v>
      </c>
      <c r="O3" s="548" t="str">
        <f>'LAP TAMBAHAN '!O3:P3</f>
        <v>RC SAMATA GOWA</v>
      </c>
    </row>
    <row r="4" spans="1:31" ht="25.15" customHeight="1">
      <c r="C4" s="2587"/>
      <c r="D4" s="2587"/>
      <c r="M4" s="535"/>
      <c r="N4" s="547" t="s">
        <v>1278</v>
      </c>
      <c r="O4" s="549" t="str">
        <f>'LAP TAMBAHAN '!O4:P4</f>
        <v>8-14 JANUARI 2025</v>
      </c>
    </row>
    <row r="5" spans="1:31" ht="25.15" customHeight="1">
      <c r="A5" s="535"/>
      <c r="M5" s="535"/>
    </row>
    <row r="6" spans="1:31" ht="25.15" customHeight="1">
      <c r="A6" s="2571" t="s">
        <v>65</v>
      </c>
      <c r="B6" s="2594" t="s">
        <v>1279</v>
      </c>
      <c r="C6" s="2575" t="str">
        <f>B6</f>
        <v>PRODUCT</v>
      </c>
      <c r="D6" s="536">
        <f>'LAP. PENJUALAN '!D6</f>
        <v>46030</v>
      </c>
      <c r="E6" s="536">
        <f>'LAP. PENJUALAN '!E6</f>
        <v>46031</v>
      </c>
      <c r="F6" s="536">
        <f>'LAP. PENJUALAN '!F6</f>
        <v>46032</v>
      </c>
      <c r="G6" s="536">
        <f>'LAP. PENJUALAN '!G6</f>
        <v>46033</v>
      </c>
      <c r="H6" s="536">
        <f>'LAP. PENJUALAN '!H6</f>
        <v>46034</v>
      </c>
      <c r="I6" s="536">
        <f>'LAP. PENJUALAN '!I6</f>
        <v>46035</v>
      </c>
      <c r="J6" s="536">
        <f>'LAP. PENJUALAN '!J6</f>
        <v>46036</v>
      </c>
      <c r="K6" s="536">
        <f>'LAP. PENJUALAN '!K6</f>
        <v>0</v>
      </c>
      <c r="L6" s="536">
        <f>'LAP. PENJUALAN '!L6</f>
        <v>0</v>
      </c>
      <c r="M6" s="536">
        <f>'LAP. PENJUALAN '!M6</f>
        <v>0</v>
      </c>
      <c r="N6" s="2568" t="s">
        <v>310</v>
      </c>
      <c r="O6" s="2568"/>
      <c r="P6" s="2577" t="s">
        <v>1154</v>
      </c>
      <c r="Q6" s="2597" t="s">
        <v>1280</v>
      </c>
      <c r="R6" s="2581" t="s">
        <v>1281</v>
      </c>
      <c r="S6" s="558" t="s">
        <v>365</v>
      </c>
    </row>
    <row r="7" spans="1:31" ht="25.15" customHeight="1">
      <c r="A7" s="2572"/>
      <c r="B7" s="2595"/>
      <c r="C7" s="2596"/>
      <c r="D7" s="537" t="str">
        <f>'LAP. PENJUALAN '!D7</f>
        <v>KAMIS</v>
      </c>
      <c r="E7" s="538" t="str">
        <f>'LAP. PENJUALAN '!E7</f>
        <v>JUMAT</v>
      </c>
      <c r="F7" s="538" t="str">
        <f>'LAP. PENJUALAN '!F7</f>
        <v>SABTU</v>
      </c>
      <c r="G7" s="538" t="str">
        <f>'LAP. PENJUALAN '!G7</f>
        <v>MINGGU</v>
      </c>
      <c r="H7" s="538" t="str">
        <f>'LAP. PENJUALAN '!H7</f>
        <v>SENIN</v>
      </c>
      <c r="I7" s="538" t="str">
        <f>'LAP. PENJUALAN '!I7</f>
        <v>SELASA</v>
      </c>
      <c r="J7" s="538" t="str">
        <f>'LAP. PENJUALAN '!J7</f>
        <v>RABU</v>
      </c>
      <c r="K7" s="538">
        <f>'LAP. PENJUALAN '!K7</f>
        <v>0</v>
      </c>
      <c r="L7" s="538">
        <f>'LAP. PENJUALAN '!L7</f>
        <v>0</v>
      </c>
      <c r="M7" s="538">
        <f>'LAP. PENJUALAN '!M7</f>
        <v>0</v>
      </c>
      <c r="N7" s="551" t="s">
        <v>67</v>
      </c>
      <c r="O7" s="551" t="s">
        <v>415</v>
      </c>
      <c r="P7" s="2578"/>
      <c r="Q7" s="2598"/>
      <c r="R7" s="2582"/>
      <c r="S7" s="560" t="s">
        <v>368</v>
      </c>
    </row>
    <row r="8" spans="1:31" ht="25.15" customHeight="1">
      <c r="A8" s="539">
        <v>1</v>
      </c>
      <c r="B8" s="540" t="s">
        <v>1282</v>
      </c>
      <c r="C8" s="541" t="str">
        <f>'LAP. PENJUALAN '!C8</f>
        <v>Dada</v>
      </c>
      <c r="D8" s="694">
        <v>1</v>
      </c>
      <c r="E8" s="694">
        <v>4</v>
      </c>
      <c r="F8" s="694">
        <v>3</v>
      </c>
      <c r="G8" s="694">
        <v>2</v>
      </c>
      <c r="H8" s="694">
        <v>3</v>
      </c>
      <c r="I8" s="694">
        <v>1</v>
      </c>
      <c r="J8" s="694">
        <v>2</v>
      </c>
      <c r="K8" s="694"/>
      <c r="L8" s="694"/>
      <c r="M8" s="694"/>
      <c r="N8" s="552">
        <f>SUM(D8:M8)</f>
        <v>16</v>
      </c>
      <c r="O8" s="552">
        <f>N8*S8</f>
        <v>353920</v>
      </c>
      <c r="P8" s="553">
        <f>(O8/O243)*100</f>
        <v>6.4692313035340199</v>
      </c>
      <c r="Q8" s="562">
        <f>'LAP. PENJUALAN '!Q8</f>
        <v>0.62127468470339697</v>
      </c>
      <c r="R8" s="772">
        <f>P8*Q8</f>
        <v>4.0191696383764404</v>
      </c>
      <c r="S8" s="695">
        <v>22120</v>
      </c>
      <c r="U8" s="566">
        <f>D8*S8</f>
        <v>22120</v>
      </c>
      <c r="V8" s="566">
        <f>E8*S8</f>
        <v>88480</v>
      </c>
      <c r="W8" s="566">
        <f>F8*S8</f>
        <v>66360</v>
      </c>
      <c r="X8" s="566">
        <f>G8*S8</f>
        <v>44240</v>
      </c>
      <c r="Y8" s="566">
        <f>H8*S8</f>
        <v>66360</v>
      </c>
      <c r="Z8" s="566">
        <f>I8*S8</f>
        <v>22120</v>
      </c>
      <c r="AA8" s="566">
        <f>J8*S8</f>
        <v>44240</v>
      </c>
      <c r="AB8" s="566">
        <f>K8*S8</f>
        <v>0</v>
      </c>
      <c r="AC8" s="566">
        <f>L8*S8</f>
        <v>0</v>
      </c>
      <c r="AD8" s="566">
        <f>M8*S8</f>
        <v>0</v>
      </c>
      <c r="AE8" s="573"/>
    </row>
    <row r="9" spans="1:31" ht="25.15" customHeight="1">
      <c r="A9" s="543">
        <v>2</v>
      </c>
      <c r="B9" s="544" t="s">
        <v>1283</v>
      </c>
      <c r="C9" s="541" t="str">
        <f>'LAP. PENJUALAN '!C9</f>
        <v>Paha Atas</v>
      </c>
      <c r="D9" s="694">
        <v>3</v>
      </c>
      <c r="E9" s="694">
        <v>3</v>
      </c>
      <c r="F9" s="694">
        <v>6</v>
      </c>
      <c r="G9" s="694">
        <v>1</v>
      </c>
      <c r="H9" s="694">
        <v>5</v>
      </c>
      <c r="I9" s="694"/>
      <c r="J9" s="694">
        <v>1</v>
      </c>
      <c r="K9" s="694"/>
      <c r="L9" s="694"/>
      <c r="M9" s="694"/>
      <c r="N9" s="554">
        <f t="shared" ref="N9:N80" si="0">SUM(D9:M9)</f>
        <v>19</v>
      </c>
      <c r="O9" s="554">
        <f t="shared" ref="O9:O80" si="1">N9*S9</f>
        <v>420280</v>
      </c>
      <c r="P9" s="555">
        <f>(O9/O243)*100</f>
        <v>7.6822121729466497</v>
      </c>
      <c r="Q9" s="562">
        <f>'LAP. PENJUALAN '!Q9</f>
        <v>0.52742678893974104</v>
      </c>
      <c r="R9" s="555">
        <f t="shared" ref="R9:R80" si="2">P9*Q9</f>
        <v>4.0518044983310402</v>
      </c>
      <c r="S9" s="697">
        <v>22120</v>
      </c>
      <c r="U9" s="566">
        <f t="shared" ref="U9:U80" si="3">D9*S9</f>
        <v>66360</v>
      </c>
      <c r="V9" s="566">
        <f t="shared" ref="V9:V80" si="4">E9*S9</f>
        <v>66360</v>
      </c>
      <c r="W9" s="566">
        <f t="shared" ref="W9:W80" si="5">F9*S9</f>
        <v>132720</v>
      </c>
      <c r="X9" s="566">
        <f t="shared" ref="X9:X80" si="6">G9*S9</f>
        <v>22120</v>
      </c>
      <c r="Y9" s="566">
        <f t="shared" ref="Y9:Y80" si="7">H9*S9</f>
        <v>110600</v>
      </c>
      <c r="Z9" s="566">
        <f t="shared" ref="Z9:Z80" si="8">I9*S9</f>
        <v>0</v>
      </c>
      <c r="AA9" s="566">
        <f t="shared" ref="AA9:AA80" si="9">J9*S9</f>
        <v>22120</v>
      </c>
      <c r="AB9" s="566">
        <f t="shared" ref="AB9:AB80" si="10">K9*S9</f>
        <v>0</v>
      </c>
      <c r="AC9" s="566">
        <f t="shared" ref="AC9:AC80" si="11">L9*S9</f>
        <v>0</v>
      </c>
      <c r="AD9" s="566">
        <f t="shared" ref="AD9:AD80" si="12">M9*S9</f>
        <v>0</v>
      </c>
      <c r="AE9" s="573"/>
    </row>
    <row r="10" spans="1:31" ht="25.15" customHeight="1">
      <c r="A10" s="543">
        <v>3</v>
      </c>
      <c r="B10" s="544" t="s">
        <v>1284</v>
      </c>
      <c r="C10" s="541" t="str">
        <f>'LAP. PENJUALAN '!C10</f>
        <v>Paha Bawah</v>
      </c>
      <c r="D10" s="694"/>
      <c r="E10" s="694"/>
      <c r="F10" s="694">
        <v>1</v>
      </c>
      <c r="G10" s="694"/>
      <c r="H10" s="694">
        <v>4</v>
      </c>
      <c r="I10" s="694"/>
      <c r="J10" s="694">
        <v>4</v>
      </c>
      <c r="K10" s="694"/>
      <c r="L10" s="694"/>
      <c r="M10" s="694"/>
      <c r="N10" s="554">
        <f t="shared" si="0"/>
        <v>9</v>
      </c>
      <c r="O10" s="554">
        <f t="shared" si="1"/>
        <v>170640</v>
      </c>
      <c r="P10" s="555">
        <f>(O10/O243)*100</f>
        <v>3.1190936642039002</v>
      </c>
      <c r="Q10" s="562">
        <f>'LAP. PENJUALAN '!Q10</f>
        <v>0.46487806940572801</v>
      </c>
      <c r="R10" s="555">
        <f t="shared" si="2"/>
        <v>1.4499982409107499</v>
      </c>
      <c r="S10" s="697">
        <v>18960</v>
      </c>
      <c r="U10" s="566">
        <f t="shared" si="3"/>
        <v>0</v>
      </c>
      <c r="V10" s="566">
        <f t="shared" si="4"/>
        <v>0</v>
      </c>
      <c r="W10" s="566">
        <f t="shared" si="5"/>
        <v>18960</v>
      </c>
      <c r="X10" s="566">
        <f t="shared" si="6"/>
        <v>0</v>
      </c>
      <c r="Y10" s="566">
        <f t="shared" si="7"/>
        <v>75840</v>
      </c>
      <c r="Z10" s="566">
        <f t="shared" si="8"/>
        <v>0</v>
      </c>
      <c r="AA10" s="566">
        <f t="shared" si="9"/>
        <v>75840</v>
      </c>
      <c r="AB10" s="566">
        <f t="shared" si="10"/>
        <v>0</v>
      </c>
      <c r="AC10" s="566">
        <f t="shared" si="11"/>
        <v>0</v>
      </c>
      <c r="AD10" s="566">
        <f t="shared" si="12"/>
        <v>0</v>
      </c>
      <c r="AE10" s="573"/>
    </row>
    <row r="11" spans="1:31" ht="25.15" customHeight="1">
      <c r="A11" s="543">
        <v>4</v>
      </c>
      <c r="B11" s="544" t="s">
        <v>1285</v>
      </c>
      <c r="C11" s="541" t="str">
        <f>'LAP. PENJUALAN '!C11</f>
        <v>Sayap</v>
      </c>
      <c r="D11" s="694">
        <v>1</v>
      </c>
      <c r="E11" s="694"/>
      <c r="F11" s="694"/>
      <c r="G11" s="694">
        <v>2</v>
      </c>
      <c r="H11" s="694">
        <v>2</v>
      </c>
      <c r="I11" s="694"/>
      <c r="J11" s="694"/>
      <c r="K11" s="694"/>
      <c r="L11" s="694"/>
      <c r="M11" s="694"/>
      <c r="N11" s="554">
        <f t="shared" si="0"/>
        <v>5</v>
      </c>
      <c r="O11" s="554">
        <f t="shared" si="1"/>
        <v>86900</v>
      </c>
      <c r="P11" s="555">
        <f>(O11/O243)*100</f>
        <v>1.58842732899273</v>
      </c>
      <c r="Q11" s="562">
        <f>'LAP. PENJUALAN '!Q11</f>
        <v>0.54622366620137297</v>
      </c>
      <c r="R11" s="555">
        <f t="shared" si="2"/>
        <v>0.86763659913686297</v>
      </c>
      <c r="S11" s="697">
        <v>17380</v>
      </c>
      <c r="U11" s="566">
        <f t="shared" si="3"/>
        <v>17380</v>
      </c>
      <c r="V11" s="566">
        <f t="shared" si="4"/>
        <v>0</v>
      </c>
      <c r="W11" s="566">
        <f t="shared" si="5"/>
        <v>0</v>
      </c>
      <c r="X11" s="566">
        <f t="shared" si="6"/>
        <v>34760</v>
      </c>
      <c r="Y11" s="566">
        <f t="shared" si="7"/>
        <v>34760</v>
      </c>
      <c r="Z11" s="566">
        <f t="shared" si="8"/>
        <v>0</v>
      </c>
      <c r="AA11" s="566">
        <f t="shared" si="9"/>
        <v>0</v>
      </c>
      <c r="AB11" s="566">
        <f t="shared" si="10"/>
        <v>0</v>
      </c>
      <c r="AC11" s="566">
        <f t="shared" si="11"/>
        <v>0</v>
      </c>
      <c r="AD11" s="566">
        <f t="shared" si="12"/>
        <v>0</v>
      </c>
      <c r="AE11" s="573"/>
    </row>
    <row r="12" spans="1:31" ht="25.15" customHeight="1">
      <c r="A12" s="543">
        <v>5</v>
      </c>
      <c r="B12" s="544" t="s">
        <v>1286</v>
      </c>
      <c r="C12" s="541" t="str">
        <f>'LAP. PENJUALAN '!C12</f>
        <v>Chicken Strips</v>
      </c>
      <c r="D12" s="694"/>
      <c r="E12" s="694"/>
      <c r="F12" s="694"/>
      <c r="G12" s="694">
        <v>1</v>
      </c>
      <c r="H12" s="694">
        <v>2</v>
      </c>
      <c r="I12" s="694"/>
      <c r="J12" s="694"/>
      <c r="K12" s="694"/>
      <c r="L12" s="694"/>
      <c r="M12" s="694"/>
      <c r="N12" s="554">
        <f t="shared" si="0"/>
        <v>3</v>
      </c>
      <c r="O12" s="554">
        <f t="shared" si="1"/>
        <v>66360</v>
      </c>
      <c r="P12" s="555">
        <f>(O12/O243)*100</f>
        <v>1.2129808694126301</v>
      </c>
      <c r="Q12" s="562">
        <f>'LAP. PENJUALAN '!Q12</f>
        <v>0.39301911872298501</v>
      </c>
      <c r="R12" s="555">
        <f t="shared" si="2"/>
        <v>0.47672467232439197</v>
      </c>
      <c r="S12" s="697">
        <v>22120</v>
      </c>
      <c r="U12" s="566">
        <f t="shared" si="3"/>
        <v>0</v>
      </c>
      <c r="V12" s="566">
        <f t="shared" si="4"/>
        <v>0</v>
      </c>
      <c r="W12" s="566">
        <f t="shared" si="5"/>
        <v>0</v>
      </c>
      <c r="X12" s="566">
        <f t="shared" si="6"/>
        <v>22120</v>
      </c>
      <c r="Y12" s="566">
        <f t="shared" si="7"/>
        <v>44240</v>
      </c>
      <c r="Z12" s="566">
        <f t="shared" si="8"/>
        <v>0</v>
      </c>
      <c r="AA12" s="566">
        <f t="shared" si="9"/>
        <v>0</v>
      </c>
      <c r="AB12" s="566">
        <f t="shared" si="10"/>
        <v>0</v>
      </c>
      <c r="AC12" s="566">
        <f t="shared" si="11"/>
        <v>0</v>
      </c>
      <c r="AD12" s="566">
        <f t="shared" si="12"/>
        <v>0</v>
      </c>
      <c r="AE12" s="573"/>
    </row>
    <row r="13" spans="1:31" ht="25.15" customHeight="1">
      <c r="A13" s="543">
        <v>6</v>
      </c>
      <c r="B13" s="544" t="s">
        <v>1287</v>
      </c>
      <c r="C13" s="541" t="str">
        <f>'LAP. PENJUALAN '!C13</f>
        <v>Chicken Steak</v>
      </c>
      <c r="D13" s="694"/>
      <c r="E13" s="694">
        <v>2</v>
      </c>
      <c r="F13" s="694">
        <v>1</v>
      </c>
      <c r="G13" s="694">
        <v>4</v>
      </c>
      <c r="H13" s="694"/>
      <c r="I13" s="694"/>
      <c r="J13" s="694"/>
      <c r="K13" s="694"/>
      <c r="L13" s="694"/>
      <c r="M13" s="694"/>
      <c r="N13" s="554">
        <f t="shared" si="0"/>
        <v>7</v>
      </c>
      <c r="O13" s="554">
        <f t="shared" si="1"/>
        <v>154000</v>
      </c>
      <c r="P13" s="555">
        <f>(O13/O243)*100</f>
        <v>2.8149345070757201</v>
      </c>
      <c r="Q13" s="562">
        <f>'LAP. PENJUALAN '!Q13</f>
        <v>0.57043025459719499</v>
      </c>
      <c r="R13" s="555">
        <f t="shared" si="2"/>
        <v>1.6057238075456299</v>
      </c>
      <c r="S13" s="697">
        <v>22000</v>
      </c>
      <c r="U13" s="566">
        <f t="shared" si="3"/>
        <v>0</v>
      </c>
      <c r="V13" s="566">
        <f t="shared" si="4"/>
        <v>44000</v>
      </c>
      <c r="W13" s="566">
        <f t="shared" si="5"/>
        <v>22000</v>
      </c>
      <c r="X13" s="566">
        <f t="shared" si="6"/>
        <v>88000</v>
      </c>
      <c r="Y13" s="566">
        <f t="shared" si="7"/>
        <v>0</v>
      </c>
      <c r="Z13" s="566">
        <f t="shared" si="8"/>
        <v>0</v>
      </c>
      <c r="AA13" s="566">
        <f t="shared" si="9"/>
        <v>0</v>
      </c>
      <c r="AB13" s="566">
        <f t="shared" si="10"/>
        <v>0</v>
      </c>
      <c r="AC13" s="566">
        <f t="shared" si="11"/>
        <v>0</v>
      </c>
      <c r="AD13" s="566">
        <f t="shared" si="12"/>
        <v>0</v>
      </c>
      <c r="AE13" s="573"/>
    </row>
    <row r="14" spans="1:31" ht="25.15" customHeight="1">
      <c r="A14" s="543"/>
      <c r="B14" s="544"/>
      <c r="C14" s="541"/>
      <c r="D14" s="694"/>
      <c r="E14" s="694"/>
      <c r="F14" s="694"/>
      <c r="G14" s="694"/>
      <c r="H14" s="694"/>
      <c r="I14" s="694"/>
      <c r="J14" s="694"/>
      <c r="K14" s="694"/>
      <c r="L14" s="694"/>
      <c r="M14" s="694"/>
      <c r="N14" s="554">
        <f t="shared" si="0"/>
        <v>0</v>
      </c>
      <c r="O14" s="554">
        <f t="shared" si="1"/>
        <v>0</v>
      </c>
      <c r="P14" s="555">
        <f>(O14/O243)*100</f>
        <v>0</v>
      </c>
      <c r="Q14" s="567"/>
      <c r="R14" s="555">
        <f t="shared" si="2"/>
        <v>0</v>
      </c>
      <c r="S14" s="698"/>
      <c r="U14" s="566">
        <f t="shared" si="3"/>
        <v>0</v>
      </c>
      <c r="V14" s="566">
        <f t="shared" si="4"/>
        <v>0</v>
      </c>
      <c r="W14" s="566">
        <f t="shared" si="5"/>
        <v>0</v>
      </c>
      <c r="X14" s="566">
        <f t="shared" si="6"/>
        <v>0</v>
      </c>
      <c r="Y14" s="566">
        <f t="shared" si="7"/>
        <v>0</v>
      </c>
      <c r="Z14" s="566">
        <f t="shared" si="8"/>
        <v>0</v>
      </c>
      <c r="AA14" s="566">
        <f t="shared" si="9"/>
        <v>0</v>
      </c>
      <c r="AB14" s="566">
        <f t="shared" si="10"/>
        <v>0</v>
      </c>
      <c r="AC14" s="566">
        <f t="shared" si="11"/>
        <v>0</v>
      </c>
      <c r="AD14" s="566">
        <f t="shared" si="12"/>
        <v>0</v>
      </c>
      <c r="AE14" s="573"/>
    </row>
    <row r="15" spans="1:31" ht="25.15" customHeight="1">
      <c r="A15" s="543">
        <v>7</v>
      </c>
      <c r="B15" s="544" t="s">
        <v>1288</v>
      </c>
      <c r="C15" s="541" t="str">
        <f>'LAP. PENJUALAN '!C15</f>
        <v>French Fries</v>
      </c>
      <c r="D15" s="694"/>
      <c r="E15" s="694">
        <v>1</v>
      </c>
      <c r="F15" s="694">
        <v>2</v>
      </c>
      <c r="G15" s="694">
        <v>3</v>
      </c>
      <c r="H15" s="694">
        <v>2</v>
      </c>
      <c r="I15" s="694">
        <v>1</v>
      </c>
      <c r="J15" s="694">
        <v>1</v>
      </c>
      <c r="K15" s="694"/>
      <c r="L15" s="694"/>
      <c r="M15" s="694"/>
      <c r="N15" s="554">
        <f t="shared" si="0"/>
        <v>10</v>
      </c>
      <c r="O15" s="554">
        <f t="shared" si="1"/>
        <v>138000</v>
      </c>
      <c r="P15" s="555">
        <f>(O15/O243)*100</f>
        <v>2.52247377906785</v>
      </c>
      <c r="Q15" s="567"/>
      <c r="R15" s="555">
        <f t="shared" si="2"/>
        <v>0</v>
      </c>
      <c r="S15" s="697">
        <v>13800</v>
      </c>
      <c r="U15" s="566">
        <f t="shared" si="3"/>
        <v>0</v>
      </c>
      <c r="V15" s="566">
        <f t="shared" si="4"/>
        <v>13800</v>
      </c>
      <c r="W15" s="566">
        <f t="shared" si="5"/>
        <v>27600</v>
      </c>
      <c r="X15" s="566">
        <f t="shared" si="6"/>
        <v>41400</v>
      </c>
      <c r="Y15" s="566">
        <f t="shared" si="7"/>
        <v>27600</v>
      </c>
      <c r="Z15" s="566">
        <f t="shared" si="8"/>
        <v>13800</v>
      </c>
      <c r="AA15" s="566">
        <f t="shared" si="9"/>
        <v>13800</v>
      </c>
      <c r="AB15" s="566">
        <f t="shared" si="10"/>
        <v>0</v>
      </c>
      <c r="AC15" s="566">
        <f t="shared" si="11"/>
        <v>0</v>
      </c>
      <c r="AD15" s="566">
        <f t="shared" si="12"/>
        <v>0</v>
      </c>
      <c r="AE15" s="573"/>
    </row>
    <row r="16" spans="1:31" ht="25.15" customHeight="1">
      <c r="A16" s="543">
        <v>8</v>
      </c>
      <c r="B16" s="544" t="s">
        <v>1289</v>
      </c>
      <c r="C16" s="541" t="str">
        <f>'LAP. PENJUALAN '!C16</f>
        <v>Nasi</v>
      </c>
      <c r="D16" s="694">
        <v>1</v>
      </c>
      <c r="E16" s="694"/>
      <c r="F16" s="694"/>
      <c r="G16" s="694">
        <v>3</v>
      </c>
      <c r="H16" s="694">
        <v>4</v>
      </c>
      <c r="I16" s="694"/>
      <c r="J16" s="694"/>
      <c r="K16" s="694"/>
      <c r="L16" s="694"/>
      <c r="M16" s="694"/>
      <c r="N16" s="554">
        <f t="shared" si="0"/>
        <v>8</v>
      </c>
      <c r="O16" s="554">
        <f t="shared" si="1"/>
        <v>55200</v>
      </c>
      <c r="P16" s="555">
        <f>(O16/O243)*100</f>
        <v>1.0089895116271399</v>
      </c>
      <c r="Q16" s="567"/>
      <c r="R16" s="555">
        <f t="shared" si="2"/>
        <v>0</v>
      </c>
      <c r="S16" s="697">
        <v>6900</v>
      </c>
      <c r="U16" s="566">
        <f t="shared" si="3"/>
        <v>6900</v>
      </c>
      <c r="V16" s="566">
        <f t="shared" si="4"/>
        <v>0</v>
      </c>
      <c r="W16" s="566">
        <f t="shared" si="5"/>
        <v>0</v>
      </c>
      <c r="X16" s="566">
        <f t="shared" si="6"/>
        <v>20700</v>
      </c>
      <c r="Y16" s="566">
        <f t="shared" si="7"/>
        <v>27600</v>
      </c>
      <c r="Z16" s="566">
        <f t="shared" si="8"/>
        <v>0</v>
      </c>
      <c r="AA16" s="566">
        <f t="shared" si="9"/>
        <v>0</v>
      </c>
      <c r="AB16" s="566">
        <f t="shared" si="10"/>
        <v>0</v>
      </c>
      <c r="AC16" s="566">
        <f t="shared" si="11"/>
        <v>0</v>
      </c>
      <c r="AD16" s="566">
        <f t="shared" si="12"/>
        <v>0</v>
      </c>
      <c r="AE16" s="573"/>
    </row>
    <row r="17" spans="1:31" ht="25.15" customHeight="1">
      <c r="A17" s="543">
        <v>9</v>
      </c>
      <c r="B17" s="544" t="s">
        <v>1290</v>
      </c>
      <c r="C17" s="541" t="str">
        <f>'LAP. PENJUALAN '!C17</f>
        <v>Perkedel</v>
      </c>
      <c r="D17" s="694"/>
      <c r="E17" s="694">
        <v>2</v>
      </c>
      <c r="F17" s="694">
        <v>1</v>
      </c>
      <c r="G17" s="694">
        <v>2</v>
      </c>
      <c r="H17" s="694"/>
      <c r="I17" s="694">
        <v>1</v>
      </c>
      <c r="J17" s="694"/>
      <c r="K17" s="694"/>
      <c r="L17" s="694"/>
      <c r="M17" s="694"/>
      <c r="N17" s="554">
        <f t="shared" si="0"/>
        <v>6</v>
      </c>
      <c r="O17" s="554">
        <f t="shared" si="1"/>
        <v>47400</v>
      </c>
      <c r="P17" s="555">
        <f>(O17/O243)*100</f>
        <v>0.86641490672330701</v>
      </c>
      <c r="Q17" s="567"/>
      <c r="R17" s="555">
        <f t="shared" si="2"/>
        <v>0</v>
      </c>
      <c r="S17" s="697">
        <v>7900</v>
      </c>
      <c r="U17" s="566">
        <f t="shared" si="3"/>
        <v>0</v>
      </c>
      <c r="V17" s="566">
        <f t="shared" si="4"/>
        <v>15800</v>
      </c>
      <c r="W17" s="566">
        <f t="shared" si="5"/>
        <v>7900</v>
      </c>
      <c r="X17" s="566">
        <f t="shared" si="6"/>
        <v>15800</v>
      </c>
      <c r="Y17" s="566">
        <f t="shared" si="7"/>
        <v>0</v>
      </c>
      <c r="Z17" s="566">
        <f t="shared" si="8"/>
        <v>7900</v>
      </c>
      <c r="AA17" s="566">
        <f t="shared" si="9"/>
        <v>0</v>
      </c>
      <c r="AB17" s="566">
        <f t="shared" si="10"/>
        <v>0</v>
      </c>
      <c r="AC17" s="566">
        <f t="shared" si="11"/>
        <v>0</v>
      </c>
      <c r="AD17" s="566">
        <f t="shared" si="12"/>
        <v>0</v>
      </c>
      <c r="AE17" s="573"/>
    </row>
    <row r="18" spans="1:31" ht="25.15" customHeight="1">
      <c r="A18" s="543">
        <v>10</v>
      </c>
      <c r="B18" s="544" t="s">
        <v>1291</v>
      </c>
      <c r="C18" s="541" t="str">
        <f>'LAP. PENJUALAN '!C18</f>
        <v>Chicken Burger</v>
      </c>
      <c r="D18" s="694"/>
      <c r="E18" s="694"/>
      <c r="F18" s="694">
        <v>4</v>
      </c>
      <c r="G18" s="694">
        <v>3</v>
      </c>
      <c r="H18" s="694">
        <v>1</v>
      </c>
      <c r="I18" s="694">
        <v>1</v>
      </c>
      <c r="J18" s="694">
        <v>5</v>
      </c>
      <c r="K18" s="694"/>
      <c r="L18" s="694"/>
      <c r="M18" s="694"/>
      <c r="N18" s="554">
        <f t="shared" si="0"/>
        <v>14</v>
      </c>
      <c r="O18" s="554">
        <f t="shared" si="1"/>
        <v>331800</v>
      </c>
      <c r="P18" s="555">
        <f>(O18/O243)*100</f>
        <v>6.0649043470631501</v>
      </c>
      <c r="Q18" s="567"/>
      <c r="R18" s="555">
        <f t="shared" si="2"/>
        <v>0</v>
      </c>
      <c r="S18" s="697">
        <v>23700</v>
      </c>
      <c r="U18" s="566">
        <f t="shared" si="3"/>
        <v>0</v>
      </c>
      <c r="V18" s="566">
        <f t="shared" si="4"/>
        <v>0</v>
      </c>
      <c r="W18" s="566">
        <f t="shared" si="5"/>
        <v>94800</v>
      </c>
      <c r="X18" s="566">
        <f t="shared" si="6"/>
        <v>71100</v>
      </c>
      <c r="Y18" s="566">
        <f t="shared" si="7"/>
        <v>23700</v>
      </c>
      <c r="Z18" s="566">
        <f t="shared" si="8"/>
        <v>23700</v>
      </c>
      <c r="AA18" s="566">
        <f t="shared" si="9"/>
        <v>118500</v>
      </c>
      <c r="AB18" s="566">
        <f t="shared" si="10"/>
        <v>0</v>
      </c>
      <c r="AC18" s="566">
        <f t="shared" si="11"/>
        <v>0</v>
      </c>
      <c r="AD18" s="566">
        <f t="shared" si="12"/>
        <v>0</v>
      </c>
      <c r="AE18" s="573"/>
    </row>
    <row r="19" spans="1:31" ht="25.15" customHeight="1">
      <c r="A19" s="543">
        <v>11</v>
      </c>
      <c r="B19" s="544" t="s">
        <v>1292</v>
      </c>
      <c r="C19" s="541" t="str">
        <f>'LAP. PENJUALAN '!C19</f>
        <v>Cheese Burger</v>
      </c>
      <c r="D19" s="694"/>
      <c r="E19" s="694"/>
      <c r="F19" s="694"/>
      <c r="G19" s="694">
        <v>3</v>
      </c>
      <c r="H19" s="694"/>
      <c r="I19" s="694">
        <v>1</v>
      </c>
      <c r="J19" s="694">
        <v>1</v>
      </c>
      <c r="K19" s="694"/>
      <c r="L19" s="694"/>
      <c r="M19" s="694"/>
      <c r="N19" s="554">
        <f t="shared" si="0"/>
        <v>5</v>
      </c>
      <c r="O19" s="554">
        <f t="shared" si="1"/>
        <v>134300</v>
      </c>
      <c r="P19" s="555">
        <f>(O19/O243)*100</f>
        <v>2.4548422357160402</v>
      </c>
      <c r="Q19" s="567"/>
      <c r="R19" s="555">
        <f t="shared" si="2"/>
        <v>0</v>
      </c>
      <c r="S19" s="697">
        <v>26860</v>
      </c>
      <c r="U19" s="566">
        <f t="shared" si="3"/>
        <v>0</v>
      </c>
      <c r="V19" s="566">
        <f t="shared" si="4"/>
        <v>0</v>
      </c>
      <c r="W19" s="566">
        <f t="shared" si="5"/>
        <v>0</v>
      </c>
      <c r="X19" s="566">
        <f t="shared" si="6"/>
        <v>80580</v>
      </c>
      <c r="Y19" s="566">
        <f t="shared" si="7"/>
        <v>0</v>
      </c>
      <c r="Z19" s="566">
        <f t="shared" si="8"/>
        <v>26860</v>
      </c>
      <c r="AA19" s="566">
        <f t="shared" si="9"/>
        <v>26860</v>
      </c>
      <c r="AB19" s="566">
        <f t="shared" si="10"/>
        <v>0</v>
      </c>
      <c r="AC19" s="566">
        <f t="shared" si="11"/>
        <v>0</v>
      </c>
      <c r="AD19" s="566">
        <f t="shared" si="12"/>
        <v>0</v>
      </c>
      <c r="AE19" s="573"/>
    </row>
    <row r="20" spans="1:31" ht="25.15" customHeight="1">
      <c r="A20" s="543">
        <v>12</v>
      </c>
      <c r="B20" s="544" t="s">
        <v>1293</v>
      </c>
      <c r="C20" s="541" t="str">
        <f>'LAP. PENJUALAN '!C20</f>
        <v>Mix Platter</v>
      </c>
      <c r="D20" s="694"/>
      <c r="E20" s="694"/>
      <c r="F20" s="694"/>
      <c r="G20" s="694"/>
      <c r="H20" s="694"/>
      <c r="I20" s="694"/>
      <c r="J20" s="694"/>
      <c r="K20" s="694"/>
      <c r="L20" s="694"/>
      <c r="M20" s="694"/>
      <c r="N20" s="554">
        <f t="shared" si="0"/>
        <v>0</v>
      </c>
      <c r="O20" s="554">
        <f t="shared" si="1"/>
        <v>0</v>
      </c>
      <c r="P20" s="555">
        <f>(O20/O243)*100</f>
        <v>0</v>
      </c>
      <c r="Q20" s="567"/>
      <c r="R20" s="555">
        <f t="shared" si="2"/>
        <v>0</v>
      </c>
      <c r="S20" s="698"/>
      <c r="U20" s="566">
        <f t="shared" si="3"/>
        <v>0</v>
      </c>
      <c r="V20" s="566">
        <f t="shared" si="4"/>
        <v>0</v>
      </c>
      <c r="W20" s="566">
        <f t="shared" si="5"/>
        <v>0</v>
      </c>
      <c r="X20" s="566">
        <f t="shared" si="6"/>
        <v>0</v>
      </c>
      <c r="Y20" s="566">
        <f t="shared" si="7"/>
        <v>0</v>
      </c>
      <c r="Z20" s="566">
        <f t="shared" si="8"/>
        <v>0</v>
      </c>
      <c r="AA20" s="566">
        <f t="shared" si="9"/>
        <v>0</v>
      </c>
      <c r="AB20" s="566">
        <f t="shared" si="10"/>
        <v>0</v>
      </c>
      <c r="AC20" s="566">
        <f t="shared" si="11"/>
        <v>0</v>
      </c>
      <c r="AD20" s="566">
        <f t="shared" si="12"/>
        <v>0</v>
      </c>
      <c r="AE20" s="573"/>
    </row>
    <row r="21" spans="1:31" ht="25.15" customHeight="1">
      <c r="A21" s="543">
        <v>13</v>
      </c>
      <c r="B21" s="544" t="s">
        <v>1524</v>
      </c>
      <c r="C21" s="541" t="str">
        <f>'LAP. PENJUALAN '!C21</f>
        <v>Telur Ceplok</v>
      </c>
      <c r="D21" s="694"/>
      <c r="E21" s="694"/>
      <c r="F21" s="694"/>
      <c r="G21" s="694"/>
      <c r="H21" s="694"/>
      <c r="I21" s="694"/>
      <c r="J21" s="694"/>
      <c r="K21" s="694"/>
      <c r="L21" s="694"/>
      <c r="M21" s="694"/>
      <c r="N21" s="554">
        <f t="shared" si="0"/>
        <v>0</v>
      </c>
      <c r="O21" s="554">
        <f t="shared" si="1"/>
        <v>0</v>
      </c>
      <c r="P21" s="555">
        <f>(O21/O243)*100</f>
        <v>0</v>
      </c>
      <c r="Q21" s="567"/>
      <c r="R21" s="555">
        <f t="shared" si="2"/>
        <v>0</v>
      </c>
      <c r="S21" s="698"/>
      <c r="U21" s="566">
        <f t="shared" si="3"/>
        <v>0</v>
      </c>
      <c r="V21" s="566">
        <f t="shared" si="4"/>
        <v>0</v>
      </c>
      <c r="W21" s="566">
        <f t="shared" si="5"/>
        <v>0</v>
      </c>
      <c r="X21" s="566">
        <f t="shared" si="6"/>
        <v>0</v>
      </c>
      <c r="Y21" s="566">
        <f t="shared" si="7"/>
        <v>0</v>
      </c>
      <c r="Z21" s="566">
        <f t="shared" si="8"/>
        <v>0</v>
      </c>
      <c r="AA21" s="566">
        <f t="shared" si="9"/>
        <v>0</v>
      </c>
      <c r="AB21" s="566">
        <f t="shared" si="10"/>
        <v>0</v>
      </c>
      <c r="AC21" s="566">
        <f t="shared" si="11"/>
        <v>0</v>
      </c>
      <c r="AD21" s="566">
        <f t="shared" si="12"/>
        <v>0</v>
      </c>
      <c r="AE21" s="573"/>
    </row>
    <row r="22" spans="1:31" ht="25.15" customHeight="1">
      <c r="A22" s="543">
        <v>14</v>
      </c>
      <c r="B22" s="544" t="s">
        <v>1525</v>
      </c>
      <c r="C22" s="541" t="str">
        <f>'LAP. PENJUALAN '!C22</f>
        <v>Nasi Goreng Telur Ceplok</v>
      </c>
      <c r="D22" s="694"/>
      <c r="E22" s="694">
        <v>2</v>
      </c>
      <c r="F22" s="694">
        <v>6</v>
      </c>
      <c r="G22" s="694">
        <v>7</v>
      </c>
      <c r="H22" s="694">
        <v>1</v>
      </c>
      <c r="I22" s="694"/>
      <c r="J22" s="694">
        <v>6</v>
      </c>
      <c r="K22" s="694"/>
      <c r="L22" s="694"/>
      <c r="M22" s="694"/>
      <c r="N22" s="554">
        <f t="shared" si="0"/>
        <v>22</v>
      </c>
      <c r="O22" s="554">
        <f t="shared" si="1"/>
        <v>556160</v>
      </c>
      <c r="P22" s="555">
        <f>(O22/O243)*100</f>
        <v>10.165934905553501</v>
      </c>
      <c r="Q22" s="567"/>
      <c r="R22" s="555">
        <f t="shared" si="2"/>
        <v>0</v>
      </c>
      <c r="S22" s="697">
        <v>25280</v>
      </c>
      <c r="U22" s="566">
        <f t="shared" si="3"/>
        <v>0</v>
      </c>
      <c r="V22" s="566">
        <f t="shared" si="4"/>
        <v>50560</v>
      </c>
      <c r="W22" s="566">
        <f t="shared" si="5"/>
        <v>151680</v>
      </c>
      <c r="X22" s="566">
        <f t="shared" si="6"/>
        <v>176960</v>
      </c>
      <c r="Y22" s="566">
        <f t="shared" si="7"/>
        <v>25280</v>
      </c>
      <c r="Z22" s="566">
        <f t="shared" si="8"/>
        <v>0</v>
      </c>
      <c r="AA22" s="566">
        <f t="shared" si="9"/>
        <v>151680</v>
      </c>
      <c r="AB22" s="566">
        <f t="shared" si="10"/>
        <v>0</v>
      </c>
      <c r="AC22" s="566">
        <f t="shared" si="11"/>
        <v>0</v>
      </c>
      <c r="AD22" s="566">
        <f t="shared" si="12"/>
        <v>0</v>
      </c>
      <c r="AE22" s="573"/>
    </row>
    <row r="23" spans="1:31" ht="25.15" customHeight="1">
      <c r="A23" s="543"/>
      <c r="B23" s="544"/>
      <c r="C23" s="541"/>
      <c r="D23" s="694"/>
      <c r="E23" s="694"/>
      <c r="F23" s="694"/>
      <c r="G23" s="694"/>
      <c r="H23" s="694"/>
      <c r="I23" s="694"/>
      <c r="J23" s="694"/>
      <c r="K23" s="694"/>
      <c r="L23" s="694"/>
      <c r="M23" s="694"/>
      <c r="N23" s="554">
        <f t="shared" si="0"/>
        <v>0</v>
      </c>
      <c r="O23" s="554">
        <f t="shared" si="1"/>
        <v>0</v>
      </c>
      <c r="P23" s="555">
        <f>(O23/O243)*100</f>
        <v>0</v>
      </c>
      <c r="Q23" s="567"/>
      <c r="R23" s="555">
        <f t="shared" si="2"/>
        <v>0</v>
      </c>
      <c r="S23" s="698"/>
      <c r="U23" s="566">
        <f t="shared" si="3"/>
        <v>0</v>
      </c>
      <c r="V23" s="566">
        <f t="shared" si="4"/>
        <v>0</v>
      </c>
      <c r="W23" s="566">
        <f t="shared" si="5"/>
        <v>0</v>
      </c>
      <c r="X23" s="566">
        <f t="shared" si="6"/>
        <v>0</v>
      </c>
      <c r="Y23" s="566">
        <f t="shared" si="7"/>
        <v>0</v>
      </c>
      <c r="Z23" s="566">
        <f t="shared" si="8"/>
        <v>0</v>
      </c>
      <c r="AA23" s="566">
        <f t="shared" si="9"/>
        <v>0</v>
      </c>
      <c r="AB23" s="566">
        <f t="shared" si="10"/>
        <v>0</v>
      </c>
      <c r="AC23" s="566">
        <f t="shared" si="11"/>
        <v>0</v>
      </c>
      <c r="AD23" s="566">
        <f t="shared" si="12"/>
        <v>0</v>
      </c>
      <c r="AE23" s="573"/>
    </row>
    <row r="24" spans="1:31" ht="25.15" customHeight="1">
      <c r="A24" s="543">
        <v>15</v>
      </c>
      <c r="B24" s="544" t="s">
        <v>1526</v>
      </c>
      <c r="C24" s="541" t="str">
        <f>'LAP. PENJUALAN '!C24</f>
        <v>Paket Segar 1 Dine In (Es Teh / S-tee)</v>
      </c>
      <c r="D24" s="694"/>
      <c r="E24" s="694"/>
      <c r="F24" s="694"/>
      <c r="G24" s="694"/>
      <c r="H24" s="694"/>
      <c r="I24" s="694"/>
      <c r="J24" s="694"/>
      <c r="K24" s="694"/>
      <c r="L24" s="694"/>
      <c r="M24" s="694"/>
      <c r="N24" s="554">
        <f t="shared" si="0"/>
        <v>0</v>
      </c>
      <c r="O24" s="554">
        <f t="shared" si="1"/>
        <v>0</v>
      </c>
      <c r="P24" s="555">
        <f>(O24/O243)*100</f>
        <v>0</v>
      </c>
      <c r="Q24" s="567"/>
      <c r="R24" s="555">
        <f t="shared" si="2"/>
        <v>0</v>
      </c>
      <c r="S24" s="698"/>
      <c r="U24" s="566">
        <f t="shared" si="3"/>
        <v>0</v>
      </c>
      <c r="V24" s="566">
        <f t="shared" si="4"/>
        <v>0</v>
      </c>
      <c r="W24" s="566">
        <f t="shared" si="5"/>
        <v>0</v>
      </c>
      <c r="X24" s="566">
        <f t="shared" si="6"/>
        <v>0</v>
      </c>
      <c r="Y24" s="566">
        <f t="shared" si="7"/>
        <v>0</v>
      </c>
      <c r="Z24" s="566">
        <f t="shared" si="8"/>
        <v>0</v>
      </c>
      <c r="AA24" s="566">
        <f t="shared" si="9"/>
        <v>0</v>
      </c>
      <c r="AB24" s="566">
        <f t="shared" si="10"/>
        <v>0</v>
      </c>
      <c r="AC24" s="566">
        <f t="shared" si="11"/>
        <v>0</v>
      </c>
      <c r="AD24" s="566">
        <f t="shared" si="12"/>
        <v>0</v>
      </c>
      <c r="AE24" s="573"/>
    </row>
    <row r="25" spans="1:31" ht="25.15" customHeight="1">
      <c r="A25" s="543">
        <v>16</v>
      </c>
      <c r="B25" s="544" t="s">
        <v>1527</v>
      </c>
      <c r="C25" s="541" t="str">
        <f>'LAP. PENJUALAN '!C25</f>
        <v>Paket Segar 1 Take Away (Es Teh / S-tee)</v>
      </c>
      <c r="D25" s="694"/>
      <c r="E25" s="694"/>
      <c r="F25" s="694"/>
      <c r="G25" s="694"/>
      <c r="H25" s="694"/>
      <c r="I25" s="694"/>
      <c r="J25" s="694"/>
      <c r="K25" s="694"/>
      <c r="L25" s="694"/>
      <c r="M25" s="694"/>
      <c r="N25" s="554">
        <f t="shared" si="0"/>
        <v>0</v>
      </c>
      <c r="O25" s="554">
        <f t="shared" si="1"/>
        <v>0</v>
      </c>
      <c r="P25" s="555">
        <f>(O25/O243)*100</f>
        <v>0</v>
      </c>
      <c r="Q25" s="567"/>
      <c r="R25" s="555">
        <f t="shared" si="2"/>
        <v>0</v>
      </c>
      <c r="S25" s="698"/>
      <c r="U25" s="566">
        <f t="shared" si="3"/>
        <v>0</v>
      </c>
      <c r="V25" s="566">
        <f t="shared" si="4"/>
        <v>0</v>
      </c>
      <c r="W25" s="566">
        <f t="shared" si="5"/>
        <v>0</v>
      </c>
      <c r="X25" s="566">
        <f t="shared" si="6"/>
        <v>0</v>
      </c>
      <c r="Y25" s="566">
        <f t="shared" si="7"/>
        <v>0</v>
      </c>
      <c r="Z25" s="566">
        <f t="shared" si="8"/>
        <v>0</v>
      </c>
      <c r="AA25" s="566">
        <f t="shared" si="9"/>
        <v>0</v>
      </c>
      <c r="AB25" s="566">
        <f t="shared" si="10"/>
        <v>0</v>
      </c>
      <c r="AC25" s="566">
        <f t="shared" si="11"/>
        <v>0</v>
      </c>
      <c r="AD25" s="566">
        <f t="shared" si="12"/>
        <v>0</v>
      </c>
      <c r="AE25" s="573"/>
    </row>
    <row r="26" spans="1:31" ht="25.15" customHeight="1">
      <c r="A26" s="543">
        <v>17</v>
      </c>
      <c r="B26" s="544" t="s">
        <v>1528</v>
      </c>
      <c r="C26" s="541" t="str">
        <f>'LAP. PENJUALAN '!C26</f>
        <v>Paket Segar 2 (Es Teh / S-tee)</v>
      </c>
      <c r="D26" s="694"/>
      <c r="E26" s="694"/>
      <c r="F26" s="694"/>
      <c r="G26" s="694"/>
      <c r="H26" s="694"/>
      <c r="I26" s="694"/>
      <c r="J26" s="694"/>
      <c r="K26" s="694"/>
      <c r="L26" s="694"/>
      <c r="M26" s="694"/>
      <c r="N26" s="554">
        <f t="shared" si="0"/>
        <v>0</v>
      </c>
      <c r="O26" s="554">
        <f t="shared" si="1"/>
        <v>0</v>
      </c>
      <c r="P26" s="555">
        <f>(O26/O243)*100</f>
        <v>0</v>
      </c>
      <c r="Q26" s="567"/>
      <c r="R26" s="555">
        <f t="shared" si="2"/>
        <v>0</v>
      </c>
      <c r="S26" s="698"/>
      <c r="U26" s="566">
        <f t="shared" si="3"/>
        <v>0</v>
      </c>
      <c r="V26" s="566">
        <f t="shared" si="4"/>
        <v>0</v>
      </c>
      <c r="W26" s="566">
        <f t="shared" si="5"/>
        <v>0</v>
      </c>
      <c r="X26" s="566">
        <f t="shared" si="6"/>
        <v>0</v>
      </c>
      <c r="Y26" s="566">
        <f t="shared" si="7"/>
        <v>0</v>
      </c>
      <c r="Z26" s="566">
        <f t="shared" si="8"/>
        <v>0</v>
      </c>
      <c r="AA26" s="566">
        <f t="shared" si="9"/>
        <v>0</v>
      </c>
      <c r="AB26" s="566">
        <f t="shared" si="10"/>
        <v>0</v>
      </c>
      <c r="AC26" s="566">
        <f t="shared" si="11"/>
        <v>0</v>
      </c>
      <c r="AD26" s="566">
        <f t="shared" si="12"/>
        <v>0</v>
      </c>
      <c r="AE26" s="573"/>
    </row>
    <row r="27" spans="1:31" ht="25.15" customHeight="1">
      <c r="A27" s="543">
        <v>18</v>
      </c>
      <c r="B27" s="544" t="s">
        <v>1529</v>
      </c>
      <c r="C27" s="541" t="str">
        <f>'LAP. PENJUALAN '!C27</f>
        <v>Paket Segar 3 (Es Teh / S-tee)</v>
      </c>
      <c r="D27" s="694"/>
      <c r="E27" s="694"/>
      <c r="F27" s="694"/>
      <c r="G27" s="694"/>
      <c r="H27" s="694"/>
      <c r="I27" s="694"/>
      <c r="J27" s="694"/>
      <c r="K27" s="694"/>
      <c r="L27" s="694"/>
      <c r="M27" s="694"/>
      <c r="N27" s="554">
        <f t="shared" si="0"/>
        <v>0</v>
      </c>
      <c r="O27" s="554">
        <f t="shared" si="1"/>
        <v>0</v>
      </c>
      <c r="P27" s="555">
        <f>(O27/O243)*100</f>
        <v>0</v>
      </c>
      <c r="Q27" s="567"/>
      <c r="R27" s="555">
        <f t="shared" si="2"/>
        <v>0</v>
      </c>
      <c r="S27" s="698"/>
      <c r="U27" s="566">
        <f t="shared" si="3"/>
        <v>0</v>
      </c>
      <c r="V27" s="566">
        <f t="shared" si="4"/>
        <v>0</v>
      </c>
      <c r="W27" s="566">
        <f t="shared" si="5"/>
        <v>0</v>
      </c>
      <c r="X27" s="566">
        <f t="shared" si="6"/>
        <v>0</v>
      </c>
      <c r="Y27" s="566">
        <f t="shared" si="7"/>
        <v>0</v>
      </c>
      <c r="Z27" s="566">
        <f t="shared" si="8"/>
        <v>0</v>
      </c>
      <c r="AA27" s="566">
        <f t="shared" si="9"/>
        <v>0</v>
      </c>
      <c r="AB27" s="566">
        <f t="shared" si="10"/>
        <v>0</v>
      </c>
      <c r="AC27" s="566">
        <f t="shared" si="11"/>
        <v>0</v>
      </c>
      <c r="AD27" s="566">
        <f t="shared" si="12"/>
        <v>0</v>
      </c>
      <c r="AE27" s="573"/>
    </row>
    <row r="28" spans="1:31" ht="25.15" customHeight="1">
      <c r="A28" s="543">
        <v>19</v>
      </c>
      <c r="B28" s="544" t="s">
        <v>1530</v>
      </c>
      <c r="C28" s="541" t="str">
        <f>'LAP. PENJUALAN '!C28</f>
        <v>Paket Segar 4 (Es Teh / S-tee)</v>
      </c>
      <c r="D28" s="694"/>
      <c r="E28" s="694"/>
      <c r="F28" s="694"/>
      <c r="G28" s="694"/>
      <c r="H28" s="694"/>
      <c r="I28" s="694"/>
      <c r="J28" s="694"/>
      <c r="K28" s="694"/>
      <c r="L28" s="694"/>
      <c r="M28" s="694"/>
      <c r="N28" s="554">
        <f t="shared" si="0"/>
        <v>0</v>
      </c>
      <c r="O28" s="554">
        <f t="shared" si="1"/>
        <v>0</v>
      </c>
      <c r="P28" s="555">
        <f>(O28/O243)*100</f>
        <v>0</v>
      </c>
      <c r="Q28" s="567"/>
      <c r="R28" s="555">
        <f t="shared" si="2"/>
        <v>0</v>
      </c>
      <c r="S28" s="698"/>
      <c r="U28" s="566">
        <f t="shared" si="3"/>
        <v>0</v>
      </c>
      <c r="V28" s="566">
        <f t="shared" si="4"/>
        <v>0</v>
      </c>
      <c r="W28" s="566">
        <f t="shared" si="5"/>
        <v>0</v>
      </c>
      <c r="X28" s="566">
        <f t="shared" si="6"/>
        <v>0</v>
      </c>
      <c r="Y28" s="566">
        <f t="shared" si="7"/>
        <v>0</v>
      </c>
      <c r="Z28" s="566">
        <f t="shared" si="8"/>
        <v>0</v>
      </c>
      <c r="AA28" s="566">
        <f t="shared" si="9"/>
        <v>0</v>
      </c>
      <c r="AB28" s="566">
        <f t="shared" si="10"/>
        <v>0</v>
      </c>
      <c r="AC28" s="566">
        <f t="shared" si="11"/>
        <v>0</v>
      </c>
      <c r="AD28" s="566">
        <f t="shared" si="12"/>
        <v>0</v>
      </c>
      <c r="AE28" s="573"/>
    </row>
    <row r="29" spans="1:31" ht="25.15" customHeight="1">
      <c r="A29" s="543">
        <v>20</v>
      </c>
      <c r="B29" s="544" t="s">
        <v>1531</v>
      </c>
      <c r="C29" s="541" t="str">
        <f>'LAP. PENJUALAN '!C29</f>
        <v>Paket Segar 5 (Es Teh / S-tee)</v>
      </c>
      <c r="D29" s="694"/>
      <c r="E29" s="694"/>
      <c r="F29" s="694"/>
      <c r="G29" s="694"/>
      <c r="H29" s="694"/>
      <c r="I29" s="694"/>
      <c r="J29" s="694"/>
      <c r="K29" s="694"/>
      <c r="L29" s="694"/>
      <c r="M29" s="694"/>
      <c r="N29" s="554">
        <f t="shared" si="0"/>
        <v>0</v>
      </c>
      <c r="O29" s="554">
        <f t="shared" si="1"/>
        <v>0</v>
      </c>
      <c r="P29" s="555">
        <f>(O29/O243)*100</f>
        <v>0</v>
      </c>
      <c r="Q29" s="567"/>
      <c r="R29" s="555">
        <f t="shared" si="2"/>
        <v>0</v>
      </c>
      <c r="S29" s="698"/>
      <c r="U29" s="566">
        <f t="shared" si="3"/>
        <v>0</v>
      </c>
      <c r="V29" s="566">
        <f t="shared" si="4"/>
        <v>0</v>
      </c>
      <c r="W29" s="566">
        <f t="shared" si="5"/>
        <v>0</v>
      </c>
      <c r="X29" s="566">
        <f t="shared" si="6"/>
        <v>0</v>
      </c>
      <c r="Y29" s="566">
        <f t="shared" si="7"/>
        <v>0</v>
      </c>
      <c r="Z29" s="566">
        <f t="shared" si="8"/>
        <v>0</v>
      </c>
      <c r="AA29" s="566">
        <f t="shared" si="9"/>
        <v>0</v>
      </c>
      <c r="AB29" s="566">
        <f t="shared" si="10"/>
        <v>0</v>
      </c>
      <c r="AC29" s="566">
        <f t="shared" si="11"/>
        <v>0</v>
      </c>
      <c r="AD29" s="566">
        <f t="shared" si="12"/>
        <v>0</v>
      </c>
      <c r="AE29" s="573"/>
    </row>
    <row r="30" spans="1:31" ht="25.15" customHeight="1">
      <c r="A30" s="543">
        <v>21</v>
      </c>
      <c r="B30" s="544" t="s">
        <v>1532</v>
      </c>
      <c r="C30" s="541" t="str">
        <f>'LAP. PENJUALAN '!C30</f>
        <v>Paket Segar 6 (Es Teh / S-tee)</v>
      </c>
      <c r="D30" s="694"/>
      <c r="E30" s="694"/>
      <c r="F30" s="694"/>
      <c r="G30" s="694"/>
      <c r="H30" s="694"/>
      <c r="I30" s="694"/>
      <c r="J30" s="694"/>
      <c r="K30" s="694"/>
      <c r="L30" s="694"/>
      <c r="M30" s="694"/>
      <c r="N30" s="554">
        <f t="shared" si="0"/>
        <v>0</v>
      </c>
      <c r="O30" s="554">
        <f t="shared" si="1"/>
        <v>0</v>
      </c>
      <c r="P30" s="555">
        <f>(O30/O243)*100</f>
        <v>0</v>
      </c>
      <c r="Q30" s="567"/>
      <c r="R30" s="555">
        <f t="shared" si="2"/>
        <v>0</v>
      </c>
      <c r="S30" s="698"/>
      <c r="U30" s="566">
        <f t="shared" si="3"/>
        <v>0</v>
      </c>
      <c r="V30" s="566">
        <f t="shared" si="4"/>
        <v>0</v>
      </c>
      <c r="W30" s="566">
        <f t="shared" si="5"/>
        <v>0</v>
      </c>
      <c r="X30" s="566">
        <f t="shared" si="6"/>
        <v>0</v>
      </c>
      <c r="Y30" s="566">
        <f t="shared" si="7"/>
        <v>0</v>
      </c>
      <c r="Z30" s="566">
        <f t="shared" si="8"/>
        <v>0</v>
      </c>
      <c r="AA30" s="566">
        <f t="shared" si="9"/>
        <v>0</v>
      </c>
      <c r="AB30" s="566">
        <f t="shared" si="10"/>
        <v>0</v>
      </c>
      <c r="AC30" s="566">
        <f t="shared" si="11"/>
        <v>0</v>
      </c>
      <c r="AD30" s="566">
        <f t="shared" si="12"/>
        <v>0</v>
      </c>
      <c r="AE30" s="573"/>
    </row>
    <row r="31" spans="1:31" ht="25.15" customHeight="1">
      <c r="A31" s="543">
        <v>22</v>
      </c>
      <c r="B31" s="544"/>
      <c r="C31" s="541" t="str">
        <f>'LAP. PENJUALAN '!C31</f>
        <v>Paket Segar 7 (Es Teh / S-tee)</v>
      </c>
      <c r="D31" s="694"/>
      <c r="E31" s="694"/>
      <c r="F31" s="694"/>
      <c r="G31" s="694"/>
      <c r="H31" s="694"/>
      <c r="I31" s="694"/>
      <c r="J31" s="694"/>
      <c r="K31" s="694"/>
      <c r="L31" s="694"/>
      <c r="M31" s="694"/>
      <c r="N31" s="554">
        <f t="shared" si="0"/>
        <v>0</v>
      </c>
      <c r="O31" s="554">
        <f t="shared" si="1"/>
        <v>0</v>
      </c>
      <c r="P31" s="555">
        <f>(O31/O243)*100</f>
        <v>0</v>
      </c>
      <c r="Q31" s="567"/>
      <c r="R31" s="555">
        <f t="shared" si="2"/>
        <v>0</v>
      </c>
      <c r="S31" s="698"/>
      <c r="U31" s="566">
        <f t="shared" si="3"/>
        <v>0</v>
      </c>
      <c r="V31" s="566">
        <f t="shared" si="4"/>
        <v>0</v>
      </c>
      <c r="W31" s="566">
        <f t="shared" si="5"/>
        <v>0</v>
      </c>
      <c r="X31" s="566">
        <f t="shared" si="6"/>
        <v>0</v>
      </c>
      <c r="Y31" s="566">
        <f t="shared" si="7"/>
        <v>0</v>
      </c>
      <c r="Z31" s="566">
        <f t="shared" si="8"/>
        <v>0</v>
      </c>
      <c r="AA31" s="566">
        <f t="shared" si="9"/>
        <v>0</v>
      </c>
      <c r="AB31" s="566">
        <f t="shared" si="10"/>
        <v>0</v>
      </c>
      <c r="AC31" s="566">
        <f t="shared" si="11"/>
        <v>0</v>
      </c>
      <c r="AD31" s="566">
        <f t="shared" si="12"/>
        <v>0</v>
      </c>
      <c r="AE31" s="573"/>
    </row>
    <row r="32" spans="1:31" ht="25.15" customHeight="1">
      <c r="A32" s="543"/>
      <c r="B32" s="544" t="s">
        <v>1533</v>
      </c>
      <c r="C32" s="541"/>
      <c r="D32" s="694"/>
      <c r="E32" s="694"/>
      <c r="F32" s="694"/>
      <c r="G32" s="694"/>
      <c r="H32" s="694"/>
      <c r="I32" s="694"/>
      <c r="J32" s="694"/>
      <c r="K32" s="694"/>
      <c r="L32" s="694"/>
      <c r="M32" s="694"/>
      <c r="N32" s="554">
        <f t="shared" si="0"/>
        <v>0</v>
      </c>
      <c r="O32" s="554">
        <f t="shared" si="1"/>
        <v>0</v>
      </c>
      <c r="P32" s="555">
        <f>(O32/O243)*100</f>
        <v>0</v>
      </c>
      <c r="Q32" s="567"/>
      <c r="R32" s="555">
        <f t="shared" si="2"/>
        <v>0</v>
      </c>
      <c r="S32" s="698"/>
      <c r="U32" s="566">
        <f t="shared" si="3"/>
        <v>0</v>
      </c>
      <c r="V32" s="566">
        <f t="shared" si="4"/>
        <v>0</v>
      </c>
      <c r="W32" s="566">
        <f t="shared" si="5"/>
        <v>0</v>
      </c>
      <c r="X32" s="566">
        <f t="shared" si="6"/>
        <v>0</v>
      </c>
      <c r="Y32" s="566">
        <f t="shared" si="7"/>
        <v>0</v>
      </c>
      <c r="Z32" s="566">
        <f t="shared" si="8"/>
        <v>0</v>
      </c>
      <c r="AA32" s="566">
        <f t="shared" si="9"/>
        <v>0</v>
      </c>
      <c r="AB32" s="566">
        <f t="shared" si="10"/>
        <v>0</v>
      </c>
      <c r="AC32" s="566">
        <f t="shared" si="11"/>
        <v>0</v>
      </c>
      <c r="AD32" s="566">
        <f t="shared" si="12"/>
        <v>0</v>
      </c>
      <c r="AE32" s="573"/>
    </row>
    <row r="33" spans="1:31" ht="25.15" customHeight="1">
      <c r="A33" s="543">
        <v>23</v>
      </c>
      <c r="B33" s="544" t="s">
        <v>1307</v>
      </c>
      <c r="C33" s="541" t="str">
        <f>'LAP. PENJUALAN '!C33</f>
        <v>Paket Rocket 1 Dine In</v>
      </c>
      <c r="D33" s="694"/>
      <c r="E33" s="694"/>
      <c r="F33" s="694"/>
      <c r="G33" s="694"/>
      <c r="H33" s="694"/>
      <c r="I33" s="694"/>
      <c r="J33" s="694"/>
      <c r="K33" s="694"/>
      <c r="L33" s="694"/>
      <c r="M33" s="694"/>
      <c r="N33" s="554">
        <f t="shared" si="0"/>
        <v>0</v>
      </c>
      <c r="O33" s="554">
        <f t="shared" si="1"/>
        <v>0</v>
      </c>
      <c r="P33" s="555">
        <f>(O33/O243)*100</f>
        <v>0</v>
      </c>
      <c r="Q33" s="567"/>
      <c r="R33" s="555">
        <f t="shared" si="2"/>
        <v>0</v>
      </c>
      <c r="S33" s="698"/>
      <c r="U33" s="566">
        <f t="shared" si="3"/>
        <v>0</v>
      </c>
      <c r="V33" s="566">
        <f t="shared" si="4"/>
        <v>0</v>
      </c>
      <c r="W33" s="566">
        <f t="shared" si="5"/>
        <v>0</v>
      </c>
      <c r="X33" s="566">
        <f t="shared" si="6"/>
        <v>0</v>
      </c>
      <c r="Y33" s="566">
        <f t="shared" si="7"/>
        <v>0</v>
      </c>
      <c r="Z33" s="566">
        <f t="shared" si="8"/>
        <v>0</v>
      </c>
      <c r="AA33" s="566">
        <f t="shared" si="9"/>
        <v>0</v>
      </c>
      <c r="AB33" s="566">
        <f t="shared" si="10"/>
        <v>0</v>
      </c>
      <c r="AC33" s="566">
        <f t="shared" si="11"/>
        <v>0</v>
      </c>
      <c r="AD33" s="566">
        <f t="shared" si="12"/>
        <v>0</v>
      </c>
      <c r="AE33" s="573"/>
    </row>
    <row r="34" spans="1:31" ht="25.15" customHeight="1">
      <c r="A34" s="543">
        <v>24</v>
      </c>
      <c r="B34" s="544" t="s">
        <v>1308</v>
      </c>
      <c r="C34" s="541" t="str">
        <f>'LAP. PENJUALAN '!C34</f>
        <v>Paket Rocket 1 Take Away</v>
      </c>
      <c r="D34" s="694">
        <v>9</v>
      </c>
      <c r="E34" s="694">
        <v>1</v>
      </c>
      <c r="F34" s="694">
        <v>3</v>
      </c>
      <c r="G34" s="694">
        <v>5</v>
      </c>
      <c r="H34" s="694">
        <v>6</v>
      </c>
      <c r="I34" s="694">
        <v>6</v>
      </c>
      <c r="J34" s="694">
        <v>5</v>
      </c>
      <c r="K34" s="694"/>
      <c r="L34" s="694"/>
      <c r="M34" s="694"/>
      <c r="N34" s="554">
        <f t="shared" si="0"/>
        <v>35</v>
      </c>
      <c r="O34" s="554">
        <f t="shared" si="1"/>
        <v>774200</v>
      </c>
      <c r="P34" s="555">
        <f>(O34/O243)*100</f>
        <v>14.151443476480701</v>
      </c>
      <c r="Q34" s="567"/>
      <c r="R34" s="555">
        <f t="shared" si="2"/>
        <v>0</v>
      </c>
      <c r="S34" s="697">
        <v>22120</v>
      </c>
      <c r="U34" s="566">
        <f t="shared" si="3"/>
        <v>199080</v>
      </c>
      <c r="V34" s="566">
        <f t="shared" si="4"/>
        <v>22120</v>
      </c>
      <c r="W34" s="566">
        <f t="shared" si="5"/>
        <v>66360</v>
      </c>
      <c r="X34" s="566">
        <f t="shared" si="6"/>
        <v>110600</v>
      </c>
      <c r="Y34" s="566">
        <f t="shared" si="7"/>
        <v>132720</v>
      </c>
      <c r="Z34" s="566">
        <f t="shared" si="8"/>
        <v>132720</v>
      </c>
      <c r="AA34" s="566">
        <f t="shared" si="9"/>
        <v>110600</v>
      </c>
      <c r="AB34" s="566">
        <f t="shared" si="10"/>
        <v>0</v>
      </c>
      <c r="AC34" s="566">
        <f t="shared" si="11"/>
        <v>0</v>
      </c>
      <c r="AD34" s="566">
        <f t="shared" si="12"/>
        <v>0</v>
      </c>
      <c r="AE34" s="573"/>
    </row>
    <row r="35" spans="1:31" ht="25.15" customHeight="1">
      <c r="A35" s="543">
        <v>25</v>
      </c>
      <c r="B35" s="544" t="s">
        <v>1309</v>
      </c>
      <c r="C35" s="541" t="str">
        <f>'LAP. PENJUALAN '!C35</f>
        <v>Paket Rocket 2</v>
      </c>
      <c r="D35" s="694">
        <v>2</v>
      </c>
      <c r="E35" s="694"/>
      <c r="F35" s="694"/>
      <c r="G35" s="694">
        <v>2</v>
      </c>
      <c r="H35" s="694">
        <v>2</v>
      </c>
      <c r="I35" s="694"/>
      <c r="J35" s="694">
        <v>1</v>
      </c>
      <c r="K35" s="694"/>
      <c r="L35" s="694"/>
      <c r="M35" s="694"/>
      <c r="N35" s="554">
        <f t="shared" si="0"/>
        <v>7</v>
      </c>
      <c r="O35" s="554">
        <f t="shared" si="1"/>
        <v>232260</v>
      </c>
      <c r="P35" s="555">
        <f>(O35/O243)*100</f>
        <v>4.2454330429442004</v>
      </c>
      <c r="Q35" s="567"/>
      <c r="R35" s="555">
        <f t="shared" si="2"/>
        <v>0</v>
      </c>
      <c r="S35" s="697">
        <v>33180</v>
      </c>
      <c r="U35" s="566">
        <f t="shared" si="3"/>
        <v>66360</v>
      </c>
      <c r="V35" s="566">
        <f t="shared" si="4"/>
        <v>0</v>
      </c>
      <c r="W35" s="566">
        <f t="shared" si="5"/>
        <v>0</v>
      </c>
      <c r="X35" s="566">
        <f t="shared" si="6"/>
        <v>66360</v>
      </c>
      <c r="Y35" s="566">
        <f t="shared" si="7"/>
        <v>66360</v>
      </c>
      <c r="Z35" s="566">
        <f t="shared" si="8"/>
        <v>0</v>
      </c>
      <c r="AA35" s="566">
        <f t="shared" si="9"/>
        <v>33180</v>
      </c>
      <c r="AB35" s="566">
        <f t="shared" si="10"/>
        <v>0</v>
      </c>
      <c r="AC35" s="566">
        <f t="shared" si="11"/>
        <v>0</v>
      </c>
      <c r="AD35" s="566">
        <f t="shared" si="12"/>
        <v>0</v>
      </c>
      <c r="AE35" s="573"/>
    </row>
    <row r="36" spans="1:31" ht="25.15" customHeight="1">
      <c r="A36" s="543">
        <v>26</v>
      </c>
      <c r="B36" s="544" t="s">
        <v>1310</v>
      </c>
      <c r="C36" s="541" t="str">
        <f>'LAP. PENJUALAN '!C36</f>
        <v>Paket Rocket 3</v>
      </c>
      <c r="D36" s="694"/>
      <c r="E36" s="694"/>
      <c r="F36" s="694"/>
      <c r="G36" s="694"/>
      <c r="H36" s="694"/>
      <c r="I36" s="694"/>
      <c r="J36" s="694"/>
      <c r="K36" s="694"/>
      <c r="L36" s="694"/>
      <c r="M36" s="694"/>
      <c r="N36" s="554">
        <f t="shared" si="0"/>
        <v>0</v>
      </c>
      <c r="O36" s="554">
        <f t="shared" si="1"/>
        <v>0</v>
      </c>
      <c r="P36" s="555">
        <f>(O36/O243)*100</f>
        <v>0</v>
      </c>
      <c r="Q36" s="567"/>
      <c r="R36" s="555">
        <f t="shared" si="2"/>
        <v>0</v>
      </c>
      <c r="S36" s="697">
        <v>31600</v>
      </c>
      <c r="U36" s="566">
        <f t="shared" si="3"/>
        <v>0</v>
      </c>
      <c r="V36" s="566">
        <f t="shared" si="4"/>
        <v>0</v>
      </c>
      <c r="W36" s="566">
        <f t="shared" si="5"/>
        <v>0</v>
      </c>
      <c r="X36" s="566">
        <f t="shared" si="6"/>
        <v>0</v>
      </c>
      <c r="Y36" s="566">
        <f t="shared" si="7"/>
        <v>0</v>
      </c>
      <c r="Z36" s="566">
        <f t="shared" si="8"/>
        <v>0</v>
      </c>
      <c r="AA36" s="566">
        <f t="shared" si="9"/>
        <v>0</v>
      </c>
      <c r="AB36" s="566">
        <f t="shared" si="10"/>
        <v>0</v>
      </c>
      <c r="AC36" s="566">
        <f t="shared" si="11"/>
        <v>0</v>
      </c>
      <c r="AD36" s="566">
        <f t="shared" si="12"/>
        <v>0</v>
      </c>
      <c r="AE36" s="573"/>
    </row>
    <row r="37" spans="1:31" ht="25.15" customHeight="1">
      <c r="A37" s="543">
        <v>27</v>
      </c>
      <c r="B37" s="544" t="s">
        <v>1311</v>
      </c>
      <c r="C37" s="541" t="str">
        <f>'LAP. PENJUALAN '!C37</f>
        <v>Paket Rocket 4</v>
      </c>
      <c r="D37" s="694">
        <v>2</v>
      </c>
      <c r="E37" s="694"/>
      <c r="F37" s="694">
        <v>1</v>
      </c>
      <c r="G37" s="694">
        <v>2</v>
      </c>
      <c r="H37" s="694">
        <v>1</v>
      </c>
      <c r="I37" s="694"/>
      <c r="J37" s="694"/>
      <c r="K37" s="694"/>
      <c r="L37" s="694"/>
      <c r="M37" s="694"/>
      <c r="N37" s="554">
        <f t="shared" si="0"/>
        <v>6</v>
      </c>
      <c r="O37" s="554">
        <f t="shared" si="1"/>
        <v>142200</v>
      </c>
      <c r="P37" s="555">
        <f>(O37/O243)*100</f>
        <v>2.5992447201699198</v>
      </c>
      <c r="Q37" s="567"/>
      <c r="R37" s="555">
        <f t="shared" si="2"/>
        <v>0</v>
      </c>
      <c r="S37" s="697">
        <v>23700</v>
      </c>
      <c r="U37" s="566">
        <f t="shared" si="3"/>
        <v>47400</v>
      </c>
      <c r="V37" s="566">
        <f t="shared" si="4"/>
        <v>0</v>
      </c>
      <c r="W37" s="566">
        <f t="shared" si="5"/>
        <v>23700</v>
      </c>
      <c r="X37" s="566">
        <f t="shared" si="6"/>
        <v>47400</v>
      </c>
      <c r="Y37" s="566">
        <f t="shared" si="7"/>
        <v>23700</v>
      </c>
      <c r="Z37" s="566">
        <f t="shared" si="8"/>
        <v>0</v>
      </c>
      <c r="AA37" s="566">
        <f t="shared" si="9"/>
        <v>0</v>
      </c>
      <c r="AB37" s="566">
        <f t="shared" si="10"/>
        <v>0</v>
      </c>
      <c r="AC37" s="566">
        <f t="shared" si="11"/>
        <v>0</v>
      </c>
      <c r="AD37" s="566">
        <f t="shared" si="12"/>
        <v>0</v>
      </c>
      <c r="AE37" s="573"/>
    </row>
    <row r="38" spans="1:31" ht="25.15" customHeight="1">
      <c r="A38" s="543">
        <v>28</v>
      </c>
      <c r="B38" s="544" t="s">
        <v>1312</v>
      </c>
      <c r="C38" s="541" t="str">
        <f>'LAP. PENJUALAN '!C38</f>
        <v>Paket Rocket 5</v>
      </c>
      <c r="D38" s="694"/>
      <c r="E38" s="694"/>
      <c r="F38" s="694">
        <v>1</v>
      </c>
      <c r="G38" s="694"/>
      <c r="H38" s="694"/>
      <c r="I38" s="694"/>
      <c r="J38" s="694"/>
      <c r="K38" s="694"/>
      <c r="L38" s="694"/>
      <c r="M38" s="694"/>
      <c r="N38" s="554">
        <f t="shared" si="0"/>
        <v>1</v>
      </c>
      <c r="O38" s="554">
        <f t="shared" si="1"/>
        <v>30600</v>
      </c>
      <c r="P38" s="555">
        <f>(O38/O243)*100</f>
        <v>0.55933114231504599</v>
      </c>
      <c r="Q38" s="567"/>
      <c r="R38" s="555">
        <f t="shared" si="2"/>
        <v>0</v>
      </c>
      <c r="S38" s="697">
        <v>30600</v>
      </c>
      <c r="U38" s="566">
        <f t="shared" si="3"/>
        <v>0</v>
      </c>
      <c r="V38" s="566">
        <f t="shared" si="4"/>
        <v>0</v>
      </c>
      <c r="W38" s="566">
        <f t="shared" si="5"/>
        <v>30600</v>
      </c>
      <c r="X38" s="566">
        <f t="shared" si="6"/>
        <v>0</v>
      </c>
      <c r="Y38" s="566">
        <f t="shared" si="7"/>
        <v>0</v>
      </c>
      <c r="Z38" s="566">
        <f t="shared" si="8"/>
        <v>0</v>
      </c>
      <c r="AA38" s="566">
        <f t="shared" si="9"/>
        <v>0</v>
      </c>
      <c r="AB38" s="566">
        <f t="shared" si="10"/>
        <v>0</v>
      </c>
      <c r="AC38" s="566">
        <f t="shared" si="11"/>
        <v>0</v>
      </c>
      <c r="AD38" s="566">
        <f t="shared" si="12"/>
        <v>0</v>
      </c>
      <c r="AE38" s="573"/>
    </row>
    <row r="39" spans="1:31" ht="25.15" customHeight="1">
      <c r="A39" s="543">
        <v>29</v>
      </c>
      <c r="B39" s="544" t="s">
        <v>1313</v>
      </c>
      <c r="C39" s="541" t="str">
        <f>'LAP. PENJUALAN '!C39</f>
        <v>Paket Rocket 6</v>
      </c>
      <c r="D39" s="694"/>
      <c r="E39" s="694"/>
      <c r="F39" s="694"/>
      <c r="G39" s="694"/>
      <c r="H39" s="694"/>
      <c r="I39" s="694"/>
      <c r="J39" s="694"/>
      <c r="K39" s="694"/>
      <c r="L39" s="694"/>
      <c r="M39" s="694"/>
      <c r="N39" s="554">
        <f t="shared" si="0"/>
        <v>0</v>
      </c>
      <c r="O39" s="554">
        <f t="shared" si="1"/>
        <v>0</v>
      </c>
      <c r="P39" s="555">
        <f>(O39/O243)*100</f>
        <v>0</v>
      </c>
      <c r="Q39" s="567"/>
      <c r="R39" s="555">
        <f t="shared" si="2"/>
        <v>0</v>
      </c>
      <c r="S39" s="697">
        <v>31600</v>
      </c>
      <c r="U39" s="566">
        <f t="shared" ref="U39:U41" si="13">D39*S39</f>
        <v>0</v>
      </c>
      <c r="V39" s="566">
        <f t="shared" ref="V39:V41" si="14">E39*S39</f>
        <v>0</v>
      </c>
      <c r="W39" s="566">
        <f t="shared" ref="W39:W41" si="15">F39*S39</f>
        <v>0</v>
      </c>
      <c r="X39" s="566">
        <f t="shared" ref="X39:X41" si="16">G39*S39</f>
        <v>0</v>
      </c>
      <c r="Y39" s="566">
        <f t="shared" ref="Y39:Y41" si="17">H39*S39</f>
        <v>0</v>
      </c>
      <c r="Z39" s="566">
        <f t="shared" ref="Z39:Z41" si="18">I39*S39</f>
        <v>0</v>
      </c>
      <c r="AA39" s="566">
        <f t="shared" ref="AA39:AA41" si="19">J39*S39</f>
        <v>0</v>
      </c>
      <c r="AB39" s="566">
        <f t="shared" ref="AB39:AB41" si="20">K39*S39</f>
        <v>0</v>
      </c>
      <c r="AC39" s="566">
        <f t="shared" ref="AC39:AC41" si="21">L39*S39</f>
        <v>0</v>
      </c>
      <c r="AD39" s="566">
        <f t="shared" ref="AD39:AD41" si="22">M39*S39</f>
        <v>0</v>
      </c>
      <c r="AE39" s="573"/>
    </row>
    <row r="40" spans="1:31" ht="25.15" customHeight="1">
      <c r="A40" s="543">
        <v>30</v>
      </c>
      <c r="B40" s="544" t="s">
        <v>1314</v>
      </c>
      <c r="C40" s="541" t="str">
        <f>'LAP. PENJUALAN '!C40</f>
        <v>Paket Rocket 7</v>
      </c>
      <c r="D40" s="694"/>
      <c r="E40" s="694">
        <v>7</v>
      </c>
      <c r="F40" s="694">
        <v>2</v>
      </c>
      <c r="G40" s="694">
        <v>4</v>
      </c>
      <c r="H40" s="694">
        <v>1</v>
      </c>
      <c r="I40" s="694"/>
      <c r="J40" s="694">
        <v>1</v>
      </c>
      <c r="K40" s="694"/>
      <c r="L40" s="694"/>
      <c r="M40" s="694"/>
      <c r="N40" s="554">
        <f t="shared" si="0"/>
        <v>15</v>
      </c>
      <c r="O40" s="554">
        <f t="shared" si="1"/>
        <v>497700</v>
      </c>
      <c r="P40" s="555">
        <f>(O40/O243)*100</f>
        <v>9.0973565205947207</v>
      </c>
      <c r="Q40" s="567"/>
      <c r="R40" s="555">
        <f t="shared" si="2"/>
        <v>0</v>
      </c>
      <c r="S40" s="697">
        <v>33180</v>
      </c>
      <c r="U40" s="566">
        <f t="shared" si="13"/>
        <v>0</v>
      </c>
      <c r="V40" s="566">
        <f t="shared" si="14"/>
        <v>232260</v>
      </c>
      <c r="W40" s="566">
        <f t="shared" si="15"/>
        <v>66360</v>
      </c>
      <c r="X40" s="566">
        <f t="shared" si="16"/>
        <v>132720</v>
      </c>
      <c r="Y40" s="566">
        <f t="shared" si="17"/>
        <v>33180</v>
      </c>
      <c r="Z40" s="566">
        <f t="shared" si="18"/>
        <v>0</v>
      </c>
      <c r="AA40" s="566">
        <f t="shared" si="19"/>
        <v>33180</v>
      </c>
      <c r="AB40" s="566">
        <f t="shared" si="20"/>
        <v>0</v>
      </c>
      <c r="AC40" s="566">
        <f t="shared" si="21"/>
        <v>0</v>
      </c>
      <c r="AD40" s="566">
        <f t="shared" si="22"/>
        <v>0</v>
      </c>
      <c r="AE40" s="573"/>
    </row>
    <row r="41" spans="1:31" ht="25.15" customHeight="1">
      <c r="A41" s="543">
        <v>31</v>
      </c>
      <c r="B41" s="544" t="s">
        <v>1315</v>
      </c>
      <c r="C41" s="541" t="str">
        <f>'LAP. PENJUALAN '!C41</f>
        <v>Paket Rocket 8</v>
      </c>
      <c r="D41" s="694"/>
      <c r="E41" s="694"/>
      <c r="F41" s="694"/>
      <c r="G41" s="694"/>
      <c r="H41" s="694"/>
      <c r="I41" s="694"/>
      <c r="J41" s="694"/>
      <c r="K41" s="694"/>
      <c r="L41" s="694"/>
      <c r="M41" s="694"/>
      <c r="N41" s="554">
        <f t="shared" si="0"/>
        <v>0</v>
      </c>
      <c r="O41" s="554">
        <f t="shared" si="1"/>
        <v>0</v>
      </c>
      <c r="P41" s="555">
        <f>(O41/O243)*100</f>
        <v>0</v>
      </c>
      <c r="Q41" s="567"/>
      <c r="R41" s="555">
        <f t="shared" si="2"/>
        <v>0</v>
      </c>
      <c r="S41" s="697">
        <v>30500</v>
      </c>
      <c r="U41" s="566">
        <f t="shared" si="13"/>
        <v>0</v>
      </c>
      <c r="V41" s="566">
        <f t="shared" si="14"/>
        <v>0</v>
      </c>
      <c r="W41" s="566">
        <f t="shared" si="15"/>
        <v>0</v>
      </c>
      <c r="X41" s="566">
        <f t="shared" si="16"/>
        <v>0</v>
      </c>
      <c r="Y41" s="566">
        <f t="shared" si="17"/>
        <v>0</v>
      </c>
      <c r="Z41" s="566">
        <f t="shared" si="18"/>
        <v>0</v>
      </c>
      <c r="AA41" s="566">
        <f t="shared" si="19"/>
        <v>0</v>
      </c>
      <c r="AB41" s="566">
        <f t="shared" si="20"/>
        <v>0</v>
      </c>
      <c r="AC41" s="566">
        <f t="shared" si="21"/>
        <v>0</v>
      </c>
      <c r="AD41" s="566">
        <f t="shared" si="22"/>
        <v>0</v>
      </c>
      <c r="AE41" s="573"/>
    </row>
    <row r="42" spans="1:31" ht="25.15" customHeight="1">
      <c r="A42" s="543">
        <v>32</v>
      </c>
      <c r="B42" s="544"/>
      <c r="C42" s="541" t="str">
        <f>'LAP. PENJUALAN '!C42</f>
        <v>Paket Rocket 9</v>
      </c>
      <c r="D42" s="694"/>
      <c r="E42" s="694"/>
      <c r="F42" s="694"/>
      <c r="G42" s="694"/>
      <c r="H42" s="694"/>
      <c r="I42" s="694"/>
      <c r="J42" s="694"/>
      <c r="K42" s="694"/>
      <c r="L42" s="694"/>
      <c r="M42" s="694"/>
      <c r="N42" s="554">
        <f t="shared" si="0"/>
        <v>0</v>
      </c>
      <c r="O42" s="554">
        <f t="shared" si="1"/>
        <v>0</v>
      </c>
      <c r="P42" s="555">
        <f>(O42/O243)*100</f>
        <v>0</v>
      </c>
      <c r="Q42" s="567"/>
      <c r="R42" s="555">
        <f t="shared" si="2"/>
        <v>0</v>
      </c>
      <c r="S42" s="697">
        <v>34760</v>
      </c>
      <c r="U42" s="566">
        <f t="shared" si="3"/>
        <v>0</v>
      </c>
      <c r="V42" s="566">
        <f t="shared" si="4"/>
        <v>0</v>
      </c>
      <c r="W42" s="566">
        <f t="shared" si="5"/>
        <v>0</v>
      </c>
      <c r="X42" s="566">
        <f t="shared" si="6"/>
        <v>0</v>
      </c>
      <c r="Y42" s="566">
        <f t="shared" si="7"/>
        <v>0</v>
      </c>
      <c r="Z42" s="566">
        <f t="shared" si="8"/>
        <v>0</v>
      </c>
      <c r="AA42" s="566">
        <f t="shared" si="9"/>
        <v>0</v>
      </c>
      <c r="AB42" s="566">
        <f t="shared" si="10"/>
        <v>0</v>
      </c>
      <c r="AC42" s="566">
        <f t="shared" si="11"/>
        <v>0</v>
      </c>
      <c r="AD42" s="566">
        <f t="shared" si="12"/>
        <v>0</v>
      </c>
      <c r="AE42" s="573"/>
    </row>
    <row r="43" spans="1:31" ht="25.15" customHeight="1">
      <c r="A43" s="543">
        <v>33</v>
      </c>
      <c r="B43" s="545" t="s">
        <v>1316</v>
      </c>
      <c r="C43" s="541" t="str">
        <f>'LAP. PENJUALAN '!C43</f>
        <v>Paket Rocket 10</v>
      </c>
      <c r="D43" s="694"/>
      <c r="E43" s="694"/>
      <c r="F43" s="694"/>
      <c r="G43" s="694"/>
      <c r="H43" s="694"/>
      <c r="I43" s="694"/>
      <c r="J43" s="694"/>
      <c r="K43" s="694"/>
      <c r="L43" s="694"/>
      <c r="M43" s="694"/>
      <c r="N43" s="554">
        <f t="shared" si="0"/>
        <v>0</v>
      </c>
      <c r="O43" s="554">
        <f t="shared" si="1"/>
        <v>0</v>
      </c>
      <c r="P43" s="555">
        <f>(O43/O243)*100</f>
        <v>0</v>
      </c>
      <c r="Q43" s="567"/>
      <c r="R43" s="555">
        <f t="shared" si="2"/>
        <v>0</v>
      </c>
      <c r="S43" s="697">
        <v>32100</v>
      </c>
      <c r="U43" s="566">
        <f t="shared" si="3"/>
        <v>0</v>
      </c>
      <c r="V43" s="566">
        <f t="shared" si="4"/>
        <v>0</v>
      </c>
      <c r="W43" s="566">
        <f t="shared" si="5"/>
        <v>0</v>
      </c>
      <c r="X43" s="566">
        <f t="shared" si="6"/>
        <v>0</v>
      </c>
      <c r="Y43" s="566">
        <f t="shared" si="7"/>
        <v>0</v>
      </c>
      <c r="Z43" s="566">
        <f t="shared" si="8"/>
        <v>0</v>
      </c>
      <c r="AA43" s="566">
        <f t="shared" si="9"/>
        <v>0</v>
      </c>
      <c r="AB43" s="566">
        <f t="shared" si="10"/>
        <v>0</v>
      </c>
      <c r="AC43" s="566">
        <f t="shared" si="11"/>
        <v>0</v>
      </c>
      <c r="AD43" s="566">
        <f t="shared" si="12"/>
        <v>0</v>
      </c>
      <c r="AE43" s="573"/>
    </row>
    <row r="44" spans="1:31" ht="25.15" customHeight="1">
      <c r="A44" s="543"/>
      <c r="B44" s="546" t="s">
        <v>1317</v>
      </c>
      <c r="C44" s="541"/>
      <c r="D44" s="694"/>
      <c r="E44" s="694"/>
      <c r="F44" s="694"/>
      <c r="G44" s="694"/>
      <c r="H44" s="694"/>
      <c r="I44" s="694"/>
      <c r="J44" s="694"/>
      <c r="K44" s="694"/>
      <c r="L44" s="694"/>
      <c r="M44" s="694"/>
      <c r="N44" s="554">
        <f t="shared" si="0"/>
        <v>0</v>
      </c>
      <c r="O44" s="554">
        <f t="shared" si="1"/>
        <v>0</v>
      </c>
      <c r="P44" s="555">
        <f>(O44/O243)*100</f>
        <v>0</v>
      </c>
      <c r="Q44" s="567"/>
      <c r="R44" s="555">
        <f t="shared" si="2"/>
        <v>0</v>
      </c>
      <c r="S44" s="698"/>
      <c r="U44" s="566">
        <f t="shared" si="3"/>
        <v>0</v>
      </c>
      <c r="V44" s="566">
        <f t="shared" si="4"/>
        <v>0</v>
      </c>
      <c r="W44" s="566">
        <f t="shared" si="5"/>
        <v>0</v>
      </c>
      <c r="X44" s="566">
        <f t="shared" si="6"/>
        <v>0</v>
      </c>
      <c r="Y44" s="566">
        <f t="shared" si="7"/>
        <v>0</v>
      </c>
      <c r="Z44" s="566">
        <f t="shared" si="8"/>
        <v>0</v>
      </c>
      <c r="AA44" s="566">
        <f t="shared" si="9"/>
        <v>0</v>
      </c>
      <c r="AB44" s="566">
        <f t="shared" si="10"/>
        <v>0</v>
      </c>
      <c r="AC44" s="566">
        <f t="shared" si="11"/>
        <v>0</v>
      </c>
      <c r="AD44" s="566">
        <f t="shared" si="12"/>
        <v>0</v>
      </c>
      <c r="AE44" s="573"/>
    </row>
    <row r="45" spans="1:31" ht="25.15" customHeight="1">
      <c r="A45" s="543">
        <v>34</v>
      </c>
      <c r="B45" s="546" t="s">
        <v>1318</v>
      </c>
      <c r="C45" s="541" t="str">
        <f>'LAP. PENJUALAN '!C45</f>
        <v>Paket Roma 1</v>
      </c>
      <c r="D45" s="694"/>
      <c r="E45" s="694"/>
      <c r="F45" s="694"/>
      <c r="G45" s="694"/>
      <c r="H45" s="694"/>
      <c r="I45" s="694"/>
      <c r="J45" s="694"/>
      <c r="K45" s="694"/>
      <c r="L45" s="694"/>
      <c r="M45" s="694"/>
      <c r="N45" s="554">
        <f t="shared" si="0"/>
        <v>0</v>
      </c>
      <c r="O45" s="554">
        <f t="shared" si="1"/>
        <v>0</v>
      </c>
      <c r="P45" s="555">
        <f>(O45/O243)*100</f>
        <v>0</v>
      </c>
      <c r="Q45" s="567"/>
      <c r="R45" s="555">
        <f t="shared" si="2"/>
        <v>0</v>
      </c>
      <c r="S45" s="697">
        <v>33180</v>
      </c>
      <c r="U45" s="566">
        <f t="shared" si="3"/>
        <v>0</v>
      </c>
      <c r="V45" s="566">
        <f t="shared" si="4"/>
        <v>0</v>
      </c>
      <c r="W45" s="566">
        <f t="shared" si="5"/>
        <v>0</v>
      </c>
      <c r="X45" s="566">
        <f t="shared" si="6"/>
        <v>0</v>
      </c>
      <c r="Y45" s="566">
        <f t="shared" si="7"/>
        <v>0</v>
      </c>
      <c r="Z45" s="566">
        <f t="shared" si="8"/>
        <v>0</v>
      </c>
      <c r="AA45" s="566">
        <f t="shared" si="9"/>
        <v>0</v>
      </c>
      <c r="AB45" s="566">
        <f t="shared" si="10"/>
        <v>0</v>
      </c>
      <c r="AC45" s="566">
        <f t="shared" si="11"/>
        <v>0</v>
      </c>
      <c r="AD45" s="566">
        <f t="shared" si="12"/>
        <v>0</v>
      </c>
      <c r="AE45" s="573"/>
    </row>
    <row r="46" spans="1:31" ht="25.15" customHeight="1">
      <c r="A46" s="543">
        <v>35</v>
      </c>
      <c r="B46" s="546" t="s">
        <v>1319</v>
      </c>
      <c r="C46" s="541" t="str">
        <f>'LAP. PENJUALAN '!C46</f>
        <v>Paket Roma 2</v>
      </c>
      <c r="D46" s="694"/>
      <c r="E46" s="694"/>
      <c r="F46" s="694"/>
      <c r="G46" s="694"/>
      <c r="H46" s="694"/>
      <c r="I46" s="694"/>
      <c r="J46" s="694"/>
      <c r="K46" s="694"/>
      <c r="L46" s="694"/>
      <c r="M46" s="694"/>
      <c r="N46" s="554">
        <f t="shared" si="0"/>
        <v>0</v>
      </c>
      <c r="O46" s="554">
        <f t="shared" si="1"/>
        <v>0</v>
      </c>
      <c r="P46" s="555">
        <f>(O46/O243)*100</f>
        <v>0</v>
      </c>
      <c r="Q46" s="567"/>
      <c r="R46" s="555">
        <f t="shared" si="2"/>
        <v>0</v>
      </c>
      <c r="S46" s="697">
        <v>33180</v>
      </c>
      <c r="U46" s="566">
        <f t="shared" si="3"/>
        <v>0</v>
      </c>
      <c r="V46" s="566">
        <f t="shared" si="4"/>
        <v>0</v>
      </c>
      <c r="W46" s="566">
        <f t="shared" si="5"/>
        <v>0</v>
      </c>
      <c r="X46" s="566">
        <f t="shared" si="6"/>
        <v>0</v>
      </c>
      <c r="Y46" s="566">
        <f t="shared" si="7"/>
        <v>0</v>
      </c>
      <c r="Z46" s="566">
        <f t="shared" si="8"/>
        <v>0</v>
      </c>
      <c r="AA46" s="566">
        <f t="shared" si="9"/>
        <v>0</v>
      </c>
      <c r="AB46" s="566">
        <f t="shared" si="10"/>
        <v>0</v>
      </c>
      <c r="AC46" s="566">
        <f t="shared" si="11"/>
        <v>0</v>
      </c>
      <c r="AD46" s="566">
        <f t="shared" si="12"/>
        <v>0</v>
      </c>
      <c r="AE46" s="573"/>
    </row>
    <row r="47" spans="1:31" ht="25.15" customHeight="1">
      <c r="A47" s="543">
        <v>36</v>
      </c>
      <c r="B47" s="546" t="s">
        <v>1320</v>
      </c>
      <c r="C47" s="541" t="str">
        <f>'LAP. PENJUALAN '!C47</f>
        <v>Paket Roma 3</v>
      </c>
      <c r="D47" s="694"/>
      <c r="E47" s="694"/>
      <c r="F47" s="694"/>
      <c r="G47" s="694"/>
      <c r="H47" s="694"/>
      <c r="I47" s="694"/>
      <c r="J47" s="694"/>
      <c r="K47" s="694"/>
      <c r="L47" s="694"/>
      <c r="M47" s="694"/>
      <c r="N47" s="554">
        <f t="shared" si="0"/>
        <v>0</v>
      </c>
      <c r="O47" s="554">
        <f t="shared" si="1"/>
        <v>0</v>
      </c>
      <c r="P47" s="555">
        <f>(O47/O243)*100</f>
        <v>0</v>
      </c>
      <c r="Q47" s="567"/>
      <c r="R47" s="555">
        <f t="shared" si="2"/>
        <v>0</v>
      </c>
      <c r="S47" s="697">
        <v>36340</v>
      </c>
      <c r="U47" s="566">
        <f t="shared" si="3"/>
        <v>0</v>
      </c>
      <c r="V47" s="566">
        <f t="shared" si="4"/>
        <v>0</v>
      </c>
      <c r="W47" s="566">
        <f t="shared" si="5"/>
        <v>0</v>
      </c>
      <c r="X47" s="566">
        <f t="shared" si="6"/>
        <v>0</v>
      </c>
      <c r="Y47" s="566">
        <f t="shared" si="7"/>
        <v>0</v>
      </c>
      <c r="Z47" s="566">
        <f t="shared" si="8"/>
        <v>0</v>
      </c>
      <c r="AA47" s="566">
        <f t="shared" si="9"/>
        <v>0</v>
      </c>
      <c r="AB47" s="566">
        <f t="shared" si="10"/>
        <v>0</v>
      </c>
      <c r="AC47" s="566">
        <f t="shared" si="11"/>
        <v>0</v>
      </c>
      <c r="AD47" s="566">
        <f t="shared" si="12"/>
        <v>0</v>
      </c>
      <c r="AE47" s="573"/>
    </row>
    <row r="48" spans="1:31" ht="25.15" customHeight="1">
      <c r="A48" s="543">
        <v>37</v>
      </c>
      <c r="B48" s="546"/>
      <c r="C48" s="541" t="str">
        <f>'LAP. PENJUALAN '!C48</f>
        <v>Paket Roma 4</v>
      </c>
      <c r="D48" s="694"/>
      <c r="E48" s="694"/>
      <c r="F48" s="694"/>
      <c r="G48" s="694"/>
      <c r="H48" s="694"/>
      <c r="I48" s="694"/>
      <c r="J48" s="694"/>
      <c r="K48" s="694"/>
      <c r="L48" s="694"/>
      <c r="M48" s="694"/>
      <c r="N48" s="554">
        <f t="shared" si="0"/>
        <v>0</v>
      </c>
      <c r="O48" s="554">
        <f t="shared" si="1"/>
        <v>0</v>
      </c>
      <c r="P48" s="555">
        <f>(O48/O243)*100</f>
        <v>0</v>
      </c>
      <c r="Q48" s="567"/>
      <c r="R48" s="555">
        <f t="shared" si="2"/>
        <v>0</v>
      </c>
      <c r="S48" s="697">
        <v>36340</v>
      </c>
      <c r="U48" s="566">
        <f t="shared" si="3"/>
        <v>0</v>
      </c>
      <c r="V48" s="566">
        <f t="shared" si="4"/>
        <v>0</v>
      </c>
      <c r="W48" s="566">
        <f t="shared" si="5"/>
        <v>0</v>
      </c>
      <c r="X48" s="566">
        <f t="shared" si="6"/>
        <v>0</v>
      </c>
      <c r="Y48" s="566">
        <f t="shared" si="7"/>
        <v>0</v>
      </c>
      <c r="Z48" s="566">
        <f t="shared" si="8"/>
        <v>0</v>
      </c>
      <c r="AA48" s="566">
        <f t="shared" si="9"/>
        <v>0</v>
      </c>
      <c r="AB48" s="566">
        <f t="shared" si="10"/>
        <v>0</v>
      </c>
      <c r="AC48" s="566">
        <f t="shared" si="11"/>
        <v>0</v>
      </c>
      <c r="AD48" s="566">
        <f t="shared" si="12"/>
        <v>0</v>
      </c>
      <c r="AE48" s="573"/>
    </row>
    <row r="49" spans="1:31" ht="25.15" customHeight="1">
      <c r="A49" s="543">
        <v>38</v>
      </c>
      <c r="B49" s="546" t="s">
        <v>1534</v>
      </c>
      <c r="C49" s="541" t="str">
        <f>'LAP. PENJUALAN '!C49</f>
        <v>Paket Roma 5</v>
      </c>
      <c r="D49" s="694"/>
      <c r="E49" s="694"/>
      <c r="F49" s="694"/>
      <c r="G49" s="694"/>
      <c r="H49" s="694"/>
      <c r="I49" s="694"/>
      <c r="J49" s="694"/>
      <c r="K49" s="694"/>
      <c r="L49" s="694"/>
      <c r="M49" s="694"/>
      <c r="N49" s="554">
        <f t="shared" si="0"/>
        <v>0</v>
      </c>
      <c r="O49" s="554">
        <f t="shared" si="1"/>
        <v>0</v>
      </c>
      <c r="P49" s="555">
        <f>(O49/O243)*100</f>
        <v>0</v>
      </c>
      <c r="Q49" s="567"/>
      <c r="R49" s="555">
        <f t="shared" si="2"/>
        <v>0</v>
      </c>
      <c r="S49" s="697">
        <v>34760</v>
      </c>
      <c r="U49" s="566">
        <f t="shared" si="3"/>
        <v>0</v>
      </c>
      <c r="V49" s="566">
        <f t="shared" si="4"/>
        <v>0</v>
      </c>
      <c r="W49" s="566">
        <f t="shared" si="5"/>
        <v>0</v>
      </c>
      <c r="X49" s="566">
        <f t="shared" si="6"/>
        <v>0</v>
      </c>
      <c r="Y49" s="566">
        <f t="shared" si="7"/>
        <v>0</v>
      </c>
      <c r="Z49" s="566">
        <f t="shared" si="8"/>
        <v>0</v>
      </c>
      <c r="AA49" s="566">
        <f t="shared" si="9"/>
        <v>0</v>
      </c>
      <c r="AB49" s="566">
        <f t="shared" si="10"/>
        <v>0</v>
      </c>
      <c r="AC49" s="566">
        <f t="shared" si="11"/>
        <v>0</v>
      </c>
      <c r="AD49" s="566">
        <f t="shared" si="12"/>
        <v>0</v>
      </c>
      <c r="AE49" s="573"/>
    </row>
    <row r="50" spans="1:31" ht="25.15" customHeight="1">
      <c r="A50" s="543"/>
      <c r="B50" s="546" t="s">
        <v>1535</v>
      </c>
      <c r="C50" s="541"/>
      <c r="D50" s="694"/>
      <c r="E50" s="694"/>
      <c r="F50" s="694"/>
      <c r="G50" s="694"/>
      <c r="H50" s="694"/>
      <c r="I50" s="694"/>
      <c r="J50" s="694"/>
      <c r="K50" s="694"/>
      <c r="L50" s="694"/>
      <c r="M50" s="694"/>
      <c r="N50" s="554">
        <f t="shared" si="0"/>
        <v>0</v>
      </c>
      <c r="O50" s="554">
        <f t="shared" si="1"/>
        <v>0</v>
      </c>
      <c r="P50" s="555">
        <f>(O50/O243)*100</f>
        <v>0</v>
      </c>
      <c r="Q50" s="567"/>
      <c r="R50" s="555">
        <f t="shared" si="2"/>
        <v>0</v>
      </c>
      <c r="S50" s="697"/>
      <c r="U50" s="566">
        <f t="shared" si="3"/>
        <v>0</v>
      </c>
      <c r="V50" s="566">
        <f t="shared" si="4"/>
        <v>0</v>
      </c>
      <c r="W50" s="566">
        <f t="shared" si="5"/>
        <v>0</v>
      </c>
      <c r="X50" s="566">
        <f t="shared" si="6"/>
        <v>0</v>
      </c>
      <c r="Y50" s="566">
        <f t="shared" si="7"/>
        <v>0</v>
      </c>
      <c r="Z50" s="566">
        <f t="shared" si="8"/>
        <v>0</v>
      </c>
      <c r="AA50" s="566">
        <f t="shared" si="9"/>
        <v>0</v>
      </c>
      <c r="AB50" s="566">
        <f t="shared" si="10"/>
        <v>0</v>
      </c>
      <c r="AC50" s="566">
        <f t="shared" si="11"/>
        <v>0</v>
      </c>
      <c r="AD50" s="566">
        <f t="shared" si="12"/>
        <v>0</v>
      </c>
      <c r="AE50" s="573"/>
    </row>
    <row r="51" spans="1:31" ht="25.15" customHeight="1">
      <c r="A51" s="543">
        <v>39</v>
      </c>
      <c r="B51" s="546" t="s">
        <v>1536</v>
      </c>
      <c r="C51" s="541" t="str">
        <f>'LAP. PENJUALAN '!C51</f>
        <v>Paket Geprek Bawang 1 (Es Teh / S-tee / Lemon Tea)</v>
      </c>
      <c r="D51" s="694"/>
      <c r="E51" s="694"/>
      <c r="F51" s="694"/>
      <c r="G51" s="694"/>
      <c r="H51" s="694"/>
      <c r="I51" s="694"/>
      <c r="J51" s="694"/>
      <c r="K51" s="694"/>
      <c r="L51" s="694"/>
      <c r="M51" s="694"/>
      <c r="N51" s="554">
        <f t="shared" si="0"/>
        <v>0</v>
      </c>
      <c r="O51" s="554">
        <f t="shared" si="1"/>
        <v>0</v>
      </c>
      <c r="P51" s="555">
        <f>(O51/O243)*100</f>
        <v>0</v>
      </c>
      <c r="Q51" s="567"/>
      <c r="R51" s="555">
        <f t="shared" si="2"/>
        <v>0</v>
      </c>
      <c r="S51" s="697">
        <v>33180</v>
      </c>
      <c r="U51" s="566">
        <f t="shared" si="3"/>
        <v>0</v>
      </c>
      <c r="V51" s="566">
        <f t="shared" si="4"/>
        <v>0</v>
      </c>
      <c r="W51" s="566">
        <f t="shared" si="5"/>
        <v>0</v>
      </c>
      <c r="X51" s="566">
        <f t="shared" si="6"/>
        <v>0</v>
      </c>
      <c r="Y51" s="566">
        <f t="shared" si="7"/>
        <v>0</v>
      </c>
      <c r="Z51" s="566">
        <f t="shared" si="8"/>
        <v>0</v>
      </c>
      <c r="AA51" s="566">
        <f t="shared" si="9"/>
        <v>0</v>
      </c>
      <c r="AB51" s="566">
        <f t="shared" si="10"/>
        <v>0</v>
      </c>
      <c r="AC51" s="566">
        <f t="shared" si="11"/>
        <v>0</v>
      </c>
      <c r="AD51" s="566">
        <f t="shared" si="12"/>
        <v>0</v>
      </c>
      <c r="AE51" s="573"/>
    </row>
    <row r="52" spans="1:31" ht="25.15" customHeight="1">
      <c r="A52" s="543">
        <v>40</v>
      </c>
      <c r="B52" s="546" t="s">
        <v>1537</v>
      </c>
      <c r="C52" s="541" t="str">
        <f>'LAP. PENJUALAN '!C52</f>
        <v>Paket Geprek Bawang 2 (Es Teh / S-tee / Lemon Tea)</v>
      </c>
      <c r="D52" s="694"/>
      <c r="E52" s="694"/>
      <c r="F52" s="694"/>
      <c r="G52" s="694"/>
      <c r="H52" s="694"/>
      <c r="I52" s="694">
        <v>2</v>
      </c>
      <c r="J52" s="694"/>
      <c r="K52" s="694"/>
      <c r="L52" s="694"/>
      <c r="M52" s="694"/>
      <c r="N52" s="554">
        <f t="shared" si="0"/>
        <v>2</v>
      </c>
      <c r="O52" s="554">
        <f t="shared" si="1"/>
        <v>69520</v>
      </c>
      <c r="P52" s="555">
        <f>(O52/O243)*100</f>
        <v>1.27074186319418</v>
      </c>
      <c r="Q52" s="567"/>
      <c r="R52" s="555">
        <f t="shared" si="2"/>
        <v>0</v>
      </c>
      <c r="S52" s="697">
        <v>34760</v>
      </c>
      <c r="U52" s="566">
        <f t="shared" si="3"/>
        <v>0</v>
      </c>
      <c r="V52" s="566">
        <f t="shared" si="4"/>
        <v>0</v>
      </c>
      <c r="W52" s="566">
        <f t="shared" si="5"/>
        <v>0</v>
      </c>
      <c r="X52" s="566">
        <f t="shared" si="6"/>
        <v>0</v>
      </c>
      <c r="Y52" s="566">
        <f t="shared" si="7"/>
        <v>0</v>
      </c>
      <c r="Z52" s="566">
        <f t="shared" si="8"/>
        <v>69520</v>
      </c>
      <c r="AA52" s="566">
        <f t="shared" si="9"/>
        <v>0</v>
      </c>
      <c r="AB52" s="566">
        <f t="shared" si="10"/>
        <v>0</v>
      </c>
      <c r="AC52" s="566">
        <f t="shared" si="11"/>
        <v>0</v>
      </c>
      <c r="AD52" s="566">
        <f t="shared" si="12"/>
        <v>0</v>
      </c>
      <c r="AE52" s="573"/>
    </row>
    <row r="53" spans="1:31" ht="25.15" customHeight="1">
      <c r="A53" s="543">
        <v>41</v>
      </c>
      <c r="B53" s="546" t="s">
        <v>1538</v>
      </c>
      <c r="C53" s="541" t="str">
        <f>'LAP. PENJUALAN '!C53</f>
        <v>Paket Geprek Bawang 3 (Es Teh / S-tee / Lemon Tea)</v>
      </c>
      <c r="D53" s="694"/>
      <c r="E53" s="694">
        <v>1</v>
      </c>
      <c r="F53" s="694">
        <v>2</v>
      </c>
      <c r="G53" s="694">
        <v>1</v>
      </c>
      <c r="H53" s="694"/>
      <c r="I53" s="694">
        <v>2</v>
      </c>
      <c r="J53" s="694">
        <v>1</v>
      </c>
      <c r="K53" s="694"/>
      <c r="L53" s="694"/>
      <c r="M53" s="694"/>
      <c r="N53" s="554">
        <f t="shared" si="0"/>
        <v>7</v>
      </c>
      <c r="O53" s="554">
        <f t="shared" si="1"/>
        <v>265440</v>
      </c>
      <c r="P53" s="555">
        <f>(O53/O243)*100</f>
        <v>4.8519234776505202</v>
      </c>
      <c r="Q53" s="567"/>
      <c r="R53" s="555">
        <f t="shared" si="2"/>
        <v>0</v>
      </c>
      <c r="S53" s="697">
        <v>37920</v>
      </c>
      <c r="U53" s="566">
        <f t="shared" si="3"/>
        <v>0</v>
      </c>
      <c r="V53" s="566">
        <f t="shared" si="4"/>
        <v>37920</v>
      </c>
      <c r="W53" s="566">
        <f t="shared" si="5"/>
        <v>75840</v>
      </c>
      <c r="X53" s="566">
        <f t="shared" si="6"/>
        <v>37920</v>
      </c>
      <c r="Y53" s="566">
        <f t="shared" si="7"/>
        <v>0</v>
      </c>
      <c r="Z53" s="566">
        <f t="shared" si="8"/>
        <v>75840</v>
      </c>
      <c r="AA53" s="566">
        <f t="shared" si="9"/>
        <v>37920</v>
      </c>
      <c r="AB53" s="566">
        <f t="shared" si="10"/>
        <v>0</v>
      </c>
      <c r="AC53" s="566">
        <f t="shared" si="11"/>
        <v>0</v>
      </c>
      <c r="AD53" s="566">
        <f t="shared" si="12"/>
        <v>0</v>
      </c>
      <c r="AE53" s="573"/>
    </row>
    <row r="54" spans="1:31" ht="25.15" customHeight="1">
      <c r="A54" s="543">
        <v>42</v>
      </c>
      <c r="B54" s="546" t="s">
        <v>1539</v>
      </c>
      <c r="C54" s="541" t="str">
        <f>'LAP. PENJUALAN '!C54</f>
        <v>Sayap Geprek Bawang</v>
      </c>
      <c r="D54" s="694"/>
      <c r="E54" s="694"/>
      <c r="F54" s="694"/>
      <c r="G54" s="694"/>
      <c r="H54" s="694"/>
      <c r="I54" s="694"/>
      <c r="J54" s="694"/>
      <c r="K54" s="694"/>
      <c r="L54" s="694"/>
      <c r="M54" s="694"/>
      <c r="N54" s="554">
        <f t="shared" si="0"/>
        <v>0</v>
      </c>
      <c r="O54" s="554">
        <f t="shared" si="1"/>
        <v>0</v>
      </c>
      <c r="P54" s="555">
        <f>(O54/O243)*100</f>
        <v>0</v>
      </c>
      <c r="Q54" s="567"/>
      <c r="R54" s="555">
        <f t="shared" si="2"/>
        <v>0</v>
      </c>
      <c r="S54" s="697">
        <v>22120</v>
      </c>
      <c r="U54" s="566">
        <f t="shared" si="3"/>
        <v>0</v>
      </c>
      <c r="V54" s="566">
        <f t="shared" si="4"/>
        <v>0</v>
      </c>
      <c r="W54" s="566">
        <f t="shared" si="5"/>
        <v>0</v>
      </c>
      <c r="X54" s="566">
        <f t="shared" si="6"/>
        <v>0</v>
      </c>
      <c r="Y54" s="566">
        <f t="shared" si="7"/>
        <v>0</v>
      </c>
      <c r="Z54" s="566">
        <f t="shared" si="8"/>
        <v>0</v>
      </c>
      <c r="AA54" s="566">
        <f t="shared" si="9"/>
        <v>0</v>
      </c>
      <c r="AB54" s="566">
        <f t="shared" si="10"/>
        <v>0</v>
      </c>
      <c r="AC54" s="566">
        <f t="shared" si="11"/>
        <v>0</v>
      </c>
      <c r="AD54" s="566">
        <f t="shared" si="12"/>
        <v>0</v>
      </c>
      <c r="AE54" s="573"/>
    </row>
    <row r="55" spans="1:31" ht="25.15" customHeight="1">
      <c r="A55" s="543">
        <v>43</v>
      </c>
      <c r="B55" s="546" t="s">
        <v>1540</v>
      </c>
      <c r="C55" s="541" t="str">
        <f>'LAP. PENJUALAN '!C55</f>
        <v>Paha Bawah Geprek Bawang</v>
      </c>
      <c r="D55" s="694"/>
      <c r="E55" s="694"/>
      <c r="F55" s="694"/>
      <c r="G55" s="694"/>
      <c r="H55" s="694">
        <v>1</v>
      </c>
      <c r="I55" s="694"/>
      <c r="J55" s="694"/>
      <c r="K55" s="694"/>
      <c r="L55" s="694"/>
      <c r="M55" s="694"/>
      <c r="N55" s="554">
        <f t="shared" si="0"/>
        <v>1</v>
      </c>
      <c r="O55" s="554">
        <f t="shared" si="1"/>
        <v>23700</v>
      </c>
      <c r="P55" s="555">
        <f>(O55/O243)*100</f>
        <v>0.43320745336165301</v>
      </c>
      <c r="Q55" s="567"/>
      <c r="R55" s="555">
        <f t="shared" si="2"/>
        <v>0</v>
      </c>
      <c r="S55" s="697">
        <v>23700</v>
      </c>
      <c r="U55" s="566">
        <f t="shared" si="3"/>
        <v>0</v>
      </c>
      <c r="V55" s="566">
        <f t="shared" si="4"/>
        <v>0</v>
      </c>
      <c r="W55" s="566">
        <f t="shared" si="5"/>
        <v>0</v>
      </c>
      <c r="X55" s="566">
        <f t="shared" si="6"/>
        <v>0</v>
      </c>
      <c r="Y55" s="566">
        <f t="shared" si="7"/>
        <v>23700</v>
      </c>
      <c r="Z55" s="566">
        <f t="shared" si="8"/>
        <v>0</v>
      </c>
      <c r="AA55" s="566">
        <f t="shared" si="9"/>
        <v>0</v>
      </c>
      <c r="AB55" s="566">
        <f t="shared" si="10"/>
        <v>0</v>
      </c>
      <c r="AC55" s="566">
        <f t="shared" si="11"/>
        <v>0</v>
      </c>
      <c r="AD55" s="566">
        <f t="shared" si="12"/>
        <v>0</v>
      </c>
      <c r="AE55" s="573"/>
    </row>
    <row r="56" spans="1:31" ht="25.15" customHeight="1">
      <c r="A56" s="543">
        <v>44</v>
      </c>
      <c r="B56" s="546"/>
      <c r="C56" s="541" t="str">
        <f>'LAP. PENJUALAN '!C56</f>
        <v>Paha Atas / Dada Geprek Bawang</v>
      </c>
      <c r="D56" s="694">
        <v>1</v>
      </c>
      <c r="E56" s="694"/>
      <c r="F56" s="694"/>
      <c r="G56" s="694"/>
      <c r="H56" s="694"/>
      <c r="I56" s="694"/>
      <c r="J56" s="694">
        <v>1</v>
      </c>
      <c r="K56" s="694"/>
      <c r="L56" s="694"/>
      <c r="M56" s="694"/>
      <c r="N56" s="554">
        <f t="shared" si="0"/>
        <v>2</v>
      </c>
      <c r="O56" s="554">
        <f t="shared" si="1"/>
        <v>53720</v>
      </c>
      <c r="P56" s="555">
        <f>(O56/O243)*100</f>
        <v>0.98193689428641395</v>
      </c>
      <c r="Q56" s="567"/>
      <c r="R56" s="555">
        <f t="shared" si="2"/>
        <v>0</v>
      </c>
      <c r="S56" s="697">
        <v>26860</v>
      </c>
      <c r="U56" s="566">
        <f t="shared" si="3"/>
        <v>26860</v>
      </c>
      <c r="V56" s="566">
        <f t="shared" si="4"/>
        <v>0</v>
      </c>
      <c r="W56" s="566">
        <f t="shared" si="5"/>
        <v>0</v>
      </c>
      <c r="X56" s="566">
        <f t="shared" si="6"/>
        <v>0</v>
      </c>
      <c r="Y56" s="566">
        <f t="shared" si="7"/>
        <v>0</v>
      </c>
      <c r="Z56" s="566">
        <f t="shared" si="8"/>
        <v>0</v>
      </c>
      <c r="AA56" s="566">
        <f t="shared" si="9"/>
        <v>26860</v>
      </c>
      <c r="AB56" s="566">
        <f t="shared" si="10"/>
        <v>0</v>
      </c>
      <c r="AC56" s="566">
        <f t="shared" si="11"/>
        <v>0</v>
      </c>
      <c r="AD56" s="566">
        <f t="shared" si="12"/>
        <v>0</v>
      </c>
      <c r="AE56" s="573"/>
    </row>
    <row r="57" spans="1:31" ht="25.15" customHeight="1">
      <c r="A57" s="543">
        <v>45</v>
      </c>
      <c r="B57" s="546" t="s">
        <v>1541</v>
      </c>
      <c r="C57" s="541" t="str">
        <f>'LAP. PENJUALAN '!C57</f>
        <v>Sambal Geprek Bawang</v>
      </c>
      <c r="D57" s="694"/>
      <c r="E57" s="694">
        <v>1</v>
      </c>
      <c r="F57" s="694"/>
      <c r="G57" s="694">
        <v>1</v>
      </c>
      <c r="H57" s="694"/>
      <c r="I57" s="694"/>
      <c r="J57" s="694"/>
      <c r="K57" s="694"/>
      <c r="L57" s="694"/>
      <c r="M57" s="694"/>
      <c r="N57" s="554">
        <f t="shared" si="0"/>
        <v>2</v>
      </c>
      <c r="O57" s="554">
        <f t="shared" si="1"/>
        <v>12200</v>
      </c>
      <c r="P57" s="555">
        <f>(O57/O243)*100</f>
        <v>0.223001305105999</v>
      </c>
      <c r="Q57" s="567"/>
      <c r="R57" s="555">
        <f t="shared" si="2"/>
        <v>0</v>
      </c>
      <c r="S57" s="697">
        <v>6100</v>
      </c>
      <c r="U57" s="566">
        <f t="shared" si="3"/>
        <v>0</v>
      </c>
      <c r="V57" s="566">
        <f t="shared" si="4"/>
        <v>6100</v>
      </c>
      <c r="W57" s="566">
        <f t="shared" si="5"/>
        <v>0</v>
      </c>
      <c r="X57" s="566">
        <f t="shared" si="6"/>
        <v>6100</v>
      </c>
      <c r="Y57" s="566">
        <f t="shared" si="7"/>
        <v>0</v>
      </c>
      <c r="Z57" s="566">
        <f t="shared" si="8"/>
        <v>0</v>
      </c>
      <c r="AA57" s="566">
        <f t="shared" si="9"/>
        <v>0</v>
      </c>
      <c r="AB57" s="566">
        <f t="shared" si="10"/>
        <v>0</v>
      </c>
      <c r="AC57" s="566">
        <f t="shared" si="11"/>
        <v>0</v>
      </c>
      <c r="AD57" s="566">
        <f t="shared" si="12"/>
        <v>0</v>
      </c>
      <c r="AE57" s="573"/>
    </row>
    <row r="58" spans="1:31" ht="25.15" customHeight="1">
      <c r="A58" s="543"/>
      <c r="B58" s="546" t="s">
        <v>1542</v>
      </c>
      <c r="C58" s="541"/>
      <c r="D58" s="694"/>
      <c r="E58" s="694"/>
      <c r="F58" s="694"/>
      <c r="G58" s="694"/>
      <c r="H58" s="694"/>
      <c r="I58" s="694"/>
      <c r="J58" s="694"/>
      <c r="K58" s="694"/>
      <c r="L58" s="694"/>
      <c r="M58" s="694"/>
      <c r="N58" s="554">
        <f t="shared" si="0"/>
        <v>0</v>
      </c>
      <c r="O58" s="554">
        <f t="shared" si="1"/>
        <v>0</v>
      </c>
      <c r="P58" s="555">
        <f>(O58/O243)*100</f>
        <v>0</v>
      </c>
      <c r="Q58" s="567"/>
      <c r="R58" s="555">
        <f t="shared" si="2"/>
        <v>0</v>
      </c>
      <c r="S58" s="697"/>
      <c r="U58" s="566">
        <f t="shared" si="3"/>
        <v>0</v>
      </c>
      <c r="V58" s="566">
        <f t="shared" si="4"/>
        <v>0</v>
      </c>
      <c r="W58" s="566">
        <f t="shared" si="5"/>
        <v>0</v>
      </c>
      <c r="X58" s="566">
        <f t="shared" si="6"/>
        <v>0</v>
      </c>
      <c r="Y58" s="566">
        <f t="shared" si="7"/>
        <v>0</v>
      </c>
      <c r="Z58" s="566">
        <f t="shared" si="8"/>
        <v>0</v>
      </c>
      <c r="AA58" s="566">
        <f t="shared" si="9"/>
        <v>0</v>
      </c>
      <c r="AB58" s="566">
        <f t="shared" si="10"/>
        <v>0</v>
      </c>
      <c r="AC58" s="566">
        <f t="shared" si="11"/>
        <v>0</v>
      </c>
      <c r="AD58" s="566">
        <f t="shared" si="12"/>
        <v>0</v>
      </c>
      <c r="AE58" s="573"/>
    </row>
    <row r="59" spans="1:31" ht="25.15" customHeight="1">
      <c r="A59" s="543">
        <v>46</v>
      </c>
      <c r="B59" s="546" t="s">
        <v>1543</v>
      </c>
      <c r="C59" s="541" t="str">
        <f>'LAP. PENJUALAN '!C59</f>
        <v>Paket Matah 1 (Es Teh / S-tee / Lemon Tea)</v>
      </c>
      <c r="D59" s="694"/>
      <c r="E59" s="694"/>
      <c r="F59" s="694"/>
      <c r="G59" s="694"/>
      <c r="H59" s="694"/>
      <c r="I59" s="694">
        <v>1</v>
      </c>
      <c r="J59" s="694"/>
      <c r="K59" s="694"/>
      <c r="L59" s="694"/>
      <c r="M59" s="694"/>
      <c r="N59" s="554">
        <f t="shared" si="0"/>
        <v>1</v>
      </c>
      <c r="O59" s="554">
        <f t="shared" si="1"/>
        <v>33180</v>
      </c>
      <c r="P59" s="555">
        <f>(O59/O243)*100</f>
        <v>0.60649043470631503</v>
      </c>
      <c r="Q59" s="567"/>
      <c r="R59" s="555">
        <f t="shared" si="2"/>
        <v>0</v>
      </c>
      <c r="S59" s="697">
        <v>33180</v>
      </c>
      <c r="U59" s="566">
        <f t="shared" si="3"/>
        <v>0</v>
      </c>
      <c r="V59" s="566">
        <f t="shared" si="4"/>
        <v>0</v>
      </c>
      <c r="W59" s="566">
        <f t="shared" si="5"/>
        <v>0</v>
      </c>
      <c r="X59" s="566">
        <f t="shared" si="6"/>
        <v>0</v>
      </c>
      <c r="Y59" s="566">
        <f t="shared" si="7"/>
        <v>0</v>
      </c>
      <c r="Z59" s="566">
        <f t="shared" si="8"/>
        <v>33180</v>
      </c>
      <c r="AA59" s="566">
        <f t="shared" si="9"/>
        <v>0</v>
      </c>
      <c r="AB59" s="566">
        <f t="shared" si="10"/>
        <v>0</v>
      </c>
      <c r="AC59" s="566">
        <f t="shared" si="11"/>
        <v>0</v>
      </c>
      <c r="AD59" s="566">
        <f t="shared" si="12"/>
        <v>0</v>
      </c>
      <c r="AE59" s="573"/>
    </row>
    <row r="60" spans="1:31" ht="25.15" customHeight="1">
      <c r="A60" s="543">
        <v>47</v>
      </c>
      <c r="B60" s="546" t="s">
        <v>1544</v>
      </c>
      <c r="C60" s="541" t="str">
        <f>'LAP. PENJUALAN '!C60</f>
        <v>Paket Matah 2 (Es Teh / S-tee / Lemon Tea)</v>
      </c>
      <c r="D60" s="694"/>
      <c r="E60" s="694"/>
      <c r="F60" s="694"/>
      <c r="G60" s="694"/>
      <c r="H60" s="694"/>
      <c r="I60" s="694"/>
      <c r="J60" s="694"/>
      <c r="K60" s="694"/>
      <c r="L60" s="694"/>
      <c r="M60" s="694"/>
      <c r="N60" s="554">
        <f t="shared" si="0"/>
        <v>0</v>
      </c>
      <c r="O60" s="554">
        <f t="shared" si="1"/>
        <v>0</v>
      </c>
      <c r="P60" s="555">
        <f>(O60/O243)*100</f>
        <v>0</v>
      </c>
      <c r="Q60" s="567"/>
      <c r="R60" s="555">
        <f t="shared" si="2"/>
        <v>0</v>
      </c>
      <c r="S60" s="697">
        <v>35100</v>
      </c>
      <c r="U60" s="566">
        <f t="shared" si="3"/>
        <v>0</v>
      </c>
      <c r="V60" s="566">
        <f t="shared" si="4"/>
        <v>0</v>
      </c>
      <c r="W60" s="566">
        <f t="shared" si="5"/>
        <v>0</v>
      </c>
      <c r="X60" s="566">
        <f t="shared" si="6"/>
        <v>0</v>
      </c>
      <c r="Y60" s="566">
        <f t="shared" si="7"/>
        <v>0</v>
      </c>
      <c r="Z60" s="566">
        <f t="shared" si="8"/>
        <v>0</v>
      </c>
      <c r="AA60" s="566">
        <f t="shared" si="9"/>
        <v>0</v>
      </c>
      <c r="AB60" s="566">
        <f t="shared" si="10"/>
        <v>0</v>
      </c>
      <c r="AC60" s="566">
        <f t="shared" si="11"/>
        <v>0</v>
      </c>
      <c r="AD60" s="566">
        <f t="shared" si="12"/>
        <v>0</v>
      </c>
      <c r="AE60" s="573"/>
    </row>
    <row r="61" spans="1:31" ht="25.15" customHeight="1">
      <c r="A61" s="543">
        <v>48</v>
      </c>
      <c r="B61" s="546" t="s">
        <v>1545</v>
      </c>
      <c r="C61" s="541" t="str">
        <f>'LAP. PENJUALAN '!C61</f>
        <v>Paket Matah 3 (Es Teh / S-tee / Lemon Tea)</v>
      </c>
      <c r="D61" s="694"/>
      <c r="E61" s="694">
        <v>1</v>
      </c>
      <c r="F61" s="694">
        <v>3</v>
      </c>
      <c r="G61" s="694"/>
      <c r="H61" s="694"/>
      <c r="I61" s="694"/>
      <c r="J61" s="694"/>
      <c r="K61" s="694"/>
      <c r="L61" s="694"/>
      <c r="M61" s="694"/>
      <c r="N61" s="554">
        <f t="shared" si="0"/>
        <v>4</v>
      </c>
      <c r="O61" s="554">
        <f t="shared" si="1"/>
        <v>151680</v>
      </c>
      <c r="P61" s="555">
        <f>(O61/O243)*100</f>
        <v>2.7725277015145799</v>
      </c>
      <c r="Q61" s="567"/>
      <c r="R61" s="555">
        <f t="shared" si="2"/>
        <v>0</v>
      </c>
      <c r="S61" s="697">
        <v>37920</v>
      </c>
      <c r="U61" s="566">
        <f t="shared" si="3"/>
        <v>0</v>
      </c>
      <c r="V61" s="566">
        <f t="shared" si="4"/>
        <v>37920</v>
      </c>
      <c r="W61" s="566">
        <f t="shared" si="5"/>
        <v>113760</v>
      </c>
      <c r="X61" s="566">
        <f t="shared" si="6"/>
        <v>0</v>
      </c>
      <c r="Y61" s="566">
        <f t="shared" si="7"/>
        <v>0</v>
      </c>
      <c r="Z61" s="566">
        <f t="shared" si="8"/>
        <v>0</v>
      </c>
      <c r="AA61" s="566">
        <f t="shared" si="9"/>
        <v>0</v>
      </c>
      <c r="AB61" s="566">
        <f t="shared" si="10"/>
        <v>0</v>
      </c>
      <c r="AC61" s="566">
        <f t="shared" si="11"/>
        <v>0</v>
      </c>
      <c r="AD61" s="566">
        <f t="shared" si="12"/>
        <v>0</v>
      </c>
      <c r="AE61" s="573"/>
    </row>
    <row r="62" spans="1:31" ht="25.15" customHeight="1">
      <c r="A62" s="543">
        <v>49</v>
      </c>
      <c r="B62" s="546" t="s">
        <v>1546</v>
      </c>
      <c r="C62" s="541" t="str">
        <f>'LAP. PENJUALAN '!C62</f>
        <v>Sayap Matah</v>
      </c>
      <c r="D62" s="694"/>
      <c r="E62" s="694"/>
      <c r="F62" s="694"/>
      <c r="G62" s="694"/>
      <c r="H62" s="694"/>
      <c r="I62" s="694"/>
      <c r="J62" s="694"/>
      <c r="K62" s="694"/>
      <c r="L62" s="694"/>
      <c r="M62" s="694"/>
      <c r="N62" s="554">
        <f t="shared" si="0"/>
        <v>0</v>
      </c>
      <c r="O62" s="554">
        <f t="shared" si="1"/>
        <v>0</v>
      </c>
      <c r="P62" s="555">
        <f>(O62/O243)*100</f>
        <v>0</v>
      </c>
      <c r="Q62" s="567"/>
      <c r="R62" s="555">
        <f t="shared" si="2"/>
        <v>0</v>
      </c>
      <c r="S62" s="697">
        <v>22120</v>
      </c>
      <c r="U62" s="566">
        <f t="shared" si="3"/>
        <v>0</v>
      </c>
      <c r="V62" s="566">
        <f t="shared" si="4"/>
        <v>0</v>
      </c>
      <c r="W62" s="566">
        <f t="shared" si="5"/>
        <v>0</v>
      </c>
      <c r="X62" s="566">
        <f t="shared" si="6"/>
        <v>0</v>
      </c>
      <c r="Y62" s="566">
        <f t="shared" si="7"/>
        <v>0</v>
      </c>
      <c r="Z62" s="566">
        <f t="shared" si="8"/>
        <v>0</v>
      </c>
      <c r="AA62" s="566">
        <f t="shared" si="9"/>
        <v>0</v>
      </c>
      <c r="AB62" s="566">
        <f t="shared" si="10"/>
        <v>0</v>
      </c>
      <c r="AC62" s="566">
        <f t="shared" si="11"/>
        <v>0</v>
      </c>
      <c r="AD62" s="566">
        <f t="shared" si="12"/>
        <v>0</v>
      </c>
      <c r="AE62" s="573"/>
    </row>
    <row r="63" spans="1:31" ht="25.15" customHeight="1">
      <c r="A63" s="543">
        <v>50</v>
      </c>
      <c r="B63" s="546" t="s">
        <v>1547</v>
      </c>
      <c r="C63" s="541" t="str">
        <f>'LAP. PENJUALAN '!C63</f>
        <v>Paha Bawah Matah</v>
      </c>
      <c r="D63" s="694"/>
      <c r="E63" s="694"/>
      <c r="F63" s="694"/>
      <c r="G63" s="694"/>
      <c r="H63" s="694"/>
      <c r="I63" s="694"/>
      <c r="J63" s="694"/>
      <c r="K63" s="694"/>
      <c r="L63" s="694"/>
      <c r="M63" s="694"/>
      <c r="N63" s="554">
        <f t="shared" si="0"/>
        <v>0</v>
      </c>
      <c r="O63" s="554">
        <f t="shared" si="1"/>
        <v>0</v>
      </c>
      <c r="P63" s="555">
        <f>(O63/O243)*100</f>
        <v>0</v>
      </c>
      <c r="Q63" s="567"/>
      <c r="R63" s="555">
        <f t="shared" si="2"/>
        <v>0</v>
      </c>
      <c r="S63" s="697">
        <v>23700</v>
      </c>
      <c r="U63" s="566">
        <f t="shared" si="3"/>
        <v>0</v>
      </c>
      <c r="V63" s="566">
        <f t="shared" si="4"/>
        <v>0</v>
      </c>
      <c r="W63" s="566">
        <f t="shared" si="5"/>
        <v>0</v>
      </c>
      <c r="X63" s="566">
        <f t="shared" si="6"/>
        <v>0</v>
      </c>
      <c r="Y63" s="566">
        <f t="shared" si="7"/>
        <v>0</v>
      </c>
      <c r="Z63" s="566">
        <f t="shared" si="8"/>
        <v>0</v>
      </c>
      <c r="AA63" s="566">
        <f t="shared" si="9"/>
        <v>0</v>
      </c>
      <c r="AB63" s="566">
        <f t="shared" si="10"/>
        <v>0</v>
      </c>
      <c r="AC63" s="566">
        <f t="shared" si="11"/>
        <v>0</v>
      </c>
      <c r="AD63" s="566">
        <f t="shared" si="12"/>
        <v>0</v>
      </c>
      <c r="AE63" s="573"/>
    </row>
    <row r="64" spans="1:31" ht="25.15" customHeight="1">
      <c r="A64" s="543">
        <v>51</v>
      </c>
      <c r="B64" s="546"/>
      <c r="C64" s="541" t="str">
        <f>'LAP. PENJUALAN '!C64</f>
        <v>Paha Atas / Dada  Matah</v>
      </c>
      <c r="D64" s="694"/>
      <c r="E64" s="694"/>
      <c r="F64" s="694"/>
      <c r="G64" s="694"/>
      <c r="H64" s="694"/>
      <c r="I64" s="694"/>
      <c r="J64" s="694"/>
      <c r="K64" s="694"/>
      <c r="L64" s="694"/>
      <c r="M64" s="694"/>
      <c r="N64" s="554">
        <f t="shared" si="0"/>
        <v>0</v>
      </c>
      <c r="O64" s="554">
        <f t="shared" si="1"/>
        <v>0</v>
      </c>
      <c r="P64" s="555">
        <f>(O64/O243)*100</f>
        <v>0</v>
      </c>
      <c r="Q64" s="567"/>
      <c r="R64" s="555">
        <f t="shared" si="2"/>
        <v>0</v>
      </c>
      <c r="S64" s="697">
        <v>23000</v>
      </c>
      <c r="U64" s="566">
        <f t="shared" si="3"/>
        <v>0</v>
      </c>
      <c r="V64" s="566">
        <f t="shared" si="4"/>
        <v>0</v>
      </c>
      <c r="W64" s="566">
        <f t="shared" si="5"/>
        <v>0</v>
      </c>
      <c r="X64" s="566">
        <f t="shared" si="6"/>
        <v>0</v>
      </c>
      <c r="Y64" s="566">
        <f t="shared" si="7"/>
        <v>0</v>
      </c>
      <c r="Z64" s="566">
        <f t="shared" si="8"/>
        <v>0</v>
      </c>
      <c r="AA64" s="566">
        <f t="shared" si="9"/>
        <v>0</v>
      </c>
      <c r="AB64" s="566">
        <f t="shared" si="10"/>
        <v>0</v>
      </c>
      <c r="AC64" s="566">
        <f t="shared" si="11"/>
        <v>0</v>
      </c>
      <c r="AD64" s="566">
        <f t="shared" si="12"/>
        <v>0</v>
      </c>
      <c r="AE64" s="573"/>
    </row>
    <row r="65" spans="1:31" ht="25.15" customHeight="1">
      <c r="A65" s="543">
        <v>52</v>
      </c>
      <c r="B65" s="546" t="s">
        <v>1548</v>
      </c>
      <c r="C65" s="541" t="str">
        <f>'LAP. PENJUALAN '!C65</f>
        <v>Sambal Matah</v>
      </c>
      <c r="D65" s="694"/>
      <c r="E65" s="694">
        <v>1</v>
      </c>
      <c r="F65" s="694">
        <v>2</v>
      </c>
      <c r="G65" s="694"/>
      <c r="H65" s="694">
        <v>1</v>
      </c>
      <c r="I65" s="694"/>
      <c r="J65" s="694"/>
      <c r="K65" s="694"/>
      <c r="L65" s="694"/>
      <c r="M65" s="694"/>
      <c r="N65" s="554">
        <f t="shared" si="0"/>
        <v>4</v>
      </c>
      <c r="O65" s="554">
        <f t="shared" si="1"/>
        <v>24400</v>
      </c>
      <c r="P65" s="555">
        <f>(O65/O243)*100</f>
        <v>0.446002610211997</v>
      </c>
      <c r="Q65" s="567"/>
      <c r="R65" s="555">
        <f t="shared" si="2"/>
        <v>0</v>
      </c>
      <c r="S65" s="697">
        <v>6100</v>
      </c>
      <c r="U65" s="566">
        <f t="shared" si="3"/>
        <v>0</v>
      </c>
      <c r="V65" s="566">
        <f t="shared" si="4"/>
        <v>6100</v>
      </c>
      <c r="W65" s="566">
        <f t="shared" si="5"/>
        <v>12200</v>
      </c>
      <c r="X65" s="566">
        <f t="shared" si="6"/>
        <v>0</v>
      </c>
      <c r="Y65" s="566">
        <f t="shared" si="7"/>
        <v>6100</v>
      </c>
      <c r="Z65" s="566">
        <f t="shared" si="8"/>
        <v>0</v>
      </c>
      <c r="AA65" s="566">
        <f t="shared" si="9"/>
        <v>0</v>
      </c>
      <c r="AB65" s="566">
        <f t="shared" si="10"/>
        <v>0</v>
      </c>
      <c r="AC65" s="566">
        <f t="shared" si="11"/>
        <v>0</v>
      </c>
      <c r="AD65" s="566">
        <f t="shared" si="12"/>
        <v>0</v>
      </c>
      <c r="AE65" s="573"/>
    </row>
    <row r="66" spans="1:31" ht="25.15" customHeight="1">
      <c r="A66" s="543"/>
      <c r="B66" s="546" t="s">
        <v>1549</v>
      </c>
      <c r="C66" s="541"/>
      <c r="D66" s="694"/>
      <c r="E66" s="694"/>
      <c r="F66" s="694"/>
      <c r="G66" s="694"/>
      <c r="H66" s="694"/>
      <c r="I66" s="694"/>
      <c r="J66" s="694"/>
      <c r="K66" s="694"/>
      <c r="L66" s="694"/>
      <c r="M66" s="694"/>
      <c r="N66" s="554">
        <f t="shared" si="0"/>
        <v>0</v>
      </c>
      <c r="O66" s="554">
        <f t="shared" si="1"/>
        <v>0</v>
      </c>
      <c r="P66" s="555">
        <f>(O66/O243)*100</f>
        <v>0</v>
      </c>
      <c r="Q66" s="567"/>
      <c r="R66" s="555">
        <f t="shared" si="2"/>
        <v>0</v>
      </c>
      <c r="S66" s="697"/>
      <c r="U66" s="566">
        <f t="shared" si="3"/>
        <v>0</v>
      </c>
      <c r="V66" s="566">
        <f t="shared" si="4"/>
        <v>0</v>
      </c>
      <c r="W66" s="566">
        <f t="shared" si="5"/>
        <v>0</v>
      </c>
      <c r="X66" s="566">
        <f t="shared" si="6"/>
        <v>0</v>
      </c>
      <c r="Y66" s="566">
        <f t="shared" si="7"/>
        <v>0</v>
      </c>
      <c r="Z66" s="566">
        <f t="shared" si="8"/>
        <v>0</v>
      </c>
      <c r="AA66" s="566">
        <f t="shared" si="9"/>
        <v>0</v>
      </c>
      <c r="AB66" s="566">
        <f t="shared" si="10"/>
        <v>0</v>
      </c>
      <c r="AC66" s="566">
        <f t="shared" si="11"/>
        <v>0</v>
      </c>
      <c r="AD66" s="566">
        <f t="shared" si="12"/>
        <v>0</v>
      </c>
      <c r="AE66" s="573"/>
    </row>
    <row r="67" spans="1:31" ht="25.15" customHeight="1">
      <c r="A67" s="543">
        <v>53</v>
      </c>
      <c r="B67" s="546" t="s">
        <v>1550</v>
      </c>
      <c r="C67" s="541" t="str">
        <f>'LAP. PENJUALAN '!C67</f>
        <v>Paket Terasi 1 (Es Teh / S-tee / Lemon Tea)</v>
      </c>
      <c r="D67" s="694"/>
      <c r="E67" s="694"/>
      <c r="F67" s="694"/>
      <c r="G67" s="694"/>
      <c r="H67" s="694"/>
      <c r="I67" s="694"/>
      <c r="J67" s="694"/>
      <c r="K67" s="694"/>
      <c r="L67" s="694"/>
      <c r="M67" s="694"/>
      <c r="N67" s="554">
        <f t="shared" si="0"/>
        <v>0</v>
      </c>
      <c r="O67" s="554">
        <f t="shared" si="1"/>
        <v>0</v>
      </c>
      <c r="P67" s="555">
        <f>(O67/O243)*100</f>
        <v>0</v>
      </c>
      <c r="Q67" s="567"/>
      <c r="R67" s="555">
        <f t="shared" si="2"/>
        <v>0</v>
      </c>
      <c r="S67" s="697">
        <v>35100</v>
      </c>
      <c r="U67" s="566">
        <f t="shared" si="3"/>
        <v>0</v>
      </c>
      <c r="V67" s="566">
        <f t="shared" si="4"/>
        <v>0</v>
      </c>
      <c r="W67" s="566">
        <f t="shared" si="5"/>
        <v>0</v>
      </c>
      <c r="X67" s="566">
        <f t="shared" si="6"/>
        <v>0</v>
      </c>
      <c r="Y67" s="566">
        <f t="shared" si="7"/>
        <v>0</v>
      </c>
      <c r="Z67" s="566">
        <f t="shared" si="8"/>
        <v>0</v>
      </c>
      <c r="AA67" s="566">
        <f t="shared" si="9"/>
        <v>0</v>
      </c>
      <c r="AB67" s="566">
        <f t="shared" si="10"/>
        <v>0</v>
      </c>
      <c r="AC67" s="566">
        <f t="shared" si="11"/>
        <v>0</v>
      </c>
      <c r="AD67" s="566">
        <f t="shared" si="12"/>
        <v>0</v>
      </c>
      <c r="AE67" s="573"/>
    </row>
    <row r="68" spans="1:31" ht="25.15" customHeight="1">
      <c r="A68" s="543">
        <v>54</v>
      </c>
      <c r="B68" s="546" t="s">
        <v>1551</v>
      </c>
      <c r="C68" s="541" t="str">
        <f>'LAP. PENJUALAN '!C68</f>
        <v>Paket Terasi 2 (Es Teh / S-tee / Lemon Tea)</v>
      </c>
      <c r="D68" s="694"/>
      <c r="E68" s="694"/>
      <c r="F68" s="694"/>
      <c r="G68" s="694"/>
      <c r="H68" s="694"/>
      <c r="I68" s="694"/>
      <c r="J68" s="694"/>
      <c r="K68" s="694"/>
      <c r="L68" s="694"/>
      <c r="M68" s="694"/>
      <c r="N68" s="554">
        <f t="shared" si="0"/>
        <v>0</v>
      </c>
      <c r="O68" s="554">
        <f t="shared" si="1"/>
        <v>0</v>
      </c>
      <c r="P68" s="555">
        <f>(O68/O243)*100</f>
        <v>0</v>
      </c>
      <c r="Q68" s="567"/>
      <c r="R68" s="555">
        <f t="shared" si="2"/>
        <v>0</v>
      </c>
      <c r="S68" s="697">
        <v>35100</v>
      </c>
      <c r="U68" s="566">
        <f t="shared" si="3"/>
        <v>0</v>
      </c>
      <c r="V68" s="566">
        <f t="shared" si="4"/>
        <v>0</v>
      </c>
      <c r="W68" s="566">
        <f t="shared" si="5"/>
        <v>0</v>
      </c>
      <c r="X68" s="566">
        <f t="shared" si="6"/>
        <v>0</v>
      </c>
      <c r="Y68" s="566">
        <f t="shared" si="7"/>
        <v>0</v>
      </c>
      <c r="Z68" s="566">
        <f t="shared" si="8"/>
        <v>0</v>
      </c>
      <c r="AA68" s="566">
        <f t="shared" si="9"/>
        <v>0</v>
      </c>
      <c r="AB68" s="566">
        <f t="shared" si="10"/>
        <v>0</v>
      </c>
      <c r="AC68" s="566">
        <f t="shared" si="11"/>
        <v>0</v>
      </c>
      <c r="AD68" s="566">
        <f t="shared" si="12"/>
        <v>0</v>
      </c>
      <c r="AE68" s="573"/>
    </row>
    <row r="69" spans="1:31" ht="25.15" customHeight="1">
      <c r="A69" s="543">
        <v>55</v>
      </c>
      <c r="B69" s="546" t="s">
        <v>1552</v>
      </c>
      <c r="C69" s="541" t="str">
        <f>'LAP. PENJUALAN '!C69</f>
        <v>Paket Terasi 3 (Es Teh / S-tee / Lemon Tea)</v>
      </c>
      <c r="D69" s="694"/>
      <c r="E69" s="694"/>
      <c r="F69" s="694">
        <v>1</v>
      </c>
      <c r="G69" s="694"/>
      <c r="H69" s="694"/>
      <c r="I69" s="694"/>
      <c r="J69" s="694"/>
      <c r="K69" s="694"/>
      <c r="L69" s="694"/>
      <c r="M69" s="694"/>
      <c r="N69" s="554">
        <f t="shared" si="0"/>
        <v>1</v>
      </c>
      <c r="O69" s="554">
        <f t="shared" si="1"/>
        <v>37920</v>
      </c>
      <c r="P69" s="555">
        <f>(O69/O243)*100</f>
        <v>0.69313192537864499</v>
      </c>
      <c r="Q69" s="567"/>
      <c r="R69" s="555">
        <f t="shared" si="2"/>
        <v>0</v>
      </c>
      <c r="S69" s="697">
        <v>37920</v>
      </c>
      <c r="U69" s="566">
        <f t="shared" si="3"/>
        <v>0</v>
      </c>
      <c r="V69" s="566">
        <f t="shared" si="4"/>
        <v>0</v>
      </c>
      <c r="W69" s="566">
        <f t="shared" si="5"/>
        <v>37920</v>
      </c>
      <c r="X69" s="566">
        <f t="shared" si="6"/>
        <v>0</v>
      </c>
      <c r="Y69" s="566">
        <f t="shared" si="7"/>
        <v>0</v>
      </c>
      <c r="Z69" s="566">
        <f t="shared" si="8"/>
        <v>0</v>
      </c>
      <c r="AA69" s="566">
        <f t="shared" si="9"/>
        <v>0</v>
      </c>
      <c r="AB69" s="566">
        <f t="shared" si="10"/>
        <v>0</v>
      </c>
      <c r="AC69" s="566">
        <f t="shared" si="11"/>
        <v>0</v>
      </c>
      <c r="AD69" s="566">
        <f t="shared" si="12"/>
        <v>0</v>
      </c>
      <c r="AE69" s="573"/>
    </row>
    <row r="70" spans="1:31" ht="25.15" customHeight="1">
      <c r="A70" s="543">
        <v>56</v>
      </c>
      <c r="B70" s="546" t="s">
        <v>1553</v>
      </c>
      <c r="C70" s="541" t="str">
        <f>'LAP. PENJUALAN '!C70</f>
        <v>Sayap Terasi</v>
      </c>
      <c r="D70" s="694"/>
      <c r="E70" s="694"/>
      <c r="F70" s="694"/>
      <c r="G70" s="694"/>
      <c r="H70" s="694"/>
      <c r="I70" s="694"/>
      <c r="J70" s="694"/>
      <c r="K70" s="694"/>
      <c r="L70" s="694"/>
      <c r="M70" s="694"/>
      <c r="N70" s="554">
        <f t="shared" si="0"/>
        <v>0</v>
      </c>
      <c r="O70" s="554">
        <f t="shared" si="1"/>
        <v>0</v>
      </c>
      <c r="P70" s="555">
        <f>(O70/O243)*100</f>
        <v>0</v>
      </c>
      <c r="Q70" s="567"/>
      <c r="R70" s="555">
        <f t="shared" si="2"/>
        <v>0</v>
      </c>
      <c r="S70" s="697">
        <v>22120</v>
      </c>
      <c r="U70" s="566">
        <f t="shared" si="3"/>
        <v>0</v>
      </c>
      <c r="V70" s="566">
        <f t="shared" si="4"/>
        <v>0</v>
      </c>
      <c r="W70" s="566">
        <f t="shared" si="5"/>
        <v>0</v>
      </c>
      <c r="X70" s="566">
        <f t="shared" si="6"/>
        <v>0</v>
      </c>
      <c r="Y70" s="566">
        <f t="shared" si="7"/>
        <v>0</v>
      </c>
      <c r="Z70" s="566">
        <f t="shared" si="8"/>
        <v>0</v>
      </c>
      <c r="AA70" s="566">
        <f t="shared" si="9"/>
        <v>0</v>
      </c>
      <c r="AB70" s="566">
        <f t="shared" si="10"/>
        <v>0</v>
      </c>
      <c r="AC70" s="566">
        <f t="shared" si="11"/>
        <v>0</v>
      </c>
      <c r="AD70" s="566">
        <f t="shared" si="12"/>
        <v>0</v>
      </c>
      <c r="AE70" s="573"/>
    </row>
    <row r="71" spans="1:31" ht="25.15" customHeight="1">
      <c r="A71" s="543">
        <v>57</v>
      </c>
      <c r="B71" s="546" t="s">
        <v>1554</v>
      </c>
      <c r="C71" s="541" t="str">
        <f>'LAP. PENJUALAN '!C71</f>
        <v>Paha Bawah Terasi</v>
      </c>
      <c r="D71" s="694"/>
      <c r="E71" s="694"/>
      <c r="F71" s="694"/>
      <c r="G71" s="694"/>
      <c r="H71" s="694"/>
      <c r="I71" s="694"/>
      <c r="J71" s="694"/>
      <c r="K71" s="694"/>
      <c r="L71" s="694"/>
      <c r="M71" s="694"/>
      <c r="N71" s="554">
        <f t="shared" si="0"/>
        <v>0</v>
      </c>
      <c r="O71" s="554">
        <f t="shared" si="1"/>
        <v>0</v>
      </c>
      <c r="P71" s="555">
        <f>(O71/O243)*100</f>
        <v>0</v>
      </c>
      <c r="Q71" s="567"/>
      <c r="R71" s="555">
        <f t="shared" si="2"/>
        <v>0</v>
      </c>
      <c r="S71" s="697">
        <v>23700</v>
      </c>
      <c r="U71" s="566">
        <f t="shared" si="3"/>
        <v>0</v>
      </c>
      <c r="V71" s="566">
        <f t="shared" si="4"/>
        <v>0</v>
      </c>
      <c r="W71" s="566">
        <f t="shared" si="5"/>
        <v>0</v>
      </c>
      <c r="X71" s="566">
        <f t="shared" si="6"/>
        <v>0</v>
      </c>
      <c r="Y71" s="566">
        <f t="shared" si="7"/>
        <v>0</v>
      </c>
      <c r="Z71" s="566">
        <f t="shared" si="8"/>
        <v>0</v>
      </c>
      <c r="AA71" s="566">
        <f t="shared" si="9"/>
        <v>0</v>
      </c>
      <c r="AB71" s="566">
        <f t="shared" si="10"/>
        <v>0</v>
      </c>
      <c r="AC71" s="566">
        <f t="shared" si="11"/>
        <v>0</v>
      </c>
      <c r="AD71" s="566">
        <f t="shared" si="12"/>
        <v>0</v>
      </c>
      <c r="AE71" s="573"/>
    </row>
    <row r="72" spans="1:31" ht="25.15" customHeight="1">
      <c r="A72" s="543">
        <v>58</v>
      </c>
      <c r="B72" s="546"/>
      <c r="C72" s="541" t="str">
        <f>'LAP. PENJUALAN '!C72</f>
        <v>Paha Atas / Dada Terasi</v>
      </c>
      <c r="D72" s="694"/>
      <c r="E72" s="694"/>
      <c r="F72" s="694">
        <v>1</v>
      </c>
      <c r="G72" s="694">
        <v>1</v>
      </c>
      <c r="H72" s="694"/>
      <c r="I72" s="694"/>
      <c r="J72" s="694"/>
      <c r="K72" s="694"/>
      <c r="L72" s="694"/>
      <c r="M72" s="694"/>
      <c r="N72" s="554">
        <f t="shared" si="0"/>
        <v>2</v>
      </c>
      <c r="O72" s="554">
        <f t="shared" si="1"/>
        <v>51720</v>
      </c>
      <c r="P72" s="555">
        <f>(O72/O243)*100</f>
        <v>0.94537930328543096</v>
      </c>
      <c r="Q72" s="567"/>
      <c r="R72" s="555">
        <f t="shared" si="2"/>
        <v>0</v>
      </c>
      <c r="S72" s="697">
        <v>25860</v>
      </c>
      <c r="U72" s="566">
        <f t="shared" si="3"/>
        <v>0</v>
      </c>
      <c r="V72" s="566">
        <f t="shared" si="4"/>
        <v>0</v>
      </c>
      <c r="W72" s="566">
        <f t="shared" si="5"/>
        <v>25860</v>
      </c>
      <c r="X72" s="566">
        <f t="shared" si="6"/>
        <v>25860</v>
      </c>
      <c r="Y72" s="566">
        <f t="shared" si="7"/>
        <v>0</v>
      </c>
      <c r="Z72" s="566">
        <f t="shared" si="8"/>
        <v>0</v>
      </c>
      <c r="AA72" s="566">
        <f t="shared" si="9"/>
        <v>0</v>
      </c>
      <c r="AB72" s="566">
        <f t="shared" si="10"/>
        <v>0</v>
      </c>
      <c r="AC72" s="566">
        <f t="shared" si="11"/>
        <v>0</v>
      </c>
      <c r="AD72" s="566">
        <f t="shared" si="12"/>
        <v>0</v>
      </c>
      <c r="AE72" s="573"/>
    </row>
    <row r="73" spans="1:31" ht="25.15" customHeight="1">
      <c r="A73" s="543">
        <v>59</v>
      </c>
      <c r="B73" s="546" t="s">
        <v>1400</v>
      </c>
      <c r="C73" s="541" t="str">
        <f>'LAP. PENJUALAN '!C73</f>
        <v>Sambal  Terasi</v>
      </c>
      <c r="D73" s="694"/>
      <c r="E73" s="694"/>
      <c r="F73" s="694">
        <v>1</v>
      </c>
      <c r="G73" s="694"/>
      <c r="H73" s="694"/>
      <c r="I73" s="694"/>
      <c r="J73" s="694"/>
      <c r="K73" s="694"/>
      <c r="L73" s="694"/>
      <c r="M73" s="694"/>
      <c r="N73" s="554">
        <f t="shared" si="0"/>
        <v>1</v>
      </c>
      <c r="O73" s="554">
        <f t="shared" si="1"/>
        <v>6100</v>
      </c>
      <c r="P73" s="555">
        <f>(O73/O243)*100</f>
        <v>0.111500652552999</v>
      </c>
      <c r="Q73" s="567"/>
      <c r="R73" s="555">
        <f t="shared" si="2"/>
        <v>0</v>
      </c>
      <c r="S73" s="697">
        <v>6100</v>
      </c>
      <c r="U73" s="566">
        <f t="shared" si="3"/>
        <v>0</v>
      </c>
      <c r="V73" s="566">
        <f t="shared" si="4"/>
        <v>0</v>
      </c>
      <c r="W73" s="566">
        <f t="shared" si="5"/>
        <v>6100</v>
      </c>
      <c r="X73" s="566">
        <f t="shared" si="6"/>
        <v>0</v>
      </c>
      <c r="Y73" s="566">
        <f t="shared" si="7"/>
        <v>0</v>
      </c>
      <c r="Z73" s="566">
        <f t="shared" si="8"/>
        <v>0</v>
      </c>
      <c r="AA73" s="566">
        <f t="shared" si="9"/>
        <v>0</v>
      </c>
      <c r="AB73" s="566">
        <f t="shared" si="10"/>
        <v>0</v>
      </c>
      <c r="AC73" s="566">
        <f t="shared" si="11"/>
        <v>0</v>
      </c>
      <c r="AD73" s="566">
        <f t="shared" si="12"/>
        <v>0</v>
      </c>
      <c r="AE73" s="573"/>
    </row>
    <row r="74" spans="1:31" ht="25.15" customHeight="1">
      <c r="A74" s="543"/>
      <c r="B74" s="546" t="s">
        <v>1401</v>
      </c>
      <c r="C74" s="541"/>
      <c r="D74" s="694"/>
      <c r="E74" s="694"/>
      <c r="F74" s="694"/>
      <c r="G74" s="694"/>
      <c r="H74" s="694"/>
      <c r="I74" s="694"/>
      <c r="J74" s="694"/>
      <c r="K74" s="694"/>
      <c r="L74" s="694"/>
      <c r="M74" s="694"/>
      <c r="N74" s="554">
        <f t="shared" si="0"/>
        <v>0</v>
      </c>
      <c r="O74" s="554">
        <f t="shared" si="1"/>
        <v>0</v>
      </c>
      <c r="P74" s="555">
        <f>(O74/O243)*100</f>
        <v>0</v>
      </c>
      <c r="Q74" s="567"/>
      <c r="R74" s="555">
        <f t="shared" si="2"/>
        <v>0</v>
      </c>
      <c r="S74" s="698"/>
      <c r="U74" s="566">
        <f t="shared" si="3"/>
        <v>0</v>
      </c>
      <c r="V74" s="566">
        <f t="shared" si="4"/>
        <v>0</v>
      </c>
      <c r="W74" s="566">
        <f t="shared" si="5"/>
        <v>0</v>
      </c>
      <c r="X74" s="566">
        <f t="shared" si="6"/>
        <v>0</v>
      </c>
      <c r="Y74" s="566">
        <f t="shared" si="7"/>
        <v>0</v>
      </c>
      <c r="Z74" s="566">
        <f t="shared" si="8"/>
        <v>0</v>
      </c>
      <c r="AA74" s="566">
        <f t="shared" si="9"/>
        <v>0</v>
      </c>
      <c r="AB74" s="566">
        <f t="shared" si="10"/>
        <v>0</v>
      </c>
      <c r="AC74" s="566">
        <f t="shared" si="11"/>
        <v>0</v>
      </c>
      <c r="AD74" s="566">
        <f t="shared" si="12"/>
        <v>0</v>
      </c>
      <c r="AE74" s="573"/>
    </row>
    <row r="75" spans="1:31" ht="25.15" customHeight="1">
      <c r="A75" s="543">
        <v>60</v>
      </c>
      <c r="B75" s="546"/>
      <c r="C75" s="541" t="str">
        <f>'LAP. PENJUALAN '!C75</f>
        <v>Paket 1 Hot Cheesy (Es Teh / S-tee / Lemon Tea)</v>
      </c>
      <c r="D75" s="694"/>
      <c r="E75" s="694"/>
      <c r="F75" s="694"/>
      <c r="G75" s="694">
        <v>1</v>
      </c>
      <c r="H75" s="694"/>
      <c r="I75" s="694"/>
      <c r="J75" s="694"/>
      <c r="K75" s="694"/>
      <c r="L75" s="694"/>
      <c r="M75" s="694"/>
      <c r="N75" s="554">
        <f t="shared" si="0"/>
        <v>1</v>
      </c>
      <c r="O75" s="554">
        <f t="shared" si="1"/>
        <v>33180</v>
      </c>
      <c r="P75" s="555">
        <f>(O75/O243)*100</f>
        <v>0.60649043470631503</v>
      </c>
      <c r="Q75" s="567"/>
      <c r="R75" s="555">
        <f t="shared" si="2"/>
        <v>0</v>
      </c>
      <c r="S75" s="697">
        <v>33180</v>
      </c>
      <c r="U75" s="566">
        <f t="shared" si="3"/>
        <v>0</v>
      </c>
      <c r="V75" s="566">
        <f t="shared" si="4"/>
        <v>0</v>
      </c>
      <c r="W75" s="566">
        <f t="shared" si="5"/>
        <v>0</v>
      </c>
      <c r="X75" s="566">
        <f t="shared" si="6"/>
        <v>33180</v>
      </c>
      <c r="Y75" s="566">
        <f t="shared" si="7"/>
        <v>0</v>
      </c>
      <c r="Z75" s="566">
        <f t="shared" si="8"/>
        <v>0</v>
      </c>
      <c r="AA75" s="566">
        <f t="shared" si="9"/>
        <v>0</v>
      </c>
      <c r="AB75" s="566">
        <f t="shared" si="10"/>
        <v>0</v>
      </c>
      <c r="AC75" s="566">
        <f t="shared" si="11"/>
        <v>0</v>
      </c>
      <c r="AD75" s="566">
        <f t="shared" si="12"/>
        <v>0</v>
      </c>
      <c r="AE75" s="573"/>
    </row>
    <row r="76" spans="1:31" ht="25.15" customHeight="1">
      <c r="A76" s="543">
        <v>61</v>
      </c>
      <c r="B76" s="546" t="s">
        <v>1555</v>
      </c>
      <c r="C76" s="541" t="str">
        <f>'LAP. PENJUALAN '!C76</f>
        <v>Paket 2 Hot Cheesy (Es Teh / S-tee / Lemon Tea)</v>
      </c>
      <c r="D76" s="694"/>
      <c r="E76" s="694"/>
      <c r="F76" s="694"/>
      <c r="G76" s="694"/>
      <c r="H76" s="694"/>
      <c r="I76" s="694"/>
      <c r="J76" s="694"/>
      <c r="K76" s="694"/>
      <c r="L76" s="694"/>
      <c r="M76" s="694"/>
      <c r="N76" s="554">
        <f t="shared" si="0"/>
        <v>0</v>
      </c>
      <c r="O76" s="554">
        <f t="shared" si="1"/>
        <v>0</v>
      </c>
      <c r="P76" s="555">
        <f>(O76/O243)*100</f>
        <v>0</v>
      </c>
      <c r="Q76" s="567"/>
      <c r="R76" s="555">
        <f t="shared" si="2"/>
        <v>0</v>
      </c>
      <c r="S76" s="697">
        <v>35100</v>
      </c>
      <c r="U76" s="566">
        <f t="shared" si="3"/>
        <v>0</v>
      </c>
      <c r="V76" s="566">
        <f t="shared" si="4"/>
        <v>0</v>
      </c>
      <c r="W76" s="566">
        <f t="shared" si="5"/>
        <v>0</v>
      </c>
      <c r="X76" s="566">
        <f t="shared" si="6"/>
        <v>0</v>
      </c>
      <c r="Y76" s="566">
        <f t="shared" si="7"/>
        <v>0</v>
      </c>
      <c r="Z76" s="566">
        <f t="shared" si="8"/>
        <v>0</v>
      </c>
      <c r="AA76" s="566">
        <f t="shared" si="9"/>
        <v>0</v>
      </c>
      <c r="AB76" s="566">
        <f t="shared" si="10"/>
        <v>0</v>
      </c>
      <c r="AC76" s="566">
        <f t="shared" si="11"/>
        <v>0</v>
      </c>
      <c r="AD76" s="566">
        <f t="shared" si="12"/>
        <v>0</v>
      </c>
      <c r="AE76" s="573"/>
    </row>
    <row r="77" spans="1:31" ht="25.15" customHeight="1">
      <c r="A77" s="543">
        <v>62</v>
      </c>
      <c r="B77" s="546" t="s">
        <v>1556</v>
      </c>
      <c r="C77" s="541" t="str">
        <f>'LAP. PENJUALAN '!C77</f>
        <v>Paket 3 Hot Cheesy (Es Teh / S-tee / Lemon Tea)</v>
      </c>
      <c r="D77" s="694">
        <v>2</v>
      </c>
      <c r="E77" s="694"/>
      <c r="F77" s="694"/>
      <c r="G77" s="694"/>
      <c r="H77" s="694"/>
      <c r="I77" s="694"/>
      <c r="J77" s="694"/>
      <c r="K77" s="694"/>
      <c r="L77" s="694"/>
      <c r="M77" s="694"/>
      <c r="N77" s="554">
        <f t="shared" si="0"/>
        <v>2</v>
      </c>
      <c r="O77" s="554">
        <f t="shared" si="1"/>
        <v>75840</v>
      </c>
      <c r="P77" s="555">
        <f>(O77/O243)*100</f>
        <v>1.38626385075729</v>
      </c>
      <c r="Q77" s="567"/>
      <c r="R77" s="555">
        <f t="shared" si="2"/>
        <v>0</v>
      </c>
      <c r="S77" s="697">
        <v>37920</v>
      </c>
      <c r="U77" s="566">
        <f t="shared" si="3"/>
        <v>75840</v>
      </c>
      <c r="V77" s="566">
        <f t="shared" si="4"/>
        <v>0</v>
      </c>
      <c r="W77" s="566">
        <f t="shared" si="5"/>
        <v>0</v>
      </c>
      <c r="X77" s="566">
        <f t="shared" si="6"/>
        <v>0</v>
      </c>
      <c r="Y77" s="566">
        <f t="shared" si="7"/>
        <v>0</v>
      </c>
      <c r="Z77" s="566">
        <f t="shared" si="8"/>
        <v>0</v>
      </c>
      <c r="AA77" s="566">
        <f t="shared" si="9"/>
        <v>0</v>
      </c>
      <c r="AB77" s="566">
        <f t="shared" si="10"/>
        <v>0</v>
      </c>
      <c r="AC77" s="566">
        <f t="shared" si="11"/>
        <v>0</v>
      </c>
      <c r="AD77" s="566">
        <f t="shared" si="12"/>
        <v>0</v>
      </c>
      <c r="AE77" s="573"/>
    </row>
    <row r="78" spans="1:31" ht="25.15" customHeight="1">
      <c r="A78" s="543">
        <v>63</v>
      </c>
      <c r="B78" s="546" t="s">
        <v>1557</v>
      </c>
      <c r="C78" s="541" t="str">
        <f>'LAP. PENJUALAN '!C78</f>
        <v>Sayap Hot Cheesy</v>
      </c>
      <c r="D78" s="694"/>
      <c r="E78" s="694"/>
      <c r="F78" s="694"/>
      <c r="G78" s="694"/>
      <c r="H78" s="694"/>
      <c r="I78" s="694"/>
      <c r="J78" s="694"/>
      <c r="K78" s="694"/>
      <c r="L78" s="694"/>
      <c r="M78" s="694"/>
      <c r="N78" s="554">
        <f t="shared" si="0"/>
        <v>0</v>
      </c>
      <c r="O78" s="554">
        <f t="shared" si="1"/>
        <v>0</v>
      </c>
      <c r="P78" s="555">
        <f>(O78/O243)*100</f>
        <v>0</v>
      </c>
      <c r="Q78" s="567"/>
      <c r="R78" s="555">
        <f t="shared" si="2"/>
        <v>0</v>
      </c>
      <c r="S78" s="697">
        <v>22120</v>
      </c>
      <c r="U78" s="566">
        <f t="shared" si="3"/>
        <v>0</v>
      </c>
      <c r="V78" s="566">
        <f t="shared" si="4"/>
        <v>0</v>
      </c>
      <c r="W78" s="566">
        <f t="shared" si="5"/>
        <v>0</v>
      </c>
      <c r="X78" s="566">
        <f t="shared" si="6"/>
        <v>0</v>
      </c>
      <c r="Y78" s="566">
        <f t="shared" si="7"/>
        <v>0</v>
      </c>
      <c r="Z78" s="566">
        <f t="shared" si="8"/>
        <v>0</v>
      </c>
      <c r="AA78" s="566">
        <f t="shared" si="9"/>
        <v>0</v>
      </c>
      <c r="AB78" s="566">
        <f t="shared" si="10"/>
        <v>0</v>
      </c>
      <c r="AC78" s="566">
        <f t="shared" si="11"/>
        <v>0</v>
      </c>
      <c r="AD78" s="566">
        <f t="shared" si="12"/>
        <v>0</v>
      </c>
      <c r="AE78" s="573"/>
    </row>
    <row r="79" spans="1:31" ht="25.15" customHeight="1">
      <c r="A79" s="543">
        <v>64</v>
      </c>
      <c r="B79" s="546" t="s">
        <v>1558</v>
      </c>
      <c r="C79" s="541" t="str">
        <f>'LAP. PENJUALAN '!C79</f>
        <v>Paha Bawah Hot Cheesy</v>
      </c>
      <c r="D79" s="694"/>
      <c r="E79" s="694"/>
      <c r="F79" s="694"/>
      <c r="G79" s="694"/>
      <c r="H79" s="694"/>
      <c r="I79" s="694"/>
      <c r="J79" s="694"/>
      <c r="K79" s="694"/>
      <c r="L79" s="694"/>
      <c r="M79" s="694"/>
      <c r="N79" s="554">
        <f t="shared" si="0"/>
        <v>0</v>
      </c>
      <c r="O79" s="554">
        <f t="shared" si="1"/>
        <v>0</v>
      </c>
      <c r="P79" s="555">
        <f>(O79/O243)*100</f>
        <v>0</v>
      </c>
      <c r="Q79" s="567"/>
      <c r="R79" s="555">
        <f t="shared" si="2"/>
        <v>0</v>
      </c>
      <c r="S79" s="697">
        <v>23700</v>
      </c>
      <c r="U79" s="566">
        <f t="shared" si="3"/>
        <v>0</v>
      </c>
      <c r="V79" s="566">
        <f t="shared" si="4"/>
        <v>0</v>
      </c>
      <c r="W79" s="566">
        <f t="shared" si="5"/>
        <v>0</v>
      </c>
      <c r="X79" s="566">
        <f t="shared" si="6"/>
        <v>0</v>
      </c>
      <c r="Y79" s="566">
        <f t="shared" si="7"/>
        <v>0</v>
      </c>
      <c r="Z79" s="566">
        <f t="shared" si="8"/>
        <v>0</v>
      </c>
      <c r="AA79" s="566">
        <f t="shared" si="9"/>
        <v>0</v>
      </c>
      <c r="AB79" s="566">
        <f t="shared" si="10"/>
        <v>0</v>
      </c>
      <c r="AC79" s="566">
        <f t="shared" si="11"/>
        <v>0</v>
      </c>
      <c r="AD79" s="566">
        <f t="shared" si="12"/>
        <v>0</v>
      </c>
      <c r="AE79" s="573"/>
    </row>
    <row r="80" spans="1:31" ht="25.15" customHeight="1">
      <c r="A80" s="543">
        <v>65</v>
      </c>
      <c r="B80" s="546" t="s">
        <v>1559</v>
      </c>
      <c r="C80" s="541" t="str">
        <f>'LAP. PENJUALAN '!C80</f>
        <v>Paha Atas / Dada Hot Cheesy</v>
      </c>
      <c r="D80" s="694">
        <v>1</v>
      </c>
      <c r="E80" s="694"/>
      <c r="F80" s="694"/>
      <c r="G80" s="694"/>
      <c r="H80" s="694"/>
      <c r="I80" s="694">
        <v>1</v>
      </c>
      <c r="J80" s="694"/>
      <c r="K80" s="694"/>
      <c r="L80" s="694"/>
      <c r="M80" s="694"/>
      <c r="N80" s="554">
        <f t="shared" si="0"/>
        <v>2</v>
      </c>
      <c r="O80" s="554">
        <f t="shared" si="1"/>
        <v>51720</v>
      </c>
      <c r="P80" s="555">
        <f>(O80/O243)*100</f>
        <v>0.94537930328543096</v>
      </c>
      <c r="Q80" s="567"/>
      <c r="R80" s="555">
        <f t="shared" si="2"/>
        <v>0</v>
      </c>
      <c r="S80" s="697">
        <v>25860</v>
      </c>
      <c r="U80" s="566">
        <f t="shared" si="3"/>
        <v>25860</v>
      </c>
      <c r="V80" s="566">
        <f t="shared" si="4"/>
        <v>0</v>
      </c>
      <c r="W80" s="566">
        <f t="shared" si="5"/>
        <v>0</v>
      </c>
      <c r="X80" s="566">
        <f t="shared" si="6"/>
        <v>0</v>
      </c>
      <c r="Y80" s="566">
        <f t="shared" si="7"/>
        <v>0</v>
      </c>
      <c r="Z80" s="566">
        <f t="shared" si="8"/>
        <v>25860</v>
      </c>
      <c r="AA80" s="566">
        <f t="shared" si="9"/>
        <v>0</v>
      </c>
      <c r="AB80" s="566">
        <f t="shared" si="10"/>
        <v>0</v>
      </c>
      <c r="AC80" s="566">
        <f t="shared" si="11"/>
        <v>0</v>
      </c>
      <c r="AD80" s="566">
        <f t="shared" si="12"/>
        <v>0</v>
      </c>
      <c r="AE80" s="573"/>
    </row>
    <row r="81" spans="1:31" ht="25.15" customHeight="1">
      <c r="A81" s="543">
        <v>66</v>
      </c>
      <c r="B81" s="546" t="s">
        <v>1560</v>
      </c>
      <c r="C81" s="541" t="str">
        <f>'LAP. PENJUALAN '!C81</f>
        <v>Saos  Hot Cheesy</v>
      </c>
      <c r="D81" s="694">
        <v>1</v>
      </c>
      <c r="E81" s="694"/>
      <c r="F81" s="694">
        <v>1</v>
      </c>
      <c r="G81" s="694"/>
      <c r="H81" s="694"/>
      <c r="I81" s="694"/>
      <c r="J81" s="694"/>
      <c r="K81" s="694"/>
      <c r="L81" s="694"/>
      <c r="M81" s="694"/>
      <c r="N81" s="554">
        <f t="shared" ref="N81:N183" si="23">SUM(D81:M81)</f>
        <v>2</v>
      </c>
      <c r="O81" s="554">
        <f t="shared" ref="O81:O183" si="24">N81*S81</f>
        <v>15800</v>
      </c>
      <c r="P81" s="555">
        <f>(O81/O243)*100</f>
        <v>0.28880496890776902</v>
      </c>
      <c r="Q81" s="567"/>
      <c r="R81" s="555">
        <f t="shared" ref="R81:R183" si="25">P81*Q81</f>
        <v>0</v>
      </c>
      <c r="S81" s="697">
        <v>7900</v>
      </c>
      <c r="U81" s="566">
        <f t="shared" ref="U81:U183" si="26">D81*S81</f>
        <v>7900</v>
      </c>
      <c r="V81" s="566">
        <f t="shared" ref="V81:V183" si="27">E81*S81</f>
        <v>0</v>
      </c>
      <c r="W81" s="566">
        <f t="shared" ref="W81:W183" si="28">F81*S81</f>
        <v>7900</v>
      </c>
      <c r="X81" s="566">
        <f t="shared" ref="X81:X183" si="29">G81*S81</f>
        <v>0</v>
      </c>
      <c r="Y81" s="566">
        <f t="shared" ref="Y81:Y183" si="30">H81*S81</f>
        <v>0</v>
      </c>
      <c r="Z81" s="566">
        <f t="shared" ref="Z81:Z183" si="31">I81*S81</f>
        <v>0</v>
      </c>
      <c r="AA81" s="566">
        <f t="shared" ref="AA81:AA183" si="32">J81*S81</f>
        <v>0</v>
      </c>
      <c r="AB81" s="566">
        <f t="shared" ref="AB81:AB183" si="33">K81*S81</f>
        <v>0</v>
      </c>
      <c r="AC81" s="566">
        <f t="shared" ref="AC81:AC183" si="34">L81*S81</f>
        <v>0</v>
      </c>
      <c r="AD81" s="566">
        <f t="shared" ref="AD81:AD183" si="35">M81*S81</f>
        <v>0</v>
      </c>
      <c r="AE81" s="573"/>
    </row>
    <row r="82" spans="1:31" ht="25.15" customHeight="1">
      <c r="A82" s="543"/>
      <c r="B82" s="546"/>
      <c r="C82" s="541"/>
      <c r="D82" s="694"/>
      <c r="E82" s="694"/>
      <c r="F82" s="694"/>
      <c r="G82" s="694"/>
      <c r="H82" s="694"/>
      <c r="I82" s="694"/>
      <c r="J82" s="694"/>
      <c r="K82" s="694"/>
      <c r="L82" s="694"/>
      <c r="M82" s="694"/>
      <c r="N82" s="554">
        <f t="shared" si="23"/>
        <v>0</v>
      </c>
      <c r="O82" s="554">
        <f t="shared" si="24"/>
        <v>0</v>
      </c>
      <c r="P82" s="555">
        <f>(O82/O243)*100</f>
        <v>0</v>
      </c>
      <c r="Q82" s="567"/>
      <c r="R82" s="555">
        <f t="shared" si="25"/>
        <v>0</v>
      </c>
      <c r="S82" s="698"/>
      <c r="U82" s="566">
        <f t="shared" si="26"/>
        <v>0</v>
      </c>
      <c r="V82" s="566">
        <f t="shared" si="27"/>
        <v>0</v>
      </c>
      <c r="W82" s="566">
        <f t="shared" si="28"/>
        <v>0</v>
      </c>
      <c r="X82" s="566">
        <f t="shared" si="29"/>
        <v>0</v>
      </c>
      <c r="Y82" s="566">
        <f t="shared" si="30"/>
        <v>0</v>
      </c>
      <c r="Z82" s="566">
        <f t="shared" si="31"/>
        <v>0</v>
      </c>
      <c r="AA82" s="566">
        <f t="shared" si="32"/>
        <v>0</v>
      </c>
      <c r="AB82" s="566">
        <f t="shared" si="33"/>
        <v>0</v>
      </c>
      <c r="AC82" s="566">
        <f t="shared" si="34"/>
        <v>0</v>
      </c>
      <c r="AD82" s="566">
        <f t="shared" si="35"/>
        <v>0</v>
      </c>
      <c r="AE82" s="573"/>
    </row>
    <row r="83" spans="1:31" ht="25.15" customHeight="1">
      <c r="A83" s="543">
        <v>67</v>
      </c>
      <c r="B83" s="546" t="s">
        <v>1561</v>
      </c>
      <c r="C83" s="541" t="str">
        <f>'LAP. PENJUALAN '!C83</f>
        <v>Paket Sehat 1</v>
      </c>
      <c r="D83" s="694"/>
      <c r="E83" s="694"/>
      <c r="F83" s="694"/>
      <c r="G83" s="694"/>
      <c r="H83" s="694">
        <v>1</v>
      </c>
      <c r="I83" s="694"/>
      <c r="J83" s="694"/>
      <c r="K83" s="694"/>
      <c r="L83" s="694"/>
      <c r="M83" s="694"/>
      <c r="N83" s="554">
        <f t="shared" si="23"/>
        <v>1</v>
      </c>
      <c r="O83" s="554">
        <f t="shared" si="24"/>
        <v>30500</v>
      </c>
      <c r="P83" s="555">
        <f>(O83/O243)*100</f>
        <v>0.55750326276499695</v>
      </c>
      <c r="Q83" s="567"/>
      <c r="R83" s="555">
        <f t="shared" si="25"/>
        <v>0</v>
      </c>
      <c r="S83" s="697">
        <v>30500</v>
      </c>
      <c r="U83" s="566">
        <f t="shared" si="26"/>
        <v>0</v>
      </c>
      <c r="V83" s="566">
        <f t="shared" si="27"/>
        <v>0</v>
      </c>
      <c r="W83" s="566">
        <f t="shared" si="28"/>
        <v>0</v>
      </c>
      <c r="X83" s="566">
        <f t="shared" si="29"/>
        <v>0</v>
      </c>
      <c r="Y83" s="566">
        <f t="shared" si="30"/>
        <v>30500</v>
      </c>
      <c r="Z83" s="566">
        <f t="shared" si="31"/>
        <v>0</v>
      </c>
      <c r="AA83" s="566">
        <f t="shared" si="32"/>
        <v>0</v>
      </c>
      <c r="AB83" s="566">
        <f t="shared" si="33"/>
        <v>0</v>
      </c>
      <c r="AC83" s="566">
        <f t="shared" si="34"/>
        <v>0</v>
      </c>
      <c r="AD83" s="566">
        <f t="shared" si="35"/>
        <v>0</v>
      </c>
      <c r="AE83" s="573"/>
    </row>
    <row r="84" spans="1:31" ht="25.15" customHeight="1">
      <c r="A84" s="543">
        <v>68</v>
      </c>
      <c r="B84" s="546" t="s">
        <v>1562</v>
      </c>
      <c r="C84" s="541" t="str">
        <f>'LAP. PENJUALAN '!C84</f>
        <v>Paket Sehat 2</v>
      </c>
      <c r="D84" s="694"/>
      <c r="E84" s="694"/>
      <c r="F84" s="694"/>
      <c r="G84" s="694"/>
      <c r="H84" s="694"/>
      <c r="I84" s="694"/>
      <c r="J84" s="694"/>
      <c r="K84" s="694"/>
      <c r="L84" s="694"/>
      <c r="M84" s="694"/>
      <c r="N84" s="554">
        <f t="shared" si="23"/>
        <v>0</v>
      </c>
      <c r="O84" s="554">
        <f t="shared" si="24"/>
        <v>0</v>
      </c>
      <c r="P84" s="555">
        <f>(O84/O243)*100</f>
        <v>0</v>
      </c>
      <c r="Q84" s="567"/>
      <c r="R84" s="555">
        <f t="shared" si="25"/>
        <v>0</v>
      </c>
      <c r="S84" s="697">
        <v>33900</v>
      </c>
      <c r="U84" s="566">
        <f t="shared" si="26"/>
        <v>0</v>
      </c>
      <c r="V84" s="566">
        <f t="shared" si="27"/>
        <v>0</v>
      </c>
      <c r="W84" s="566">
        <f t="shared" si="28"/>
        <v>0</v>
      </c>
      <c r="X84" s="566">
        <f t="shared" si="29"/>
        <v>0</v>
      </c>
      <c r="Y84" s="566">
        <f t="shared" si="30"/>
        <v>0</v>
      </c>
      <c r="Z84" s="566">
        <f t="shared" si="31"/>
        <v>0</v>
      </c>
      <c r="AA84" s="566">
        <f t="shared" si="32"/>
        <v>0</v>
      </c>
      <c r="AB84" s="566">
        <f t="shared" si="33"/>
        <v>0</v>
      </c>
      <c r="AC84" s="566">
        <f t="shared" si="34"/>
        <v>0</v>
      </c>
      <c r="AD84" s="566">
        <f t="shared" si="35"/>
        <v>0</v>
      </c>
      <c r="AE84" s="573"/>
    </row>
    <row r="85" spans="1:31" ht="25.15" customHeight="1">
      <c r="A85" s="543">
        <v>69</v>
      </c>
      <c r="B85" s="546" t="s">
        <v>1563</v>
      </c>
      <c r="C85" s="541" t="str">
        <f>'LAP. PENJUALAN '!C85</f>
        <v>Paket Sehat 3</v>
      </c>
      <c r="D85" s="694"/>
      <c r="E85" s="694"/>
      <c r="F85" s="694"/>
      <c r="G85" s="694"/>
      <c r="H85" s="694"/>
      <c r="I85" s="694"/>
      <c r="J85" s="694"/>
      <c r="K85" s="694"/>
      <c r="L85" s="694"/>
      <c r="M85" s="694"/>
      <c r="N85" s="554">
        <f t="shared" si="23"/>
        <v>0</v>
      </c>
      <c r="O85" s="554">
        <f t="shared" si="24"/>
        <v>0</v>
      </c>
      <c r="P85" s="555">
        <f>(O85/O243)*100</f>
        <v>0</v>
      </c>
      <c r="Q85" s="567"/>
      <c r="R85" s="555">
        <f t="shared" si="25"/>
        <v>0</v>
      </c>
      <c r="S85" s="697">
        <v>36900</v>
      </c>
      <c r="U85" s="566">
        <f t="shared" si="26"/>
        <v>0</v>
      </c>
      <c r="V85" s="566">
        <f t="shared" si="27"/>
        <v>0</v>
      </c>
      <c r="W85" s="566">
        <f t="shared" si="28"/>
        <v>0</v>
      </c>
      <c r="X85" s="566">
        <f t="shared" si="29"/>
        <v>0</v>
      </c>
      <c r="Y85" s="566">
        <f t="shared" si="30"/>
        <v>0</v>
      </c>
      <c r="Z85" s="566">
        <f t="shared" si="31"/>
        <v>0</v>
      </c>
      <c r="AA85" s="566">
        <f t="shared" si="32"/>
        <v>0</v>
      </c>
      <c r="AB85" s="566">
        <f t="shared" si="33"/>
        <v>0</v>
      </c>
      <c r="AC85" s="566">
        <f t="shared" si="34"/>
        <v>0</v>
      </c>
      <c r="AD85" s="566">
        <f t="shared" si="35"/>
        <v>0</v>
      </c>
      <c r="AE85" s="573"/>
    </row>
    <row r="86" spans="1:31" ht="25.15" customHeight="1">
      <c r="A86" s="543">
        <v>70</v>
      </c>
      <c r="B86" s="546" t="s">
        <v>1564</v>
      </c>
      <c r="C86" s="541" t="str">
        <f>'LAP. PENJUALAN '!C86</f>
        <v>Paket Sehat 4</v>
      </c>
      <c r="D86" s="694"/>
      <c r="E86" s="694"/>
      <c r="F86" s="694"/>
      <c r="G86" s="694"/>
      <c r="H86" s="694"/>
      <c r="I86" s="694"/>
      <c r="J86" s="694"/>
      <c r="K86" s="694"/>
      <c r="L86" s="694"/>
      <c r="M86" s="694"/>
      <c r="N86" s="554">
        <f t="shared" si="23"/>
        <v>0</v>
      </c>
      <c r="O86" s="554">
        <f t="shared" si="24"/>
        <v>0</v>
      </c>
      <c r="P86" s="555">
        <f>(O86/O243)*100</f>
        <v>0</v>
      </c>
      <c r="Q86" s="567"/>
      <c r="R86" s="555">
        <f t="shared" si="25"/>
        <v>0</v>
      </c>
      <c r="S86" s="697">
        <v>35100</v>
      </c>
      <c r="U86" s="566">
        <f t="shared" si="26"/>
        <v>0</v>
      </c>
      <c r="V86" s="566">
        <f t="shared" si="27"/>
        <v>0</v>
      </c>
      <c r="W86" s="566">
        <f t="shared" si="28"/>
        <v>0</v>
      </c>
      <c r="X86" s="566">
        <f t="shared" si="29"/>
        <v>0</v>
      </c>
      <c r="Y86" s="566">
        <f t="shared" si="30"/>
        <v>0</v>
      </c>
      <c r="Z86" s="566">
        <f t="shared" si="31"/>
        <v>0</v>
      </c>
      <c r="AA86" s="566">
        <f t="shared" si="32"/>
        <v>0</v>
      </c>
      <c r="AB86" s="566">
        <f t="shared" si="33"/>
        <v>0</v>
      </c>
      <c r="AC86" s="566">
        <f t="shared" si="34"/>
        <v>0</v>
      </c>
      <c r="AD86" s="566">
        <f t="shared" si="35"/>
        <v>0</v>
      </c>
      <c r="AE86" s="573"/>
    </row>
    <row r="87" spans="1:31" ht="25.15" customHeight="1">
      <c r="A87" s="543"/>
      <c r="B87" s="546" t="s">
        <v>1565</v>
      </c>
      <c r="C87" s="541"/>
      <c r="D87" s="694"/>
      <c r="E87" s="694"/>
      <c r="F87" s="694"/>
      <c r="G87" s="694"/>
      <c r="H87" s="694"/>
      <c r="I87" s="694"/>
      <c r="J87" s="694"/>
      <c r="K87" s="694"/>
      <c r="L87" s="694"/>
      <c r="M87" s="694"/>
      <c r="N87" s="554">
        <f t="shared" si="23"/>
        <v>0</v>
      </c>
      <c r="O87" s="554">
        <f t="shared" si="24"/>
        <v>0</v>
      </c>
      <c r="P87" s="555">
        <f>(O87/O243)*100</f>
        <v>0</v>
      </c>
      <c r="Q87" s="567"/>
      <c r="R87" s="555">
        <f t="shared" si="25"/>
        <v>0</v>
      </c>
      <c r="S87" s="698"/>
      <c r="U87" s="566">
        <f t="shared" si="26"/>
        <v>0</v>
      </c>
      <c r="V87" s="566">
        <f t="shared" si="27"/>
        <v>0</v>
      </c>
      <c r="W87" s="566">
        <f t="shared" si="28"/>
        <v>0</v>
      </c>
      <c r="X87" s="566">
        <f t="shared" si="29"/>
        <v>0</v>
      </c>
      <c r="Y87" s="566">
        <f t="shared" si="30"/>
        <v>0</v>
      </c>
      <c r="Z87" s="566">
        <f t="shared" si="31"/>
        <v>0</v>
      </c>
      <c r="AA87" s="566">
        <f t="shared" si="32"/>
        <v>0</v>
      </c>
      <c r="AB87" s="566">
        <f t="shared" si="33"/>
        <v>0</v>
      </c>
      <c r="AC87" s="566">
        <f t="shared" si="34"/>
        <v>0</v>
      </c>
      <c r="AD87" s="566">
        <f t="shared" si="35"/>
        <v>0</v>
      </c>
      <c r="AE87" s="573"/>
    </row>
    <row r="88" spans="1:31" ht="25.15" customHeight="1">
      <c r="A88" s="543">
        <v>71</v>
      </c>
      <c r="B88" s="546" t="s">
        <v>1566</v>
      </c>
      <c r="C88" s="541" t="str">
        <f>'LAP. PENJUALAN '!C88</f>
        <v>Paket Catering 1</v>
      </c>
      <c r="D88" s="694"/>
      <c r="E88" s="694"/>
      <c r="F88" s="694"/>
      <c r="G88" s="694"/>
      <c r="H88" s="694"/>
      <c r="I88" s="694"/>
      <c r="J88" s="694"/>
      <c r="K88" s="694"/>
      <c r="L88" s="694"/>
      <c r="M88" s="694"/>
      <c r="N88" s="554">
        <f t="shared" si="23"/>
        <v>0</v>
      </c>
      <c r="O88" s="554">
        <f t="shared" si="24"/>
        <v>0</v>
      </c>
      <c r="P88" s="555">
        <f>(O88/O243)*100</f>
        <v>0</v>
      </c>
      <c r="Q88" s="567"/>
      <c r="R88" s="555">
        <f t="shared" si="25"/>
        <v>0</v>
      </c>
      <c r="S88" s="698"/>
      <c r="U88" s="566">
        <f t="shared" si="26"/>
        <v>0</v>
      </c>
      <c r="V88" s="566">
        <f t="shared" si="27"/>
        <v>0</v>
      </c>
      <c r="W88" s="566">
        <f t="shared" si="28"/>
        <v>0</v>
      </c>
      <c r="X88" s="566">
        <f t="shared" si="29"/>
        <v>0</v>
      </c>
      <c r="Y88" s="566">
        <f t="shared" si="30"/>
        <v>0</v>
      </c>
      <c r="Z88" s="566">
        <f t="shared" si="31"/>
        <v>0</v>
      </c>
      <c r="AA88" s="566">
        <f t="shared" si="32"/>
        <v>0</v>
      </c>
      <c r="AB88" s="566">
        <f t="shared" si="33"/>
        <v>0</v>
      </c>
      <c r="AC88" s="566">
        <f t="shared" si="34"/>
        <v>0</v>
      </c>
      <c r="AD88" s="566">
        <f t="shared" si="35"/>
        <v>0</v>
      </c>
      <c r="AE88" s="573"/>
    </row>
    <row r="89" spans="1:31" ht="25.15" customHeight="1">
      <c r="A89" s="543">
        <v>72</v>
      </c>
      <c r="B89" s="546"/>
      <c r="C89" s="541" t="str">
        <f>'LAP. PENJUALAN '!C89</f>
        <v>Paket Catering 2</v>
      </c>
      <c r="D89" s="694"/>
      <c r="E89" s="694"/>
      <c r="F89" s="694"/>
      <c r="G89" s="694"/>
      <c r="H89" s="694"/>
      <c r="I89" s="694"/>
      <c r="J89" s="694"/>
      <c r="K89" s="694"/>
      <c r="L89" s="694"/>
      <c r="M89" s="694"/>
      <c r="N89" s="554">
        <f t="shared" si="23"/>
        <v>0</v>
      </c>
      <c r="O89" s="554">
        <f t="shared" si="24"/>
        <v>0</v>
      </c>
      <c r="P89" s="555">
        <f>(O89/O243)*100</f>
        <v>0</v>
      </c>
      <c r="Q89" s="567"/>
      <c r="R89" s="555">
        <f t="shared" si="25"/>
        <v>0</v>
      </c>
      <c r="S89" s="698"/>
      <c r="U89" s="566">
        <f t="shared" si="26"/>
        <v>0</v>
      </c>
      <c r="V89" s="566">
        <f t="shared" si="27"/>
        <v>0</v>
      </c>
      <c r="W89" s="566">
        <f t="shared" si="28"/>
        <v>0</v>
      </c>
      <c r="X89" s="566">
        <f t="shared" si="29"/>
        <v>0</v>
      </c>
      <c r="Y89" s="566">
        <f t="shared" si="30"/>
        <v>0</v>
      </c>
      <c r="Z89" s="566">
        <f t="shared" si="31"/>
        <v>0</v>
      </c>
      <c r="AA89" s="566">
        <f t="shared" si="32"/>
        <v>0</v>
      </c>
      <c r="AB89" s="566">
        <f t="shared" si="33"/>
        <v>0</v>
      </c>
      <c r="AC89" s="566">
        <f t="shared" si="34"/>
        <v>0</v>
      </c>
      <c r="AD89" s="566">
        <f t="shared" si="35"/>
        <v>0</v>
      </c>
      <c r="AE89" s="573"/>
    </row>
    <row r="90" spans="1:31" ht="25.15" customHeight="1">
      <c r="A90" s="543">
        <v>73</v>
      </c>
      <c r="B90" s="546" t="s">
        <v>1567</v>
      </c>
      <c r="C90" s="541" t="str">
        <f>'LAP. PENJUALAN '!C90</f>
        <v>Paket Catering 3</v>
      </c>
      <c r="D90" s="694"/>
      <c r="E90" s="694"/>
      <c r="F90" s="694"/>
      <c r="G90" s="694"/>
      <c r="H90" s="694"/>
      <c r="I90" s="694"/>
      <c r="J90" s="694"/>
      <c r="K90" s="694"/>
      <c r="L90" s="694"/>
      <c r="M90" s="694"/>
      <c r="N90" s="554">
        <f t="shared" si="23"/>
        <v>0</v>
      </c>
      <c r="O90" s="554">
        <f t="shared" si="24"/>
        <v>0</v>
      </c>
      <c r="P90" s="555">
        <f>(O90/O243)*100</f>
        <v>0</v>
      </c>
      <c r="Q90" s="567"/>
      <c r="R90" s="555">
        <f t="shared" si="25"/>
        <v>0</v>
      </c>
      <c r="S90" s="698"/>
      <c r="U90" s="566">
        <f t="shared" si="26"/>
        <v>0</v>
      </c>
      <c r="V90" s="566">
        <f t="shared" si="27"/>
        <v>0</v>
      </c>
      <c r="W90" s="566">
        <f t="shared" si="28"/>
        <v>0</v>
      </c>
      <c r="X90" s="566">
        <f t="shared" si="29"/>
        <v>0</v>
      </c>
      <c r="Y90" s="566">
        <f t="shared" si="30"/>
        <v>0</v>
      </c>
      <c r="Z90" s="566">
        <f t="shared" si="31"/>
        <v>0</v>
      </c>
      <c r="AA90" s="566">
        <f t="shared" si="32"/>
        <v>0</v>
      </c>
      <c r="AB90" s="566">
        <f t="shared" si="33"/>
        <v>0</v>
      </c>
      <c r="AC90" s="566">
        <f t="shared" si="34"/>
        <v>0</v>
      </c>
      <c r="AD90" s="566">
        <f t="shared" si="35"/>
        <v>0</v>
      </c>
      <c r="AE90" s="573"/>
    </row>
    <row r="91" spans="1:31" ht="25.15" customHeight="1">
      <c r="A91" s="543">
        <v>74</v>
      </c>
      <c r="B91" s="546" t="s">
        <v>1568</v>
      </c>
      <c r="C91" s="541" t="str">
        <f>'LAP. PENJUALAN '!C91</f>
        <v>Paket Catering 4</v>
      </c>
      <c r="D91" s="694"/>
      <c r="E91" s="694"/>
      <c r="F91" s="694"/>
      <c r="G91" s="694"/>
      <c r="H91" s="694"/>
      <c r="I91" s="694"/>
      <c r="J91" s="694"/>
      <c r="K91" s="694"/>
      <c r="L91" s="694"/>
      <c r="M91" s="694"/>
      <c r="N91" s="554">
        <f t="shared" si="23"/>
        <v>0</v>
      </c>
      <c r="O91" s="554">
        <f t="shared" si="24"/>
        <v>0</v>
      </c>
      <c r="P91" s="555">
        <f>(O91/O243)*100</f>
        <v>0</v>
      </c>
      <c r="Q91" s="567"/>
      <c r="R91" s="555">
        <f t="shared" si="25"/>
        <v>0</v>
      </c>
      <c r="S91" s="698"/>
      <c r="U91" s="566">
        <f t="shared" si="26"/>
        <v>0</v>
      </c>
      <c r="V91" s="566">
        <f t="shared" si="27"/>
        <v>0</v>
      </c>
      <c r="W91" s="566">
        <f t="shared" si="28"/>
        <v>0</v>
      </c>
      <c r="X91" s="566">
        <f t="shared" si="29"/>
        <v>0</v>
      </c>
      <c r="Y91" s="566">
        <f t="shared" si="30"/>
        <v>0</v>
      </c>
      <c r="Z91" s="566">
        <f t="shared" si="31"/>
        <v>0</v>
      </c>
      <c r="AA91" s="566">
        <f t="shared" si="32"/>
        <v>0</v>
      </c>
      <c r="AB91" s="566">
        <f t="shared" si="33"/>
        <v>0</v>
      </c>
      <c r="AC91" s="566">
        <f t="shared" si="34"/>
        <v>0</v>
      </c>
      <c r="AD91" s="566">
        <f t="shared" si="35"/>
        <v>0</v>
      </c>
      <c r="AE91" s="573"/>
    </row>
    <row r="92" spans="1:31" ht="25.15" customHeight="1">
      <c r="A92" s="543"/>
      <c r="B92" s="546" t="s">
        <v>1569</v>
      </c>
      <c r="C92" s="541"/>
      <c r="D92" s="694"/>
      <c r="E92" s="694"/>
      <c r="F92" s="694"/>
      <c r="G92" s="694"/>
      <c r="H92" s="694"/>
      <c r="I92" s="694"/>
      <c r="J92" s="694"/>
      <c r="K92" s="694"/>
      <c r="L92" s="694"/>
      <c r="M92" s="694"/>
      <c r="N92" s="554">
        <f t="shared" si="23"/>
        <v>0</v>
      </c>
      <c r="O92" s="554">
        <f t="shared" si="24"/>
        <v>0</v>
      </c>
      <c r="P92" s="555">
        <f>(O92/O243)*100</f>
        <v>0</v>
      </c>
      <c r="Q92" s="567"/>
      <c r="R92" s="555">
        <f t="shared" si="25"/>
        <v>0</v>
      </c>
      <c r="S92" s="698"/>
      <c r="U92" s="566">
        <f t="shared" si="26"/>
        <v>0</v>
      </c>
      <c r="V92" s="566">
        <f t="shared" si="27"/>
        <v>0</v>
      </c>
      <c r="W92" s="566">
        <f t="shared" si="28"/>
        <v>0</v>
      </c>
      <c r="X92" s="566">
        <f t="shared" si="29"/>
        <v>0</v>
      </c>
      <c r="Y92" s="566">
        <f t="shared" si="30"/>
        <v>0</v>
      </c>
      <c r="Z92" s="566">
        <f t="shared" si="31"/>
        <v>0</v>
      </c>
      <c r="AA92" s="566">
        <f t="shared" si="32"/>
        <v>0</v>
      </c>
      <c r="AB92" s="566">
        <f t="shared" si="33"/>
        <v>0</v>
      </c>
      <c r="AC92" s="566">
        <f t="shared" si="34"/>
        <v>0</v>
      </c>
      <c r="AD92" s="566">
        <f t="shared" si="35"/>
        <v>0</v>
      </c>
      <c r="AE92" s="573"/>
    </row>
    <row r="93" spans="1:31" ht="25.15" customHeight="1">
      <c r="A93" s="543">
        <v>73</v>
      </c>
      <c r="B93" s="546"/>
      <c r="C93" s="541" t="str">
        <f>'LAP. PENJUALAN '!C93</f>
        <v>Paket Takjil 1</v>
      </c>
      <c r="D93" s="694"/>
      <c r="E93" s="694"/>
      <c r="F93" s="694"/>
      <c r="G93" s="694"/>
      <c r="H93" s="694"/>
      <c r="I93" s="694"/>
      <c r="J93" s="694"/>
      <c r="K93" s="694"/>
      <c r="L93" s="694"/>
      <c r="M93" s="694"/>
      <c r="N93" s="554">
        <f t="shared" si="23"/>
        <v>0</v>
      </c>
      <c r="O93" s="554">
        <f t="shared" si="24"/>
        <v>0</v>
      </c>
      <c r="P93" s="555">
        <f>(O93/O243)*100</f>
        <v>0</v>
      </c>
      <c r="Q93" s="567"/>
      <c r="R93" s="555">
        <f t="shared" si="25"/>
        <v>0</v>
      </c>
      <c r="S93" s="698"/>
      <c r="U93" s="566">
        <f t="shared" si="26"/>
        <v>0</v>
      </c>
      <c r="V93" s="566">
        <f t="shared" si="27"/>
        <v>0</v>
      </c>
      <c r="W93" s="566">
        <f t="shared" si="28"/>
        <v>0</v>
      </c>
      <c r="X93" s="566">
        <f t="shared" si="29"/>
        <v>0</v>
      </c>
      <c r="Y93" s="566">
        <f t="shared" si="30"/>
        <v>0</v>
      </c>
      <c r="Z93" s="566">
        <f t="shared" si="31"/>
        <v>0</v>
      </c>
      <c r="AA93" s="566">
        <f t="shared" si="32"/>
        <v>0</v>
      </c>
      <c r="AB93" s="566">
        <f t="shared" si="33"/>
        <v>0</v>
      </c>
      <c r="AC93" s="566">
        <f t="shared" si="34"/>
        <v>0</v>
      </c>
      <c r="AD93" s="566">
        <f t="shared" si="35"/>
        <v>0</v>
      </c>
      <c r="AE93" s="573"/>
    </row>
    <row r="94" spans="1:31" ht="25.15" customHeight="1">
      <c r="A94" s="543">
        <v>74</v>
      </c>
      <c r="B94" s="546" t="s">
        <v>1398</v>
      </c>
      <c r="C94" s="541" t="str">
        <f>'LAP. PENJUALAN '!C94</f>
        <v>Paket Takjil 2</v>
      </c>
      <c r="D94" s="694"/>
      <c r="E94" s="694"/>
      <c r="F94" s="694"/>
      <c r="G94" s="694"/>
      <c r="H94" s="694"/>
      <c r="I94" s="694"/>
      <c r="J94" s="694"/>
      <c r="K94" s="694"/>
      <c r="L94" s="694"/>
      <c r="M94" s="694"/>
      <c r="N94" s="554">
        <f t="shared" si="23"/>
        <v>0</v>
      </c>
      <c r="O94" s="554">
        <f t="shared" si="24"/>
        <v>0</v>
      </c>
      <c r="P94" s="555">
        <f>(O94/O243)*100</f>
        <v>0</v>
      </c>
      <c r="Q94" s="567"/>
      <c r="R94" s="555">
        <f t="shared" si="25"/>
        <v>0</v>
      </c>
      <c r="S94" s="698"/>
      <c r="U94" s="566">
        <f t="shared" si="26"/>
        <v>0</v>
      </c>
      <c r="V94" s="566">
        <f t="shared" si="27"/>
        <v>0</v>
      </c>
      <c r="W94" s="566">
        <f t="shared" si="28"/>
        <v>0</v>
      </c>
      <c r="X94" s="566">
        <f t="shared" si="29"/>
        <v>0</v>
      </c>
      <c r="Y94" s="566">
        <f t="shared" si="30"/>
        <v>0</v>
      </c>
      <c r="Z94" s="566">
        <f t="shared" si="31"/>
        <v>0</v>
      </c>
      <c r="AA94" s="566">
        <f t="shared" si="32"/>
        <v>0</v>
      </c>
      <c r="AB94" s="566">
        <f t="shared" si="33"/>
        <v>0</v>
      </c>
      <c r="AC94" s="566">
        <f t="shared" si="34"/>
        <v>0</v>
      </c>
      <c r="AD94" s="566">
        <f t="shared" si="35"/>
        <v>0</v>
      </c>
      <c r="AE94" s="573"/>
    </row>
    <row r="95" spans="1:31" ht="25.15" customHeight="1">
      <c r="A95" s="543">
        <v>75</v>
      </c>
      <c r="B95" s="546" t="s">
        <v>1399</v>
      </c>
      <c r="C95" s="541" t="str">
        <f>'LAP. PENJUALAN '!C95</f>
        <v>Paket Takjil 3</v>
      </c>
      <c r="D95" s="694"/>
      <c r="E95" s="694"/>
      <c r="F95" s="694"/>
      <c r="G95" s="694"/>
      <c r="H95" s="694"/>
      <c r="I95" s="694"/>
      <c r="J95" s="694"/>
      <c r="K95" s="694"/>
      <c r="L95" s="694"/>
      <c r="M95" s="694"/>
      <c r="N95" s="554">
        <f t="shared" si="23"/>
        <v>0</v>
      </c>
      <c r="O95" s="554">
        <f t="shared" si="24"/>
        <v>0</v>
      </c>
      <c r="P95" s="555">
        <f>(O95/O243)*100</f>
        <v>0</v>
      </c>
      <c r="Q95" s="567"/>
      <c r="R95" s="555">
        <f t="shared" si="25"/>
        <v>0</v>
      </c>
      <c r="S95" s="698"/>
      <c r="U95" s="566">
        <f t="shared" si="26"/>
        <v>0</v>
      </c>
      <c r="V95" s="566">
        <f t="shared" si="27"/>
        <v>0</v>
      </c>
      <c r="W95" s="566">
        <f t="shared" si="28"/>
        <v>0</v>
      </c>
      <c r="X95" s="566">
        <f t="shared" si="29"/>
        <v>0</v>
      </c>
      <c r="Y95" s="566">
        <f t="shared" si="30"/>
        <v>0</v>
      </c>
      <c r="Z95" s="566">
        <f t="shared" si="31"/>
        <v>0</v>
      </c>
      <c r="AA95" s="566">
        <f t="shared" si="32"/>
        <v>0</v>
      </c>
      <c r="AB95" s="566">
        <f t="shared" si="33"/>
        <v>0</v>
      </c>
      <c r="AC95" s="566">
        <f t="shared" si="34"/>
        <v>0</v>
      </c>
      <c r="AD95" s="566">
        <f t="shared" si="35"/>
        <v>0</v>
      </c>
      <c r="AE95" s="573"/>
    </row>
    <row r="96" spans="1:31" ht="25.15" customHeight="1">
      <c r="A96" s="543">
        <v>76</v>
      </c>
      <c r="B96" s="546"/>
      <c r="C96" s="541" t="str">
        <f>'LAP. PENJUALAN '!C96</f>
        <v>Paket Takjil 4</v>
      </c>
      <c r="D96" s="694"/>
      <c r="E96" s="694"/>
      <c r="F96" s="694"/>
      <c r="G96" s="694"/>
      <c r="H96" s="694"/>
      <c r="I96" s="694"/>
      <c r="J96" s="694"/>
      <c r="K96" s="694"/>
      <c r="L96" s="694"/>
      <c r="M96" s="694"/>
      <c r="N96" s="554">
        <f t="shared" si="23"/>
        <v>0</v>
      </c>
      <c r="O96" s="554">
        <f t="shared" si="24"/>
        <v>0</v>
      </c>
      <c r="P96" s="555">
        <f>(O96/O243)*100</f>
        <v>0</v>
      </c>
      <c r="Q96" s="567"/>
      <c r="R96" s="555">
        <f t="shared" si="25"/>
        <v>0</v>
      </c>
      <c r="S96" s="698"/>
      <c r="U96" s="566">
        <f t="shared" si="26"/>
        <v>0</v>
      </c>
      <c r="V96" s="566">
        <f t="shared" si="27"/>
        <v>0</v>
      </c>
      <c r="W96" s="566">
        <f t="shared" si="28"/>
        <v>0</v>
      </c>
      <c r="X96" s="566">
        <f t="shared" si="29"/>
        <v>0</v>
      </c>
      <c r="Y96" s="566">
        <f t="shared" si="30"/>
        <v>0</v>
      </c>
      <c r="Z96" s="566">
        <f t="shared" si="31"/>
        <v>0</v>
      </c>
      <c r="AA96" s="566">
        <f t="shared" si="32"/>
        <v>0</v>
      </c>
      <c r="AB96" s="566">
        <f t="shared" si="33"/>
        <v>0</v>
      </c>
      <c r="AC96" s="566">
        <f t="shared" si="34"/>
        <v>0</v>
      </c>
      <c r="AD96" s="566">
        <f t="shared" si="35"/>
        <v>0</v>
      </c>
      <c r="AE96" s="573"/>
    </row>
    <row r="97" spans="1:31" ht="25.15" customHeight="1">
      <c r="A97" s="543">
        <v>77</v>
      </c>
      <c r="B97" s="546" t="s">
        <v>1349</v>
      </c>
      <c r="C97" s="541" t="str">
        <f>'LAP. PENJUALAN '!C97</f>
        <v>Paket Takjil 5</v>
      </c>
      <c r="D97" s="694"/>
      <c r="E97" s="694"/>
      <c r="F97" s="694"/>
      <c r="G97" s="694"/>
      <c r="H97" s="694"/>
      <c r="I97" s="694"/>
      <c r="J97" s="694"/>
      <c r="K97" s="694"/>
      <c r="L97" s="694"/>
      <c r="M97" s="694"/>
      <c r="N97" s="554">
        <f t="shared" si="23"/>
        <v>0</v>
      </c>
      <c r="O97" s="554">
        <f t="shared" si="24"/>
        <v>0</v>
      </c>
      <c r="P97" s="555">
        <f>(O97/O243)*100</f>
        <v>0</v>
      </c>
      <c r="Q97" s="567"/>
      <c r="R97" s="555">
        <f t="shared" si="25"/>
        <v>0</v>
      </c>
      <c r="S97" s="698"/>
      <c r="U97" s="566">
        <f t="shared" si="26"/>
        <v>0</v>
      </c>
      <c r="V97" s="566">
        <f t="shared" si="27"/>
        <v>0</v>
      </c>
      <c r="W97" s="566">
        <f t="shared" si="28"/>
        <v>0</v>
      </c>
      <c r="X97" s="566">
        <f t="shared" si="29"/>
        <v>0</v>
      </c>
      <c r="Y97" s="566">
        <f t="shared" si="30"/>
        <v>0</v>
      </c>
      <c r="Z97" s="566">
        <f t="shared" si="31"/>
        <v>0</v>
      </c>
      <c r="AA97" s="566">
        <f t="shared" si="32"/>
        <v>0</v>
      </c>
      <c r="AB97" s="566">
        <f t="shared" si="33"/>
        <v>0</v>
      </c>
      <c r="AC97" s="566">
        <f t="shared" si="34"/>
        <v>0</v>
      </c>
      <c r="AD97" s="566">
        <f t="shared" si="35"/>
        <v>0</v>
      </c>
      <c r="AE97" s="573"/>
    </row>
    <row r="98" spans="1:31" ht="25.15" customHeight="1">
      <c r="A98" s="543">
        <v>78</v>
      </c>
      <c r="B98" s="546" t="s">
        <v>1350</v>
      </c>
      <c r="C98" s="541" t="str">
        <f>'LAP. PENJUALAN '!C98</f>
        <v>Paket Takjil 6</v>
      </c>
      <c r="D98" s="694"/>
      <c r="E98" s="694"/>
      <c r="F98" s="694"/>
      <c r="G98" s="694"/>
      <c r="H98" s="694"/>
      <c r="I98" s="694"/>
      <c r="J98" s="694"/>
      <c r="K98" s="694"/>
      <c r="L98" s="694"/>
      <c r="M98" s="694"/>
      <c r="N98" s="554">
        <f t="shared" si="23"/>
        <v>0</v>
      </c>
      <c r="O98" s="554">
        <f t="shared" si="24"/>
        <v>0</v>
      </c>
      <c r="P98" s="555">
        <f>(O98/O243)*100</f>
        <v>0</v>
      </c>
      <c r="Q98" s="567"/>
      <c r="R98" s="555">
        <f t="shared" si="25"/>
        <v>0</v>
      </c>
      <c r="S98" s="698"/>
      <c r="U98" s="566">
        <f t="shared" si="26"/>
        <v>0</v>
      </c>
      <c r="V98" s="566">
        <f t="shared" si="27"/>
        <v>0</v>
      </c>
      <c r="W98" s="566">
        <f t="shared" si="28"/>
        <v>0</v>
      </c>
      <c r="X98" s="566">
        <f t="shared" si="29"/>
        <v>0</v>
      </c>
      <c r="Y98" s="566">
        <f t="shared" si="30"/>
        <v>0</v>
      </c>
      <c r="Z98" s="566">
        <f t="shared" si="31"/>
        <v>0</v>
      </c>
      <c r="AA98" s="566">
        <f t="shared" si="32"/>
        <v>0</v>
      </c>
      <c r="AB98" s="566">
        <f t="shared" si="33"/>
        <v>0</v>
      </c>
      <c r="AC98" s="566">
        <f t="shared" si="34"/>
        <v>0</v>
      </c>
      <c r="AD98" s="566">
        <f t="shared" si="35"/>
        <v>0</v>
      </c>
      <c r="AE98" s="573"/>
    </row>
    <row r="99" spans="1:31" ht="25.15" customHeight="1">
      <c r="A99" s="543">
        <v>79</v>
      </c>
      <c r="B99" s="546" t="s">
        <v>1351</v>
      </c>
      <c r="C99" s="541" t="str">
        <f>'LAP. PENJUALAN '!C99</f>
        <v>Paket Takjil 7</v>
      </c>
      <c r="D99" s="694"/>
      <c r="E99" s="694"/>
      <c r="F99" s="694"/>
      <c r="G99" s="694"/>
      <c r="H99" s="694"/>
      <c r="I99" s="694"/>
      <c r="J99" s="694"/>
      <c r="K99" s="694"/>
      <c r="L99" s="694"/>
      <c r="M99" s="694"/>
      <c r="N99" s="554">
        <f t="shared" si="23"/>
        <v>0</v>
      </c>
      <c r="O99" s="554">
        <f t="shared" si="24"/>
        <v>0</v>
      </c>
      <c r="P99" s="555">
        <f>(O99/O243)*100</f>
        <v>0</v>
      </c>
      <c r="Q99" s="567"/>
      <c r="R99" s="555">
        <f t="shared" si="25"/>
        <v>0</v>
      </c>
      <c r="S99" s="698"/>
      <c r="U99" s="566">
        <f t="shared" si="26"/>
        <v>0</v>
      </c>
      <c r="V99" s="566">
        <f t="shared" si="27"/>
        <v>0</v>
      </c>
      <c r="W99" s="566">
        <f t="shared" si="28"/>
        <v>0</v>
      </c>
      <c r="X99" s="566">
        <f t="shared" si="29"/>
        <v>0</v>
      </c>
      <c r="Y99" s="566">
        <f t="shared" si="30"/>
        <v>0</v>
      </c>
      <c r="Z99" s="566">
        <f t="shared" si="31"/>
        <v>0</v>
      </c>
      <c r="AA99" s="566">
        <f t="shared" si="32"/>
        <v>0</v>
      </c>
      <c r="AB99" s="566">
        <f t="shared" si="33"/>
        <v>0</v>
      </c>
      <c r="AC99" s="566">
        <f t="shared" si="34"/>
        <v>0</v>
      </c>
      <c r="AD99" s="566">
        <f t="shared" si="35"/>
        <v>0</v>
      </c>
      <c r="AE99" s="573"/>
    </row>
    <row r="100" spans="1:31" ht="25.15" customHeight="1">
      <c r="A100" s="543">
        <v>80</v>
      </c>
      <c r="B100" s="546" t="s">
        <v>1352</v>
      </c>
      <c r="C100" s="541" t="str">
        <f>'LAP. PENJUALAN '!C100</f>
        <v>Paket Takjil 8</v>
      </c>
      <c r="D100" s="694"/>
      <c r="E100" s="694"/>
      <c r="F100" s="694"/>
      <c r="G100" s="694"/>
      <c r="H100" s="694"/>
      <c r="I100" s="694"/>
      <c r="J100" s="694"/>
      <c r="K100" s="694"/>
      <c r="L100" s="694"/>
      <c r="M100" s="694"/>
      <c r="N100" s="554">
        <f t="shared" si="23"/>
        <v>0</v>
      </c>
      <c r="O100" s="554">
        <f t="shared" si="24"/>
        <v>0</v>
      </c>
      <c r="P100" s="555">
        <f>(O100/O243)*100</f>
        <v>0</v>
      </c>
      <c r="Q100" s="567"/>
      <c r="R100" s="555">
        <f t="shared" si="25"/>
        <v>0</v>
      </c>
      <c r="S100" s="698"/>
      <c r="U100" s="566">
        <f t="shared" si="26"/>
        <v>0</v>
      </c>
      <c r="V100" s="566">
        <f t="shared" si="27"/>
        <v>0</v>
      </c>
      <c r="W100" s="566">
        <f t="shared" si="28"/>
        <v>0</v>
      </c>
      <c r="X100" s="566">
        <f t="shared" si="29"/>
        <v>0</v>
      </c>
      <c r="Y100" s="566">
        <f t="shared" si="30"/>
        <v>0</v>
      </c>
      <c r="Z100" s="566">
        <f t="shared" si="31"/>
        <v>0</v>
      </c>
      <c r="AA100" s="566">
        <f t="shared" si="32"/>
        <v>0</v>
      </c>
      <c r="AB100" s="566">
        <f t="shared" si="33"/>
        <v>0</v>
      </c>
      <c r="AC100" s="566">
        <f t="shared" si="34"/>
        <v>0</v>
      </c>
      <c r="AD100" s="566">
        <f t="shared" si="35"/>
        <v>0</v>
      </c>
      <c r="AE100" s="573"/>
    </row>
    <row r="101" spans="1:31" ht="25.15" customHeight="1">
      <c r="A101" s="543"/>
      <c r="B101" s="546"/>
      <c r="C101" s="541"/>
      <c r="D101" s="694"/>
      <c r="E101" s="694"/>
      <c r="F101" s="694"/>
      <c r="G101" s="694"/>
      <c r="H101" s="694"/>
      <c r="I101" s="694"/>
      <c r="J101" s="694"/>
      <c r="K101" s="694"/>
      <c r="L101" s="694"/>
      <c r="M101" s="694"/>
      <c r="N101" s="554">
        <f t="shared" si="23"/>
        <v>0</v>
      </c>
      <c r="O101" s="554">
        <f t="shared" si="24"/>
        <v>0</v>
      </c>
      <c r="P101" s="555">
        <f>(O101/O243)*100</f>
        <v>0</v>
      </c>
      <c r="Q101" s="567"/>
      <c r="R101" s="555">
        <f t="shared" si="25"/>
        <v>0</v>
      </c>
      <c r="S101" s="698"/>
      <c r="U101" s="566">
        <f t="shared" si="26"/>
        <v>0</v>
      </c>
      <c r="V101" s="566">
        <f t="shared" si="27"/>
        <v>0</v>
      </c>
      <c r="W101" s="566">
        <f t="shared" si="28"/>
        <v>0</v>
      </c>
      <c r="X101" s="566">
        <f t="shared" si="29"/>
        <v>0</v>
      </c>
      <c r="Y101" s="566">
        <f t="shared" si="30"/>
        <v>0</v>
      </c>
      <c r="Z101" s="566">
        <f t="shared" si="31"/>
        <v>0</v>
      </c>
      <c r="AA101" s="566">
        <f t="shared" si="32"/>
        <v>0</v>
      </c>
      <c r="AB101" s="566">
        <f t="shared" si="33"/>
        <v>0</v>
      </c>
      <c r="AC101" s="566">
        <f t="shared" si="34"/>
        <v>0</v>
      </c>
      <c r="AD101" s="566">
        <f t="shared" si="35"/>
        <v>0</v>
      </c>
      <c r="AE101" s="573"/>
    </row>
    <row r="102" spans="1:31" ht="25.15" customHeight="1">
      <c r="A102" s="543">
        <v>81</v>
      </c>
      <c r="B102" s="546" t="s">
        <v>1570</v>
      </c>
      <c r="C102" s="541" t="str">
        <f>'LAP. PENJUALAN '!C102</f>
        <v>Ayam Utuh Original</v>
      </c>
      <c r="D102" s="694"/>
      <c r="E102" s="694">
        <v>2</v>
      </c>
      <c r="F102" s="694"/>
      <c r="G102" s="694"/>
      <c r="H102" s="694"/>
      <c r="I102" s="694"/>
      <c r="J102" s="694"/>
      <c r="K102" s="694"/>
      <c r="L102" s="694"/>
      <c r="M102" s="694"/>
      <c r="N102" s="554">
        <f t="shared" si="23"/>
        <v>2</v>
      </c>
      <c r="O102" s="554">
        <f t="shared" si="24"/>
        <v>213800</v>
      </c>
      <c r="P102" s="555">
        <f>(O102/O243)*100</f>
        <v>3.9080064780051198</v>
      </c>
      <c r="Q102" s="567"/>
      <c r="R102" s="555">
        <f t="shared" si="25"/>
        <v>0</v>
      </c>
      <c r="S102" s="697">
        <v>106900</v>
      </c>
      <c r="U102" s="566">
        <f t="shared" si="26"/>
        <v>0</v>
      </c>
      <c r="V102" s="566">
        <f t="shared" si="27"/>
        <v>213800</v>
      </c>
      <c r="W102" s="566">
        <f t="shared" si="28"/>
        <v>0</v>
      </c>
      <c r="X102" s="566">
        <f t="shared" si="29"/>
        <v>0</v>
      </c>
      <c r="Y102" s="566">
        <f t="shared" si="30"/>
        <v>0</v>
      </c>
      <c r="Z102" s="566">
        <f t="shared" si="31"/>
        <v>0</v>
      </c>
      <c r="AA102" s="566">
        <f t="shared" si="32"/>
        <v>0</v>
      </c>
      <c r="AB102" s="566">
        <f t="shared" si="33"/>
        <v>0</v>
      </c>
      <c r="AC102" s="566">
        <f t="shared" si="34"/>
        <v>0</v>
      </c>
      <c r="AD102" s="566">
        <f t="shared" si="35"/>
        <v>0</v>
      </c>
      <c r="AE102" s="573"/>
    </row>
    <row r="103" spans="1:31" ht="25.15" customHeight="1">
      <c r="A103" s="543">
        <v>82</v>
      </c>
      <c r="B103" s="546"/>
      <c r="C103" s="541" t="str">
        <f>'LAP. PENJUALAN '!C103</f>
        <v>Ayam Utuh Hot Cheesy</v>
      </c>
      <c r="D103" s="694"/>
      <c r="E103" s="694"/>
      <c r="F103" s="694"/>
      <c r="G103" s="694"/>
      <c r="H103" s="694"/>
      <c r="I103" s="694"/>
      <c r="J103" s="694"/>
      <c r="K103" s="694"/>
      <c r="L103" s="694"/>
      <c r="M103" s="694"/>
      <c r="N103" s="554">
        <f t="shared" si="23"/>
        <v>0</v>
      </c>
      <c r="O103" s="554">
        <f t="shared" si="24"/>
        <v>0</v>
      </c>
      <c r="P103" s="555">
        <f>(O103/O243)*100</f>
        <v>0</v>
      </c>
      <c r="Q103" s="567"/>
      <c r="R103" s="555">
        <f t="shared" si="25"/>
        <v>0</v>
      </c>
      <c r="S103" s="697">
        <v>122000</v>
      </c>
      <c r="U103" s="566">
        <f t="shared" si="26"/>
        <v>0</v>
      </c>
      <c r="V103" s="566">
        <f t="shared" si="27"/>
        <v>0</v>
      </c>
      <c r="W103" s="566">
        <f t="shared" si="28"/>
        <v>0</v>
      </c>
      <c r="X103" s="566">
        <f t="shared" si="29"/>
        <v>0</v>
      </c>
      <c r="Y103" s="566">
        <f t="shared" si="30"/>
        <v>0</v>
      </c>
      <c r="Z103" s="566">
        <f t="shared" si="31"/>
        <v>0</v>
      </c>
      <c r="AA103" s="566">
        <f t="shared" si="32"/>
        <v>0</v>
      </c>
      <c r="AB103" s="566">
        <f t="shared" si="33"/>
        <v>0</v>
      </c>
      <c r="AC103" s="566">
        <f t="shared" si="34"/>
        <v>0</v>
      </c>
      <c r="AD103" s="566">
        <f t="shared" si="35"/>
        <v>0</v>
      </c>
      <c r="AE103" s="573"/>
    </row>
    <row r="104" spans="1:31" ht="25.15" customHeight="1">
      <c r="A104" s="543">
        <v>83</v>
      </c>
      <c r="B104" s="546"/>
      <c r="C104" s="541" t="str">
        <f>'LAP. PENJUALAN '!C104</f>
        <v>Ayam Utuh Geprek</v>
      </c>
      <c r="D104" s="694"/>
      <c r="E104" s="694"/>
      <c r="F104" s="694"/>
      <c r="G104" s="694"/>
      <c r="H104" s="694"/>
      <c r="I104" s="694"/>
      <c r="J104" s="694"/>
      <c r="K104" s="694"/>
      <c r="L104" s="694"/>
      <c r="M104" s="694"/>
      <c r="N104" s="554">
        <f t="shared" si="23"/>
        <v>0</v>
      </c>
      <c r="O104" s="554">
        <f t="shared" si="24"/>
        <v>0</v>
      </c>
      <c r="P104" s="555">
        <f>(O104/O243)*100</f>
        <v>0</v>
      </c>
      <c r="Q104" s="567"/>
      <c r="R104" s="555">
        <f t="shared" si="25"/>
        <v>0</v>
      </c>
      <c r="S104" s="697">
        <v>122000</v>
      </c>
      <c r="U104" s="566">
        <f t="shared" si="26"/>
        <v>0</v>
      </c>
      <c r="V104" s="566">
        <f t="shared" si="27"/>
        <v>0</v>
      </c>
      <c r="W104" s="566">
        <f t="shared" si="28"/>
        <v>0</v>
      </c>
      <c r="X104" s="566">
        <f t="shared" si="29"/>
        <v>0</v>
      </c>
      <c r="Y104" s="566">
        <f t="shared" si="30"/>
        <v>0</v>
      </c>
      <c r="Z104" s="566">
        <f t="shared" si="31"/>
        <v>0</v>
      </c>
      <c r="AA104" s="566">
        <f t="shared" si="32"/>
        <v>0</v>
      </c>
      <c r="AB104" s="566">
        <f t="shared" si="33"/>
        <v>0</v>
      </c>
      <c r="AC104" s="566">
        <f t="shared" si="34"/>
        <v>0</v>
      </c>
      <c r="AD104" s="566">
        <f t="shared" si="35"/>
        <v>0</v>
      </c>
      <c r="AE104" s="573"/>
    </row>
    <row r="105" spans="1:31" ht="25.15" customHeight="1">
      <c r="A105" s="543">
        <v>84</v>
      </c>
      <c r="B105" s="546"/>
      <c r="C105" s="541" t="str">
        <f>'LAP. PENJUALAN '!C105</f>
        <v>P. Ayam Utuh Original</v>
      </c>
      <c r="D105" s="694"/>
      <c r="E105" s="694"/>
      <c r="F105" s="694"/>
      <c r="G105" s="694"/>
      <c r="H105" s="694"/>
      <c r="I105" s="694"/>
      <c r="J105" s="694"/>
      <c r="K105" s="694"/>
      <c r="L105" s="694"/>
      <c r="M105" s="694"/>
      <c r="N105" s="554">
        <f t="shared" si="23"/>
        <v>0</v>
      </c>
      <c r="O105" s="554">
        <f t="shared" si="24"/>
        <v>0</v>
      </c>
      <c r="P105" s="555">
        <f>(O105/O243)*100</f>
        <v>0</v>
      </c>
      <c r="Q105" s="567"/>
      <c r="R105" s="555">
        <f t="shared" si="25"/>
        <v>0</v>
      </c>
      <c r="S105" s="697">
        <v>145000</v>
      </c>
      <c r="U105" s="566">
        <f t="shared" si="26"/>
        <v>0</v>
      </c>
      <c r="V105" s="566">
        <f t="shared" si="27"/>
        <v>0</v>
      </c>
      <c r="W105" s="566">
        <f t="shared" si="28"/>
        <v>0</v>
      </c>
      <c r="X105" s="566">
        <f t="shared" si="29"/>
        <v>0</v>
      </c>
      <c r="Y105" s="566">
        <f t="shared" si="30"/>
        <v>0</v>
      </c>
      <c r="Z105" s="566">
        <f t="shared" si="31"/>
        <v>0</v>
      </c>
      <c r="AA105" s="566">
        <f t="shared" si="32"/>
        <v>0</v>
      </c>
      <c r="AB105" s="566">
        <f t="shared" si="33"/>
        <v>0</v>
      </c>
      <c r="AC105" s="566">
        <f t="shared" si="34"/>
        <v>0</v>
      </c>
      <c r="AD105" s="566">
        <f t="shared" si="35"/>
        <v>0</v>
      </c>
      <c r="AE105" s="573"/>
    </row>
    <row r="106" spans="1:31" ht="25.15" customHeight="1">
      <c r="A106" s="543">
        <v>85</v>
      </c>
      <c r="B106" s="546"/>
      <c r="C106" s="541" t="str">
        <f>'LAP. PENJUALAN '!C106</f>
        <v>P. Ayam Utuh Hot Cheesy</v>
      </c>
      <c r="D106" s="694"/>
      <c r="E106" s="694"/>
      <c r="F106" s="694"/>
      <c r="G106" s="694"/>
      <c r="H106" s="694"/>
      <c r="I106" s="694"/>
      <c r="J106" s="694"/>
      <c r="K106" s="694"/>
      <c r="L106" s="694"/>
      <c r="M106" s="694"/>
      <c r="N106" s="554">
        <f t="shared" si="23"/>
        <v>0</v>
      </c>
      <c r="O106" s="554">
        <f t="shared" si="24"/>
        <v>0</v>
      </c>
      <c r="P106" s="555">
        <f>(O106/O243)*100</f>
        <v>0</v>
      </c>
      <c r="Q106" s="567"/>
      <c r="R106" s="555">
        <f t="shared" si="25"/>
        <v>0</v>
      </c>
      <c r="S106" s="697">
        <v>160100</v>
      </c>
      <c r="U106" s="566">
        <f t="shared" si="26"/>
        <v>0</v>
      </c>
      <c r="V106" s="566">
        <f t="shared" si="27"/>
        <v>0</v>
      </c>
      <c r="W106" s="566">
        <f t="shared" si="28"/>
        <v>0</v>
      </c>
      <c r="X106" s="566">
        <f t="shared" si="29"/>
        <v>0</v>
      </c>
      <c r="Y106" s="566">
        <f t="shared" si="30"/>
        <v>0</v>
      </c>
      <c r="Z106" s="566">
        <f t="shared" si="31"/>
        <v>0</v>
      </c>
      <c r="AA106" s="566">
        <f t="shared" si="32"/>
        <v>0</v>
      </c>
      <c r="AB106" s="566">
        <f t="shared" si="33"/>
        <v>0</v>
      </c>
      <c r="AC106" s="566">
        <f t="shared" si="34"/>
        <v>0</v>
      </c>
      <c r="AD106" s="566">
        <f t="shared" si="35"/>
        <v>0</v>
      </c>
      <c r="AE106" s="573"/>
    </row>
    <row r="107" spans="1:31" ht="25.15" customHeight="1">
      <c r="A107" s="543">
        <v>86</v>
      </c>
      <c r="B107" s="546"/>
      <c r="C107" s="541" t="str">
        <f>'LAP. PENJUALAN '!C107</f>
        <v>P. Ayam Utuh Geprek</v>
      </c>
      <c r="D107" s="694"/>
      <c r="E107" s="694"/>
      <c r="F107" s="694"/>
      <c r="G107" s="694"/>
      <c r="H107" s="694"/>
      <c r="I107" s="694"/>
      <c r="J107" s="694"/>
      <c r="K107" s="694"/>
      <c r="L107" s="694"/>
      <c r="M107" s="694"/>
      <c r="N107" s="554">
        <f t="shared" si="23"/>
        <v>0</v>
      </c>
      <c r="O107" s="554">
        <f t="shared" si="24"/>
        <v>0</v>
      </c>
      <c r="P107" s="555">
        <f>(O107/O243)*100</f>
        <v>0</v>
      </c>
      <c r="Q107" s="567"/>
      <c r="R107" s="555">
        <f t="shared" si="25"/>
        <v>0</v>
      </c>
      <c r="S107" s="697">
        <v>160100</v>
      </c>
      <c r="U107" s="566">
        <f t="shared" si="26"/>
        <v>0</v>
      </c>
      <c r="V107" s="566">
        <f t="shared" si="27"/>
        <v>0</v>
      </c>
      <c r="W107" s="566">
        <f t="shared" si="28"/>
        <v>0</v>
      </c>
      <c r="X107" s="566">
        <f t="shared" si="29"/>
        <v>0</v>
      </c>
      <c r="Y107" s="566">
        <f t="shared" si="30"/>
        <v>0</v>
      </c>
      <c r="Z107" s="566">
        <f t="shared" si="31"/>
        <v>0</v>
      </c>
      <c r="AA107" s="566">
        <f t="shared" si="32"/>
        <v>0</v>
      </c>
      <c r="AB107" s="566">
        <f t="shared" si="33"/>
        <v>0</v>
      </c>
      <c r="AC107" s="566">
        <f t="shared" si="34"/>
        <v>0</v>
      </c>
      <c r="AD107" s="566">
        <f t="shared" si="35"/>
        <v>0</v>
      </c>
      <c r="AE107" s="573"/>
    </row>
    <row r="108" spans="1:31" ht="25.15" customHeight="1">
      <c r="A108" s="543">
        <v>87</v>
      </c>
      <c r="B108" s="546"/>
      <c r="C108" s="541" t="str">
        <f>'LAP. PENJUALAN '!C108</f>
        <v>Ayam Utuh Hot Spicy</v>
      </c>
      <c r="D108" s="694"/>
      <c r="E108" s="694"/>
      <c r="F108" s="694"/>
      <c r="G108" s="694"/>
      <c r="H108" s="694"/>
      <c r="I108" s="694"/>
      <c r="J108" s="694"/>
      <c r="K108" s="694"/>
      <c r="L108" s="694"/>
      <c r="M108" s="694"/>
      <c r="N108" s="554">
        <f t="shared" si="23"/>
        <v>0</v>
      </c>
      <c r="O108" s="554">
        <f t="shared" si="24"/>
        <v>0</v>
      </c>
      <c r="P108" s="555">
        <f>(O108/O243)*100</f>
        <v>0</v>
      </c>
      <c r="Q108" s="567"/>
      <c r="R108" s="555">
        <f t="shared" si="25"/>
        <v>0</v>
      </c>
      <c r="S108" s="698"/>
      <c r="U108" s="566">
        <f t="shared" si="26"/>
        <v>0</v>
      </c>
      <c r="V108" s="566">
        <f t="shared" si="27"/>
        <v>0</v>
      </c>
      <c r="W108" s="566">
        <f t="shared" si="28"/>
        <v>0</v>
      </c>
      <c r="X108" s="566">
        <f t="shared" si="29"/>
        <v>0</v>
      </c>
      <c r="Y108" s="566">
        <f t="shared" si="30"/>
        <v>0</v>
      </c>
      <c r="Z108" s="566">
        <f t="shared" si="31"/>
        <v>0</v>
      </c>
      <c r="AA108" s="566">
        <f t="shared" si="32"/>
        <v>0</v>
      </c>
      <c r="AB108" s="566">
        <f t="shared" si="33"/>
        <v>0</v>
      </c>
      <c r="AC108" s="566">
        <f t="shared" si="34"/>
        <v>0</v>
      </c>
      <c r="AD108" s="566">
        <f t="shared" si="35"/>
        <v>0</v>
      </c>
      <c r="AE108" s="573"/>
    </row>
    <row r="109" spans="1:31" ht="25.15" customHeight="1">
      <c r="A109" s="543">
        <v>88</v>
      </c>
      <c r="B109" s="546"/>
      <c r="C109" s="541" t="str">
        <f>'LAP. PENJUALAN '!C109</f>
        <v>Paket Ayam Utuh Hot Spicy</v>
      </c>
      <c r="D109" s="694"/>
      <c r="E109" s="694"/>
      <c r="F109" s="694"/>
      <c r="G109" s="694"/>
      <c r="H109" s="694"/>
      <c r="I109" s="694"/>
      <c r="J109" s="694"/>
      <c r="K109" s="694"/>
      <c r="L109" s="694"/>
      <c r="M109" s="694"/>
      <c r="N109" s="554">
        <f t="shared" si="23"/>
        <v>0</v>
      </c>
      <c r="O109" s="554">
        <f t="shared" si="24"/>
        <v>0</v>
      </c>
      <c r="P109" s="555">
        <f>(O109/O243)*100</f>
        <v>0</v>
      </c>
      <c r="Q109" s="567"/>
      <c r="R109" s="555">
        <f t="shared" si="25"/>
        <v>0</v>
      </c>
      <c r="S109" s="698"/>
      <c r="U109" s="566">
        <f t="shared" si="26"/>
        <v>0</v>
      </c>
      <c r="V109" s="566">
        <f t="shared" si="27"/>
        <v>0</v>
      </c>
      <c r="W109" s="566">
        <f t="shared" si="28"/>
        <v>0</v>
      </c>
      <c r="X109" s="566">
        <f t="shared" si="29"/>
        <v>0</v>
      </c>
      <c r="Y109" s="566">
        <f t="shared" si="30"/>
        <v>0</v>
      </c>
      <c r="Z109" s="566">
        <f t="shared" si="31"/>
        <v>0</v>
      </c>
      <c r="AA109" s="566">
        <f t="shared" si="32"/>
        <v>0</v>
      </c>
      <c r="AB109" s="566">
        <f t="shared" si="33"/>
        <v>0</v>
      </c>
      <c r="AC109" s="566">
        <f t="shared" si="34"/>
        <v>0</v>
      </c>
      <c r="AD109" s="566">
        <f t="shared" si="35"/>
        <v>0</v>
      </c>
      <c r="AE109" s="573"/>
    </row>
    <row r="110" spans="1:31" ht="25.15" customHeight="1">
      <c r="A110" s="543"/>
      <c r="B110" s="546"/>
      <c r="C110" s="541"/>
      <c r="D110" s="694"/>
      <c r="E110" s="694"/>
      <c r="F110" s="694"/>
      <c r="G110" s="694"/>
      <c r="H110" s="694"/>
      <c r="I110" s="694"/>
      <c r="J110" s="694"/>
      <c r="K110" s="694"/>
      <c r="L110" s="694"/>
      <c r="M110" s="694"/>
      <c r="N110" s="554">
        <f t="shared" si="23"/>
        <v>0</v>
      </c>
      <c r="O110" s="554">
        <f t="shared" si="24"/>
        <v>0</v>
      </c>
      <c r="P110" s="555">
        <f>(O110/O243)*100</f>
        <v>0</v>
      </c>
      <c r="Q110" s="567"/>
      <c r="R110" s="555">
        <f t="shared" si="25"/>
        <v>0</v>
      </c>
      <c r="S110" s="698"/>
      <c r="U110" s="566">
        <f t="shared" si="26"/>
        <v>0</v>
      </c>
      <c r="V110" s="566">
        <f t="shared" si="27"/>
        <v>0</v>
      </c>
      <c r="W110" s="566">
        <f t="shared" si="28"/>
        <v>0</v>
      </c>
      <c r="X110" s="566">
        <f t="shared" si="29"/>
        <v>0</v>
      </c>
      <c r="Y110" s="566">
        <f t="shared" si="30"/>
        <v>0</v>
      </c>
      <c r="Z110" s="566">
        <f t="shared" si="31"/>
        <v>0</v>
      </c>
      <c r="AA110" s="566">
        <f t="shared" si="32"/>
        <v>0</v>
      </c>
      <c r="AB110" s="566">
        <f t="shared" si="33"/>
        <v>0</v>
      </c>
      <c r="AC110" s="566">
        <f t="shared" si="34"/>
        <v>0</v>
      </c>
      <c r="AD110" s="566">
        <f t="shared" si="35"/>
        <v>0</v>
      </c>
      <c r="AE110" s="573"/>
    </row>
    <row r="111" spans="1:31" ht="25.15" customHeight="1">
      <c r="A111" s="543">
        <v>89</v>
      </c>
      <c r="B111" s="546"/>
      <c r="C111" s="541" t="str">
        <f>'LAP. PENJUALAN '!C111</f>
        <v>Beef Burger</v>
      </c>
      <c r="D111" s="694"/>
      <c r="E111" s="694"/>
      <c r="F111" s="694"/>
      <c r="G111" s="694"/>
      <c r="H111" s="694"/>
      <c r="I111" s="694"/>
      <c r="J111" s="694"/>
      <c r="K111" s="694"/>
      <c r="L111" s="694"/>
      <c r="M111" s="694"/>
      <c r="N111" s="554">
        <f t="shared" si="23"/>
        <v>0</v>
      </c>
      <c r="O111" s="554">
        <f t="shared" si="24"/>
        <v>0</v>
      </c>
      <c r="P111" s="555">
        <f>(O111/O243)*100</f>
        <v>0</v>
      </c>
      <c r="Q111" s="567"/>
      <c r="R111" s="555">
        <f t="shared" si="25"/>
        <v>0</v>
      </c>
      <c r="S111" s="698"/>
      <c r="U111" s="566">
        <f t="shared" si="26"/>
        <v>0</v>
      </c>
      <c r="V111" s="566">
        <f t="shared" si="27"/>
        <v>0</v>
      </c>
      <c r="W111" s="566">
        <f t="shared" si="28"/>
        <v>0</v>
      </c>
      <c r="X111" s="566">
        <f t="shared" si="29"/>
        <v>0</v>
      </c>
      <c r="Y111" s="566">
        <f t="shared" si="30"/>
        <v>0</v>
      </c>
      <c r="Z111" s="566">
        <f t="shared" si="31"/>
        <v>0</v>
      </c>
      <c r="AA111" s="566">
        <f t="shared" si="32"/>
        <v>0</v>
      </c>
      <c r="AB111" s="566">
        <f t="shared" si="33"/>
        <v>0</v>
      </c>
      <c r="AC111" s="566">
        <f t="shared" si="34"/>
        <v>0</v>
      </c>
      <c r="AD111" s="566">
        <f t="shared" si="35"/>
        <v>0</v>
      </c>
      <c r="AE111" s="573"/>
    </row>
    <row r="112" spans="1:31" ht="25.15" customHeight="1">
      <c r="A112" s="543">
        <v>90</v>
      </c>
      <c r="B112" s="546"/>
      <c r="C112" s="541" t="str">
        <f>'LAP. PENJUALAN '!C112</f>
        <v>Beef Burger + Lemon Tea</v>
      </c>
      <c r="D112" s="694"/>
      <c r="E112" s="694"/>
      <c r="F112" s="694"/>
      <c r="G112" s="694"/>
      <c r="H112" s="694"/>
      <c r="I112" s="694"/>
      <c r="J112" s="694"/>
      <c r="K112" s="694"/>
      <c r="L112" s="694"/>
      <c r="M112" s="694"/>
      <c r="N112" s="554">
        <f t="shared" si="23"/>
        <v>0</v>
      </c>
      <c r="O112" s="554">
        <f t="shared" si="24"/>
        <v>0</v>
      </c>
      <c r="P112" s="555">
        <f>(O112/O243)*100</f>
        <v>0</v>
      </c>
      <c r="Q112" s="567"/>
      <c r="R112" s="555">
        <f t="shared" si="25"/>
        <v>0</v>
      </c>
      <c r="S112" s="698"/>
      <c r="U112" s="566">
        <f t="shared" si="26"/>
        <v>0</v>
      </c>
      <c r="V112" s="566">
        <f t="shared" si="27"/>
        <v>0</v>
      </c>
      <c r="W112" s="566">
        <f t="shared" si="28"/>
        <v>0</v>
      </c>
      <c r="X112" s="566">
        <f t="shared" si="29"/>
        <v>0</v>
      </c>
      <c r="Y112" s="566">
        <f t="shared" si="30"/>
        <v>0</v>
      </c>
      <c r="Z112" s="566">
        <f t="shared" si="31"/>
        <v>0</v>
      </c>
      <c r="AA112" s="566">
        <f t="shared" si="32"/>
        <v>0</v>
      </c>
      <c r="AB112" s="566">
        <f t="shared" si="33"/>
        <v>0</v>
      </c>
      <c r="AC112" s="566">
        <f t="shared" si="34"/>
        <v>0</v>
      </c>
      <c r="AD112" s="566">
        <f t="shared" si="35"/>
        <v>0</v>
      </c>
      <c r="AE112" s="573"/>
    </row>
    <row r="113" spans="1:31" ht="25.15" customHeight="1">
      <c r="A113" s="543">
        <v>91</v>
      </c>
      <c r="B113" s="546"/>
      <c r="C113" s="541" t="str">
        <f>'LAP. PENJUALAN '!C113</f>
        <v>Beef cheese Burger</v>
      </c>
      <c r="D113" s="694"/>
      <c r="E113" s="694"/>
      <c r="F113" s="694"/>
      <c r="G113" s="694"/>
      <c r="H113" s="694"/>
      <c r="I113" s="694"/>
      <c r="J113" s="694"/>
      <c r="K113" s="694"/>
      <c r="L113" s="694"/>
      <c r="M113" s="694"/>
      <c r="N113" s="554">
        <f t="shared" si="23"/>
        <v>0</v>
      </c>
      <c r="O113" s="554">
        <f t="shared" si="24"/>
        <v>0</v>
      </c>
      <c r="P113" s="555">
        <f>(O113/O243)*100</f>
        <v>0</v>
      </c>
      <c r="Q113" s="567"/>
      <c r="R113" s="555">
        <f t="shared" si="25"/>
        <v>0</v>
      </c>
      <c r="S113" s="698"/>
      <c r="U113" s="566">
        <f t="shared" si="26"/>
        <v>0</v>
      </c>
      <c r="V113" s="566">
        <f t="shared" si="27"/>
        <v>0</v>
      </c>
      <c r="W113" s="566">
        <f t="shared" si="28"/>
        <v>0</v>
      </c>
      <c r="X113" s="566">
        <f t="shared" si="29"/>
        <v>0</v>
      </c>
      <c r="Y113" s="566">
        <f t="shared" si="30"/>
        <v>0</v>
      </c>
      <c r="Z113" s="566">
        <f t="shared" si="31"/>
        <v>0</v>
      </c>
      <c r="AA113" s="566">
        <f t="shared" si="32"/>
        <v>0</v>
      </c>
      <c r="AB113" s="566">
        <f t="shared" si="33"/>
        <v>0</v>
      </c>
      <c r="AC113" s="566">
        <f t="shared" si="34"/>
        <v>0</v>
      </c>
      <c r="AD113" s="566">
        <f t="shared" si="35"/>
        <v>0</v>
      </c>
      <c r="AE113" s="573"/>
    </row>
    <row r="114" spans="1:31" ht="25.15" customHeight="1">
      <c r="A114" s="543">
        <v>92</v>
      </c>
      <c r="B114" s="546"/>
      <c r="C114" s="541" t="str">
        <f>'LAP. PENJUALAN '!C114</f>
        <v>Beef cheese Burger + Lemon Tea</v>
      </c>
      <c r="D114" s="694"/>
      <c r="E114" s="694"/>
      <c r="F114" s="694"/>
      <c r="G114" s="694"/>
      <c r="H114" s="694"/>
      <c r="I114" s="694"/>
      <c r="J114" s="694"/>
      <c r="K114" s="694"/>
      <c r="L114" s="694"/>
      <c r="M114" s="694"/>
      <c r="N114" s="554">
        <f t="shared" si="23"/>
        <v>0</v>
      </c>
      <c r="O114" s="554">
        <f t="shared" si="24"/>
        <v>0</v>
      </c>
      <c r="P114" s="555">
        <f>(O114/O243)*100</f>
        <v>0</v>
      </c>
      <c r="Q114" s="567"/>
      <c r="R114" s="555">
        <f t="shared" si="25"/>
        <v>0</v>
      </c>
      <c r="S114" s="698"/>
      <c r="U114" s="566">
        <f t="shared" si="26"/>
        <v>0</v>
      </c>
      <c r="V114" s="566">
        <f t="shared" si="27"/>
        <v>0</v>
      </c>
      <c r="W114" s="566">
        <f t="shared" si="28"/>
        <v>0</v>
      </c>
      <c r="X114" s="566">
        <f t="shared" si="29"/>
        <v>0</v>
      </c>
      <c r="Y114" s="566">
        <f t="shared" si="30"/>
        <v>0</v>
      </c>
      <c r="Z114" s="566">
        <f t="shared" si="31"/>
        <v>0</v>
      </c>
      <c r="AA114" s="566">
        <f t="shared" si="32"/>
        <v>0</v>
      </c>
      <c r="AB114" s="566">
        <f t="shared" si="33"/>
        <v>0</v>
      </c>
      <c r="AC114" s="566">
        <f t="shared" si="34"/>
        <v>0</v>
      </c>
      <c r="AD114" s="566">
        <f t="shared" si="35"/>
        <v>0</v>
      </c>
      <c r="AE114" s="573"/>
    </row>
    <row r="115" spans="1:31" ht="25.15" customHeight="1">
      <c r="A115" s="543">
        <v>93</v>
      </c>
      <c r="B115" s="546"/>
      <c r="C115" s="541" t="str">
        <f>'LAP. PENJUALAN '!C115</f>
        <v>Beef Steak</v>
      </c>
      <c r="D115" s="694"/>
      <c r="E115" s="694"/>
      <c r="F115" s="694"/>
      <c r="G115" s="694"/>
      <c r="H115" s="694"/>
      <c r="I115" s="694"/>
      <c r="J115" s="694"/>
      <c r="K115" s="694"/>
      <c r="L115" s="694"/>
      <c r="M115" s="694"/>
      <c r="N115" s="554">
        <f t="shared" si="23"/>
        <v>0</v>
      </c>
      <c r="O115" s="554">
        <f t="shared" si="24"/>
        <v>0</v>
      </c>
      <c r="P115" s="555">
        <f>(O115/O243)*100</f>
        <v>0</v>
      </c>
      <c r="Q115" s="567"/>
      <c r="R115" s="555">
        <f t="shared" si="25"/>
        <v>0</v>
      </c>
      <c r="S115" s="698"/>
      <c r="U115" s="566">
        <f t="shared" si="26"/>
        <v>0</v>
      </c>
      <c r="V115" s="566">
        <f t="shared" si="27"/>
        <v>0</v>
      </c>
      <c r="W115" s="566">
        <f t="shared" si="28"/>
        <v>0</v>
      </c>
      <c r="X115" s="566">
        <f t="shared" si="29"/>
        <v>0</v>
      </c>
      <c r="Y115" s="566">
        <f t="shared" si="30"/>
        <v>0</v>
      </c>
      <c r="Z115" s="566">
        <f t="shared" si="31"/>
        <v>0</v>
      </c>
      <c r="AA115" s="566">
        <f t="shared" si="32"/>
        <v>0</v>
      </c>
      <c r="AB115" s="566">
        <f t="shared" si="33"/>
        <v>0</v>
      </c>
      <c r="AC115" s="566">
        <f t="shared" si="34"/>
        <v>0</v>
      </c>
      <c r="AD115" s="566">
        <f t="shared" si="35"/>
        <v>0</v>
      </c>
      <c r="AE115" s="573"/>
    </row>
    <row r="116" spans="1:31" ht="25.15" customHeight="1">
      <c r="A116" s="543">
        <v>94</v>
      </c>
      <c r="B116" s="546"/>
      <c r="C116" s="541" t="str">
        <f>'LAP. PENJUALAN '!C116</f>
        <v>Beef Steak + Lemon Tea</v>
      </c>
      <c r="D116" s="694"/>
      <c r="E116" s="694"/>
      <c r="F116" s="694"/>
      <c r="G116" s="694"/>
      <c r="H116" s="694"/>
      <c r="I116" s="694"/>
      <c r="J116" s="694"/>
      <c r="K116" s="694"/>
      <c r="L116" s="694"/>
      <c r="M116" s="694"/>
      <c r="N116" s="554">
        <f t="shared" si="23"/>
        <v>0</v>
      </c>
      <c r="O116" s="554">
        <f t="shared" si="24"/>
        <v>0</v>
      </c>
      <c r="P116" s="555">
        <f>(O116/O243)*100</f>
        <v>0</v>
      </c>
      <c r="Q116" s="567"/>
      <c r="R116" s="555">
        <f t="shared" si="25"/>
        <v>0</v>
      </c>
      <c r="S116" s="698"/>
      <c r="U116" s="566">
        <f t="shared" si="26"/>
        <v>0</v>
      </c>
      <c r="V116" s="566">
        <f t="shared" si="27"/>
        <v>0</v>
      </c>
      <c r="W116" s="566">
        <f t="shared" si="28"/>
        <v>0</v>
      </c>
      <c r="X116" s="566">
        <f t="shared" si="29"/>
        <v>0</v>
      </c>
      <c r="Y116" s="566">
        <f t="shared" si="30"/>
        <v>0</v>
      </c>
      <c r="Z116" s="566">
        <f t="shared" si="31"/>
        <v>0</v>
      </c>
      <c r="AA116" s="566">
        <f t="shared" si="32"/>
        <v>0</v>
      </c>
      <c r="AB116" s="566">
        <f t="shared" si="33"/>
        <v>0</v>
      </c>
      <c r="AC116" s="566">
        <f t="shared" si="34"/>
        <v>0</v>
      </c>
      <c r="AD116" s="566">
        <f t="shared" si="35"/>
        <v>0</v>
      </c>
      <c r="AE116" s="573"/>
    </row>
    <row r="117" spans="1:31" ht="25.15" customHeight="1">
      <c r="A117" s="543">
        <v>95</v>
      </c>
      <c r="B117" s="546"/>
      <c r="C117" s="541" t="str">
        <f>'LAP. PENJUALAN '!C117</f>
        <v>Beef Steak + Lemon Tea + Nasi</v>
      </c>
      <c r="D117" s="694"/>
      <c r="E117" s="694"/>
      <c r="F117" s="694"/>
      <c r="G117" s="694"/>
      <c r="H117" s="694"/>
      <c r="I117" s="694"/>
      <c r="J117" s="694"/>
      <c r="K117" s="694"/>
      <c r="L117" s="694"/>
      <c r="M117" s="694"/>
      <c r="N117" s="554">
        <f t="shared" si="23"/>
        <v>0</v>
      </c>
      <c r="O117" s="554">
        <f t="shared" si="24"/>
        <v>0</v>
      </c>
      <c r="P117" s="555">
        <f>(O117/O243)*100</f>
        <v>0</v>
      </c>
      <c r="Q117" s="567"/>
      <c r="R117" s="555">
        <f t="shared" si="25"/>
        <v>0</v>
      </c>
      <c r="S117" s="698"/>
      <c r="U117" s="566">
        <f t="shared" si="26"/>
        <v>0</v>
      </c>
      <c r="V117" s="566">
        <f t="shared" si="27"/>
        <v>0</v>
      </c>
      <c r="W117" s="566">
        <f t="shared" si="28"/>
        <v>0</v>
      </c>
      <c r="X117" s="566">
        <f t="shared" si="29"/>
        <v>0</v>
      </c>
      <c r="Y117" s="566">
        <f t="shared" si="30"/>
        <v>0</v>
      </c>
      <c r="Z117" s="566">
        <f t="shared" si="31"/>
        <v>0</v>
      </c>
      <c r="AA117" s="566">
        <f t="shared" si="32"/>
        <v>0</v>
      </c>
      <c r="AB117" s="566">
        <f t="shared" si="33"/>
        <v>0</v>
      </c>
      <c r="AC117" s="566">
        <f t="shared" si="34"/>
        <v>0</v>
      </c>
      <c r="AD117" s="566">
        <f t="shared" si="35"/>
        <v>0</v>
      </c>
      <c r="AE117" s="573"/>
    </row>
    <row r="118" spans="1:31" ht="25.15" customHeight="1">
      <c r="A118" s="543"/>
      <c r="B118" s="546"/>
      <c r="C118" s="541"/>
      <c r="D118" s="694"/>
      <c r="E118" s="694"/>
      <c r="F118" s="694"/>
      <c r="G118" s="694"/>
      <c r="H118" s="694"/>
      <c r="I118" s="694"/>
      <c r="J118" s="694"/>
      <c r="K118" s="694"/>
      <c r="L118" s="694"/>
      <c r="M118" s="694"/>
      <c r="N118" s="554">
        <f t="shared" si="23"/>
        <v>0</v>
      </c>
      <c r="O118" s="554">
        <f t="shared" si="24"/>
        <v>0</v>
      </c>
      <c r="P118" s="555">
        <f>(O118/O243)*100</f>
        <v>0</v>
      </c>
      <c r="Q118" s="567"/>
      <c r="R118" s="555">
        <f t="shared" si="25"/>
        <v>0</v>
      </c>
      <c r="S118" s="698"/>
      <c r="U118" s="566">
        <f t="shared" si="26"/>
        <v>0</v>
      </c>
      <c r="V118" s="566">
        <f t="shared" si="27"/>
        <v>0</v>
      </c>
      <c r="W118" s="566">
        <f t="shared" si="28"/>
        <v>0</v>
      </c>
      <c r="X118" s="566">
        <f t="shared" si="29"/>
        <v>0</v>
      </c>
      <c r="Y118" s="566">
        <f t="shared" si="30"/>
        <v>0</v>
      </c>
      <c r="Z118" s="566">
        <f t="shared" si="31"/>
        <v>0</v>
      </c>
      <c r="AA118" s="566">
        <f t="shared" si="32"/>
        <v>0</v>
      </c>
      <c r="AB118" s="566">
        <f t="shared" si="33"/>
        <v>0</v>
      </c>
      <c r="AC118" s="566">
        <f t="shared" si="34"/>
        <v>0</v>
      </c>
      <c r="AD118" s="566">
        <f t="shared" si="35"/>
        <v>0</v>
      </c>
      <c r="AE118" s="573"/>
    </row>
    <row r="119" spans="1:31" ht="25.15" customHeight="1">
      <c r="A119" s="543">
        <v>96</v>
      </c>
      <c r="B119" s="546"/>
      <c r="C119" s="541" t="str">
        <f>'LAP. PENJUALAN '!C119</f>
        <v>Dada / Paha Atas Hot Spicy</v>
      </c>
      <c r="D119" s="694"/>
      <c r="E119" s="694"/>
      <c r="F119" s="694"/>
      <c r="G119" s="694"/>
      <c r="H119" s="694"/>
      <c r="I119" s="694"/>
      <c r="J119" s="694"/>
      <c r="K119" s="694"/>
      <c r="L119" s="694"/>
      <c r="M119" s="694"/>
      <c r="N119" s="554">
        <f t="shared" si="23"/>
        <v>0</v>
      </c>
      <c r="O119" s="554">
        <f t="shared" si="24"/>
        <v>0</v>
      </c>
      <c r="P119" s="555">
        <f>(O119/O243)*100</f>
        <v>0</v>
      </c>
      <c r="Q119" s="567"/>
      <c r="R119" s="555">
        <f t="shared" si="25"/>
        <v>0</v>
      </c>
      <c r="S119" s="698">
        <v>24500</v>
      </c>
      <c r="U119" s="566">
        <f t="shared" si="26"/>
        <v>0</v>
      </c>
      <c r="V119" s="566">
        <f t="shared" si="27"/>
        <v>0</v>
      </c>
      <c r="W119" s="566">
        <f t="shared" si="28"/>
        <v>0</v>
      </c>
      <c r="X119" s="566">
        <f t="shared" si="29"/>
        <v>0</v>
      </c>
      <c r="Y119" s="566">
        <f t="shared" si="30"/>
        <v>0</v>
      </c>
      <c r="Z119" s="566">
        <f t="shared" si="31"/>
        <v>0</v>
      </c>
      <c r="AA119" s="566">
        <f t="shared" si="32"/>
        <v>0</v>
      </c>
      <c r="AB119" s="566">
        <f t="shared" si="33"/>
        <v>0</v>
      </c>
      <c r="AC119" s="566">
        <f t="shared" si="34"/>
        <v>0</v>
      </c>
      <c r="AD119" s="566">
        <f t="shared" si="35"/>
        <v>0</v>
      </c>
      <c r="AE119" s="573"/>
    </row>
    <row r="120" spans="1:31" ht="25.15" customHeight="1">
      <c r="A120" s="543">
        <v>97</v>
      </c>
      <c r="B120" s="546"/>
      <c r="C120" s="541" t="str">
        <f>'LAP. PENJUALAN '!C120</f>
        <v>Paha Bawah Hot Spicy</v>
      </c>
      <c r="D120" s="694"/>
      <c r="E120" s="694"/>
      <c r="F120" s="694"/>
      <c r="G120" s="694"/>
      <c r="H120" s="694"/>
      <c r="I120" s="694"/>
      <c r="J120" s="694"/>
      <c r="K120" s="694"/>
      <c r="L120" s="694"/>
      <c r="M120" s="694"/>
      <c r="N120" s="554">
        <f t="shared" si="23"/>
        <v>0</v>
      </c>
      <c r="O120" s="554">
        <f t="shared" si="24"/>
        <v>0</v>
      </c>
      <c r="P120" s="555">
        <f>(O120/O243)*100</f>
        <v>0</v>
      </c>
      <c r="Q120" s="567"/>
      <c r="R120" s="555">
        <f t="shared" si="25"/>
        <v>0</v>
      </c>
      <c r="S120" s="698">
        <v>20000</v>
      </c>
      <c r="U120" s="566">
        <f t="shared" si="26"/>
        <v>0</v>
      </c>
      <c r="V120" s="566">
        <f t="shared" si="27"/>
        <v>0</v>
      </c>
      <c r="W120" s="566">
        <f t="shared" si="28"/>
        <v>0</v>
      </c>
      <c r="X120" s="566">
        <f t="shared" si="29"/>
        <v>0</v>
      </c>
      <c r="Y120" s="566">
        <f t="shared" si="30"/>
        <v>0</v>
      </c>
      <c r="Z120" s="566">
        <f t="shared" si="31"/>
        <v>0</v>
      </c>
      <c r="AA120" s="566">
        <f t="shared" si="32"/>
        <v>0</v>
      </c>
      <c r="AB120" s="566">
        <f t="shared" si="33"/>
        <v>0</v>
      </c>
      <c r="AC120" s="566">
        <f t="shared" si="34"/>
        <v>0</v>
      </c>
      <c r="AD120" s="566">
        <f t="shared" si="35"/>
        <v>0</v>
      </c>
      <c r="AE120" s="573"/>
    </row>
    <row r="121" spans="1:31" ht="25.15" customHeight="1">
      <c r="A121" s="543">
        <v>98</v>
      </c>
      <c r="B121" s="546"/>
      <c r="C121" s="541" t="str">
        <f>'LAP. PENJUALAN '!C121</f>
        <v>Sayap Hot Spicy</v>
      </c>
      <c r="D121" s="694"/>
      <c r="E121" s="694"/>
      <c r="F121" s="694"/>
      <c r="G121" s="694"/>
      <c r="H121" s="694"/>
      <c r="I121" s="694"/>
      <c r="J121" s="694"/>
      <c r="K121" s="694"/>
      <c r="L121" s="694"/>
      <c r="M121" s="694"/>
      <c r="N121" s="554">
        <f t="shared" si="23"/>
        <v>0</v>
      </c>
      <c r="O121" s="554">
        <f t="shared" si="24"/>
        <v>0</v>
      </c>
      <c r="P121" s="555">
        <f>(O121/O243)*100</f>
        <v>0</v>
      </c>
      <c r="Q121" s="567"/>
      <c r="R121" s="555">
        <f t="shared" si="25"/>
        <v>0</v>
      </c>
      <c r="S121" s="698">
        <v>18500</v>
      </c>
      <c r="U121" s="566">
        <f t="shared" si="26"/>
        <v>0</v>
      </c>
      <c r="V121" s="566">
        <f t="shared" si="27"/>
        <v>0</v>
      </c>
      <c r="W121" s="566">
        <f t="shared" si="28"/>
        <v>0</v>
      </c>
      <c r="X121" s="566">
        <f t="shared" si="29"/>
        <v>0</v>
      </c>
      <c r="Y121" s="566">
        <f t="shared" si="30"/>
        <v>0</v>
      </c>
      <c r="Z121" s="566">
        <f t="shared" si="31"/>
        <v>0</v>
      </c>
      <c r="AA121" s="566">
        <f t="shared" si="32"/>
        <v>0</v>
      </c>
      <c r="AB121" s="566">
        <f t="shared" si="33"/>
        <v>0</v>
      </c>
      <c r="AC121" s="566">
        <f t="shared" si="34"/>
        <v>0</v>
      </c>
      <c r="AD121" s="566">
        <f t="shared" si="35"/>
        <v>0</v>
      </c>
      <c r="AE121" s="573"/>
    </row>
    <row r="122" spans="1:31" ht="25.15" customHeight="1">
      <c r="A122" s="543">
        <v>99</v>
      </c>
      <c r="B122" s="546"/>
      <c r="C122" s="541" t="str">
        <f>'LAP. PENJUALAN '!C122</f>
        <v>P. Hot Spicy 1 (Lemon Tea)</v>
      </c>
      <c r="D122" s="694"/>
      <c r="E122" s="694"/>
      <c r="F122" s="694"/>
      <c r="G122" s="694"/>
      <c r="H122" s="694"/>
      <c r="I122" s="694"/>
      <c r="J122" s="694"/>
      <c r="K122" s="694"/>
      <c r="L122" s="694"/>
      <c r="M122" s="694"/>
      <c r="N122" s="554">
        <f t="shared" si="23"/>
        <v>0</v>
      </c>
      <c r="O122" s="554">
        <f t="shared" si="24"/>
        <v>0</v>
      </c>
      <c r="P122" s="555">
        <f>(O122/O243)*100</f>
        <v>0</v>
      </c>
      <c r="Q122" s="567"/>
      <c r="R122" s="555">
        <f t="shared" si="25"/>
        <v>0</v>
      </c>
      <c r="S122" s="697">
        <v>30500</v>
      </c>
      <c r="U122" s="566">
        <f t="shared" si="26"/>
        <v>0</v>
      </c>
      <c r="V122" s="566">
        <f t="shared" si="27"/>
        <v>0</v>
      </c>
      <c r="W122" s="566">
        <f t="shared" si="28"/>
        <v>0</v>
      </c>
      <c r="X122" s="566">
        <f t="shared" si="29"/>
        <v>0</v>
      </c>
      <c r="Y122" s="566">
        <f t="shared" si="30"/>
        <v>0</v>
      </c>
      <c r="Z122" s="566">
        <f t="shared" si="31"/>
        <v>0</v>
      </c>
      <c r="AA122" s="566">
        <f t="shared" si="32"/>
        <v>0</v>
      </c>
      <c r="AB122" s="566">
        <f t="shared" si="33"/>
        <v>0</v>
      </c>
      <c r="AC122" s="566">
        <f t="shared" si="34"/>
        <v>0</v>
      </c>
      <c r="AD122" s="566">
        <f t="shared" si="35"/>
        <v>0</v>
      </c>
      <c r="AE122" s="573"/>
    </row>
    <row r="123" spans="1:31" ht="25.15" customHeight="1">
      <c r="A123" s="543">
        <v>100</v>
      </c>
      <c r="B123" s="546"/>
      <c r="C123" s="541" t="str">
        <f>'LAP. PENJUALAN '!C123</f>
        <v>P. Hot Spicy 2 (Lemon Tea)</v>
      </c>
      <c r="D123" s="694"/>
      <c r="E123" s="694"/>
      <c r="F123" s="694"/>
      <c r="G123" s="694"/>
      <c r="H123" s="694"/>
      <c r="I123" s="694"/>
      <c r="J123" s="694"/>
      <c r="K123" s="694"/>
      <c r="L123" s="694"/>
      <c r="M123" s="694"/>
      <c r="N123" s="554">
        <f t="shared" si="23"/>
        <v>0</v>
      </c>
      <c r="O123" s="554">
        <f t="shared" si="24"/>
        <v>0</v>
      </c>
      <c r="P123" s="555">
        <f>(O123/O243)*100</f>
        <v>0</v>
      </c>
      <c r="Q123" s="567"/>
      <c r="R123" s="555">
        <f t="shared" si="25"/>
        <v>0</v>
      </c>
      <c r="S123" s="697">
        <v>32100</v>
      </c>
      <c r="U123" s="566">
        <f t="shared" si="26"/>
        <v>0</v>
      </c>
      <c r="V123" s="566">
        <f t="shared" si="27"/>
        <v>0</v>
      </c>
      <c r="W123" s="566">
        <f t="shared" si="28"/>
        <v>0</v>
      </c>
      <c r="X123" s="566">
        <f t="shared" si="29"/>
        <v>0</v>
      </c>
      <c r="Y123" s="566">
        <f t="shared" si="30"/>
        <v>0</v>
      </c>
      <c r="Z123" s="566">
        <f t="shared" si="31"/>
        <v>0</v>
      </c>
      <c r="AA123" s="566">
        <f t="shared" si="32"/>
        <v>0</v>
      </c>
      <c r="AB123" s="566">
        <f t="shared" si="33"/>
        <v>0</v>
      </c>
      <c r="AC123" s="566">
        <f t="shared" si="34"/>
        <v>0</v>
      </c>
      <c r="AD123" s="566">
        <f t="shared" si="35"/>
        <v>0</v>
      </c>
      <c r="AE123" s="573"/>
    </row>
    <row r="124" spans="1:31" ht="25.15" customHeight="1">
      <c r="A124" s="543">
        <v>101</v>
      </c>
      <c r="B124" s="546"/>
      <c r="C124" s="541" t="str">
        <f>'LAP. PENJUALAN '!C124</f>
        <v>P. Hot Spicy 3 (Lemon Tea)</v>
      </c>
      <c r="D124" s="694">
        <v>1</v>
      </c>
      <c r="E124" s="694"/>
      <c r="F124" s="694"/>
      <c r="G124" s="694"/>
      <c r="H124" s="694"/>
      <c r="I124" s="694"/>
      <c r="J124" s="694"/>
      <c r="K124" s="694"/>
      <c r="L124" s="694"/>
      <c r="M124" s="694"/>
      <c r="N124" s="554">
        <f t="shared" si="23"/>
        <v>1</v>
      </c>
      <c r="O124" s="554">
        <f t="shared" si="24"/>
        <v>36900</v>
      </c>
      <c r="P124" s="555">
        <f>(O124/O243)*100</f>
        <v>0.67448755396814397</v>
      </c>
      <c r="Q124" s="567"/>
      <c r="R124" s="555">
        <f t="shared" si="25"/>
        <v>0</v>
      </c>
      <c r="S124" s="697">
        <v>36900</v>
      </c>
      <c r="U124" s="566">
        <f t="shared" si="26"/>
        <v>36900</v>
      </c>
      <c r="V124" s="566">
        <f t="shared" si="27"/>
        <v>0</v>
      </c>
      <c r="W124" s="566">
        <f t="shared" si="28"/>
        <v>0</v>
      </c>
      <c r="X124" s="566">
        <f t="shared" si="29"/>
        <v>0</v>
      </c>
      <c r="Y124" s="566">
        <f t="shared" si="30"/>
        <v>0</v>
      </c>
      <c r="Z124" s="566">
        <f t="shared" si="31"/>
        <v>0</v>
      </c>
      <c r="AA124" s="566">
        <f t="shared" si="32"/>
        <v>0</v>
      </c>
      <c r="AB124" s="566">
        <f t="shared" si="33"/>
        <v>0</v>
      </c>
      <c r="AC124" s="566">
        <f t="shared" si="34"/>
        <v>0</v>
      </c>
      <c r="AD124" s="566">
        <f t="shared" si="35"/>
        <v>0</v>
      </c>
      <c r="AE124" s="573"/>
    </row>
    <row r="125" spans="1:31" ht="25.15" customHeight="1">
      <c r="A125" s="543">
        <v>102</v>
      </c>
      <c r="B125" s="546"/>
      <c r="C125" s="541" t="str">
        <f>'LAP. PENJUALAN '!C125</f>
        <v>P. Hot Spicy 1 Green Crispy (Es Teh / S-tee)</v>
      </c>
      <c r="D125" s="694"/>
      <c r="E125" s="694"/>
      <c r="F125" s="694"/>
      <c r="G125" s="694"/>
      <c r="H125" s="694"/>
      <c r="I125" s="694"/>
      <c r="J125" s="694"/>
      <c r="K125" s="694"/>
      <c r="L125" s="694"/>
      <c r="M125" s="694"/>
      <c r="N125" s="554">
        <f t="shared" si="23"/>
        <v>0</v>
      </c>
      <c r="O125" s="554">
        <f t="shared" si="24"/>
        <v>0</v>
      </c>
      <c r="P125" s="555">
        <f>(O125/O243)*100</f>
        <v>0</v>
      </c>
      <c r="Q125" s="567"/>
      <c r="R125" s="555">
        <f t="shared" si="25"/>
        <v>0</v>
      </c>
      <c r="S125" s="697"/>
      <c r="U125" s="566">
        <f t="shared" si="26"/>
        <v>0</v>
      </c>
      <c r="V125" s="566">
        <f t="shared" si="27"/>
        <v>0</v>
      </c>
      <c r="W125" s="566">
        <f t="shared" si="28"/>
        <v>0</v>
      </c>
      <c r="X125" s="566">
        <f t="shared" si="29"/>
        <v>0</v>
      </c>
      <c r="Y125" s="566">
        <f t="shared" si="30"/>
        <v>0</v>
      </c>
      <c r="Z125" s="566">
        <f t="shared" si="31"/>
        <v>0</v>
      </c>
      <c r="AA125" s="566">
        <f t="shared" si="32"/>
        <v>0</v>
      </c>
      <c r="AB125" s="566">
        <f t="shared" si="33"/>
        <v>0</v>
      </c>
      <c r="AC125" s="566">
        <f t="shared" si="34"/>
        <v>0</v>
      </c>
      <c r="AD125" s="566">
        <f t="shared" si="35"/>
        <v>0</v>
      </c>
      <c r="AE125" s="573"/>
    </row>
    <row r="126" spans="1:31" ht="25.15" customHeight="1">
      <c r="A126" s="543">
        <v>103</v>
      </c>
      <c r="B126" s="546"/>
      <c r="C126" s="541" t="str">
        <f>'LAP. PENJUALAN '!C126</f>
        <v>P. Hot Spicy 2 Green Crispy (Es Teh / S-tee)</v>
      </c>
      <c r="D126" s="694"/>
      <c r="E126" s="694"/>
      <c r="F126" s="694"/>
      <c r="G126" s="694"/>
      <c r="H126" s="694"/>
      <c r="I126" s="694"/>
      <c r="J126" s="694"/>
      <c r="K126" s="694"/>
      <c r="L126" s="694"/>
      <c r="M126" s="694"/>
      <c r="N126" s="554">
        <f t="shared" si="23"/>
        <v>0</v>
      </c>
      <c r="O126" s="554">
        <f t="shared" si="24"/>
        <v>0</v>
      </c>
      <c r="P126" s="555">
        <f>(O126/O243)*100</f>
        <v>0</v>
      </c>
      <c r="Q126" s="567"/>
      <c r="R126" s="555">
        <f t="shared" si="25"/>
        <v>0</v>
      </c>
      <c r="S126" s="697"/>
      <c r="U126" s="566">
        <f t="shared" si="26"/>
        <v>0</v>
      </c>
      <c r="V126" s="566">
        <f t="shared" si="27"/>
        <v>0</v>
      </c>
      <c r="W126" s="566">
        <f t="shared" si="28"/>
        <v>0</v>
      </c>
      <c r="X126" s="566">
        <f t="shared" si="29"/>
        <v>0</v>
      </c>
      <c r="Y126" s="566">
        <f t="shared" si="30"/>
        <v>0</v>
      </c>
      <c r="Z126" s="566">
        <f t="shared" si="31"/>
        <v>0</v>
      </c>
      <c r="AA126" s="566">
        <f t="shared" si="32"/>
        <v>0</v>
      </c>
      <c r="AB126" s="566">
        <f t="shared" si="33"/>
        <v>0</v>
      </c>
      <c r="AC126" s="566">
        <f t="shared" si="34"/>
        <v>0</v>
      </c>
      <c r="AD126" s="566">
        <f t="shared" si="35"/>
        <v>0</v>
      </c>
      <c r="AE126" s="573"/>
    </row>
    <row r="127" spans="1:31" ht="25.15" customHeight="1">
      <c r="A127" s="543">
        <v>104</v>
      </c>
      <c r="B127" s="546"/>
      <c r="C127" s="541" t="str">
        <f>'LAP. PENJUALAN '!C127</f>
        <v>P. Hot Spicy 3 Green Crispy (Es Teh / S-tee)</v>
      </c>
      <c r="D127" s="694"/>
      <c r="E127" s="694"/>
      <c r="F127" s="694"/>
      <c r="G127" s="694"/>
      <c r="H127" s="694"/>
      <c r="I127" s="694"/>
      <c r="J127" s="694"/>
      <c r="K127" s="694"/>
      <c r="L127" s="694"/>
      <c r="M127" s="694"/>
      <c r="N127" s="554">
        <f t="shared" si="23"/>
        <v>0</v>
      </c>
      <c r="O127" s="554">
        <f t="shared" si="24"/>
        <v>0</v>
      </c>
      <c r="P127" s="555">
        <f>(O127/O243)*100</f>
        <v>0</v>
      </c>
      <c r="Q127" s="567"/>
      <c r="R127" s="555">
        <f t="shared" si="25"/>
        <v>0</v>
      </c>
      <c r="S127" s="697"/>
      <c r="U127" s="566">
        <f t="shared" si="26"/>
        <v>0</v>
      </c>
      <c r="V127" s="566">
        <f t="shared" si="27"/>
        <v>0</v>
      </c>
      <c r="W127" s="566">
        <f t="shared" si="28"/>
        <v>0</v>
      </c>
      <c r="X127" s="566">
        <f t="shared" si="29"/>
        <v>0</v>
      </c>
      <c r="Y127" s="566">
        <f t="shared" si="30"/>
        <v>0</v>
      </c>
      <c r="Z127" s="566">
        <f t="shared" si="31"/>
        <v>0</v>
      </c>
      <c r="AA127" s="566">
        <f t="shared" si="32"/>
        <v>0</v>
      </c>
      <c r="AB127" s="566">
        <f t="shared" si="33"/>
        <v>0</v>
      </c>
      <c r="AC127" s="566">
        <f t="shared" si="34"/>
        <v>0</v>
      </c>
      <c r="AD127" s="566">
        <f t="shared" si="35"/>
        <v>0</v>
      </c>
      <c r="AE127" s="573"/>
    </row>
    <row r="128" spans="1:31" ht="25.15" customHeight="1">
      <c r="A128" s="543"/>
      <c r="B128" s="546"/>
      <c r="C128" s="541"/>
      <c r="D128" s="694"/>
      <c r="E128" s="694"/>
      <c r="F128" s="694"/>
      <c r="G128" s="694"/>
      <c r="H128" s="694"/>
      <c r="I128" s="694"/>
      <c r="J128" s="694"/>
      <c r="K128" s="694"/>
      <c r="L128" s="694"/>
      <c r="M128" s="694"/>
      <c r="N128" s="554">
        <f t="shared" si="23"/>
        <v>0</v>
      </c>
      <c r="O128" s="554">
        <f t="shared" si="24"/>
        <v>0</v>
      </c>
      <c r="P128" s="555">
        <f>(O128/O243)*100</f>
        <v>0</v>
      </c>
      <c r="Q128" s="567"/>
      <c r="R128" s="555">
        <f t="shared" si="25"/>
        <v>0</v>
      </c>
      <c r="S128" s="698"/>
      <c r="U128" s="566">
        <f t="shared" si="26"/>
        <v>0</v>
      </c>
      <c r="V128" s="566">
        <f t="shared" si="27"/>
        <v>0</v>
      </c>
      <c r="W128" s="566">
        <f t="shared" si="28"/>
        <v>0</v>
      </c>
      <c r="X128" s="566">
        <f t="shared" si="29"/>
        <v>0</v>
      </c>
      <c r="Y128" s="566">
        <f t="shared" si="30"/>
        <v>0</v>
      </c>
      <c r="Z128" s="566">
        <f t="shared" si="31"/>
        <v>0</v>
      </c>
      <c r="AA128" s="566">
        <f t="shared" si="32"/>
        <v>0</v>
      </c>
      <c r="AB128" s="566">
        <f t="shared" si="33"/>
        <v>0</v>
      </c>
      <c r="AC128" s="566">
        <f t="shared" si="34"/>
        <v>0</v>
      </c>
      <c r="AD128" s="566">
        <f t="shared" si="35"/>
        <v>0</v>
      </c>
      <c r="AE128" s="573"/>
    </row>
    <row r="129" spans="1:31" ht="25.15" customHeight="1">
      <c r="A129" s="543">
        <v>105</v>
      </c>
      <c r="B129" s="546"/>
      <c r="C129" s="541" t="str">
        <f>'LAP. PENJUALAN '!C129</f>
        <v>P. Hot Cheesy 1 Green Crispy  (Es Teh / S-tee)</v>
      </c>
      <c r="D129" s="694"/>
      <c r="E129" s="694"/>
      <c r="F129" s="694"/>
      <c r="G129" s="694"/>
      <c r="H129" s="694"/>
      <c r="I129" s="694"/>
      <c r="J129" s="694"/>
      <c r="K129" s="694"/>
      <c r="L129" s="694"/>
      <c r="M129" s="694"/>
      <c r="N129" s="554">
        <f t="shared" si="23"/>
        <v>0</v>
      </c>
      <c r="O129" s="554">
        <f t="shared" si="24"/>
        <v>0</v>
      </c>
      <c r="P129" s="555">
        <f>(O129/O243)*100</f>
        <v>0</v>
      </c>
      <c r="Q129" s="567"/>
      <c r="R129" s="555">
        <f t="shared" si="25"/>
        <v>0</v>
      </c>
      <c r="S129" s="698"/>
      <c r="U129" s="566">
        <f t="shared" si="26"/>
        <v>0</v>
      </c>
      <c r="V129" s="566">
        <f t="shared" si="27"/>
        <v>0</v>
      </c>
      <c r="W129" s="566">
        <f t="shared" si="28"/>
        <v>0</v>
      </c>
      <c r="X129" s="566">
        <f t="shared" si="29"/>
        <v>0</v>
      </c>
      <c r="Y129" s="566">
        <f t="shared" si="30"/>
        <v>0</v>
      </c>
      <c r="Z129" s="566">
        <f t="shared" si="31"/>
        <v>0</v>
      </c>
      <c r="AA129" s="566">
        <f t="shared" si="32"/>
        <v>0</v>
      </c>
      <c r="AB129" s="566">
        <f t="shared" si="33"/>
        <v>0</v>
      </c>
      <c r="AC129" s="566">
        <f t="shared" si="34"/>
        <v>0</v>
      </c>
      <c r="AD129" s="566">
        <f t="shared" si="35"/>
        <v>0</v>
      </c>
      <c r="AE129" s="573"/>
    </row>
    <row r="130" spans="1:31" ht="25.15" customHeight="1">
      <c r="A130" s="543">
        <v>106</v>
      </c>
      <c r="B130" s="546"/>
      <c r="C130" s="541" t="str">
        <f>'LAP. PENJUALAN '!C130</f>
        <v>P. Hot Cheesy 2 Green Crispy (Es Teh / S-tee)</v>
      </c>
      <c r="D130" s="694"/>
      <c r="E130" s="694"/>
      <c r="F130" s="694"/>
      <c r="G130" s="694"/>
      <c r="H130" s="694"/>
      <c r="I130" s="694"/>
      <c r="J130" s="694"/>
      <c r="K130" s="694"/>
      <c r="L130" s="694"/>
      <c r="M130" s="694"/>
      <c r="N130" s="554">
        <f t="shared" si="23"/>
        <v>0</v>
      </c>
      <c r="O130" s="554">
        <f t="shared" si="24"/>
        <v>0</v>
      </c>
      <c r="P130" s="555">
        <f>(O130/O243)*100</f>
        <v>0</v>
      </c>
      <c r="Q130" s="567"/>
      <c r="R130" s="555">
        <f t="shared" si="25"/>
        <v>0</v>
      </c>
      <c r="S130" s="698"/>
      <c r="U130" s="566">
        <f t="shared" si="26"/>
        <v>0</v>
      </c>
      <c r="V130" s="566">
        <f t="shared" si="27"/>
        <v>0</v>
      </c>
      <c r="W130" s="566">
        <f t="shared" si="28"/>
        <v>0</v>
      </c>
      <c r="X130" s="566">
        <f t="shared" si="29"/>
        <v>0</v>
      </c>
      <c r="Y130" s="566">
        <f t="shared" si="30"/>
        <v>0</v>
      </c>
      <c r="Z130" s="566">
        <f t="shared" si="31"/>
        <v>0</v>
      </c>
      <c r="AA130" s="566">
        <f t="shared" si="32"/>
        <v>0</v>
      </c>
      <c r="AB130" s="566">
        <f t="shared" si="33"/>
        <v>0</v>
      </c>
      <c r="AC130" s="566">
        <f t="shared" si="34"/>
        <v>0</v>
      </c>
      <c r="AD130" s="566">
        <f t="shared" si="35"/>
        <v>0</v>
      </c>
      <c r="AE130" s="573"/>
    </row>
    <row r="131" spans="1:31" ht="25.15" customHeight="1">
      <c r="A131" s="543">
        <v>107</v>
      </c>
      <c r="B131" s="546"/>
      <c r="C131" s="541" t="str">
        <f>'LAP. PENJUALAN '!C131</f>
        <v>P. Hot Cheesy 3 Green Crispy (Es Teh / S-tee)</v>
      </c>
      <c r="D131" s="694"/>
      <c r="E131" s="694"/>
      <c r="F131" s="694"/>
      <c r="G131" s="694"/>
      <c r="H131" s="694"/>
      <c r="I131" s="694"/>
      <c r="J131" s="694"/>
      <c r="K131" s="694"/>
      <c r="L131" s="694"/>
      <c r="M131" s="694"/>
      <c r="N131" s="554">
        <f t="shared" si="23"/>
        <v>0</v>
      </c>
      <c r="O131" s="554">
        <f t="shared" si="24"/>
        <v>0</v>
      </c>
      <c r="P131" s="555">
        <f>(O131/O243)*100</f>
        <v>0</v>
      </c>
      <c r="Q131" s="567"/>
      <c r="R131" s="555">
        <f t="shared" si="25"/>
        <v>0</v>
      </c>
      <c r="S131" s="698"/>
      <c r="U131" s="566">
        <f t="shared" si="26"/>
        <v>0</v>
      </c>
      <c r="V131" s="566">
        <f t="shared" si="27"/>
        <v>0</v>
      </c>
      <c r="W131" s="566">
        <f t="shared" si="28"/>
        <v>0</v>
      </c>
      <c r="X131" s="566">
        <f t="shared" si="29"/>
        <v>0</v>
      </c>
      <c r="Y131" s="566">
        <f t="shared" si="30"/>
        <v>0</v>
      </c>
      <c r="Z131" s="566">
        <f t="shared" si="31"/>
        <v>0</v>
      </c>
      <c r="AA131" s="566">
        <f t="shared" si="32"/>
        <v>0</v>
      </c>
      <c r="AB131" s="566">
        <f t="shared" si="33"/>
        <v>0</v>
      </c>
      <c r="AC131" s="566">
        <f t="shared" si="34"/>
        <v>0</v>
      </c>
      <c r="AD131" s="566">
        <f t="shared" si="35"/>
        <v>0</v>
      </c>
      <c r="AE131" s="573"/>
    </row>
    <row r="132" spans="1:31" ht="25.15" customHeight="1">
      <c r="A132" s="543">
        <v>108</v>
      </c>
      <c r="B132" s="546"/>
      <c r="C132" s="541" t="str">
        <f>'LAP. PENJUALAN '!C132</f>
        <v>Green Crispy</v>
      </c>
      <c r="D132" s="694"/>
      <c r="E132" s="694"/>
      <c r="F132" s="694"/>
      <c r="G132" s="694"/>
      <c r="H132" s="694"/>
      <c r="I132" s="694"/>
      <c r="J132" s="694"/>
      <c r="K132" s="694"/>
      <c r="L132" s="694"/>
      <c r="M132" s="694"/>
      <c r="N132" s="554">
        <f t="shared" si="23"/>
        <v>0</v>
      </c>
      <c r="O132" s="554">
        <f t="shared" si="24"/>
        <v>0</v>
      </c>
      <c r="P132" s="555">
        <f>(O132/O243)*100</f>
        <v>0</v>
      </c>
      <c r="Q132" s="567"/>
      <c r="R132" s="555">
        <f t="shared" si="25"/>
        <v>0</v>
      </c>
      <c r="S132" s="698"/>
      <c r="U132" s="566">
        <f t="shared" si="26"/>
        <v>0</v>
      </c>
      <c r="V132" s="566">
        <f t="shared" si="27"/>
        <v>0</v>
      </c>
      <c r="W132" s="566">
        <f t="shared" si="28"/>
        <v>0</v>
      </c>
      <c r="X132" s="566">
        <f t="shared" si="29"/>
        <v>0</v>
      </c>
      <c r="Y132" s="566">
        <f t="shared" si="30"/>
        <v>0</v>
      </c>
      <c r="Z132" s="566">
        <f t="shared" si="31"/>
        <v>0</v>
      </c>
      <c r="AA132" s="566">
        <f t="shared" si="32"/>
        <v>0</v>
      </c>
      <c r="AB132" s="566">
        <f t="shared" si="33"/>
        <v>0</v>
      </c>
      <c r="AC132" s="566">
        <f t="shared" si="34"/>
        <v>0</v>
      </c>
      <c r="AD132" s="566">
        <f t="shared" si="35"/>
        <v>0</v>
      </c>
      <c r="AE132" s="573"/>
    </row>
    <row r="133" spans="1:31" ht="25.15" customHeight="1">
      <c r="A133" s="543"/>
      <c r="B133" s="546"/>
      <c r="C133" s="541"/>
      <c r="D133" s="694"/>
      <c r="E133" s="694"/>
      <c r="F133" s="694"/>
      <c r="G133" s="694"/>
      <c r="H133" s="694"/>
      <c r="I133" s="694"/>
      <c r="J133" s="694"/>
      <c r="K133" s="694"/>
      <c r="L133" s="694"/>
      <c r="M133" s="694"/>
      <c r="N133" s="554">
        <f t="shared" si="23"/>
        <v>0</v>
      </c>
      <c r="O133" s="554">
        <f t="shared" si="24"/>
        <v>0</v>
      </c>
      <c r="P133" s="555">
        <f>(O133/O243)*100</f>
        <v>0</v>
      </c>
      <c r="Q133" s="567"/>
      <c r="R133" s="555">
        <f t="shared" si="25"/>
        <v>0</v>
      </c>
      <c r="S133" s="698"/>
      <c r="U133" s="566">
        <f t="shared" si="26"/>
        <v>0</v>
      </c>
      <c r="V133" s="566">
        <f t="shared" si="27"/>
        <v>0</v>
      </c>
      <c r="W133" s="566">
        <f t="shared" si="28"/>
        <v>0</v>
      </c>
      <c r="X133" s="566">
        <f t="shared" si="29"/>
        <v>0</v>
      </c>
      <c r="Y133" s="566">
        <f t="shared" si="30"/>
        <v>0</v>
      </c>
      <c r="Z133" s="566">
        <f t="shared" si="31"/>
        <v>0</v>
      </c>
      <c r="AA133" s="566">
        <f t="shared" si="32"/>
        <v>0</v>
      </c>
      <c r="AB133" s="566">
        <f t="shared" si="33"/>
        <v>0</v>
      </c>
      <c r="AC133" s="566">
        <f t="shared" si="34"/>
        <v>0</v>
      </c>
      <c r="AD133" s="566">
        <f t="shared" si="35"/>
        <v>0</v>
      </c>
      <c r="AE133" s="573"/>
    </row>
    <row r="134" spans="1:31" ht="25.15" customHeight="1">
      <c r="A134" s="543">
        <v>109</v>
      </c>
      <c r="B134" s="546"/>
      <c r="C134" s="541" t="str">
        <f>'LAP. PENJUALAN '!C134</f>
        <v>Paket Bucket 1</v>
      </c>
      <c r="D134" s="694"/>
      <c r="E134" s="694"/>
      <c r="F134" s="694"/>
      <c r="G134" s="694"/>
      <c r="H134" s="694"/>
      <c r="I134" s="694"/>
      <c r="J134" s="694"/>
      <c r="K134" s="694"/>
      <c r="L134" s="694"/>
      <c r="M134" s="694"/>
      <c r="N134" s="554">
        <f t="shared" si="23"/>
        <v>0</v>
      </c>
      <c r="O134" s="554">
        <f t="shared" si="24"/>
        <v>0</v>
      </c>
      <c r="P134" s="555">
        <f>(O134/O243)*100</f>
        <v>0</v>
      </c>
      <c r="Q134" s="567"/>
      <c r="R134" s="555">
        <f t="shared" si="25"/>
        <v>0</v>
      </c>
      <c r="S134" s="698"/>
      <c r="U134" s="566">
        <f t="shared" si="26"/>
        <v>0</v>
      </c>
      <c r="V134" s="566">
        <f t="shared" si="27"/>
        <v>0</v>
      </c>
      <c r="W134" s="566">
        <f t="shared" si="28"/>
        <v>0</v>
      </c>
      <c r="X134" s="566">
        <f t="shared" si="29"/>
        <v>0</v>
      </c>
      <c r="Y134" s="566">
        <f t="shared" si="30"/>
        <v>0</v>
      </c>
      <c r="Z134" s="566">
        <f t="shared" si="31"/>
        <v>0</v>
      </c>
      <c r="AA134" s="566">
        <f t="shared" si="32"/>
        <v>0</v>
      </c>
      <c r="AB134" s="566">
        <f t="shared" si="33"/>
        <v>0</v>
      </c>
      <c r="AC134" s="566">
        <f t="shared" si="34"/>
        <v>0</v>
      </c>
      <c r="AD134" s="566">
        <f t="shared" si="35"/>
        <v>0</v>
      </c>
      <c r="AE134" s="573"/>
    </row>
    <row r="135" spans="1:31" ht="25.15" customHeight="1">
      <c r="A135" s="543">
        <v>110</v>
      </c>
      <c r="B135" s="546"/>
      <c r="C135" s="541" t="str">
        <f>'LAP. PENJUALAN '!C135</f>
        <v>Paket Bucket 2</v>
      </c>
      <c r="D135" s="694"/>
      <c r="E135" s="694"/>
      <c r="F135" s="694"/>
      <c r="G135" s="694"/>
      <c r="H135" s="694"/>
      <c r="I135" s="694"/>
      <c r="J135" s="694"/>
      <c r="K135" s="694"/>
      <c r="L135" s="694"/>
      <c r="M135" s="694"/>
      <c r="N135" s="554">
        <f t="shared" si="23"/>
        <v>0</v>
      </c>
      <c r="O135" s="554">
        <f t="shared" si="24"/>
        <v>0</v>
      </c>
      <c r="P135" s="555">
        <f>(O135/O243)*100</f>
        <v>0</v>
      </c>
      <c r="Q135" s="567"/>
      <c r="R135" s="555">
        <f t="shared" si="25"/>
        <v>0</v>
      </c>
      <c r="S135" s="698"/>
      <c r="U135" s="566">
        <f t="shared" si="26"/>
        <v>0</v>
      </c>
      <c r="V135" s="566">
        <f t="shared" si="27"/>
        <v>0</v>
      </c>
      <c r="W135" s="566">
        <f t="shared" si="28"/>
        <v>0</v>
      </c>
      <c r="X135" s="566">
        <f t="shared" si="29"/>
        <v>0</v>
      </c>
      <c r="Y135" s="566">
        <f t="shared" si="30"/>
        <v>0</v>
      </c>
      <c r="Z135" s="566">
        <f t="shared" si="31"/>
        <v>0</v>
      </c>
      <c r="AA135" s="566">
        <f t="shared" si="32"/>
        <v>0</v>
      </c>
      <c r="AB135" s="566">
        <f t="shared" si="33"/>
        <v>0</v>
      </c>
      <c r="AC135" s="566">
        <f t="shared" si="34"/>
        <v>0</v>
      </c>
      <c r="AD135" s="566">
        <f t="shared" si="35"/>
        <v>0</v>
      </c>
      <c r="AE135" s="573"/>
    </row>
    <row r="136" spans="1:31" ht="25.15" customHeight="1">
      <c r="A136" s="543">
        <v>111</v>
      </c>
      <c r="B136" s="546"/>
      <c r="C136" s="541" t="str">
        <f>'LAP. PENJUALAN '!C136</f>
        <v>Paket Bucket 3</v>
      </c>
      <c r="D136" s="694"/>
      <c r="E136" s="694"/>
      <c r="F136" s="694"/>
      <c r="G136" s="694"/>
      <c r="H136" s="694"/>
      <c r="I136" s="694"/>
      <c r="J136" s="694"/>
      <c r="K136" s="694"/>
      <c r="L136" s="694"/>
      <c r="M136" s="694"/>
      <c r="N136" s="554">
        <f t="shared" si="23"/>
        <v>0</v>
      </c>
      <c r="O136" s="554">
        <f t="shared" si="24"/>
        <v>0</v>
      </c>
      <c r="P136" s="555">
        <f>(O136/O243)*100</f>
        <v>0</v>
      </c>
      <c r="Q136" s="567"/>
      <c r="R136" s="555">
        <f t="shared" si="25"/>
        <v>0</v>
      </c>
      <c r="S136" s="698"/>
      <c r="U136" s="566">
        <f t="shared" si="26"/>
        <v>0</v>
      </c>
      <c r="V136" s="566">
        <f t="shared" si="27"/>
        <v>0</v>
      </c>
      <c r="W136" s="566">
        <f t="shared" si="28"/>
        <v>0</v>
      </c>
      <c r="X136" s="566">
        <f t="shared" si="29"/>
        <v>0</v>
      </c>
      <c r="Y136" s="566">
        <f t="shared" si="30"/>
        <v>0</v>
      </c>
      <c r="Z136" s="566">
        <f t="shared" si="31"/>
        <v>0</v>
      </c>
      <c r="AA136" s="566">
        <f t="shared" si="32"/>
        <v>0</v>
      </c>
      <c r="AB136" s="566">
        <f t="shared" si="33"/>
        <v>0</v>
      </c>
      <c r="AC136" s="566">
        <f t="shared" si="34"/>
        <v>0</v>
      </c>
      <c r="AD136" s="566">
        <f t="shared" si="35"/>
        <v>0</v>
      </c>
      <c r="AE136" s="573"/>
    </row>
    <row r="137" spans="1:31" ht="25.15" customHeight="1">
      <c r="A137" s="543">
        <v>112</v>
      </c>
      <c r="B137" s="546"/>
      <c r="C137" s="541" t="str">
        <f>'LAP. PENJUALAN '!C137</f>
        <v>Paket Bucket 4 (Sambal Geprek)</v>
      </c>
      <c r="D137" s="694"/>
      <c r="E137" s="694"/>
      <c r="F137" s="694"/>
      <c r="G137" s="694"/>
      <c r="H137" s="694"/>
      <c r="I137" s="694"/>
      <c r="J137" s="694"/>
      <c r="K137" s="694"/>
      <c r="L137" s="694"/>
      <c r="M137" s="694"/>
      <c r="N137" s="554">
        <f t="shared" si="23"/>
        <v>0</v>
      </c>
      <c r="O137" s="554">
        <f t="shared" si="24"/>
        <v>0</v>
      </c>
      <c r="P137" s="555">
        <f>(O137/O243)*100</f>
        <v>0</v>
      </c>
      <c r="Q137" s="567"/>
      <c r="R137" s="555">
        <f t="shared" si="25"/>
        <v>0</v>
      </c>
      <c r="S137" s="698"/>
      <c r="U137" s="566">
        <f t="shared" si="26"/>
        <v>0</v>
      </c>
      <c r="V137" s="566">
        <f t="shared" si="27"/>
        <v>0</v>
      </c>
      <c r="W137" s="566">
        <f t="shared" si="28"/>
        <v>0</v>
      </c>
      <c r="X137" s="566">
        <f t="shared" si="29"/>
        <v>0</v>
      </c>
      <c r="Y137" s="566">
        <f t="shared" si="30"/>
        <v>0</v>
      </c>
      <c r="Z137" s="566">
        <f t="shared" si="31"/>
        <v>0</v>
      </c>
      <c r="AA137" s="566">
        <f t="shared" si="32"/>
        <v>0</v>
      </c>
      <c r="AB137" s="566">
        <f t="shared" si="33"/>
        <v>0</v>
      </c>
      <c r="AC137" s="566">
        <f t="shared" si="34"/>
        <v>0</v>
      </c>
      <c r="AD137" s="566">
        <f t="shared" si="35"/>
        <v>0</v>
      </c>
      <c r="AE137" s="573"/>
    </row>
    <row r="138" spans="1:31" ht="25.15" customHeight="1">
      <c r="A138" s="543">
        <v>113</v>
      </c>
      <c r="B138" s="546"/>
      <c r="C138" s="541" t="str">
        <f>'LAP. PENJUALAN '!C138</f>
        <v>Paket Bucket 4 (Hot Cheesy)</v>
      </c>
      <c r="D138" s="694"/>
      <c r="E138" s="694"/>
      <c r="F138" s="694"/>
      <c r="G138" s="694"/>
      <c r="H138" s="694"/>
      <c r="I138" s="694"/>
      <c r="J138" s="694"/>
      <c r="K138" s="694"/>
      <c r="L138" s="694"/>
      <c r="M138" s="694"/>
      <c r="N138" s="554">
        <f t="shared" si="23"/>
        <v>0</v>
      </c>
      <c r="O138" s="554">
        <f t="shared" si="24"/>
        <v>0</v>
      </c>
      <c r="P138" s="555">
        <f>(O138/O243)*100</f>
        <v>0</v>
      </c>
      <c r="Q138" s="567"/>
      <c r="R138" s="555">
        <f t="shared" si="25"/>
        <v>0</v>
      </c>
      <c r="S138" s="698"/>
      <c r="U138" s="566">
        <f t="shared" si="26"/>
        <v>0</v>
      </c>
      <c r="V138" s="566">
        <f t="shared" si="27"/>
        <v>0</v>
      </c>
      <c r="W138" s="566">
        <f t="shared" si="28"/>
        <v>0</v>
      </c>
      <c r="X138" s="566">
        <f t="shared" si="29"/>
        <v>0</v>
      </c>
      <c r="Y138" s="566">
        <f t="shared" si="30"/>
        <v>0</v>
      </c>
      <c r="Z138" s="566">
        <f t="shared" si="31"/>
        <v>0</v>
      </c>
      <c r="AA138" s="566">
        <f t="shared" si="32"/>
        <v>0</v>
      </c>
      <c r="AB138" s="566">
        <f t="shared" si="33"/>
        <v>0</v>
      </c>
      <c r="AC138" s="566">
        <f t="shared" si="34"/>
        <v>0</v>
      </c>
      <c r="AD138" s="566">
        <f t="shared" si="35"/>
        <v>0</v>
      </c>
      <c r="AE138" s="573"/>
    </row>
    <row r="139" spans="1:31" ht="25.15" customHeight="1">
      <c r="A139" s="543"/>
      <c r="B139" s="546"/>
      <c r="C139" s="541"/>
      <c r="D139" s="694"/>
      <c r="E139" s="694"/>
      <c r="F139" s="694"/>
      <c r="G139" s="694"/>
      <c r="H139" s="694"/>
      <c r="I139" s="694"/>
      <c r="J139" s="694"/>
      <c r="K139" s="694"/>
      <c r="L139" s="694"/>
      <c r="M139" s="694"/>
      <c r="N139" s="554">
        <f t="shared" si="23"/>
        <v>0</v>
      </c>
      <c r="O139" s="554">
        <f t="shared" si="24"/>
        <v>0</v>
      </c>
      <c r="P139" s="555">
        <f>(O139/O243)*100</f>
        <v>0</v>
      </c>
      <c r="Q139" s="567"/>
      <c r="R139" s="555">
        <f t="shared" si="25"/>
        <v>0</v>
      </c>
      <c r="S139" s="698"/>
      <c r="U139" s="566">
        <f t="shared" si="26"/>
        <v>0</v>
      </c>
      <c r="V139" s="566">
        <f t="shared" si="27"/>
        <v>0</v>
      </c>
      <c r="W139" s="566">
        <f t="shared" si="28"/>
        <v>0</v>
      </c>
      <c r="X139" s="566">
        <f t="shared" si="29"/>
        <v>0</v>
      </c>
      <c r="Y139" s="566">
        <f t="shared" si="30"/>
        <v>0</v>
      </c>
      <c r="Z139" s="566">
        <f t="shared" si="31"/>
        <v>0</v>
      </c>
      <c r="AA139" s="566">
        <f t="shared" si="32"/>
        <v>0</v>
      </c>
      <c r="AB139" s="566">
        <f t="shared" si="33"/>
        <v>0</v>
      </c>
      <c r="AC139" s="566">
        <f t="shared" si="34"/>
        <v>0</v>
      </c>
      <c r="AD139" s="566">
        <f t="shared" si="35"/>
        <v>0</v>
      </c>
      <c r="AE139" s="573"/>
    </row>
    <row r="140" spans="1:31" ht="25.15" customHeight="1">
      <c r="A140" s="543">
        <v>114</v>
      </c>
      <c r="B140" s="546"/>
      <c r="C140" s="541" t="str">
        <f>'LAP. PENJUALAN '!C140</f>
        <v>Paket Ultah 1</v>
      </c>
      <c r="D140" s="694"/>
      <c r="E140" s="694"/>
      <c r="F140" s="694"/>
      <c r="G140" s="694"/>
      <c r="H140" s="694"/>
      <c r="I140" s="694"/>
      <c r="J140" s="694"/>
      <c r="K140" s="694"/>
      <c r="L140" s="694"/>
      <c r="M140" s="694"/>
      <c r="N140" s="554">
        <f t="shared" si="23"/>
        <v>0</v>
      </c>
      <c r="O140" s="554">
        <f t="shared" si="24"/>
        <v>0</v>
      </c>
      <c r="P140" s="555">
        <f>(O140/O243)*100</f>
        <v>0</v>
      </c>
      <c r="Q140" s="567"/>
      <c r="R140" s="555">
        <f t="shared" si="25"/>
        <v>0</v>
      </c>
      <c r="S140" s="698"/>
      <c r="U140" s="566">
        <f t="shared" si="26"/>
        <v>0</v>
      </c>
      <c r="V140" s="566">
        <f t="shared" si="27"/>
        <v>0</v>
      </c>
      <c r="W140" s="566">
        <f t="shared" si="28"/>
        <v>0</v>
      </c>
      <c r="X140" s="566">
        <f t="shared" si="29"/>
        <v>0</v>
      </c>
      <c r="Y140" s="566">
        <f t="shared" si="30"/>
        <v>0</v>
      </c>
      <c r="Z140" s="566">
        <f t="shared" si="31"/>
        <v>0</v>
      </c>
      <c r="AA140" s="566">
        <f t="shared" si="32"/>
        <v>0</v>
      </c>
      <c r="AB140" s="566">
        <f t="shared" si="33"/>
        <v>0</v>
      </c>
      <c r="AC140" s="566">
        <f t="shared" si="34"/>
        <v>0</v>
      </c>
      <c r="AD140" s="566">
        <f t="shared" si="35"/>
        <v>0</v>
      </c>
      <c r="AE140" s="573"/>
    </row>
    <row r="141" spans="1:31" ht="25.15" customHeight="1">
      <c r="A141" s="543">
        <v>115</v>
      </c>
      <c r="B141" s="546"/>
      <c r="C141" s="541" t="str">
        <f>'LAP. PENJUALAN '!C141</f>
        <v>Paket Ultah 2</v>
      </c>
      <c r="D141" s="694"/>
      <c r="E141" s="694"/>
      <c r="F141" s="694"/>
      <c r="G141" s="694"/>
      <c r="H141" s="694"/>
      <c r="I141" s="694"/>
      <c r="J141" s="694"/>
      <c r="K141" s="694"/>
      <c r="L141" s="694"/>
      <c r="M141" s="694"/>
      <c r="N141" s="554">
        <f t="shared" si="23"/>
        <v>0</v>
      </c>
      <c r="O141" s="554">
        <f t="shared" si="24"/>
        <v>0</v>
      </c>
      <c r="P141" s="555">
        <f>(O141/O243)*100</f>
        <v>0</v>
      </c>
      <c r="Q141" s="567"/>
      <c r="R141" s="555">
        <f t="shared" si="25"/>
        <v>0</v>
      </c>
      <c r="S141" s="698"/>
      <c r="U141" s="566">
        <f t="shared" si="26"/>
        <v>0</v>
      </c>
      <c r="V141" s="566">
        <f t="shared" si="27"/>
        <v>0</v>
      </c>
      <c r="W141" s="566">
        <f t="shared" si="28"/>
        <v>0</v>
      </c>
      <c r="X141" s="566">
        <f t="shared" si="29"/>
        <v>0</v>
      </c>
      <c r="Y141" s="566">
        <f t="shared" si="30"/>
        <v>0</v>
      </c>
      <c r="Z141" s="566">
        <f t="shared" si="31"/>
        <v>0</v>
      </c>
      <c r="AA141" s="566">
        <f t="shared" si="32"/>
        <v>0</v>
      </c>
      <c r="AB141" s="566">
        <f t="shared" si="33"/>
        <v>0</v>
      </c>
      <c r="AC141" s="566">
        <f t="shared" si="34"/>
        <v>0</v>
      </c>
      <c r="AD141" s="566">
        <f t="shared" si="35"/>
        <v>0</v>
      </c>
      <c r="AE141" s="573"/>
    </row>
    <row r="142" spans="1:31" ht="25.15" customHeight="1">
      <c r="A142" s="543"/>
      <c r="B142" s="546"/>
      <c r="C142" s="541"/>
      <c r="D142" s="694"/>
      <c r="E142" s="694"/>
      <c r="F142" s="694"/>
      <c r="G142" s="694"/>
      <c r="H142" s="694"/>
      <c r="I142" s="694"/>
      <c r="J142" s="694"/>
      <c r="K142" s="694"/>
      <c r="L142" s="694"/>
      <c r="M142" s="694"/>
      <c r="N142" s="554">
        <f t="shared" si="23"/>
        <v>0</v>
      </c>
      <c r="O142" s="554">
        <f t="shared" si="24"/>
        <v>0</v>
      </c>
      <c r="P142" s="555">
        <f>(O142/O243)*100</f>
        <v>0</v>
      </c>
      <c r="Q142" s="567"/>
      <c r="R142" s="555">
        <f t="shared" si="25"/>
        <v>0</v>
      </c>
      <c r="S142" s="698"/>
      <c r="U142" s="566">
        <f t="shared" si="26"/>
        <v>0</v>
      </c>
      <c r="V142" s="566">
        <f t="shared" si="27"/>
        <v>0</v>
      </c>
      <c r="W142" s="566">
        <f t="shared" si="28"/>
        <v>0</v>
      </c>
      <c r="X142" s="566">
        <f t="shared" si="29"/>
        <v>0</v>
      </c>
      <c r="Y142" s="566">
        <f t="shared" si="30"/>
        <v>0</v>
      </c>
      <c r="Z142" s="566">
        <f t="shared" si="31"/>
        <v>0</v>
      </c>
      <c r="AA142" s="566">
        <f t="shared" si="32"/>
        <v>0</v>
      </c>
      <c r="AB142" s="566">
        <f t="shared" si="33"/>
        <v>0</v>
      </c>
      <c r="AC142" s="566">
        <f t="shared" si="34"/>
        <v>0</v>
      </c>
      <c r="AD142" s="566">
        <f t="shared" si="35"/>
        <v>0</v>
      </c>
      <c r="AE142" s="573"/>
    </row>
    <row r="143" spans="1:31" ht="25.15" customHeight="1">
      <c r="A143" s="543">
        <v>116</v>
      </c>
      <c r="B143" s="546"/>
      <c r="C143" s="541" t="str">
        <f>'LAP. PENJUALAN '!C143</f>
        <v>Paket Rocket Kids 1</v>
      </c>
      <c r="D143" s="694"/>
      <c r="E143" s="694"/>
      <c r="F143" s="694"/>
      <c r="G143" s="694"/>
      <c r="H143" s="694"/>
      <c r="I143" s="694"/>
      <c r="J143" s="694"/>
      <c r="K143" s="694"/>
      <c r="L143" s="694"/>
      <c r="M143" s="694"/>
      <c r="N143" s="554">
        <f t="shared" si="23"/>
        <v>0</v>
      </c>
      <c r="O143" s="554">
        <f t="shared" si="24"/>
        <v>0</v>
      </c>
      <c r="P143" s="555">
        <f>(O143/O243)*100</f>
        <v>0</v>
      </c>
      <c r="Q143" s="567"/>
      <c r="R143" s="555">
        <f t="shared" si="25"/>
        <v>0</v>
      </c>
      <c r="S143" s="698"/>
      <c r="U143" s="566">
        <f t="shared" si="26"/>
        <v>0</v>
      </c>
      <c r="V143" s="566">
        <f t="shared" si="27"/>
        <v>0</v>
      </c>
      <c r="W143" s="566">
        <f t="shared" si="28"/>
        <v>0</v>
      </c>
      <c r="X143" s="566">
        <f t="shared" si="29"/>
        <v>0</v>
      </c>
      <c r="Y143" s="566">
        <f t="shared" si="30"/>
        <v>0</v>
      </c>
      <c r="Z143" s="566">
        <f t="shared" si="31"/>
        <v>0</v>
      </c>
      <c r="AA143" s="566">
        <f t="shared" si="32"/>
        <v>0</v>
      </c>
      <c r="AB143" s="566">
        <f t="shared" si="33"/>
        <v>0</v>
      </c>
      <c r="AC143" s="566">
        <f t="shared" si="34"/>
        <v>0</v>
      </c>
      <c r="AD143" s="566">
        <f t="shared" si="35"/>
        <v>0</v>
      </c>
      <c r="AE143" s="573"/>
    </row>
    <row r="144" spans="1:31" ht="25.15" customHeight="1">
      <c r="A144" s="543">
        <v>117</v>
      </c>
      <c r="B144" s="546"/>
      <c r="C144" s="541" t="str">
        <f>'LAP. PENJUALAN '!C144</f>
        <v>Paket Rocket Kids 2</v>
      </c>
      <c r="D144" s="694"/>
      <c r="E144" s="694"/>
      <c r="F144" s="694"/>
      <c r="G144" s="694"/>
      <c r="H144" s="694"/>
      <c r="I144" s="694"/>
      <c r="J144" s="694"/>
      <c r="K144" s="694"/>
      <c r="L144" s="694"/>
      <c r="M144" s="694"/>
      <c r="N144" s="554">
        <f t="shared" si="23"/>
        <v>0</v>
      </c>
      <c r="O144" s="554">
        <f t="shared" si="24"/>
        <v>0</v>
      </c>
      <c r="P144" s="555">
        <f>(O144/O243)*100</f>
        <v>0</v>
      </c>
      <c r="Q144" s="567"/>
      <c r="R144" s="555">
        <f t="shared" si="25"/>
        <v>0</v>
      </c>
      <c r="S144" s="698"/>
      <c r="U144" s="566">
        <f t="shared" si="26"/>
        <v>0</v>
      </c>
      <c r="V144" s="566">
        <f t="shared" si="27"/>
        <v>0</v>
      </c>
      <c r="W144" s="566">
        <f t="shared" si="28"/>
        <v>0</v>
      </c>
      <c r="X144" s="566">
        <f t="shared" si="29"/>
        <v>0</v>
      </c>
      <c r="Y144" s="566">
        <f t="shared" si="30"/>
        <v>0</v>
      </c>
      <c r="Z144" s="566">
        <f t="shared" si="31"/>
        <v>0</v>
      </c>
      <c r="AA144" s="566">
        <f t="shared" si="32"/>
        <v>0</v>
      </c>
      <c r="AB144" s="566">
        <f t="shared" si="33"/>
        <v>0</v>
      </c>
      <c r="AC144" s="566">
        <f t="shared" si="34"/>
        <v>0</v>
      </c>
      <c r="AD144" s="566">
        <f t="shared" si="35"/>
        <v>0</v>
      </c>
      <c r="AE144" s="573"/>
    </row>
    <row r="145" spans="1:31" ht="25.15" customHeight="1">
      <c r="A145" s="543">
        <v>118</v>
      </c>
      <c r="B145" s="546"/>
      <c r="C145" s="541" t="str">
        <f>'LAP. PENJUALAN '!C145</f>
        <v>Paket Rocket Kids 3</v>
      </c>
      <c r="D145" s="694"/>
      <c r="E145" s="694"/>
      <c r="F145" s="694"/>
      <c r="G145" s="694"/>
      <c r="H145" s="694"/>
      <c r="I145" s="694"/>
      <c r="J145" s="694"/>
      <c r="K145" s="694"/>
      <c r="L145" s="694"/>
      <c r="M145" s="694"/>
      <c r="N145" s="554">
        <f t="shared" si="23"/>
        <v>0</v>
      </c>
      <c r="O145" s="554">
        <f t="shared" si="24"/>
        <v>0</v>
      </c>
      <c r="P145" s="555">
        <f>(O145/O243)*100</f>
        <v>0</v>
      </c>
      <c r="Q145" s="567"/>
      <c r="R145" s="555">
        <f t="shared" si="25"/>
        <v>0</v>
      </c>
      <c r="S145" s="698"/>
      <c r="U145" s="566">
        <f t="shared" si="26"/>
        <v>0</v>
      </c>
      <c r="V145" s="566">
        <f t="shared" si="27"/>
        <v>0</v>
      </c>
      <c r="W145" s="566">
        <f t="shared" si="28"/>
        <v>0</v>
      </c>
      <c r="X145" s="566">
        <f t="shared" si="29"/>
        <v>0</v>
      </c>
      <c r="Y145" s="566">
        <f t="shared" si="30"/>
        <v>0</v>
      </c>
      <c r="Z145" s="566">
        <f t="shared" si="31"/>
        <v>0</v>
      </c>
      <c r="AA145" s="566">
        <f t="shared" si="32"/>
        <v>0</v>
      </c>
      <c r="AB145" s="566">
        <f t="shared" si="33"/>
        <v>0</v>
      </c>
      <c r="AC145" s="566">
        <f t="shared" si="34"/>
        <v>0</v>
      </c>
      <c r="AD145" s="566">
        <f t="shared" si="35"/>
        <v>0</v>
      </c>
      <c r="AE145" s="573"/>
    </row>
    <row r="146" spans="1:31" ht="25.15" customHeight="1">
      <c r="A146" s="543"/>
      <c r="B146" s="546"/>
      <c r="C146" s="541"/>
      <c r="D146" s="694"/>
      <c r="E146" s="694"/>
      <c r="F146" s="694"/>
      <c r="G146" s="694"/>
      <c r="H146" s="694"/>
      <c r="I146" s="694"/>
      <c r="J146" s="694"/>
      <c r="K146" s="694"/>
      <c r="L146" s="694"/>
      <c r="M146" s="694"/>
      <c r="N146" s="554">
        <f t="shared" si="23"/>
        <v>0</v>
      </c>
      <c r="O146" s="554">
        <f t="shared" si="24"/>
        <v>0</v>
      </c>
      <c r="P146" s="555">
        <f>(O146/O243)*100</f>
        <v>0</v>
      </c>
      <c r="Q146" s="567"/>
      <c r="R146" s="555">
        <f t="shared" si="25"/>
        <v>0</v>
      </c>
      <c r="S146" s="698"/>
      <c r="U146" s="566">
        <f t="shared" si="26"/>
        <v>0</v>
      </c>
      <c r="V146" s="566">
        <f t="shared" si="27"/>
        <v>0</v>
      </c>
      <c r="W146" s="566">
        <f t="shared" si="28"/>
        <v>0</v>
      </c>
      <c r="X146" s="566">
        <f t="shared" si="29"/>
        <v>0</v>
      </c>
      <c r="Y146" s="566">
        <f t="shared" si="30"/>
        <v>0</v>
      </c>
      <c r="Z146" s="566">
        <f t="shared" si="31"/>
        <v>0</v>
      </c>
      <c r="AA146" s="566">
        <f t="shared" si="32"/>
        <v>0</v>
      </c>
      <c r="AB146" s="566">
        <f t="shared" si="33"/>
        <v>0</v>
      </c>
      <c r="AC146" s="566">
        <f t="shared" si="34"/>
        <v>0</v>
      </c>
      <c r="AD146" s="566">
        <f t="shared" si="35"/>
        <v>0</v>
      </c>
      <c r="AE146" s="573"/>
    </row>
    <row r="147" spans="1:31" ht="25.15" customHeight="1">
      <c r="A147" s="543">
        <v>119</v>
      </c>
      <c r="B147" s="546"/>
      <c r="C147" s="541" t="str">
        <f>'LAP. PENJUALAN '!C147</f>
        <v>Koin kids</v>
      </c>
      <c r="D147" s="694"/>
      <c r="E147" s="694"/>
      <c r="F147" s="694"/>
      <c r="G147" s="694"/>
      <c r="H147" s="694"/>
      <c r="I147" s="694"/>
      <c r="J147" s="694"/>
      <c r="K147" s="694"/>
      <c r="L147" s="694"/>
      <c r="M147" s="694"/>
      <c r="N147" s="554">
        <f t="shared" si="23"/>
        <v>0</v>
      </c>
      <c r="O147" s="554">
        <f t="shared" si="24"/>
        <v>0</v>
      </c>
      <c r="P147" s="555">
        <f>(O147/O243)*100</f>
        <v>0</v>
      </c>
      <c r="Q147" s="567"/>
      <c r="R147" s="555">
        <f t="shared" si="25"/>
        <v>0</v>
      </c>
      <c r="S147" s="698"/>
      <c r="U147" s="566">
        <f t="shared" si="26"/>
        <v>0</v>
      </c>
      <c r="V147" s="566">
        <f t="shared" si="27"/>
        <v>0</v>
      </c>
      <c r="W147" s="566">
        <f t="shared" si="28"/>
        <v>0</v>
      </c>
      <c r="X147" s="566">
        <f t="shared" si="29"/>
        <v>0</v>
      </c>
      <c r="Y147" s="566">
        <f t="shared" si="30"/>
        <v>0</v>
      </c>
      <c r="Z147" s="566">
        <f t="shared" si="31"/>
        <v>0</v>
      </c>
      <c r="AA147" s="566">
        <f t="shared" si="32"/>
        <v>0</v>
      </c>
      <c r="AB147" s="566">
        <f t="shared" si="33"/>
        <v>0</v>
      </c>
      <c r="AC147" s="566">
        <f t="shared" si="34"/>
        <v>0</v>
      </c>
      <c r="AD147" s="566">
        <f t="shared" si="35"/>
        <v>0</v>
      </c>
      <c r="AE147" s="573"/>
    </row>
    <row r="148" spans="1:31" ht="25.15" customHeight="1">
      <c r="A148" s="543"/>
      <c r="B148" s="546"/>
      <c r="C148" s="541"/>
      <c r="D148" s="694"/>
      <c r="E148" s="694"/>
      <c r="F148" s="694"/>
      <c r="G148" s="694"/>
      <c r="H148" s="694"/>
      <c r="I148" s="694"/>
      <c r="J148" s="694"/>
      <c r="K148" s="694"/>
      <c r="L148" s="694"/>
      <c r="M148" s="694"/>
      <c r="N148" s="554">
        <f t="shared" si="23"/>
        <v>0</v>
      </c>
      <c r="O148" s="554">
        <f t="shared" si="24"/>
        <v>0</v>
      </c>
      <c r="P148" s="555">
        <f>(O148/O243)*100</f>
        <v>0</v>
      </c>
      <c r="Q148" s="567"/>
      <c r="R148" s="555">
        <f t="shared" si="25"/>
        <v>0</v>
      </c>
      <c r="S148" s="698"/>
      <c r="U148" s="566">
        <f t="shared" si="26"/>
        <v>0</v>
      </c>
      <c r="V148" s="566">
        <f t="shared" si="27"/>
        <v>0</v>
      </c>
      <c r="W148" s="566">
        <f t="shared" si="28"/>
        <v>0</v>
      </c>
      <c r="X148" s="566">
        <f t="shared" si="29"/>
        <v>0</v>
      </c>
      <c r="Y148" s="566">
        <f t="shared" si="30"/>
        <v>0</v>
      </c>
      <c r="Z148" s="566">
        <f t="shared" si="31"/>
        <v>0</v>
      </c>
      <c r="AA148" s="566">
        <f t="shared" si="32"/>
        <v>0</v>
      </c>
      <c r="AB148" s="566">
        <f t="shared" si="33"/>
        <v>0</v>
      </c>
      <c r="AC148" s="566">
        <f t="shared" si="34"/>
        <v>0</v>
      </c>
      <c r="AD148" s="566">
        <f t="shared" si="35"/>
        <v>0</v>
      </c>
      <c r="AE148" s="573"/>
    </row>
    <row r="149" spans="1:31" ht="25.15" customHeight="1">
      <c r="A149" s="543"/>
      <c r="B149" s="546"/>
      <c r="C149" s="574" t="str">
        <f>'LAP. PENJUALAN '!C154</f>
        <v>PAKET PROMO REGION/AREA , DISKON KARYAWAN &amp; PAKET INDOMIE</v>
      </c>
      <c r="D149" s="694"/>
      <c r="E149" s="694"/>
      <c r="F149" s="694"/>
      <c r="G149" s="694"/>
      <c r="H149" s="694"/>
      <c r="I149" s="694"/>
      <c r="J149" s="694"/>
      <c r="K149" s="694"/>
      <c r="L149" s="694"/>
      <c r="M149" s="694"/>
      <c r="N149" s="554">
        <f t="shared" si="23"/>
        <v>0</v>
      </c>
      <c r="O149" s="554">
        <f t="shared" si="24"/>
        <v>0</v>
      </c>
      <c r="P149" s="555">
        <f>(O149/O243)*100</f>
        <v>0</v>
      </c>
      <c r="Q149" s="567"/>
      <c r="R149" s="555">
        <f t="shared" si="25"/>
        <v>0</v>
      </c>
      <c r="S149" s="698"/>
      <c r="U149" s="566">
        <f t="shared" si="26"/>
        <v>0</v>
      </c>
      <c r="V149" s="566">
        <f t="shared" si="27"/>
        <v>0</v>
      </c>
      <c r="W149" s="566">
        <f t="shared" si="28"/>
        <v>0</v>
      </c>
      <c r="X149" s="566">
        <f t="shared" si="29"/>
        <v>0</v>
      </c>
      <c r="Y149" s="566">
        <f t="shared" si="30"/>
        <v>0</v>
      </c>
      <c r="Z149" s="566">
        <f t="shared" si="31"/>
        <v>0</v>
      </c>
      <c r="AA149" s="566">
        <f t="shared" si="32"/>
        <v>0</v>
      </c>
      <c r="AB149" s="566">
        <f t="shared" si="33"/>
        <v>0</v>
      </c>
      <c r="AC149" s="566">
        <f t="shared" si="34"/>
        <v>0</v>
      </c>
      <c r="AD149" s="566">
        <f t="shared" si="35"/>
        <v>0</v>
      </c>
      <c r="AE149" s="573"/>
    </row>
    <row r="150" spans="1:31" ht="25.15" customHeight="1">
      <c r="A150" s="543">
        <v>1</v>
      </c>
      <c r="B150" s="546"/>
      <c r="C150" s="703" t="s">
        <v>1571</v>
      </c>
      <c r="D150" s="694"/>
      <c r="E150" s="694"/>
      <c r="F150" s="694"/>
      <c r="G150" s="694"/>
      <c r="H150" s="694"/>
      <c r="I150" s="694"/>
      <c r="J150" s="694"/>
      <c r="K150" s="694"/>
      <c r="L150" s="694"/>
      <c r="M150" s="694"/>
      <c r="N150" s="554">
        <f t="shared" si="23"/>
        <v>0</v>
      </c>
      <c r="O150" s="554">
        <f t="shared" si="24"/>
        <v>0</v>
      </c>
      <c r="P150" s="555">
        <f>(O150/O243)*100</f>
        <v>0</v>
      </c>
      <c r="Q150" s="567"/>
      <c r="R150" s="555">
        <f t="shared" si="25"/>
        <v>0</v>
      </c>
      <c r="S150" s="698">
        <v>20000</v>
      </c>
      <c r="U150" s="566">
        <f t="shared" si="26"/>
        <v>0</v>
      </c>
      <c r="V150" s="566">
        <f t="shared" si="27"/>
        <v>0</v>
      </c>
      <c r="W150" s="566">
        <f t="shared" si="28"/>
        <v>0</v>
      </c>
      <c r="X150" s="566">
        <f t="shared" si="29"/>
        <v>0</v>
      </c>
      <c r="Y150" s="566">
        <f t="shared" si="30"/>
        <v>0</v>
      </c>
      <c r="Z150" s="566">
        <f t="shared" si="31"/>
        <v>0</v>
      </c>
      <c r="AA150" s="566">
        <f t="shared" si="32"/>
        <v>0</v>
      </c>
      <c r="AB150" s="566">
        <f t="shared" si="33"/>
        <v>0</v>
      </c>
      <c r="AC150" s="566">
        <f t="shared" si="34"/>
        <v>0</v>
      </c>
      <c r="AD150" s="566">
        <f t="shared" si="35"/>
        <v>0</v>
      </c>
      <c r="AE150" s="573"/>
    </row>
    <row r="151" spans="1:31" ht="25.15" customHeight="1">
      <c r="A151" s="543">
        <v>2</v>
      </c>
      <c r="B151" s="546"/>
      <c r="C151" s="702" t="s">
        <v>1288</v>
      </c>
      <c r="D151" s="694"/>
      <c r="E151" s="694"/>
      <c r="F151" s="694"/>
      <c r="G151" s="694"/>
      <c r="H151" s="694"/>
      <c r="I151" s="694"/>
      <c r="J151" s="694"/>
      <c r="K151" s="694"/>
      <c r="L151" s="694"/>
      <c r="M151" s="694"/>
      <c r="N151" s="554">
        <f t="shared" si="23"/>
        <v>0</v>
      </c>
      <c r="O151" s="554">
        <f t="shared" si="24"/>
        <v>0</v>
      </c>
      <c r="P151" s="555">
        <f>(O151/O243)*100</f>
        <v>0</v>
      </c>
      <c r="Q151" s="567"/>
      <c r="R151" s="555">
        <f t="shared" si="25"/>
        <v>0</v>
      </c>
      <c r="S151" s="700">
        <v>8750</v>
      </c>
      <c r="U151" s="566">
        <f t="shared" si="26"/>
        <v>0</v>
      </c>
      <c r="V151" s="566">
        <f t="shared" si="27"/>
        <v>0</v>
      </c>
      <c r="W151" s="566">
        <f t="shared" si="28"/>
        <v>0</v>
      </c>
      <c r="X151" s="566">
        <f t="shared" si="29"/>
        <v>0</v>
      </c>
      <c r="Y151" s="566">
        <f t="shared" si="30"/>
        <v>0</v>
      </c>
      <c r="Z151" s="566">
        <f t="shared" si="31"/>
        <v>0</v>
      </c>
      <c r="AA151" s="566">
        <f t="shared" si="32"/>
        <v>0</v>
      </c>
      <c r="AB151" s="566">
        <f t="shared" si="33"/>
        <v>0</v>
      </c>
      <c r="AC151" s="566">
        <f t="shared" si="34"/>
        <v>0</v>
      </c>
      <c r="AD151" s="566">
        <f t="shared" si="35"/>
        <v>0</v>
      </c>
      <c r="AE151" s="573"/>
    </row>
    <row r="152" spans="1:31" ht="25.15" customHeight="1">
      <c r="A152" s="543">
        <v>3</v>
      </c>
      <c r="B152" s="546"/>
      <c r="C152" s="702" t="s">
        <v>1572</v>
      </c>
      <c r="D152" s="694"/>
      <c r="E152" s="694"/>
      <c r="F152" s="694"/>
      <c r="G152" s="694"/>
      <c r="H152" s="694"/>
      <c r="I152" s="694"/>
      <c r="J152" s="694"/>
      <c r="K152" s="694"/>
      <c r="L152" s="694"/>
      <c r="M152" s="694"/>
      <c r="N152" s="554">
        <f t="shared" si="23"/>
        <v>0</v>
      </c>
      <c r="O152" s="554">
        <f t="shared" si="24"/>
        <v>0</v>
      </c>
      <c r="P152" s="555">
        <f>(O152/O243)*100</f>
        <v>0</v>
      </c>
      <c r="Q152" s="567"/>
      <c r="R152" s="555">
        <f t="shared" si="25"/>
        <v>0</v>
      </c>
      <c r="S152" s="700">
        <v>22120</v>
      </c>
      <c r="U152" s="566">
        <f t="shared" si="26"/>
        <v>0</v>
      </c>
      <c r="V152" s="566">
        <f t="shared" si="27"/>
        <v>0</v>
      </c>
      <c r="W152" s="566">
        <f t="shared" si="28"/>
        <v>0</v>
      </c>
      <c r="X152" s="566">
        <f t="shared" si="29"/>
        <v>0</v>
      </c>
      <c r="Y152" s="566">
        <f t="shared" si="30"/>
        <v>0</v>
      </c>
      <c r="Z152" s="566">
        <f t="shared" si="31"/>
        <v>0</v>
      </c>
      <c r="AA152" s="566">
        <f t="shared" si="32"/>
        <v>0</v>
      </c>
      <c r="AB152" s="566">
        <f t="shared" si="33"/>
        <v>0</v>
      </c>
      <c r="AC152" s="566">
        <f t="shared" si="34"/>
        <v>0</v>
      </c>
      <c r="AD152" s="566">
        <f t="shared" si="35"/>
        <v>0</v>
      </c>
      <c r="AE152" s="573"/>
    </row>
    <row r="153" spans="1:31" ht="25.15" customHeight="1">
      <c r="A153" s="543">
        <v>4</v>
      </c>
      <c r="B153" s="546"/>
      <c r="C153" s="702" t="s">
        <v>1573</v>
      </c>
      <c r="D153" s="694"/>
      <c r="E153" s="694"/>
      <c r="F153" s="694"/>
      <c r="G153" s="694"/>
      <c r="H153" s="694"/>
      <c r="I153" s="694"/>
      <c r="J153" s="694">
        <v>1</v>
      </c>
      <c r="K153" s="694"/>
      <c r="L153" s="694"/>
      <c r="M153" s="694"/>
      <c r="N153" s="554">
        <f t="shared" si="23"/>
        <v>1</v>
      </c>
      <c r="O153" s="554">
        <f t="shared" si="24"/>
        <v>20000</v>
      </c>
      <c r="P153" s="555">
        <f>(O153/O243)*100</f>
        <v>0.36557591000983403</v>
      </c>
      <c r="Q153" s="567"/>
      <c r="R153" s="555">
        <f t="shared" si="25"/>
        <v>0</v>
      </c>
      <c r="S153" s="700">
        <v>20000</v>
      </c>
      <c r="U153" s="566">
        <f t="shared" si="26"/>
        <v>0</v>
      </c>
      <c r="V153" s="566">
        <f t="shared" si="27"/>
        <v>0</v>
      </c>
      <c r="W153" s="566">
        <f t="shared" si="28"/>
        <v>0</v>
      </c>
      <c r="X153" s="566">
        <f t="shared" si="29"/>
        <v>0</v>
      </c>
      <c r="Y153" s="566">
        <f t="shared" si="30"/>
        <v>0</v>
      </c>
      <c r="Z153" s="566">
        <f t="shared" si="31"/>
        <v>0</v>
      </c>
      <c r="AA153" s="566">
        <f t="shared" si="32"/>
        <v>20000</v>
      </c>
      <c r="AB153" s="566">
        <f t="shared" si="33"/>
        <v>0</v>
      </c>
      <c r="AC153" s="566">
        <f t="shared" si="34"/>
        <v>0</v>
      </c>
      <c r="AD153" s="566">
        <f t="shared" si="35"/>
        <v>0</v>
      </c>
      <c r="AE153" s="573"/>
    </row>
    <row r="154" spans="1:31" ht="25.15" customHeight="1">
      <c r="A154" s="543">
        <v>5</v>
      </c>
      <c r="B154" s="546"/>
      <c r="C154" s="702"/>
      <c r="D154" s="694"/>
      <c r="E154" s="694"/>
      <c r="F154" s="694"/>
      <c r="G154" s="694"/>
      <c r="H154" s="694"/>
      <c r="I154" s="694"/>
      <c r="J154" s="694"/>
      <c r="K154" s="694"/>
      <c r="L154" s="694"/>
      <c r="M154" s="694"/>
      <c r="N154" s="554">
        <f t="shared" si="23"/>
        <v>0</v>
      </c>
      <c r="O154" s="554">
        <f t="shared" si="24"/>
        <v>0</v>
      </c>
      <c r="P154" s="555">
        <f>(O154/O243)*100</f>
        <v>0</v>
      </c>
      <c r="Q154" s="567"/>
      <c r="R154" s="555">
        <f t="shared" si="25"/>
        <v>0</v>
      </c>
      <c r="S154" s="700">
        <v>20000</v>
      </c>
      <c r="U154" s="566">
        <f t="shared" si="26"/>
        <v>0</v>
      </c>
      <c r="V154" s="566">
        <f t="shared" si="27"/>
        <v>0</v>
      </c>
      <c r="W154" s="566">
        <f t="shared" si="28"/>
        <v>0</v>
      </c>
      <c r="X154" s="566">
        <f t="shared" si="29"/>
        <v>0</v>
      </c>
      <c r="Y154" s="566">
        <f t="shared" si="30"/>
        <v>0</v>
      </c>
      <c r="Z154" s="566">
        <f t="shared" si="31"/>
        <v>0</v>
      </c>
      <c r="AA154" s="566">
        <f t="shared" si="32"/>
        <v>0</v>
      </c>
      <c r="AB154" s="566">
        <f t="shared" si="33"/>
        <v>0</v>
      </c>
      <c r="AC154" s="566">
        <f t="shared" si="34"/>
        <v>0</v>
      </c>
      <c r="AD154" s="566">
        <f t="shared" si="35"/>
        <v>0</v>
      </c>
      <c r="AE154" s="573"/>
    </row>
    <row r="155" spans="1:31" ht="25.15" customHeight="1">
      <c r="A155" s="543">
        <v>6</v>
      </c>
      <c r="B155" s="546"/>
      <c r="C155" s="703"/>
      <c r="D155" s="694"/>
      <c r="E155" s="694"/>
      <c r="F155" s="694"/>
      <c r="G155" s="694"/>
      <c r="H155" s="694"/>
      <c r="I155" s="694"/>
      <c r="J155" s="694"/>
      <c r="K155" s="694"/>
      <c r="L155" s="694"/>
      <c r="M155" s="694"/>
      <c r="N155" s="554">
        <f t="shared" si="23"/>
        <v>0</v>
      </c>
      <c r="O155" s="554">
        <f t="shared" si="24"/>
        <v>0</v>
      </c>
      <c r="P155" s="555">
        <f>(O155/O243)*100</f>
        <v>0</v>
      </c>
      <c r="Q155" s="567"/>
      <c r="R155" s="555">
        <f t="shared" si="25"/>
        <v>0</v>
      </c>
      <c r="S155" s="698">
        <v>30500</v>
      </c>
      <c r="U155" s="566">
        <f t="shared" si="26"/>
        <v>0</v>
      </c>
      <c r="V155" s="566">
        <f t="shared" si="27"/>
        <v>0</v>
      </c>
      <c r="W155" s="566">
        <f t="shared" si="28"/>
        <v>0</v>
      </c>
      <c r="X155" s="566">
        <f t="shared" si="29"/>
        <v>0</v>
      </c>
      <c r="Y155" s="566">
        <f t="shared" si="30"/>
        <v>0</v>
      </c>
      <c r="Z155" s="566">
        <f t="shared" si="31"/>
        <v>0</v>
      </c>
      <c r="AA155" s="566">
        <f t="shared" si="32"/>
        <v>0</v>
      </c>
      <c r="AB155" s="566">
        <f t="shared" si="33"/>
        <v>0</v>
      </c>
      <c r="AC155" s="566">
        <f t="shared" si="34"/>
        <v>0</v>
      </c>
      <c r="AD155" s="566">
        <f t="shared" si="35"/>
        <v>0</v>
      </c>
      <c r="AE155" s="573"/>
    </row>
    <row r="156" spans="1:31" ht="25.15" customHeight="1">
      <c r="A156" s="543">
        <v>7</v>
      </c>
      <c r="B156" s="546"/>
      <c r="C156" s="703"/>
      <c r="D156" s="694"/>
      <c r="E156" s="694"/>
      <c r="F156" s="694"/>
      <c r="G156" s="694"/>
      <c r="H156" s="694"/>
      <c r="I156" s="694"/>
      <c r="J156" s="694"/>
      <c r="K156" s="694"/>
      <c r="L156" s="694"/>
      <c r="M156" s="694"/>
      <c r="N156" s="554">
        <f t="shared" si="23"/>
        <v>0</v>
      </c>
      <c r="O156" s="554">
        <f t="shared" si="24"/>
        <v>0</v>
      </c>
      <c r="P156" s="555">
        <f>(O156/O243)*100</f>
        <v>0</v>
      </c>
      <c r="Q156" s="567"/>
      <c r="R156" s="555">
        <f t="shared" si="25"/>
        <v>0</v>
      </c>
      <c r="S156" s="698">
        <v>23000</v>
      </c>
      <c r="U156" s="566">
        <f t="shared" si="26"/>
        <v>0</v>
      </c>
      <c r="V156" s="566">
        <f t="shared" si="27"/>
        <v>0</v>
      </c>
      <c r="W156" s="566">
        <f t="shared" si="28"/>
        <v>0</v>
      </c>
      <c r="X156" s="566">
        <f t="shared" si="29"/>
        <v>0</v>
      </c>
      <c r="Y156" s="566">
        <f t="shared" si="30"/>
        <v>0</v>
      </c>
      <c r="Z156" s="566">
        <f t="shared" si="31"/>
        <v>0</v>
      </c>
      <c r="AA156" s="566">
        <f t="shared" si="32"/>
        <v>0</v>
      </c>
      <c r="AB156" s="566">
        <f t="shared" si="33"/>
        <v>0</v>
      </c>
      <c r="AC156" s="566">
        <f t="shared" si="34"/>
        <v>0</v>
      </c>
      <c r="AD156" s="566">
        <f t="shared" si="35"/>
        <v>0</v>
      </c>
      <c r="AE156" s="573"/>
    </row>
    <row r="157" spans="1:31" ht="25.15" customHeight="1">
      <c r="A157" s="543">
        <v>8</v>
      </c>
      <c r="B157" s="546"/>
      <c r="C157" s="703"/>
      <c r="D157" s="694"/>
      <c r="E157" s="694"/>
      <c r="F157" s="694"/>
      <c r="G157" s="694"/>
      <c r="H157" s="694"/>
      <c r="I157" s="694"/>
      <c r="J157" s="694"/>
      <c r="K157" s="694"/>
      <c r="L157" s="694"/>
      <c r="M157" s="694"/>
      <c r="N157" s="554">
        <f t="shared" si="23"/>
        <v>0</v>
      </c>
      <c r="O157" s="554">
        <f t="shared" si="24"/>
        <v>0</v>
      </c>
      <c r="P157" s="555">
        <f>(O157/O243)*100</f>
        <v>0</v>
      </c>
      <c r="Q157" s="567"/>
      <c r="R157" s="555">
        <f t="shared" si="25"/>
        <v>0</v>
      </c>
      <c r="S157" s="698">
        <v>35100</v>
      </c>
      <c r="U157" s="566">
        <f t="shared" si="26"/>
        <v>0</v>
      </c>
      <c r="V157" s="566">
        <f t="shared" si="27"/>
        <v>0</v>
      </c>
      <c r="W157" s="566">
        <f t="shared" si="28"/>
        <v>0</v>
      </c>
      <c r="X157" s="566">
        <f t="shared" si="29"/>
        <v>0</v>
      </c>
      <c r="Y157" s="566">
        <f t="shared" si="30"/>
        <v>0</v>
      </c>
      <c r="Z157" s="566">
        <f t="shared" si="31"/>
        <v>0</v>
      </c>
      <c r="AA157" s="566">
        <f t="shared" si="32"/>
        <v>0</v>
      </c>
      <c r="AB157" s="566">
        <f t="shared" si="33"/>
        <v>0</v>
      </c>
      <c r="AC157" s="566">
        <f t="shared" si="34"/>
        <v>0</v>
      </c>
      <c r="AD157" s="566">
        <f t="shared" si="35"/>
        <v>0</v>
      </c>
      <c r="AE157" s="573"/>
    </row>
    <row r="158" spans="1:31" ht="25.15" customHeight="1">
      <c r="A158" s="543">
        <v>9</v>
      </c>
      <c r="B158" s="546"/>
      <c r="C158" s="703"/>
      <c r="D158" s="694"/>
      <c r="E158" s="694"/>
      <c r="F158" s="694"/>
      <c r="G158" s="694"/>
      <c r="H158" s="694"/>
      <c r="I158" s="694"/>
      <c r="J158" s="694"/>
      <c r="K158" s="694"/>
      <c r="L158" s="694"/>
      <c r="M158" s="694"/>
      <c r="N158" s="554">
        <f t="shared" si="23"/>
        <v>0</v>
      </c>
      <c r="O158" s="554">
        <f t="shared" si="24"/>
        <v>0</v>
      </c>
      <c r="P158" s="555">
        <f>(O158/O243)*100</f>
        <v>0</v>
      </c>
      <c r="Q158" s="567"/>
      <c r="R158" s="555">
        <f t="shared" si="25"/>
        <v>0</v>
      </c>
      <c r="S158" s="698">
        <v>32100</v>
      </c>
      <c r="U158" s="566">
        <f t="shared" si="26"/>
        <v>0</v>
      </c>
      <c r="V158" s="566">
        <f t="shared" si="27"/>
        <v>0</v>
      </c>
      <c r="W158" s="566">
        <f t="shared" si="28"/>
        <v>0</v>
      </c>
      <c r="X158" s="566">
        <f t="shared" si="29"/>
        <v>0</v>
      </c>
      <c r="Y158" s="566">
        <f t="shared" si="30"/>
        <v>0</v>
      </c>
      <c r="Z158" s="566">
        <f t="shared" si="31"/>
        <v>0</v>
      </c>
      <c r="AA158" s="566">
        <f t="shared" si="32"/>
        <v>0</v>
      </c>
      <c r="AB158" s="566">
        <f t="shared" si="33"/>
        <v>0</v>
      </c>
      <c r="AC158" s="566">
        <f t="shared" si="34"/>
        <v>0</v>
      </c>
      <c r="AD158" s="566">
        <f t="shared" si="35"/>
        <v>0</v>
      </c>
      <c r="AE158" s="573"/>
    </row>
    <row r="159" spans="1:31" ht="25.15" customHeight="1">
      <c r="A159" s="543">
        <v>10</v>
      </c>
      <c r="B159" s="546"/>
      <c r="C159" s="703"/>
      <c r="D159" s="694"/>
      <c r="E159" s="694"/>
      <c r="F159" s="694"/>
      <c r="G159" s="694"/>
      <c r="H159" s="694"/>
      <c r="I159" s="694"/>
      <c r="J159" s="694"/>
      <c r="K159" s="694"/>
      <c r="L159" s="694"/>
      <c r="M159" s="694"/>
      <c r="N159" s="554">
        <f t="shared" si="23"/>
        <v>0</v>
      </c>
      <c r="O159" s="554">
        <f t="shared" si="24"/>
        <v>0</v>
      </c>
      <c r="P159" s="555">
        <f>(O159/O243)*100</f>
        <v>0</v>
      </c>
      <c r="Q159" s="567"/>
      <c r="R159" s="555">
        <f t="shared" si="25"/>
        <v>0</v>
      </c>
      <c r="S159" s="698">
        <v>9200</v>
      </c>
      <c r="U159" s="566">
        <f t="shared" si="26"/>
        <v>0</v>
      </c>
      <c r="V159" s="566">
        <f t="shared" si="27"/>
        <v>0</v>
      </c>
      <c r="W159" s="566">
        <f t="shared" si="28"/>
        <v>0</v>
      </c>
      <c r="X159" s="566">
        <f t="shared" si="29"/>
        <v>0</v>
      </c>
      <c r="Y159" s="566">
        <f t="shared" si="30"/>
        <v>0</v>
      </c>
      <c r="Z159" s="566">
        <f t="shared" si="31"/>
        <v>0</v>
      </c>
      <c r="AA159" s="566">
        <f t="shared" si="32"/>
        <v>0</v>
      </c>
      <c r="AB159" s="566">
        <f t="shared" si="33"/>
        <v>0</v>
      </c>
      <c r="AC159" s="566">
        <f t="shared" si="34"/>
        <v>0</v>
      </c>
      <c r="AD159" s="566">
        <f t="shared" si="35"/>
        <v>0</v>
      </c>
      <c r="AE159" s="573"/>
    </row>
    <row r="160" spans="1:31" ht="25.15" customHeight="1">
      <c r="A160" s="543">
        <v>11</v>
      </c>
      <c r="B160" s="546"/>
      <c r="C160" s="703"/>
      <c r="D160" s="694"/>
      <c r="E160" s="694"/>
      <c r="F160" s="694"/>
      <c r="G160" s="694"/>
      <c r="H160" s="694"/>
      <c r="I160" s="694"/>
      <c r="J160" s="694"/>
      <c r="K160" s="694"/>
      <c r="L160" s="694"/>
      <c r="M160" s="694"/>
      <c r="N160" s="554">
        <f t="shared" si="23"/>
        <v>0</v>
      </c>
      <c r="O160" s="554">
        <f t="shared" si="24"/>
        <v>0</v>
      </c>
      <c r="P160" s="555">
        <f>(O160/O243)*100</f>
        <v>0</v>
      </c>
      <c r="Q160" s="567"/>
      <c r="R160" s="555">
        <f t="shared" si="25"/>
        <v>0</v>
      </c>
      <c r="S160" s="698">
        <v>10900</v>
      </c>
      <c r="U160" s="566">
        <f t="shared" si="26"/>
        <v>0</v>
      </c>
      <c r="V160" s="566">
        <f t="shared" si="27"/>
        <v>0</v>
      </c>
      <c r="W160" s="566">
        <f t="shared" si="28"/>
        <v>0</v>
      </c>
      <c r="X160" s="566">
        <f t="shared" si="29"/>
        <v>0</v>
      </c>
      <c r="Y160" s="566">
        <f t="shared" si="30"/>
        <v>0</v>
      </c>
      <c r="Z160" s="566">
        <f t="shared" si="31"/>
        <v>0</v>
      </c>
      <c r="AA160" s="566">
        <f t="shared" si="32"/>
        <v>0</v>
      </c>
      <c r="AB160" s="566">
        <f t="shared" si="33"/>
        <v>0</v>
      </c>
      <c r="AC160" s="566">
        <f t="shared" si="34"/>
        <v>0</v>
      </c>
      <c r="AD160" s="566">
        <f t="shared" si="35"/>
        <v>0</v>
      </c>
      <c r="AE160" s="573"/>
    </row>
    <row r="161" spans="1:31" ht="25.15" customHeight="1">
      <c r="A161" s="543">
        <v>12</v>
      </c>
      <c r="B161" s="546"/>
      <c r="C161" s="703"/>
      <c r="D161" s="694"/>
      <c r="E161" s="694"/>
      <c r="F161" s="694"/>
      <c r="G161" s="694"/>
      <c r="H161" s="694"/>
      <c r="I161" s="694"/>
      <c r="J161" s="694"/>
      <c r="K161" s="694"/>
      <c r="L161" s="694"/>
      <c r="M161" s="694"/>
      <c r="N161" s="554">
        <f t="shared" si="23"/>
        <v>0</v>
      </c>
      <c r="O161" s="554">
        <f t="shared" si="24"/>
        <v>0</v>
      </c>
      <c r="P161" s="555">
        <f>(O161/O243)*100</f>
        <v>0</v>
      </c>
      <c r="Q161" s="567"/>
      <c r="R161" s="555">
        <f t="shared" si="25"/>
        <v>0</v>
      </c>
      <c r="S161" s="698">
        <v>20000</v>
      </c>
      <c r="U161" s="566">
        <f t="shared" si="26"/>
        <v>0</v>
      </c>
      <c r="V161" s="566">
        <f t="shared" si="27"/>
        <v>0</v>
      </c>
      <c r="W161" s="566">
        <f t="shared" si="28"/>
        <v>0</v>
      </c>
      <c r="X161" s="566">
        <f t="shared" si="29"/>
        <v>0</v>
      </c>
      <c r="Y161" s="566">
        <f t="shared" si="30"/>
        <v>0</v>
      </c>
      <c r="Z161" s="566">
        <f t="shared" si="31"/>
        <v>0</v>
      </c>
      <c r="AA161" s="566">
        <f t="shared" si="32"/>
        <v>0</v>
      </c>
      <c r="AB161" s="566">
        <f t="shared" si="33"/>
        <v>0</v>
      </c>
      <c r="AC161" s="566">
        <f t="shared" si="34"/>
        <v>0</v>
      </c>
      <c r="AD161" s="566">
        <f t="shared" si="35"/>
        <v>0</v>
      </c>
      <c r="AE161" s="573"/>
    </row>
    <row r="162" spans="1:31" ht="25.15" customHeight="1">
      <c r="A162" s="543">
        <v>13</v>
      </c>
      <c r="B162" s="546"/>
      <c r="C162" s="703"/>
      <c r="D162" s="694"/>
      <c r="E162" s="694"/>
      <c r="F162" s="694"/>
      <c r="G162" s="694"/>
      <c r="H162" s="694"/>
      <c r="I162" s="694"/>
      <c r="J162" s="694"/>
      <c r="K162" s="694"/>
      <c r="L162" s="694"/>
      <c r="M162" s="694"/>
      <c r="N162" s="554">
        <f t="shared" si="23"/>
        <v>0</v>
      </c>
      <c r="O162" s="554">
        <f t="shared" si="24"/>
        <v>0</v>
      </c>
      <c r="P162" s="555">
        <f>(O162/O243)*100</f>
        <v>0</v>
      </c>
      <c r="Q162" s="567"/>
      <c r="R162" s="555">
        <f t="shared" si="25"/>
        <v>0</v>
      </c>
      <c r="S162" s="698">
        <v>16900</v>
      </c>
      <c r="U162" s="566">
        <f t="shared" si="26"/>
        <v>0</v>
      </c>
      <c r="V162" s="566">
        <f t="shared" si="27"/>
        <v>0</v>
      </c>
      <c r="W162" s="566">
        <f t="shared" si="28"/>
        <v>0</v>
      </c>
      <c r="X162" s="566">
        <f t="shared" si="29"/>
        <v>0</v>
      </c>
      <c r="Y162" s="566">
        <f t="shared" si="30"/>
        <v>0</v>
      </c>
      <c r="Z162" s="566">
        <f t="shared" si="31"/>
        <v>0</v>
      </c>
      <c r="AA162" s="566">
        <f t="shared" si="32"/>
        <v>0</v>
      </c>
      <c r="AB162" s="566">
        <f t="shared" si="33"/>
        <v>0</v>
      </c>
      <c r="AC162" s="566">
        <f t="shared" si="34"/>
        <v>0</v>
      </c>
      <c r="AD162" s="566">
        <f t="shared" si="35"/>
        <v>0</v>
      </c>
      <c r="AE162" s="573"/>
    </row>
    <row r="163" spans="1:31" ht="25.15" customHeight="1">
      <c r="A163" s="543">
        <v>14</v>
      </c>
      <c r="B163" s="546"/>
      <c r="C163" s="703"/>
      <c r="D163" s="694"/>
      <c r="E163" s="694"/>
      <c r="F163" s="694"/>
      <c r="G163" s="694"/>
      <c r="H163" s="694"/>
      <c r="I163" s="694"/>
      <c r="J163" s="694"/>
      <c r="K163" s="694"/>
      <c r="L163" s="694"/>
      <c r="M163" s="694"/>
      <c r="N163" s="554">
        <f t="shared" si="23"/>
        <v>0</v>
      </c>
      <c r="O163" s="554">
        <f t="shared" si="24"/>
        <v>0</v>
      </c>
      <c r="P163" s="555">
        <f>(O163/O243)*100</f>
        <v>0</v>
      </c>
      <c r="Q163" s="567"/>
      <c r="R163" s="555">
        <f t="shared" si="25"/>
        <v>0</v>
      </c>
      <c r="S163" s="698">
        <v>20000</v>
      </c>
      <c r="U163" s="566">
        <f t="shared" si="26"/>
        <v>0</v>
      </c>
      <c r="V163" s="566">
        <f t="shared" si="27"/>
        <v>0</v>
      </c>
      <c r="W163" s="566">
        <f t="shared" si="28"/>
        <v>0</v>
      </c>
      <c r="X163" s="566">
        <f t="shared" si="29"/>
        <v>0</v>
      </c>
      <c r="Y163" s="566">
        <f t="shared" si="30"/>
        <v>0</v>
      </c>
      <c r="Z163" s="566">
        <f t="shared" si="31"/>
        <v>0</v>
      </c>
      <c r="AA163" s="566">
        <f t="shared" si="32"/>
        <v>0</v>
      </c>
      <c r="AB163" s="566">
        <f t="shared" si="33"/>
        <v>0</v>
      </c>
      <c r="AC163" s="566">
        <f t="shared" si="34"/>
        <v>0</v>
      </c>
      <c r="AD163" s="566">
        <f t="shared" si="35"/>
        <v>0</v>
      </c>
      <c r="AE163" s="573"/>
    </row>
    <row r="164" spans="1:31" ht="25.15" customHeight="1">
      <c r="A164" s="543">
        <v>15</v>
      </c>
      <c r="B164" s="546"/>
      <c r="C164" s="703"/>
      <c r="D164" s="694"/>
      <c r="E164" s="694"/>
      <c r="F164" s="694"/>
      <c r="G164" s="694"/>
      <c r="H164" s="694"/>
      <c r="I164" s="694"/>
      <c r="J164" s="694"/>
      <c r="K164" s="694"/>
      <c r="L164" s="694"/>
      <c r="M164" s="694"/>
      <c r="N164" s="554">
        <f t="shared" si="23"/>
        <v>0</v>
      </c>
      <c r="O164" s="554">
        <f t="shared" si="24"/>
        <v>0</v>
      </c>
      <c r="P164" s="555">
        <f>(O164/O243)*100</f>
        <v>0</v>
      </c>
      <c r="Q164" s="567"/>
      <c r="R164" s="555">
        <f t="shared" si="25"/>
        <v>0</v>
      </c>
      <c r="S164" s="698">
        <v>21500</v>
      </c>
      <c r="U164" s="566">
        <f t="shared" si="26"/>
        <v>0</v>
      </c>
      <c r="V164" s="566">
        <f t="shared" si="27"/>
        <v>0</v>
      </c>
      <c r="W164" s="566">
        <f t="shared" si="28"/>
        <v>0</v>
      </c>
      <c r="X164" s="566">
        <f t="shared" si="29"/>
        <v>0</v>
      </c>
      <c r="Y164" s="566">
        <f t="shared" si="30"/>
        <v>0</v>
      </c>
      <c r="Z164" s="566">
        <f t="shared" si="31"/>
        <v>0</v>
      </c>
      <c r="AA164" s="566">
        <f t="shared" si="32"/>
        <v>0</v>
      </c>
      <c r="AB164" s="566">
        <f t="shared" si="33"/>
        <v>0</v>
      </c>
      <c r="AC164" s="566">
        <f t="shared" si="34"/>
        <v>0</v>
      </c>
      <c r="AD164" s="566">
        <f t="shared" si="35"/>
        <v>0</v>
      </c>
      <c r="AE164" s="573"/>
    </row>
    <row r="165" spans="1:31" ht="25.15" customHeight="1">
      <c r="A165" s="543">
        <v>16</v>
      </c>
      <c r="B165" s="546"/>
      <c r="C165" s="703"/>
      <c r="D165" s="694"/>
      <c r="E165" s="694"/>
      <c r="F165" s="694"/>
      <c r="G165" s="694"/>
      <c r="H165" s="694"/>
      <c r="I165" s="694"/>
      <c r="J165" s="694"/>
      <c r="K165" s="694"/>
      <c r="L165" s="694"/>
      <c r="M165" s="694"/>
      <c r="N165" s="554">
        <f t="shared" si="23"/>
        <v>0</v>
      </c>
      <c r="O165" s="554">
        <f t="shared" si="24"/>
        <v>0</v>
      </c>
      <c r="P165" s="555">
        <f>(O165/O243)*100</f>
        <v>0</v>
      </c>
      <c r="Q165" s="567"/>
      <c r="R165" s="555">
        <f t="shared" si="25"/>
        <v>0</v>
      </c>
      <c r="S165" s="698">
        <v>24500</v>
      </c>
      <c r="U165" s="566">
        <f t="shared" si="26"/>
        <v>0</v>
      </c>
      <c r="V165" s="566">
        <f t="shared" si="27"/>
        <v>0</v>
      </c>
      <c r="W165" s="566">
        <f t="shared" si="28"/>
        <v>0</v>
      </c>
      <c r="X165" s="566">
        <f t="shared" si="29"/>
        <v>0</v>
      </c>
      <c r="Y165" s="566">
        <f t="shared" si="30"/>
        <v>0</v>
      </c>
      <c r="Z165" s="566">
        <f t="shared" si="31"/>
        <v>0</v>
      </c>
      <c r="AA165" s="566">
        <f t="shared" si="32"/>
        <v>0</v>
      </c>
      <c r="AB165" s="566">
        <f t="shared" si="33"/>
        <v>0</v>
      </c>
      <c r="AC165" s="566">
        <f t="shared" si="34"/>
        <v>0</v>
      </c>
      <c r="AD165" s="566">
        <f t="shared" si="35"/>
        <v>0</v>
      </c>
      <c r="AE165" s="573"/>
    </row>
    <row r="166" spans="1:31" ht="25.15" customHeight="1">
      <c r="A166" s="543">
        <v>17</v>
      </c>
      <c r="B166" s="546"/>
      <c r="C166" s="703"/>
      <c r="D166" s="694"/>
      <c r="E166" s="694"/>
      <c r="F166" s="694"/>
      <c r="G166" s="694"/>
      <c r="H166" s="694"/>
      <c r="I166" s="694"/>
      <c r="J166" s="694"/>
      <c r="K166" s="694"/>
      <c r="L166" s="694"/>
      <c r="M166" s="694"/>
      <c r="N166" s="554">
        <f t="shared" si="23"/>
        <v>0</v>
      </c>
      <c r="O166" s="554">
        <f t="shared" si="24"/>
        <v>0</v>
      </c>
      <c r="P166" s="555">
        <f>(O166/O243)*100</f>
        <v>0</v>
      </c>
      <c r="Q166" s="567"/>
      <c r="R166" s="555">
        <f t="shared" si="25"/>
        <v>0</v>
      </c>
      <c r="S166" s="698">
        <v>20000</v>
      </c>
      <c r="U166" s="566">
        <f t="shared" si="26"/>
        <v>0</v>
      </c>
      <c r="V166" s="566">
        <f t="shared" si="27"/>
        <v>0</v>
      </c>
      <c r="W166" s="566">
        <f t="shared" si="28"/>
        <v>0</v>
      </c>
      <c r="X166" s="566">
        <f t="shared" si="29"/>
        <v>0</v>
      </c>
      <c r="Y166" s="566">
        <f t="shared" si="30"/>
        <v>0</v>
      </c>
      <c r="Z166" s="566">
        <f t="shared" si="31"/>
        <v>0</v>
      </c>
      <c r="AA166" s="566">
        <f t="shared" si="32"/>
        <v>0</v>
      </c>
      <c r="AB166" s="566">
        <f t="shared" si="33"/>
        <v>0</v>
      </c>
      <c r="AC166" s="566">
        <f t="shared" si="34"/>
        <v>0</v>
      </c>
      <c r="AD166" s="566">
        <f t="shared" si="35"/>
        <v>0</v>
      </c>
      <c r="AE166" s="573"/>
    </row>
    <row r="167" spans="1:31" ht="25.15" customHeight="1">
      <c r="A167" s="543">
        <v>18</v>
      </c>
      <c r="B167" s="546"/>
      <c r="C167" s="703" t="s">
        <v>1574</v>
      </c>
      <c r="D167" s="694"/>
      <c r="E167" s="694"/>
      <c r="F167" s="694"/>
      <c r="G167" s="694"/>
      <c r="H167" s="694"/>
      <c r="I167" s="694"/>
      <c r="J167" s="694"/>
      <c r="K167" s="694"/>
      <c r="L167" s="694"/>
      <c r="M167" s="694"/>
      <c r="N167" s="554">
        <f t="shared" si="23"/>
        <v>0</v>
      </c>
      <c r="O167" s="554">
        <f t="shared" si="24"/>
        <v>0</v>
      </c>
      <c r="P167" s="555">
        <f>(O167/O243)*100</f>
        <v>0</v>
      </c>
      <c r="Q167" s="567"/>
      <c r="R167" s="555">
        <f t="shared" si="25"/>
        <v>0</v>
      </c>
      <c r="S167" s="698">
        <v>16100</v>
      </c>
      <c r="U167" s="566">
        <f t="shared" si="26"/>
        <v>0</v>
      </c>
      <c r="V167" s="566">
        <f t="shared" si="27"/>
        <v>0</v>
      </c>
      <c r="W167" s="566">
        <f t="shared" si="28"/>
        <v>0</v>
      </c>
      <c r="X167" s="566">
        <f t="shared" si="29"/>
        <v>0</v>
      </c>
      <c r="Y167" s="566">
        <f t="shared" si="30"/>
        <v>0</v>
      </c>
      <c r="Z167" s="566">
        <f t="shared" si="31"/>
        <v>0</v>
      </c>
      <c r="AA167" s="566">
        <f t="shared" si="32"/>
        <v>0</v>
      </c>
      <c r="AB167" s="566">
        <f t="shared" si="33"/>
        <v>0</v>
      </c>
      <c r="AC167" s="566">
        <f t="shared" si="34"/>
        <v>0</v>
      </c>
      <c r="AD167" s="566">
        <f t="shared" si="35"/>
        <v>0</v>
      </c>
      <c r="AE167" s="573"/>
    </row>
    <row r="168" spans="1:31" ht="25.15" customHeight="1">
      <c r="A168" s="543">
        <v>19</v>
      </c>
      <c r="B168" s="546"/>
      <c r="C168" s="703"/>
      <c r="D168" s="694"/>
      <c r="E168" s="694"/>
      <c r="F168" s="694"/>
      <c r="G168" s="694"/>
      <c r="H168" s="694"/>
      <c r="I168" s="694"/>
      <c r="J168" s="694"/>
      <c r="K168" s="694"/>
      <c r="L168" s="694"/>
      <c r="M168" s="694"/>
      <c r="N168" s="554">
        <f t="shared" si="23"/>
        <v>0</v>
      </c>
      <c r="O168" s="554">
        <f t="shared" si="24"/>
        <v>0</v>
      </c>
      <c r="P168" s="555">
        <f>(O168/O243)*100</f>
        <v>0</v>
      </c>
      <c r="Q168" s="567"/>
      <c r="R168" s="555">
        <f t="shared" si="25"/>
        <v>0</v>
      </c>
      <c r="S168" s="698">
        <v>24500</v>
      </c>
      <c r="U168" s="566">
        <f t="shared" si="26"/>
        <v>0</v>
      </c>
      <c r="V168" s="566">
        <f t="shared" si="27"/>
        <v>0</v>
      </c>
      <c r="W168" s="566">
        <f t="shared" si="28"/>
        <v>0</v>
      </c>
      <c r="X168" s="566">
        <f t="shared" si="29"/>
        <v>0</v>
      </c>
      <c r="Y168" s="566">
        <f t="shared" si="30"/>
        <v>0</v>
      </c>
      <c r="Z168" s="566">
        <f t="shared" si="31"/>
        <v>0</v>
      </c>
      <c r="AA168" s="566">
        <f t="shared" si="32"/>
        <v>0</v>
      </c>
      <c r="AB168" s="566">
        <f t="shared" si="33"/>
        <v>0</v>
      </c>
      <c r="AC168" s="566">
        <f t="shared" si="34"/>
        <v>0</v>
      </c>
      <c r="AD168" s="566">
        <f t="shared" si="35"/>
        <v>0</v>
      </c>
      <c r="AE168" s="573"/>
    </row>
    <row r="169" spans="1:31" ht="25.15" customHeight="1">
      <c r="A169" s="543">
        <v>20</v>
      </c>
      <c r="B169" s="546"/>
      <c r="C169" s="703"/>
      <c r="D169" s="694"/>
      <c r="E169" s="694"/>
      <c r="F169" s="694"/>
      <c r="G169" s="694"/>
      <c r="H169" s="694"/>
      <c r="I169" s="694"/>
      <c r="J169" s="694"/>
      <c r="K169" s="694"/>
      <c r="L169" s="694"/>
      <c r="M169" s="694"/>
      <c r="N169" s="554">
        <f t="shared" si="23"/>
        <v>0</v>
      </c>
      <c r="O169" s="554">
        <f t="shared" si="24"/>
        <v>0</v>
      </c>
      <c r="P169" s="555">
        <f>(O169/O243)*100</f>
        <v>0</v>
      </c>
      <c r="Q169" s="567"/>
      <c r="R169" s="555">
        <f t="shared" si="25"/>
        <v>0</v>
      </c>
      <c r="S169" s="698">
        <v>18500</v>
      </c>
      <c r="U169" s="566">
        <f t="shared" si="26"/>
        <v>0</v>
      </c>
      <c r="V169" s="566">
        <f t="shared" si="27"/>
        <v>0</v>
      </c>
      <c r="W169" s="566">
        <f t="shared" si="28"/>
        <v>0</v>
      </c>
      <c r="X169" s="566">
        <f t="shared" si="29"/>
        <v>0</v>
      </c>
      <c r="Y169" s="566">
        <f t="shared" si="30"/>
        <v>0</v>
      </c>
      <c r="Z169" s="566">
        <f t="shared" si="31"/>
        <v>0</v>
      </c>
      <c r="AA169" s="566">
        <f t="shared" si="32"/>
        <v>0</v>
      </c>
      <c r="AB169" s="566">
        <f t="shared" si="33"/>
        <v>0</v>
      </c>
      <c r="AC169" s="566">
        <f t="shared" si="34"/>
        <v>0</v>
      </c>
      <c r="AD169" s="566">
        <f t="shared" si="35"/>
        <v>0</v>
      </c>
      <c r="AE169" s="573"/>
    </row>
    <row r="170" spans="1:31" ht="25.15" customHeight="1">
      <c r="A170" s="543">
        <v>21</v>
      </c>
      <c r="B170" s="546"/>
      <c r="C170" s="703"/>
      <c r="D170" s="694"/>
      <c r="E170" s="694"/>
      <c r="F170" s="694"/>
      <c r="G170" s="694"/>
      <c r="H170" s="694"/>
      <c r="I170" s="694"/>
      <c r="J170" s="694"/>
      <c r="K170" s="694"/>
      <c r="L170" s="694"/>
      <c r="M170" s="694"/>
      <c r="N170" s="554">
        <f t="shared" si="23"/>
        <v>0</v>
      </c>
      <c r="O170" s="554">
        <f t="shared" si="24"/>
        <v>0</v>
      </c>
      <c r="P170" s="555">
        <f>(O170/O243)*100</f>
        <v>0</v>
      </c>
      <c r="Q170" s="567"/>
      <c r="R170" s="555">
        <f t="shared" si="25"/>
        <v>0</v>
      </c>
      <c r="S170" s="698">
        <v>24500</v>
      </c>
      <c r="U170" s="566">
        <f t="shared" si="26"/>
        <v>0</v>
      </c>
      <c r="V170" s="566">
        <f t="shared" si="27"/>
        <v>0</v>
      </c>
      <c r="W170" s="566">
        <f t="shared" si="28"/>
        <v>0</v>
      </c>
      <c r="X170" s="566">
        <f t="shared" si="29"/>
        <v>0</v>
      </c>
      <c r="Y170" s="566">
        <f t="shared" si="30"/>
        <v>0</v>
      </c>
      <c r="Z170" s="566">
        <f t="shared" si="31"/>
        <v>0</v>
      </c>
      <c r="AA170" s="566">
        <f t="shared" si="32"/>
        <v>0</v>
      </c>
      <c r="AB170" s="566">
        <f t="shared" si="33"/>
        <v>0</v>
      </c>
      <c r="AC170" s="566">
        <f t="shared" si="34"/>
        <v>0</v>
      </c>
      <c r="AD170" s="566">
        <f t="shared" si="35"/>
        <v>0</v>
      </c>
      <c r="AE170" s="573"/>
    </row>
    <row r="171" spans="1:31" ht="25.15" customHeight="1">
      <c r="A171" s="543">
        <v>22</v>
      </c>
      <c r="B171" s="546"/>
      <c r="C171" s="703"/>
      <c r="D171" s="694"/>
      <c r="E171" s="694"/>
      <c r="F171" s="694"/>
      <c r="G171" s="694"/>
      <c r="H171" s="694"/>
      <c r="I171" s="694"/>
      <c r="J171" s="694"/>
      <c r="K171" s="694"/>
      <c r="L171" s="694"/>
      <c r="M171" s="694"/>
      <c r="N171" s="554">
        <f t="shared" si="23"/>
        <v>0</v>
      </c>
      <c r="O171" s="554">
        <f t="shared" si="24"/>
        <v>0</v>
      </c>
      <c r="P171" s="555">
        <f>(O171/O243)*100</f>
        <v>0</v>
      </c>
      <c r="Q171" s="567"/>
      <c r="R171" s="555">
        <f t="shared" si="25"/>
        <v>0</v>
      </c>
      <c r="S171" s="698">
        <v>15500</v>
      </c>
      <c r="U171" s="566">
        <f t="shared" si="26"/>
        <v>0</v>
      </c>
      <c r="V171" s="566">
        <f t="shared" si="27"/>
        <v>0</v>
      </c>
      <c r="W171" s="566">
        <f t="shared" si="28"/>
        <v>0</v>
      </c>
      <c r="X171" s="566">
        <f t="shared" si="29"/>
        <v>0</v>
      </c>
      <c r="Y171" s="566">
        <f t="shared" si="30"/>
        <v>0</v>
      </c>
      <c r="Z171" s="566">
        <f t="shared" si="31"/>
        <v>0</v>
      </c>
      <c r="AA171" s="566">
        <f t="shared" si="32"/>
        <v>0</v>
      </c>
      <c r="AB171" s="566">
        <f t="shared" si="33"/>
        <v>0</v>
      </c>
      <c r="AC171" s="566">
        <f t="shared" si="34"/>
        <v>0</v>
      </c>
      <c r="AD171" s="566">
        <f t="shared" si="35"/>
        <v>0</v>
      </c>
      <c r="AE171" s="573"/>
    </row>
    <row r="172" spans="1:31" ht="25.15" customHeight="1">
      <c r="A172" s="543">
        <v>23</v>
      </c>
      <c r="B172" s="546"/>
      <c r="C172" s="703"/>
      <c r="D172" s="694"/>
      <c r="E172" s="694"/>
      <c r="F172" s="694"/>
      <c r="G172" s="694"/>
      <c r="H172" s="694"/>
      <c r="I172" s="694"/>
      <c r="J172" s="694"/>
      <c r="K172" s="694"/>
      <c r="L172" s="694"/>
      <c r="M172" s="694"/>
      <c r="N172" s="554">
        <f t="shared" si="23"/>
        <v>0</v>
      </c>
      <c r="O172" s="554">
        <f t="shared" si="24"/>
        <v>0</v>
      </c>
      <c r="P172" s="555">
        <f>(O172/O243)*100</f>
        <v>0</v>
      </c>
      <c r="Q172" s="567"/>
      <c r="R172" s="555">
        <f t="shared" si="25"/>
        <v>0</v>
      </c>
      <c r="S172" s="698">
        <v>7900</v>
      </c>
      <c r="U172" s="566">
        <f t="shared" si="26"/>
        <v>0</v>
      </c>
      <c r="V172" s="566">
        <f t="shared" si="27"/>
        <v>0</v>
      </c>
      <c r="W172" s="566">
        <f t="shared" si="28"/>
        <v>0</v>
      </c>
      <c r="X172" s="566">
        <f t="shared" si="29"/>
        <v>0</v>
      </c>
      <c r="Y172" s="566">
        <f t="shared" si="30"/>
        <v>0</v>
      </c>
      <c r="Z172" s="566">
        <f t="shared" si="31"/>
        <v>0</v>
      </c>
      <c r="AA172" s="566">
        <f t="shared" si="32"/>
        <v>0</v>
      </c>
      <c r="AB172" s="566">
        <f t="shared" si="33"/>
        <v>0</v>
      </c>
      <c r="AC172" s="566">
        <f t="shared" si="34"/>
        <v>0</v>
      </c>
      <c r="AD172" s="566">
        <f t="shared" si="35"/>
        <v>0</v>
      </c>
      <c r="AE172" s="573"/>
    </row>
    <row r="173" spans="1:31" ht="25.15" customHeight="1">
      <c r="A173" s="543">
        <v>24</v>
      </c>
      <c r="B173" s="546"/>
      <c r="C173" s="703"/>
      <c r="D173" s="694"/>
      <c r="E173" s="694"/>
      <c r="F173" s="694"/>
      <c r="G173" s="694"/>
      <c r="H173" s="694"/>
      <c r="I173" s="694"/>
      <c r="J173" s="694"/>
      <c r="K173" s="694"/>
      <c r="L173" s="694"/>
      <c r="M173" s="694"/>
      <c r="N173" s="554">
        <f t="shared" si="23"/>
        <v>0</v>
      </c>
      <c r="O173" s="554">
        <f t="shared" si="24"/>
        <v>0</v>
      </c>
      <c r="P173" s="555">
        <f>(O173/O243)*100</f>
        <v>0</v>
      </c>
      <c r="Q173" s="567"/>
      <c r="R173" s="555">
        <f t="shared" si="25"/>
        <v>0</v>
      </c>
      <c r="S173" s="698">
        <v>36900</v>
      </c>
      <c r="U173" s="566">
        <f t="shared" si="26"/>
        <v>0</v>
      </c>
      <c r="V173" s="566">
        <f t="shared" si="27"/>
        <v>0</v>
      </c>
      <c r="W173" s="566">
        <f t="shared" si="28"/>
        <v>0</v>
      </c>
      <c r="X173" s="566">
        <f t="shared" si="29"/>
        <v>0</v>
      </c>
      <c r="Y173" s="566">
        <f t="shared" si="30"/>
        <v>0</v>
      </c>
      <c r="Z173" s="566">
        <f t="shared" si="31"/>
        <v>0</v>
      </c>
      <c r="AA173" s="566">
        <f t="shared" si="32"/>
        <v>0</v>
      </c>
      <c r="AB173" s="566">
        <f t="shared" si="33"/>
        <v>0</v>
      </c>
      <c r="AC173" s="566">
        <f t="shared" si="34"/>
        <v>0</v>
      </c>
      <c r="AD173" s="566">
        <f t="shared" si="35"/>
        <v>0</v>
      </c>
      <c r="AE173" s="573"/>
    </row>
    <row r="174" spans="1:31" ht="25.15" customHeight="1">
      <c r="A174" s="543">
        <v>25</v>
      </c>
      <c r="B174" s="546"/>
      <c r="C174" s="703"/>
      <c r="D174" s="694"/>
      <c r="E174" s="694"/>
      <c r="F174" s="694"/>
      <c r="G174" s="694"/>
      <c r="H174" s="694"/>
      <c r="I174" s="694"/>
      <c r="J174" s="694"/>
      <c r="K174" s="694"/>
      <c r="L174" s="694"/>
      <c r="M174" s="694"/>
      <c r="N174" s="554">
        <f t="shared" si="23"/>
        <v>0</v>
      </c>
      <c r="O174" s="554">
        <f t="shared" si="24"/>
        <v>0</v>
      </c>
      <c r="P174" s="555">
        <f>(O174/O243)*100</f>
        <v>0</v>
      </c>
      <c r="Q174" s="567"/>
      <c r="R174" s="555">
        <f t="shared" si="25"/>
        <v>0</v>
      </c>
      <c r="S174" s="698">
        <v>23000</v>
      </c>
      <c r="U174" s="566">
        <f t="shared" si="26"/>
        <v>0</v>
      </c>
      <c r="V174" s="566">
        <f t="shared" si="27"/>
        <v>0</v>
      </c>
      <c r="W174" s="566">
        <f t="shared" si="28"/>
        <v>0</v>
      </c>
      <c r="X174" s="566">
        <f t="shared" si="29"/>
        <v>0</v>
      </c>
      <c r="Y174" s="566">
        <f t="shared" si="30"/>
        <v>0</v>
      </c>
      <c r="Z174" s="566">
        <f t="shared" si="31"/>
        <v>0</v>
      </c>
      <c r="AA174" s="566">
        <f t="shared" si="32"/>
        <v>0</v>
      </c>
      <c r="AB174" s="566">
        <f t="shared" si="33"/>
        <v>0</v>
      </c>
      <c r="AC174" s="566">
        <f t="shared" si="34"/>
        <v>0</v>
      </c>
      <c r="AD174" s="566">
        <f t="shared" si="35"/>
        <v>0</v>
      </c>
      <c r="AE174" s="573"/>
    </row>
    <row r="175" spans="1:31" ht="25.15" customHeight="1">
      <c r="A175" s="543">
        <v>26</v>
      </c>
      <c r="B175" s="546"/>
      <c r="C175" s="703"/>
      <c r="D175" s="694"/>
      <c r="E175" s="694"/>
      <c r="F175" s="694"/>
      <c r="G175" s="694"/>
      <c r="H175" s="694"/>
      <c r="I175" s="694"/>
      <c r="J175" s="694"/>
      <c r="K175" s="694"/>
      <c r="L175" s="694"/>
      <c r="M175" s="694"/>
      <c r="N175" s="554">
        <f t="shared" si="23"/>
        <v>0</v>
      </c>
      <c r="O175" s="554">
        <f t="shared" si="24"/>
        <v>0</v>
      </c>
      <c r="P175" s="555">
        <f>(O175/O243)*100</f>
        <v>0</v>
      </c>
      <c r="Q175" s="567"/>
      <c r="R175" s="555">
        <f t="shared" si="25"/>
        <v>0</v>
      </c>
      <c r="S175" s="698">
        <v>30500</v>
      </c>
      <c r="U175" s="566">
        <f t="shared" si="26"/>
        <v>0</v>
      </c>
      <c r="V175" s="566">
        <f t="shared" si="27"/>
        <v>0</v>
      </c>
      <c r="W175" s="566">
        <f t="shared" si="28"/>
        <v>0</v>
      </c>
      <c r="X175" s="566">
        <f t="shared" si="29"/>
        <v>0</v>
      </c>
      <c r="Y175" s="566">
        <f t="shared" si="30"/>
        <v>0</v>
      </c>
      <c r="Z175" s="566">
        <f t="shared" si="31"/>
        <v>0</v>
      </c>
      <c r="AA175" s="566">
        <f t="shared" si="32"/>
        <v>0</v>
      </c>
      <c r="AB175" s="566">
        <f t="shared" si="33"/>
        <v>0</v>
      </c>
      <c r="AC175" s="566">
        <f t="shared" si="34"/>
        <v>0</v>
      </c>
      <c r="AD175" s="566">
        <f t="shared" si="35"/>
        <v>0</v>
      </c>
      <c r="AE175" s="573"/>
    </row>
    <row r="176" spans="1:31" ht="25.15" customHeight="1">
      <c r="A176" s="543">
        <v>27</v>
      </c>
      <c r="B176" s="546"/>
      <c r="C176" s="703"/>
      <c r="D176" s="694"/>
      <c r="E176" s="694"/>
      <c r="F176" s="694"/>
      <c r="G176" s="694"/>
      <c r="H176" s="694"/>
      <c r="I176" s="694"/>
      <c r="J176" s="694"/>
      <c r="K176" s="694"/>
      <c r="L176" s="694"/>
      <c r="M176" s="694"/>
      <c r="N176" s="554">
        <f t="shared" si="23"/>
        <v>0</v>
      </c>
      <c r="O176" s="554">
        <f t="shared" si="24"/>
        <v>0</v>
      </c>
      <c r="P176" s="555">
        <f>(O176/O243)*100</f>
        <v>0</v>
      </c>
      <c r="Q176" s="567"/>
      <c r="R176" s="555">
        <f t="shared" si="25"/>
        <v>0</v>
      </c>
      <c r="S176" s="698">
        <v>23000</v>
      </c>
      <c r="U176" s="566">
        <f t="shared" si="26"/>
        <v>0</v>
      </c>
      <c r="V176" s="566">
        <f t="shared" si="27"/>
        <v>0</v>
      </c>
      <c r="W176" s="566">
        <f t="shared" si="28"/>
        <v>0</v>
      </c>
      <c r="X176" s="566">
        <f t="shared" si="29"/>
        <v>0</v>
      </c>
      <c r="Y176" s="566">
        <f t="shared" si="30"/>
        <v>0</v>
      </c>
      <c r="Z176" s="566">
        <f t="shared" si="31"/>
        <v>0</v>
      </c>
      <c r="AA176" s="566">
        <f t="shared" si="32"/>
        <v>0</v>
      </c>
      <c r="AB176" s="566">
        <f t="shared" si="33"/>
        <v>0</v>
      </c>
      <c r="AC176" s="566">
        <f t="shared" si="34"/>
        <v>0</v>
      </c>
      <c r="AD176" s="566">
        <f t="shared" si="35"/>
        <v>0</v>
      </c>
      <c r="AE176" s="573"/>
    </row>
    <row r="177" spans="1:31" ht="25.15" customHeight="1">
      <c r="A177" s="543">
        <v>28</v>
      </c>
      <c r="B177" s="546"/>
      <c r="C177" s="703"/>
      <c r="D177" s="694"/>
      <c r="E177" s="694"/>
      <c r="F177" s="694"/>
      <c r="G177" s="694"/>
      <c r="H177" s="694"/>
      <c r="I177" s="694"/>
      <c r="J177" s="694"/>
      <c r="K177" s="694"/>
      <c r="L177" s="694"/>
      <c r="M177" s="694"/>
      <c r="N177" s="554">
        <f t="shared" si="23"/>
        <v>0</v>
      </c>
      <c r="O177" s="554">
        <f t="shared" si="24"/>
        <v>0</v>
      </c>
      <c r="P177" s="555">
        <f>(O177/O243)*100</f>
        <v>0</v>
      </c>
      <c r="Q177" s="567"/>
      <c r="R177" s="555">
        <f t="shared" si="25"/>
        <v>0</v>
      </c>
      <c r="S177" s="698">
        <v>24500</v>
      </c>
      <c r="U177" s="566">
        <f t="shared" si="26"/>
        <v>0</v>
      </c>
      <c r="V177" s="566">
        <f t="shared" si="27"/>
        <v>0</v>
      </c>
      <c r="W177" s="566">
        <f t="shared" si="28"/>
        <v>0</v>
      </c>
      <c r="X177" s="566">
        <f t="shared" si="29"/>
        <v>0</v>
      </c>
      <c r="Y177" s="566">
        <f t="shared" si="30"/>
        <v>0</v>
      </c>
      <c r="Z177" s="566">
        <f t="shared" si="31"/>
        <v>0</v>
      </c>
      <c r="AA177" s="566">
        <f t="shared" si="32"/>
        <v>0</v>
      </c>
      <c r="AB177" s="566">
        <f t="shared" si="33"/>
        <v>0</v>
      </c>
      <c r="AC177" s="566">
        <f t="shared" si="34"/>
        <v>0</v>
      </c>
      <c r="AD177" s="566">
        <f t="shared" si="35"/>
        <v>0</v>
      </c>
      <c r="AE177" s="573"/>
    </row>
    <row r="178" spans="1:31" ht="25.15" customHeight="1">
      <c r="A178" s="543">
        <v>29</v>
      </c>
      <c r="B178" s="546"/>
      <c r="C178" s="703"/>
      <c r="D178" s="694"/>
      <c r="E178" s="694"/>
      <c r="F178" s="694"/>
      <c r="G178" s="694"/>
      <c r="H178" s="694"/>
      <c r="I178" s="694"/>
      <c r="J178" s="694"/>
      <c r="K178" s="694"/>
      <c r="L178" s="694"/>
      <c r="M178" s="694"/>
      <c r="N178" s="554">
        <f t="shared" si="23"/>
        <v>0</v>
      </c>
      <c r="O178" s="554">
        <f t="shared" si="24"/>
        <v>0</v>
      </c>
      <c r="P178" s="555">
        <f>(O178/O243)*100</f>
        <v>0</v>
      </c>
      <c r="Q178" s="567"/>
      <c r="R178" s="555">
        <f t="shared" si="25"/>
        <v>0</v>
      </c>
      <c r="S178" s="698">
        <v>7900</v>
      </c>
      <c r="U178" s="566">
        <f t="shared" si="26"/>
        <v>0</v>
      </c>
      <c r="V178" s="566">
        <f t="shared" si="27"/>
        <v>0</v>
      </c>
      <c r="W178" s="566">
        <f t="shared" si="28"/>
        <v>0</v>
      </c>
      <c r="X178" s="566">
        <f t="shared" si="29"/>
        <v>0</v>
      </c>
      <c r="Y178" s="566">
        <f t="shared" si="30"/>
        <v>0</v>
      </c>
      <c r="Z178" s="566">
        <f t="shared" si="31"/>
        <v>0</v>
      </c>
      <c r="AA178" s="566">
        <f t="shared" si="32"/>
        <v>0</v>
      </c>
      <c r="AB178" s="566">
        <f t="shared" si="33"/>
        <v>0</v>
      </c>
      <c r="AC178" s="566">
        <f t="shared" si="34"/>
        <v>0</v>
      </c>
      <c r="AD178" s="566">
        <f t="shared" si="35"/>
        <v>0</v>
      </c>
      <c r="AE178" s="573"/>
    </row>
    <row r="179" spans="1:31" ht="25.15" customHeight="1">
      <c r="A179" s="543">
        <v>30</v>
      </c>
      <c r="B179" s="546"/>
      <c r="C179" s="703"/>
      <c r="D179" s="694"/>
      <c r="E179" s="694"/>
      <c r="F179" s="694"/>
      <c r="G179" s="694"/>
      <c r="H179" s="694"/>
      <c r="I179" s="694"/>
      <c r="J179" s="694"/>
      <c r="K179" s="694"/>
      <c r="L179" s="694"/>
      <c r="M179" s="694"/>
      <c r="N179" s="554">
        <f t="shared" si="23"/>
        <v>0</v>
      </c>
      <c r="O179" s="554">
        <f t="shared" si="24"/>
        <v>0</v>
      </c>
      <c r="P179" s="555">
        <f>(O179/O243)*100</f>
        <v>0</v>
      </c>
      <c r="Q179" s="567"/>
      <c r="R179" s="555">
        <f t="shared" si="25"/>
        <v>0</v>
      </c>
      <c r="S179" s="698">
        <v>30500</v>
      </c>
      <c r="U179" s="566">
        <f t="shared" si="26"/>
        <v>0</v>
      </c>
      <c r="V179" s="566">
        <f t="shared" si="27"/>
        <v>0</v>
      </c>
      <c r="W179" s="566">
        <f t="shared" si="28"/>
        <v>0</v>
      </c>
      <c r="X179" s="566">
        <f t="shared" si="29"/>
        <v>0</v>
      </c>
      <c r="Y179" s="566">
        <f t="shared" si="30"/>
        <v>0</v>
      </c>
      <c r="Z179" s="566">
        <f t="shared" si="31"/>
        <v>0</v>
      </c>
      <c r="AA179" s="566">
        <f t="shared" si="32"/>
        <v>0</v>
      </c>
      <c r="AB179" s="566">
        <f t="shared" si="33"/>
        <v>0</v>
      </c>
      <c r="AC179" s="566">
        <f t="shared" si="34"/>
        <v>0</v>
      </c>
      <c r="AD179" s="566">
        <f t="shared" si="35"/>
        <v>0</v>
      </c>
      <c r="AE179" s="573"/>
    </row>
    <row r="180" spans="1:31" ht="25.15" customHeight="1">
      <c r="A180" s="543">
        <v>31</v>
      </c>
      <c r="B180" s="546"/>
      <c r="C180" s="703"/>
      <c r="D180" s="694"/>
      <c r="E180" s="694"/>
      <c r="F180" s="694"/>
      <c r="G180" s="694"/>
      <c r="H180" s="694"/>
      <c r="I180" s="694"/>
      <c r="J180" s="694"/>
      <c r="K180" s="694"/>
      <c r="L180" s="694"/>
      <c r="M180" s="694"/>
      <c r="N180" s="554">
        <f t="shared" si="23"/>
        <v>0</v>
      </c>
      <c r="O180" s="554">
        <f t="shared" si="24"/>
        <v>0</v>
      </c>
      <c r="P180" s="555">
        <f>(O180/O243)*100</f>
        <v>0</v>
      </c>
      <c r="Q180" s="567"/>
      <c r="R180" s="555">
        <f t="shared" si="25"/>
        <v>0</v>
      </c>
      <c r="S180" s="698">
        <v>23000</v>
      </c>
      <c r="U180" s="566">
        <f t="shared" si="26"/>
        <v>0</v>
      </c>
      <c r="V180" s="566">
        <f t="shared" si="27"/>
        <v>0</v>
      </c>
      <c r="W180" s="566">
        <f t="shared" si="28"/>
        <v>0</v>
      </c>
      <c r="X180" s="566">
        <f t="shared" si="29"/>
        <v>0</v>
      </c>
      <c r="Y180" s="566">
        <f t="shared" si="30"/>
        <v>0</v>
      </c>
      <c r="Z180" s="566">
        <f t="shared" si="31"/>
        <v>0</v>
      </c>
      <c r="AA180" s="566">
        <f t="shared" si="32"/>
        <v>0</v>
      </c>
      <c r="AB180" s="566">
        <f t="shared" si="33"/>
        <v>0</v>
      </c>
      <c r="AC180" s="566">
        <f t="shared" si="34"/>
        <v>0</v>
      </c>
      <c r="AD180" s="566">
        <f t="shared" si="35"/>
        <v>0</v>
      </c>
      <c r="AE180" s="573"/>
    </row>
    <row r="181" spans="1:31" ht="25.15" customHeight="1">
      <c r="A181" s="543">
        <v>32</v>
      </c>
      <c r="B181" s="546"/>
      <c r="C181" s="703"/>
      <c r="D181" s="694"/>
      <c r="E181" s="694"/>
      <c r="F181" s="694"/>
      <c r="G181" s="694"/>
      <c r="H181" s="694"/>
      <c r="I181" s="694"/>
      <c r="J181" s="694"/>
      <c r="K181" s="694"/>
      <c r="L181" s="694"/>
      <c r="M181" s="694"/>
      <c r="N181" s="554">
        <f t="shared" si="23"/>
        <v>0</v>
      </c>
      <c r="O181" s="554">
        <f t="shared" si="24"/>
        <v>0</v>
      </c>
      <c r="P181" s="555">
        <f>(O181/O243)*100</f>
        <v>0</v>
      </c>
      <c r="Q181" s="567"/>
      <c r="R181" s="555">
        <f t="shared" si="25"/>
        <v>0</v>
      </c>
      <c r="S181" s="698">
        <v>122000</v>
      </c>
      <c r="U181" s="566">
        <f t="shared" si="26"/>
        <v>0</v>
      </c>
      <c r="V181" s="566">
        <f t="shared" si="27"/>
        <v>0</v>
      </c>
      <c r="W181" s="566">
        <f t="shared" si="28"/>
        <v>0</v>
      </c>
      <c r="X181" s="566">
        <f t="shared" si="29"/>
        <v>0</v>
      </c>
      <c r="Y181" s="566">
        <f t="shared" si="30"/>
        <v>0</v>
      </c>
      <c r="Z181" s="566">
        <f t="shared" si="31"/>
        <v>0</v>
      </c>
      <c r="AA181" s="566">
        <f t="shared" si="32"/>
        <v>0</v>
      </c>
      <c r="AB181" s="566">
        <f t="shared" si="33"/>
        <v>0</v>
      </c>
      <c r="AC181" s="566">
        <f t="shared" si="34"/>
        <v>0</v>
      </c>
      <c r="AD181" s="566">
        <f t="shared" si="35"/>
        <v>0</v>
      </c>
      <c r="AE181" s="573"/>
    </row>
    <row r="182" spans="1:31" ht="25.15" customHeight="1">
      <c r="A182" s="543">
        <v>33</v>
      </c>
      <c r="B182" s="546"/>
      <c r="C182" s="703"/>
      <c r="D182" s="694"/>
      <c r="E182" s="694"/>
      <c r="F182" s="694"/>
      <c r="G182" s="694"/>
      <c r="H182" s="694"/>
      <c r="I182" s="694"/>
      <c r="J182" s="694"/>
      <c r="K182" s="694"/>
      <c r="L182" s="694"/>
      <c r="M182" s="694"/>
      <c r="N182" s="554">
        <f t="shared" si="23"/>
        <v>0</v>
      </c>
      <c r="O182" s="554">
        <f t="shared" si="24"/>
        <v>0</v>
      </c>
      <c r="P182" s="555">
        <f>(O182/O243)*100</f>
        <v>0</v>
      </c>
      <c r="Q182" s="567"/>
      <c r="R182" s="555">
        <f t="shared" si="25"/>
        <v>0</v>
      </c>
      <c r="S182" s="698">
        <v>106900</v>
      </c>
      <c r="U182" s="566">
        <f t="shared" si="26"/>
        <v>0</v>
      </c>
      <c r="V182" s="566">
        <f t="shared" si="27"/>
        <v>0</v>
      </c>
      <c r="W182" s="566">
        <f t="shared" si="28"/>
        <v>0</v>
      </c>
      <c r="X182" s="566">
        <f t="shared" si="29"/>
        <v>0</v>
      </c>
      <c r="Y182" s="566">
        <f t="shared" si="30"/>
        <v>0</v>
      </c>
      <c r="Z182" s="566">
        <f t="shared" si="31"/>
        <v>0</v>
      </c>
      <c r="AA182" s="566">
        <f t="shared" si="32"/>
        <v>0</v>
      </c>
      <c r="AB182" s="566">
        <f t="shared" si="33"/>
        <v>0</v>
      </c>
      <c r="AC182" s="566">
        <f t="shared" si="34"/>
        <v>0</v>
      </c>
      <c r="AD182" s="566">
        <f t="shared" si="35"/>
        <v>0</v>
      </c>
      <c r="AE182" s="573"/>
    </row>
    <row r="183" spans="1:31" ht="25.15" customHeight="1">
      <c r="A183" s="543">
        <v>34</v>
      </c>
      <c r="B183" s="576"/>
      <c r="C183" s="703"/>
      <c r="D183" s="694"/>
      <c r="E183" s="694"/>
      <c r="F183" s="694"/>
      <c r="G183" s="694"/>
      <c r="H183" s="694"/>
      <c r="I183" s="694"/>
      <c r="J183" s="694"/>
      <c r="K183" s="694"/>
      <c r="L183" s="694"/>
      <c r="M183" s="694"/>
      <c r="N183" s="590">
        <f t="shared" si="23"/>
        <v>0</v>
      </c>
      <c r="O183" s="590">
        <f t="shared" si="24"/>
        <v>0</v>
      </c>
      <c r="P183" s="591">
        <f>(O183/O243)*100</f>
        <v>0</v>
      </c>
      <c r="Q183" s="721"/>
      <c r="R183" s="591">
        <f t="shared" si="25"/>
        <v>0</v>
      </c>
      <c r="S183" s="698">
        <v>36900</v>
      </c>
      <c r="U183" s="566">
        <f t="shared" si="26"/>
        <v>0</v>
      </c>
      <c r="V183" s="566">
        <f t="shared" si="27"/>
        <v>0</v>
      </c>
      <c r="W183" s="566">
        <f t="shared" si="28"/>
        <v>0</v>
      </c>
      <c r="X183" s="566">
        <f t="shared" si="29"/>
        <v>0</v>
      </c>
      <c r="Y183" s="566">
        <f t="shared" si="30"/>
        <v>0</v>
      </c>
      <c r="Z183" s="566">
        <f t="shared" si="31"/>
        <v>0</v>
      </c>
      <c r="AA183" s="566">
        <f t="shared" si="32"/>
        <v>0</v>
      </c>
      <c r="AB183" s="566">
        <f t="shared" si="33"/>
        <v>0</v>
      </c>
      <c r="AC183" s="566">
        <f t="shared" si="34"/>
        <v>0</v>
      </c>
      <c r="AD183" s="566">
        <f t="shared" si="35"/>
        <v>0</v>
      </c>
      <c r="AE183" s="573"/>
    </row>
    <row r="184" spans="1:31" ht="100.15" customHeight="1">
      <c r="A184" s="2588" t="s">
        <v>300</v>
      </c>
      <c r="B184" s="2589"/>
      <c r="C184" s="2590"/>
      <c r="D184" s="577">
        <f t="shared" ref="D184:M184" si="36">U184</f>
        <v>598960</v>
      </c>
      <c r="E184" s="578">
        <f t="shared" si="36"/>
        <v>835220</v>
      </c>
      <c r="F184" s="578">
        <f t="shared" si="36"/>
        <v>988620</v>
      </c>
      <c r="G184" s="578">
        <f t="shared" si="36"/>
        <v>1077920</v>
      </c>
      <c r="H184" s="578">
        <f t="shared" si="36"/>
        <v>752240</v>
      </c>
      <c r="I184" s="578">
        <f t="shared" si="36"/>
        <v>431500</v>
      </c>
      <c r="J184" s="578">
        <f t="shared" si="36"/>
        <v>714780</v>
      </c>
      <c r="K184" s="578">
        <f t="shared" si="36"/>
        <v>0</v>
      </c>
      <c r="L184" s="578">
        <f t="shared" si="36"/>
        <v>0</v>
      </c>
      <c r="M184" s="578">
        <f t="shared" si="36"/>
        <v>0</v>
      </c>
      <c r="N184" s="578"/>
      <c r="O184" s="592">
        <f>SUM(D184:M184)</f>
        <v>5399240</v>
      </c>
      <c r="P184" s="713">
        <f>SUM(P8:P183)/100</f>
        <v>0.98691603818074802</v>
      </c>
      <c r="Q184" s="713"/>
      <c r="R184" s="722">
        <f>SUM(R8:R183)/100</f>
        <v>0.124710574566251</v>
      </c>
      <c r="S184" s="773"/>
      <c r="U184" s="566">
        <f t="shared" ref="U184:AD184" si="37">SUM(U8:U183)</f>
        <v>598960</v>
      </c>
      <c r="V184" s="566">
        <f t="shared" si="37"/>
        <v>835220</v>
      </c>
      <c r="W184" s="566">
        <f t="shared" si="37"/>
        <v>988620</v>
      </c>
      <c r="X184" s="566">
        <f t="shared" si="37"/>
        <v>1077920</v>
      </c>
      <c r="Y184" s="566">
        <f t="shared" si="37"/>
        <v>752240</v>
      </c>
      <c r="Z184" s="566">
        <f t="shared" si="37"/>
        <v>431500</v>
      </c>
      <c r="AA184" s="566">
        <f t="shared" si="37"/>
        <v>714780</v>
      </c>
      <c r="AB184" s="566">
        <f t="shared" si="37"/>
        <v>0</v>
      </c>
      <c r="AC184" s="566">
        <f t="shared" si="37"/>
        <v>0</v>
      </c>
      <c r="AD184" s="566">
        <f t="shared" si="37"/>
        <v>0</v>
      </c>
      <c r="AE184" s="573"/>
    </row>
    <row r="185" spans="1:31" ht="20.149999999999999" customHeight="1">
      <c r="A185" s="579"/>
      <c r="B185" s="579"/>
      <c r="C185" s="579"/>
      <c r="D185" s="573"/>
      <c r="E185" s="573"/>
      <c r="F185" s="573"/>
      <c r="G185" s="573"/>
      <c r="H185" s="573"/>
      <c r="I185" s="573"/>
      <c r="J185" s="573"/>
      <c r="K185" s="573"/>
      <c r="L185" s="573"/>
      <c r="M185" s="573"/>
      <c r="N185" s="573"/>
      <c r="O185" s="573"/>
      <c r="S185" s="573"/>
      <c r="U185" s="573"/>
      <c r="V185" s="573"/>
      <c r="W185" s="573"/>
      <c r="X185" s="573"/>
      <c r="Y185" s="573"/>
      <c r="Z185" s="573"/>
      <c r="AA185" s="573"/>
      <c r="AB185" s="573"/>
      <c r="AC185" s="573"/>
      <c r="AD185" s="573"/>
      <c r="AE185" s="573"/>
    </row>
    <row r="186" spans="1:31" ht="40.15" customHeight="1">
      <c r="A186" s="5" t="s">
        <v>65</v>
      </c>
      <c r="B186" s="5" t="s">
        <v>1465</v>
      </c>
      <c r="C186" s="5" t="str">
        <f>B186</f>
        <v>BEVERAGES</v>
      </c>
      <c r="D186" s="581">
        <f>'LAP. PENJUALAN '!D6</f>
        <v>46030</v>
      </c>
      <c r="E186" s="581">
        <f>'LAP. PENJUALAN '!E6</f>
        <v>46031</v>
      </c>
      <c r="F186" s="581">
        <f>'LAP. PENJUALAN '!F6</f>
        <v>46032</v>
      </c>
      <c r="G186" s="581">
        <f>'LAP. PENJUALAN '!G6</f>
        <v>46033</v>
      </c>
      <c r="H186" s="581">
        <f>'LAP. PENJUALAN '!H6</f>
        <v>46034</v>
      </c>
      <c r="I186" s="581">
        <f>'LAP. PENJUALAN '!I6</f>
        <v>46035</v>
      </c>
      <c r="J186" s="581">
        <f>'LAP. PENJUALAN '!J6</f>
        <v>46036</v>
      </c>
      <c r="K186" s="581">
        <f>'LAP. PENJUALAN '!K6</f>
        <v>0</v>
      </c>
      <c r="L186" s="581">
        <f>'LAP. PENJUALAN '!L6</f>
        <v>0</v>
      </c>
      <c r="M186" s="581">
        <f>'LAP. PENJUALAN '!M6</f>
        <v>0</v>
      </c>
      <c r="N186" s="715" t="s">
        <v>67</v>
      </c>
      <c r="O186" s="715" t="s">
        <v>415</v>
      </c>
      <c r="P186" s="716" t="s">
        <v>1154</v>
      </c>
      <c r="Q186" s="726" t="s">
        <v>1280</v>
      </c>
      <c r="R186" s="726" t="s">
        <v>1281</v>
      </c>
      <c r="S186" s="727" t="s">
        <v>1466</v>
      </c>
      <c r="U186" s="573"/>
      <c r="V186" s="573"/>
      <c r="W186" s="573"/>
      <c r="X186" s="573"/>
      <c r="Y186" s="573"/>
      <c r="Z186" s="573"/>
      <c r="AA186" s="573"/>
      <c r="AB186" s="573"/>
      <c r="AC186" s="573"/>
      <c r="AD186" s="573"/>
      <c r="AE186" s="573"/>
    </row>
    <row r="187" spans="1:31" ht="25.15" customHeight="1">
      <c r="A187" s="582">
        <v>1</v>
      </c>
      <c r="B187" s="583" t="s">
        <v>1575</v>
      </c>
      <c r="C187" s="541" t="str">
        <f>'LAP. PENJUALAN '!C216</f>
        <v>Air Mineral Botol  (600 ML)</v>
      </c>
      <c r="D187" s="584"/>
      <c r="E187" s="584"/>
      <c r="F187" s="584"/>
      <c r="G187" s="584">
        <v>1</v>
      </c>
      <c r="H187" s="584"/>
      <c r="I187" s="584"/>
      <c r="J187" s="584">
        <v>1</v>
      </c>
      <c r="K187" s="584"/>
      <c r="L187" s="584"/>
      <c r="M187" s="584"/>
      <c r="N187" s="596">
        <f>SUM(D187:M187)</f>
        <v>2</v>
      </c>
      <c r="O187" s="597">
        <f t="shared" ref="O187:O241" si="38">N187*S187</f>
        <v>16960</v>
      </c>
      <c r="P187" s="598">
        <f>(O187/O243)*100</f>
        <v>0.310008371688339</v>
      </c>
      <c r="Q187" s="774"/>
      <c r="R187" s="686">
        <f>P187*Q187</f>
        <v>0</v>
      </c>
      <c r="S187" s="775">
        <v>8480</v>
      </c>
      <c r="U187" s="566">
        <f>D187*S187</f>
        <v>0</v>
      </c>
      <c r="V187" s="566">
        <f>E187*S187</f>
        <v>0</v>
      </c>
      <c r="W187" s="566">
        <f>F187*S187</f>
        <v>0</v>
      </c>
      <c r="X187" s="566">
        <f>G187*S187</f>
        <v>8480</v>
      </c>
      <c r="Y187" s="566">
        <f>H187*S187</f>
        <v>0</v>
      </c>
      <c r="Z187" s="566">
        <f>I187*S187</f>
        <v>0</v>
      </c>
      <c r="AA187" s="566">
        <f>J187*S187</f>
        <v>8480</v>
      </c>
      <c r="AB187" s="566">
        <f>K187*S187</f>
        <v>0</v>
      </c>
      <c r="AC187" s="566">
        <f>L187*S187</f>
        <v>0</v>
      </c>
      <c r="AD187" s="566">
        <f>M187*S187</f>
        <v>0</v>
      </c>
      <c r="AE187" s="573"/>
    </row>
    <row r="188" spans="1:31" ht="25.15" customHeight="1">
      <c r="A188" s="585">
        <v>2</v>
      </c>
      <c r="B188" s="586" t="s">
        <v>1469</v>
      </c>
      <c r="C188" s="541" t="str">
        <f>'LAP. PENJUALAN '!C217</f>
        <v>Air Mineral Botol (330 ML)</v>
      </c>
      <c r="D188" s="584"/>
      <c r="E188" s="584"/>
      <c r="F188" s="584"/>
      <c r="G188" s="584"/>
      <c r="H188" s="584"/>
      <c r="I188" s="584"/>
      <c r="J188" s="584"/>
      <c r="K188" s="584"/>
      <c r="L188" s="584"/>
      <c r="M188" s="584"/>
      <c r="N188" s="596">
        <f t="shared" ref="N188:N241" si="39">SUM(D188:M188)</f>
        <v>0</v>
      </c>
      <c r="O188" s="597">
        <f t="shared" si="38"/>
        <v>0</v>
      </c>
      <c r="P188" s="598">
        <f>(O188/O243)*100</f>
        <v>0</v>
      </c>
      <c r="Q188" s="776"/>
      <c r="R188" s="686">
        <f t="shared" ref="R188:R241" si="40">P188*Q188</f>
        <v>0</v>
      </c>
      <c r="S188" s="775"/>
      <c r="T188" s="532" t="s">
        <v>61</v>
      </c>
      <c r="U188" s="566">
        <f t="shared" ref="U188:U241" si="41">D188*S188</f>
        <v>0</v>
      </c>
      <c r="V188" s="566">
        <f t="shared" ref="V188:V241" si="42">E188*S188</f>
        <v>0</v>
      </c>
      <c r="W188" s="566">
        <f t="shared" ref="W188:W241" si="43">F188*S188</f>
        <v>0</v>
      </c>
      <c r="X188" s="566">
        <f t="shared" ref="X188:X241" si="44">G188*S188</f>
        <v>0</v>
      </c>
      <c r="Y188" s="566">
        <f t="shared" ref="Y188:Y241" si="45">H188*S188</f>
        <v>0</v>
      </c>
      <c r="Z188" s="566">
        <f t="shared" ref="Z188:Z241" si="46">I188*S188</f>
        <v>0</v>
      </c>
      <c r="AA188" s="566">
        <f t="shared" ref="AA188:AA241" si="47">J188*S188</f>
        <v>0</v>
      </c>
      <c r="AB188" s="566">
        <f t="shared" ref="AB188:AB241" si="48">K188*S188</f>
        <v>0</v>
      </c>
      <c r="AC188" s="566">
        <f t="shared" ref="AC188:AC241" si="49">L188*S188</f>
        <v>0</v>
      </c>
      <c r="AD188" s="566">
        <f t="shared" ref="AD188:AD241" si="50">M188*S188</f>
        <v>0</v>
      </c>
      <c r="AE188" s="573"/>
    </row>
    <row r="189" spans="1:31" ht="25.15" customHeight="1">
      <c r="A189" s="585">
        <v>3</v>
      </c>
      <c r="B189" s="586" t="s">
        <v>1470</v>
      </c>
      <c r="C189" s="541" t="str">
        <f>'LAP. PENJUALAN '!C218</f>
        <v>Air Mineral Cup</v>
      </c>
      <c r="D189" s="584"/>
      <c r="E189" s="584"/>
      <c r="F189" s="584"/>
      <c r="G189" s="584"/>
      <c r="H189" s="584"/>
      <c r="I189" s="584"/>
      <c r="J189" s="584"/>
      <c r="K189" s="584"/>
      <c r="L189" s="584"/>
      <c r="M189" s="584"/>
      <c r="N189" s="596">
        <f t="shared" si="39"/>
        <v>0</v>
      </c>
      <c r="O189" s="597">
        <f t="shared" si="38"/>
        <v>0</v>
      </c>
      <c r="P189" s="598">
        <f>(O189/O243)*100</f>
        <v>0</v>
      </c>
      <c r="Q189" s="625"/>
      <c r="R189" s="686">
        <f t="shared" si="40"/>
        <v>0</v>
      </c>
      <c r="S189" s="775">
        <v>2500</v>
      </c>
      <c r="U189" s="566">
        <f t="shared" si="41"/>
        <v>0</v>
      </c>
      <c r="V189" s="566">
        <f t="shared" si="42"/>
        <v>0</v>
      </c>
      <c r="W189" s="566">
        <f t="shared" si="43"/>
        <v>0</v>
      </c>
      <c r="X189" s="566">
        <f t="shared" si="44"/>
        <v>0</v>
      </c>
      <c r="Y189" s="566">
        <f t="shared" si="45"/>
        <v>0</v>
      </c>
      <c r="Z189" s="566">
        <f t="shared" si="46"/>
        <v>0</v>
      </c>
      <c r="AA189" s="566">
        <f t="shared" si="47"/>
        <v>0</v>
      </c>
      <c r="AB189" s="566">
        <f t="shared" si="48"/>
        <v>0</v>
      </c>
      <c r="AC189" s="566">
        <f t="shared" si="49"/>
        <v>0</v>
      </c>
      <c r="AD189" s="566">
        <f t="shared" si="50"/>
        <v>0</v>
      </c>
      <c r="AE189" s="573"/>
    </row>
    <row r="190" spans="1:31" ht="25.15" customHeight="1">
      <c r="A190" s="585">
        <v>4</v>
      </c>
      <c r="B190" s="586" t="s">
        <v>1471</v>
      </c>
      <c r="C190" s="541" t="str">
        <f>'LAP. PENJUALAN '!C219</f>
        <v>Teh Botol</v>
      </c>
      <c r="D190" s="584"/>
      <c r="E190" s="584"/>
      <c r="F190" s="584"/>
      <c r="G190" s="584"/>
      <c r="H190" s="584"/>
      <c r="I190" s="584"/>
      <c r="J190" s="584"/>
      <c r="K190" s="584"/>
      <c r="L190" s="584"/>
      <c r="M190" s="584"/>
      <c r="N190" s="596">
        <f t="shared" si="39"/>
        <v>0</v>
      </c>
      <c r="O190" s="597">
        <f t="shared" si="38"/>
        <v>0</v>
      </c>
      <c r="P190" s="598">
        <f>(O190/O243)*100</f>
        <v>0</v>
      </c>
      <c r="Q190" s="625"/>
      <c r="R190" s="686">
        <f t="shared" si="40"/>
        <v>0</v>
      </c>
      <c r="S190" s="775">
        <v>9200</v>
      </c>
      <c r="U190" s="566">
        <f t="shared" si="41"/>
        <v>0</v>
      </c>
      <c r="V190" s="566">
        <f t="shared" si="42"/>
        <v>0</v>
      </c>
      <c r="W190" s="566">
        <f t="shared" si="43"/>
        <v>0</v>
      </c>
      <c r="X190" s="566">
        <f t="shared" si="44"/>
        <v>0</v>
      </c>
      <c r="Y190" s="566">
        <f t="shared" si="45"/>
        <v>0</v>
      </c>
      <c r="Z190" s="566">
        <f t="shared" si="46"/>
        <v>0</v>
      </c>
      <c r="AA190" s="566">
        <f t="shared" si="47"/>
        <v>0</v>
      </c>
      <c r="AB190" s="566">
        <f t="shared" si="48"/>
        <v>0</v>
      </c>
      <c r="AC190" s="566">
        <f t="shared" si="49"/>
        <v>0</v>
      </c>
      <c r="AD190" s="566">
        <f t="shared" si="50"/>
        <v>0</v>
      </c>
      <c r="AE190" s="573"/>
    </row>
    <row r="191" spans="1:31" ht="25.15" customHeight="1">
      <c r="A191" s="585">
        <v>5</v>
      </c>
      <c r="B191" s="586" t="s">
        <v>1472</v>
      </c>
      <c r="C191" s="541" t="str">
        <f>'LAP. PENJUALAN '!C220</f>
        <v>Teh Sosro Genggam</v>
      </c>
      <c r="D191" s="584"/>
      <c r="E191" s="584"/>
      <c r="F191" s="584"/>
      <c r="G191" s="584"/>
      <c r="H191" s="584"/>
      <c r="I191" s="584"/>
      <c r="J191" s="584"/>
      <c r="K191" s="584"/>
      <c r="L191" s="584"/>
      <c r="M191" s="584"/>
      <c r="N191" s="596">
        <f t="shared" si="39"/>
        <v>0</v>
      </c>
      <c r="O191" s="597">
        <f t="shared" si="38"/>
        <v>0</v>
      </c>
      <c r="P191" s="599">
        <f>(O191/O243)*100</f>
        <v>0</v>
      </c>
      <c r="Q191" s="625"/>
      <c r="R191" s="686">
        <f t="shared" si="40"/>
        <v>0</v>
      </c>
      <c r="S191" s="775"/>
      <c r="U191" s="566">
        <f t="shared" si="41"/>
        <v>0</v>
      </c>
      <c r="V191" s="566">
        <f t="shared" si="42"/>
        <v>0</v>
      </c>
      <c r="W191" s="566">
        <f t="shared" si="43"/>
        <v>0</v>
      </c>
      <c r="X191" s="566">
        <f t="shared" si="44"/>
        <v>0</v>
      </c>
      <c r="Y191" s="566">
        <f t="shared" si="45"/>
        <v>0</v>
      </c>
      <c r="Z191" s="566">
        <f t="shared" si="46"/>
        <v>0</v>
      </c>
      <c r="AA191" s="566">
        <f t="shared" si="47"/>
        <v>0</v>
      </c>
      <c r="AB191" s="566">
        <f t="shared" si="48"/>
        <v>0</v>
      </c>
      <c r="AC191" s="566">
        <f t="shared" si="49"/>
        <v>0</v>
      </c>
      <c r="AD191" s="566">
        <f t="shared" si="50"/>
        <v>0</v>
      </c>
      <c r="AE191" s="573"/>
    </row>
    <row r="192" spans="1:31" ht="25.15" customHeight="1">
      <c r="A192" s="585">
        <v>6</v>
      </c>
      <c r="B192" s="586" t="s">
        <v>1473</v>
      </c>
      <c r="C192" s="541" t="str">
        <f>'LAP. PENJUALAN '!C221</f>
        <v>Fruit Tea Botol</v>
      </c>
      <c r="D192" s="584"/>
      <c r="E192" s="584"/>
      <c r="F192" s="584"/>
      <c r="G192" s="584"/>
      <c r="H192" s="584"/>
      <c r="I192" s="584"/>
      <c r="J192" s="584"/>
      <c r="K192" s="584"/>
      <c r="L192" s="584"/>
      <c r="M192" s="584"/>
      <c r="N192" s="596">
        <f t="shared" si="39"/>
        <v>0</v>
      </c>
      <c r="O192" s="597">
        <f t="shared" si="38"/>
        <v>0</v>
      </c>
      <c r="P192" s="599">
        <f>(O192/O243)*100</f>
        <v>0</v>
      </c>
      <c r="Q192" s="625"/>
      <c r="R192" s="686">
        <f t="shared" si="40"/>
        <v>0</v>
      </c>
      <c r="S192" s="775">
        <v>9200</v>
      </c>
      <c r="U192" s="566">
        <f t="shared" si="41"/>
        <v>0</v>
      </c>
      <c r="V192" s="566">
        <f t="shared" si="42"/>
        <v>0</v>
      </c>
      <c r="W192" s="566">
        <f t="shared" si="43"/>
        <v>0</v>
      </c>
      <c r="X192" s="566">
        <f t="shared" si="44"/>
        <v>0</v>
      </c>
      <c r="Y192" s="566">
        <f t="shared" si="45"/>
        <v>0</v>
      </c>
      <c r="Z192" s="566">
        <f t="shared" si="46"/>
        <v>0</v>
      </c>
      <c r="AA192" s="566">
        <f t="shared" si="47"/>
        <v>0</v>
      </c>
      <c r="AB192" s="566">
        <f t="shared" si="48"/>
        <v>0</v>
      </c>
      <c r="AC192" s="566">
        <f t="shared" si="49"/>
        <v>0</v>
      </c>
      <c r="AD192" s="566">
        <f t="shared" si="50"/>
        <v>0</v>
      </c>
      <c r="AE192" s="573"/>
    </row>
    <row r="193" spans="1:31" ht="25.15" customHeight="1">
      <c r="A193" s="585">
        <v>7</v>
      </c>
      <c r="B193" s="586" t="s">
        <v>1474</v>
      </c>
      <c r="C193" s="541" t="str">
        <f>'LAP. PENJUALAN '!C222</f>
        <v>Fuit Tea Genggam</v>
      </c>
      <c r="D193" s="584"/>
      <c r="E193" s="584"/>
      <c r="F193" s="584"/>
      <c r="G193" s="584"/>
      <c r="H193" s="584"/>
      <c r="I193" s="584"/>
      <c r="J193" s="584"/>
      <c r="K193" s="584"/>
      <c r="L193" s="584"/>
      <c r="M193" s="584"/>
      <c r="N193" s="596">
        <f t="shared" si="39"/>
        <v>0</v>
      </c>
      <c r="O193" s="597">
        <f t="shared" si="38"/>
        <v>0</v>
      </c>
      <c r="P193" s="599">
        <f>(O193/O243)*100</f>
        <v>0</v>
      </c>
      <c r="Q193" s="625"/>
      <c r="R193" s="686">
        <f t="shared" si="40"/>
        <v>0</v>
      </c>
      <c r="S193" s="775"/>
      <c r="U193" s="566">
        <f t="shared" si="41"/>
        <v>0</v>
      </c>
      <c r="V193" s="566">
        <f t="shared" si="42"/>
        <v>0</v>
      </c>
      <c r="W193" s="566">
        <f t="shared" si="43"/>
        <v>0</v>
      </c>
      <c r="X193" s="566">
        <f t="shared" si="44"/>
        <v>0</v>
      </c>
      <c r="Y193" s="566">
        <f t="shared" si="45"/>
        <v>0</v>
      </c>
      <c r="Z193" s="566">
        <f t="shared" si="46"/>
        <v>0</v>
      </c>
      <c r="AA193" s="566">
        <f t="shared" si="47"/>
        <v>0</v>
      </c>
      <c r="AB193" s="566">
        <f t="shared" si="48"/>
        <v>0</v>
      </c>
      <c r="AC193" s="566">
        <f t="shared" si="49"/>
        <v>0</v>
      </c>
      <c r="AD193" s="566">
        <f t="shared" si="50"/>
        <v>0</v>
      </c>
      <c r="AE193" s="573"/>
    </row>
    <row r="194" spans="1:31" ht="25.15" customHeight="1">
      <c r="A194" s="585">
        <v>8</v>
      </c>
      <c r="B194" s="586" t="s">
        <v>170</v>
      </c>
      <c r="C194" s="541" t="str">
        <f>'LAP. PENJUALAN '!C223</f>
        <v>Tebs</v>
      </c>
      <c r="D194" s="584"/>
      <c r="E194" s="584"/>
      <c r="F194" s="584"/>
      <c r="G194" s="584"/>
      <c r="H194" s="584"/>
      <c r="I194" s="584"/>
      <c r="J194" s="584"/>
      <c r="K194" s="584"/>
      <c r="L194" s="584"/>
      <c r="M194" s="584"/>
      <c r="N194" s="596">
        <f t="shared" si="39"/>
        <v>0</v>
      </c>
      <c r="O194" s="597">
        <f t="shared" si="38"/>
        <v>0</v>
      </c>
      <c r="P194" s="599">
        <f>(O194/O243)*100</f>
        <v>0</v>
      </c>
      <c r="Q194" s="625"/>
      <c r="R194" s="686">
        <f t="shared" si="40"/>
        <v>0</v>
      </c>
      <c r="S194" s="775">
        <v>9200</v>
      </c>
      <c r="U194" s="566">
        <f t="shared" si="41"/>
        <v>0</v>
      </c>
      <c r="V194" s="566">
        <f t="shared" si="42"/>
        <v>0</v>
      </c>
      <c r="W194" s="566">
        <f t="shared" si="43"/>
        <v>0</v>
      </c>
      <c r="X194" s="566">
        <f t="shared" si="44"/>
        <v>0</v>
      </c>
      <c r="Y194" s="566">
        <f t="shared" si="45"/>
        <v>0</v>
      </c>
      <c r="Z194" s="566">
        <f t="shared" si="46"/>
        <v>0</v>
      </c>
      <c r="AA194" s="566">
        <f t="shared" si="47"/>
        <v>0</v>
      </c>
      <c r="AB194" s="566">
        <f t="shared" si="48"/>
        <v>0</v>
      </c>
      <c r="AC194" s="566">
        <f t="shared" si="49"/>
        <v>0</v>
      </c>
      <c r="AD194" s="566">
        <f t="shared" si="50"/>
        <v>0</v>
      </c>
      <c r="AE194" s="573"/>
    </row>
    <row r="195" spans="1:31" ht="25.15" customHeight="1">
      <c r="A195" s="585">
        <v>9</v>
      </c>
      <c r="B195" s="586"/>
      <c r="C195" s="541" t="str">
        <f>'LAP. PENJUALAN '!C224</f>
        <v>S-tee</v>
      </c>
      <c r="D195" s="584"/>
      <c r="E195" s="584"/>
      <c r="F195" s="584"/>
      <c r="G195" s="584"/>
      <c r="H195" s="584"/>
      <c r="I195" s="584"/>
      <c r="J195" s="584"/>
      <c r="K195" s="584"/>
      <c r="L195" s="584"/>
      <c r="M195" s="584"/>
      <c r="N195" s="596">
        <f t="shared" si="39"/>
        <v>0</v>
      </c>
      <c r="O195" s="597">
        <f t="shared" si="38"/>
        <v>0</v>
      </c>
      <c r="P195" s="599">
        <f>(O195/O243)*100</f>
        <v>0</v>
      </c>
      <c r="Q195" s="625"/>
      <c r="R195" s="686">
        <f t="shared" si="40"/>
        <v>0</v>
      </c>
      <c r="S195" s="775"/>
      <c r="U195" s="566">
        <f t="shared" si="41"/>
        <v>0</v>
      </c>
      <c r="V195" s="566">
        <f t="shared" si="42"/>
        <v>0</v>
      </c>
      <c r="W195" s="566">
        <f t="shared" si="43"/>
        <v>0</v>
      </c>
      <c r="X195" s="566">
        <f t="shared" si="44"/>
        <v>0</v>
      </c>
      <c r="Y195" s="566">
        <f t="shared" si="45"/>
        <v>0</v>
      </c>
      <c r="Z195" s="566">
        <f t="shared" si="46"/>
        <v>0</v>
      </c>
      <c r="AA195" s="566">
        <f t="shared" si="47"/>
        <v>0</v>
      </c>
      <c r="AB195" s="566">
        <f t="shared" si="48"/>
        <v>0</v>
      </c>
      <c r="AC195" s="566">
        <f t="shared" si="49"/>
        <v>0</v>
      </c>
      <c r="AD195" s="566">
        <f t="shared" si="50"/>
        <v>0</v>
      </c>
      <c r="AE195" s="573"/>
    </row>
    <row r="196" spans="1:31" ht="25.15" customHeight="1">
      <c r="A196" s="585">
        <v>10</v>
      </c>
      <c r="B196" s="586" t="s">
        <v>1476</v>
      </c>
      <c r="C196" s="541"/>
      <c r="D196" s="584"/>
      <c r="E196" s="584"/>
      <c r="F196" s="584"/>
      <c r="G196" s="584"/>
      <c r="H196" s="584"/>
      <c r="I196" s="584"/>
      <c r="J196" s="584"/>
      <c r="K196" s="584"/>
      <c r="L196" s="584"/>
      <c r="M196" s="584"/>
      <c r="N196" s="596">
        <f t="shared" si="39"/>
        <v>0</v>
      </c>
      <c r="O196" s="597">
        <f t="shared" si="38"/>
        <v>0</v>
      </c>
      <c r="P196" s="599">
        <f>(O196/O243)*100</f>
        <v>0</v>
      </c>
      <c r="Q196" s="625"/>
      <c r="R196" s="686">
        <f t="shared" si="40"/>
        <v>0</v>
      </c>
      <c r="S196" s="775"/>
      <c r="U196" s="566">
        <f t="shared" si="41"/>
        <v>0</v>
      </c>
      <c r="V196" s="566">
        <f t="shared" si="42"/>
        <v>0</v>
      </c>
      <c r="W196" s="566">
        <f t="shared" si="43"/>
        <v>0</v>
      </c>
      <c r="X196" s="566">
        <f t="shared" si="44"/>
        <v>0</v>
      </c>
      <c r="Y196" s="566">
        <f t="shared" si="45"/>
        <v>0</v>
      </c>
      <c r="Z196" s="566">
        <f t="shared" si="46"/>
        <v>0</v>
      </c>
      <c r="AA196" s="566">
        <f t="shared" si="47"/>
        <v>0</v>
      </c>
      <c r="AB196" s="566">
        <f t="shared" si="48"/>
        <v>0</v>
      </c>
      <c r="AC196" s="566">
        <f t="shared" si="49"/>
        <v>0</v>
      </c>
      <c r="AD196" s="566">
        <f t="shared" si="50"/>
        <v>0</v>
      </c>
      <c r="AE196" s="573"/>
    </row>
    <row r="197" spans="1:31" ht="25.15" customHeight="1">
      <c r="A197" s="585">
        <v>11</v>
      </c>
      <c r="B197" s="586" t="s">
        <v>1477</v>
      </c>
      <c r="C197" s="541" t="str">
        <f>'LAP. PENJUALAN '!C226</f>
        <v>Juice Durian Float</v>
      </c>
      <c r="D197" s="584"/>
      <c r="E197" s="584"/>
      <c r="F197" s="584"/>
      <c r="G197" s="584"/>
      <c r="H197" s="584"/>
      <c r="I197" s="584"/>
      <c r="J197" s="584"/>
      <c r="K197" s="584"/>
      <c r="L197" s="584"/>
      <c r="M197" s="584"/>
      <c r="N197" s="596">
        <f t="shared" si="39"/>
        <v>0</v>
      </c>
      <c r="O197" s="597">
        <f t="shared" si="38"/>
        <v>0</v>
      </c>
      <c r="P197" s="599">
        <f>(O197/O243)*100</f>
        <v>0</v>
      </c>
      <c r="Q197" s="625"/>
      <c r="R197" s="686">
        <f t="shared" si="40"/>
        <v>0</v>
      </c>
      <c r="S197" s="775"/>
      <c r="U197" s="566">
        <f t="shared" si="41"/>
        <v>0</v>
      </c>
      <c r="V197" s="566">
        <f t="shared" si="42"/>
        <v>0</v>
      </c>
      <c r="W197" s="566">
        <f t="shared" si="43"/>
        <v>0</v>
      </c>
      <c r="X197" s="566">
        <f t="shared" si="44"/>
        <v>0</v>
      </c>
      <c r="Y197" s="566">
        <f t="shared" si="45"/>
        <v>0</v>
      </c>
      <c r="Z197" s="566">
        <f t="shared" si="46"/>
        <v>0</v>
      </c>
      <c r="AA197" s="566">
        <f t="shared" si="47"/>
        <v>0</v>
      </c>
      <c r="AB197" s="566">
        <f t="shared" si="48"/>
        <v>0</v>
      </c>
      <c r="AC197" s="566">
        <f t="shared" si="49"/>
        <v>0</v>
      </c>
      <c r="AD197" s="566">
        <f t="shared" si="50"/>
        <v>0</v>
      </c>
      <c r="AE197" s="573"/>
    </row>
    <row r="198" spans="1:31" ht="25.15" customHeight="1">
      <c r="A198" s="585">
        <v>12</v>
      </c>
      <c r="B198" s="586" t="s">
        <v>1478</v>
      </c>
      <c r="C198" s="541" t="str">
        <f>'LAP. PENJUALAN '!C227</f>
        <v>Juice Durian</v>
      </c>
      <c r="D198" s="584"/>
      <c r="E198" s="584"/>
      <c r="F198" s="584"/>
      <c r="G198" s="584"/>
      <c r="H198" s="584"/>
      <c r="I198" s="584"/>
      <c r="J198" s="584"/>
      <c r="K198" s="584"/>
      <c r="L198" s="584"/>
      <c r="M198" s="584"/>
      <c r="N198" s="596">
        <f t="shared" si="39"/>
        <v>0</v>
      </c>
      <c r="O198" s="597">
        <f t="shared" si="38"/>
        <v>0</v>
      </c>
      <c r="P198" s="599">
        <f>(O198/O243)*100</f>
        <v>0</v>
      </c>
      <c r="Q198" s="625"/>
      <c r="R198" s="686">
        <f t="shared" si="40"/>
        <v>0</v>
      </c>
      <c r="S198" s="775"/>
      <c r="U198" s="566">
        <f t="shared" si="41"/>
        <v>0</v>
      </c>
      <c r="V198" s="566">
        <f t="shared" si="42"/>
        <v>0</v>
      </c>
      <c r="W198" s="566">
        <f t="shared" si="43"/>
        <v>0</v>
      </c>
      <c r="X198" s="566">
        <f t="shared" si="44"/>
        <v>0</v>
      </c>
      <c r="Y198" s="566">
        <f t="shared" si="45"/>
        <v>0</v>
      </c>
      <c r="Z198" s="566">
        <f t="shared" si="46"/>
        <v>0</v>
      </c>
      <c r="AA198" s="566">
        <f t="shared" si="47"/>
        <v>0</v>
      </c>
      <c r="AB198" s="566">
        <f t="shared" si="48"/>
        <v>0</v>
      </c>
      <c r="AC198" s="566">
        <f t="shared" si="49"/>
        <v>0</v>
      </c>
      <c r="AD198" s="566">
        <f t="shared" si="50"/>
        <v>0</v>
      </c>
      <c r="AE198" s="573"/>
    </row>
    <row r="199" spans="1:31" ht="25.15" customHeight="1">
      <c r="A199" s="585">
        <v>13</v>
      </c>
      <c r="B199" s="586" t="s">
        <v>1479</v>
      </c>
      <c r="C199" s="541" t="str">
        <f>'LAP. PENJUALAN '!C228</f>
        <v>Juice Melon Float</v>
      </c>
      <c r="D199" s="584"/>
      <c r="E199" s="584"/>
      <c r="F199" s="584"/>
      <c r="G199" s="584"/>
      <c r="H199" s="584"/>
      <c r="I199" s="584"/>
      <c r="J199" s="584"/>
      <c r="K199" s="584"/>
      <c r="L199" s="584"/>
      <c r="M199" s="584"/>
      <c r="N199" s="596">
        <f t="shared" si="39"/>
        <v>0</v>
      </c>
      <c r="O199" s="597">
        <f t="shared" si="38"/>
        <v>0</v>
      </c>
      <c r="P199" s="599">
        <f>(O199/O243)*100</f>
        <v>0</v>
      </c>
      <c r="Q199" s="625"/>
      <c r="R199" s="686">
        <f t="shared" si="40"/>
        <v>0</v>
      </c>
      <c r="S199" s="775"/>
      <c r="U199" s="566">
        <f t="shared" si="41"/>
        <v>0</v>
      </c>
      <c r="V199" s="566">
        <f t="shared" si="42"/>
        <v>0</v>
      </c>
      <c r="W199" s="566">
        <f t="shared" si="43"/>
        <v>0</v>
      </c>
      <c r="X199" s="566">
        <f t="shared" si="44"/>
        <v>0</v>
      </c>
      <c r="Y199" s="566">
        <f t="shared" si="45"/>
        <v>0</v>
      </c>
      <c r="Z199" s="566">
        <f t="shared" si="46"/>
        <v>0</v>
      </c>
      <c r="AA199" s="566">
        <f t="shared" si="47"/>
        <v>0</v>
      </c>
      <c r="AB199" s="566">
        <f t="shared" si="48"/>
        <v>0</v>
      </c>
      <c r="AC199" s="566">
        <f t="shared" si="49"/>
        <v>0</v>
      </c>
      <c r="AD199" s="566">
        <f t="shared" si="50"/>
        <v>0</v>
      </c>
      <c r="AE199" s="573"/>
    </row>
    <row r="200" spans="1:31" ht="25.15" customHeight="1">
      <c r="A200" s="585">
        <v>14</v>
      </c>
      <c r="B200" s="586" t="s">
        <v>1480</v>
      </c>
      <c r="C200" s="541" t="str">
        <f>'LAP. PENJUALAN '!C229</f>
        <v>Juice Melon</v>
      </c>
      <c r="D200" s="584"/>
      <c r="E200" s="584"/>
      <c r="F200" s="584"/>
      <c r="G200" s="584"/>
      <c r="H200" s="584"/>
      <c r="I200" s="584"/>
      <c r="J200" s="584"/>
      <c r="K200" s="584"/>
      <c r="L200" s="584"/>
      <c r="M200" s="584"/>
      <c r="N200" s="596">
        <f t="shared" si="39"/>
        <v>0</v>
      </c>
      <c r="O200" s="597">
        <f t="shared" si="38"/>
        <v>0</v>
      </c>
      <c r="P200" s="599">
        <f>(O200/O243)*100</f>
        <v>0</v>
      </c>
      <c r="Q200" s="625"/>
      <c r="R200" s="686">
        <f t="shared" si="40"/>
        <v>0</v>
      </c>
      <c r="S200" s="775"/>
      <c r="U200" s="566">
        <f t="shared" si="41"/>
        <v>0</v>
      </c>
      <c r="V200" s="566">
        <f t="shared" si="42"/>
        <v>0</v>
      </c>
      <c r="W200" s="566">
        <f t="shared" si="43"/>
        <v>0</v>
      </c>
      <c r="X200" s="566">
        <f t="shared" si="44"/>
        <v>0</v>
      </c>
      <c r="Y200" s="566">
        <f t="shared" si="45"/>
        <v>0</v>
      </c>
      <c r="Z200" s="566">
        <f t="shared" si="46"/>
        <v>0</v>
      </c>
      <c r="AA200" s="566">
        <f t="shared" si="47"/>
        <v>0</v>
      </c>
      <c r="AB200" s="566">
        <f t="shared" si="48"/>
        <v>0</v>
      </c>
      <c r="AC200" s="566">
        <f t="shared" si="49"/>
        <v>0</v>
      </c>
      <c r="AD200" s="566">
        <f t="shared" si="50"/>
        <v>0</v>
      </c>
      <c r="AE200" s="573"/>
    </row>
    <row r="201" spans="1:31" ht="25.15" customHeight="1">
      <c r="A201" s="585">
        <v>15</v>
      </c>
      <c r="B201" s="586" t="s">
        <v>1576</v>
      </c>
      <c r="C201" s="541" t="str">
        <f>'LAP. PENJUALAN '!C230</f>
        <v>Juice Strawberry Float</v>
      </c>
      <c r="D201" s="584"/>
      <c r="E201" s="584"/>
      <c r="F201" s="584"/>
      <c r="G201" s="584"/>
      <c r="H201" s="584"/>
      <c r="I201" s="584"/>
      <c r="J201" s="584"/>
      <c r="K201" s="584"/>
      <c r="L201" s="584"/>
      <c r="M201" s="584"/>
      <c r="N201" s="596">
        <f t="shared" si="39"/>
        <v>0</v>
      </c>
      <c r="O201" s="597">
        <f t="shared" si="38"/>
        <v>0</v>
      </c>
      <c r="P201" s="599">
        <f>(O201/O243)*100</f>
        <v>0</v>
      </c>
      <c r="Q201" s="625"/>
      <c r="R201" s="686">
        <f t="shared" si="40"/>
        <v>0</v>
      </c>
      <c r="S201" s="775"/>
      <c r="U201" s="566">
        <f t="shared" si="41"/>
        <v>0</v>
      </c>
      <c r="V201" s="566">
        <f t="shared" si="42"/>
        <v>0</v>
      </c>
      <c r="W201" s="566">
        <f t="shared" si="43"/>
        <v>0</v>
      </c>
      <c r="X201" s="566">
        <f t="shared" si="44"/>
        <v>0</v>
      </c>
      <c r="Y201" s="566">
        <f t="shared" si="45"/>
        <v>0</v>
      </c>
      <c r="Z201" s="566">
        <f t="shared" si="46"/>
        <v>0</v>
      </c>
      <c r="AA201" s="566">
        <f t="shared" si="47"/>
        <v>0</v>
      </c>
      <c r="AB201" s="566">
        <f t="shared" si="48"/>
        <v>0</v>
      </c>
      <c r="AC201" s="566">
        <f t="shared" si="49"/>
        <v>0</v>
      </c>
      <c r="AD201" s="566">
        <f t="shared" si="50"/>
        <v>0</v>
      </c>
      <c r="AE201" s="573"/>
    </row>
    <row r="202" spans="1:31" ht="25.15" customHeight="1">
      <c r="A202" s="585">
        <v>16</v>
      </c>
      <c r="B202" s="586" t="s">
        <v>1482</v>
      </c>
      <c r="C202" s="541" t="str">
        <f>'LAP. PENJUALAN '!C231</f>
        <v>Juice Strawberry</v>
      </c>
      <c r="D202" s="584"/>
      <c r="E202" s="584"/>
      <c r="F202" s="584"/>
      <c r="G202" s="584"/>
      <c r="H202" s="584"/>
      <c r="I202" s="584"/>
      <c r="J202" s="584"/>
      <c r="K202" s="584"/>
      <c r="L202" s="584"/>
      <c r="M202" s="584"/>
      <c r="N202" s="596">
        <f t="shared" si="39"/>
        <v>0</v>
      </c>
      <c r="O202" s="597">
        <f t="shared" si="38"/>
        <v>0</v>
      </c>
      <c r="P202" s="600">
        <f>(O202/O243)*100</f>
        <v>0</v>
      </c>
      <c r="Q202" s="789"/>
      <c r="R202" s="686">
        <f t="shared" si="40"/>
        <v>0</v>
      </c>
      <c r="S202" s="775"/>
      <c r="U202" s="566">
        <f t="shared" si="41"/>
        <v>0</v>
      </c>
      <c r="V202" s="566">
        <f t="shared" si="42"/>
        <v>0</v>
      </c>
      <c r="W202" s="566">
        <f t="shared" si="43"/>
        <v>0</v>
      </c>
      <c r="X202" s="566">
        <f t="shared" si="44"/>
        <v>0</v>
      </c>
      <c r="Y202" s="566">
        <f t="shared" si="45"/>
        <v>0</v>
      </c>
      <c r="Z202" s="566">
        <f t="shared" si="46"/>
        <v>0</v>
      </c>
      <c r="AA202" s="566">
        <f t="shared" si="47"/>
        <v>0</v>
      </c>
      <c r="AB202" s="566">
        <f t="shared" si="48"/>
        <v>0</v>
      </c>
      <c r="AC202" s="566">
        <f t="shared" si="49"/>
        <v>0</v>
      </c>
      <c r="AD202" s="566">
        <f t="shared" si="50"/>
        <v>0</v>
      </c>
      <c r="AE202" s="573"/>
    </row>
    <row r="203" spans="1:31" ht="25.15" customHeight="1">
      <c r="A203" s="585">
        <v>17</v>
      </c>
      <c r="B203" s="586" t="s">
        <v>1483</v>
      </c>
      <c r="C203" s="541" t="str">
        <f>'LAP. PENJUALAN '!C232</f>
        <v>Juice Mangga Float</v>
      </c>
      <c r="D203" s="584"/>
      <c r="E203" s="584"/>
      <c r="F203" s="584"/>
      <c r="G203" s="584"/>
      <c r="H203" s="584"/>
      <c r="I203" s="584"/>
      <c r="J203" s="584"/>
      <c r="K203" s="584"/>
      <c r="L203" s="584"/>
      <c r="M203" s="584"/>
      <c r="N203" s="596">
        <f t="shared" si="39"/>
        <v>0</v>
      </c>
      <c r="O203" s="597">
        <f t="shared" si="38"/>
        <v>0</v>
      </c>
      <c r="P203" s="600">
        <f>(O203/O243)*100</f>
        <v>0</v>
      </c>
      <c r="Q203" s="789"/>
      <c r="R203" s="686">
        <f t="shared" si="40"/>
        <v>0</v>
      </c>
      <c r="S203" s="775"/>
      <c r="U203" s="566">
        <f t="shared" si="41"/>
        <v>0</v>
      </c>
      <c r="V203" s="566">
        <f t="shared" si="42"/>
        <v>0</v>
      </c>
      <c r="W203" s="566">
        <f t="shared" si="43"/>
        <v>0</v>
      </c>
      <c r="X203" s="566">
        <f t="shared" si="44"/>
        <v>0</v>
      </c>
      <c r="Y203" s="566">
        <f t="shared" si="45"/>
        <v>0</v>
      </c>
      <c r="Z203" s="566">
        <f t="shared" si="46"/>
        <v>0</v>
      </c>
      <c r="AA203" s="566">
        <f t="shared" si="47"/>
        <v>0</v>
      </c>
      <c r="AB203" s="566">
        <f t="shared" si="48"/>
        <v>0</v>
      </c>
      <c r="AC203" s="566">
        <f t="shared" si="49"/>
        <v>0</v>
      </c>
      <c r="AD203" s="566">
        <f t="shared" si="50"/>
        <v>0</v>
      </c>
      <c r="AE203" s="573"/>
    </row>
    <row r="204" spans="1:31" ht="25.15" customHeight="1">
      <c r="A204" s="585">
        <v>18</v>
      </c>
      <c r="B204" s="586" t="s">
        <v>1484</v>
      </c>
      <c r="C204" s="541" t="str">
        <f>'LAP. PENJUALAN '!C233</f>
        <v>Juice Mangga</v>
      </c>
      <c r="D204" s="584"/>
      <c r="E204" s="584"/>
      <c r="F204" s="584"/>
      <c r="G204" s="584"/>
      <c r="H204" s="584"/>
      <c r="I204" s="584"/>
      <c r="J204" s="584"/>
      <c r="K204" s="584"/>
      <c r="L204" s="584"/>
      <c r="M204" s="584"/>
      <c r="N204" s="596">
        <f t="shared" si="39"/>
        <v>0</v>
      </c>
      <c r="O204" s="597">
        <f t="shared" si="38"/>
        <v>0</v>
      </c>
      <c r="P204" s="600">
        <f>(O204/O243)*100</f>
        <v>0</v>
      </c>
      <c r="Q204" s="789"/>
      <c r="R204" s="686">
        <f t="shared" si="40"/>
        <v>0</v>
      </c>
      <c r="S204" s="775"/>
      <c r="U204" s="566">
        <f t="shared" si="41"/>
        <v>0</v>
      </c>
      <c r="V204" s="566">
        <f t="shared" si="42"/>
        <v>0</v>
      </c>
      <c r="W204" s="566">
        <f t="shared" si="43"/>
        <v>0</v>
      </c>
      <c r="X204" s="566">
        <f t="shared" si="44"/>
        <v>0</v>
      </c>
      <c r="Y204" s="566">
        <f t="shared" si="45"/>
        <v>0</v>
      </c>
      <c r="Z204" s="566">
        <f t="shared" si="46"/>
        <v>0</v>
      </c>
      <c r="AA204" s="566">
        <f t="shared" si="47"/>
        <v>0</v>
      </c>
      <c r="AB204" s="566">
        <f t="shared" si="48"/>
        <v>0</v>
      </c>
      <c r="AC204" s="566">
        <f t="shared" si="49"/>
        <v>0</v>
      </c>
      <c r="AD204" s="566">
        <f t="shared" si="50"/>
        <v>0</v>
      </c>
      <c r="AE204" s="573"/>
    </row>
    <row r="205" spans="1:31" ht="25.15" customHeight="1">
      <c r="A205" s="585">
        <v>19</v>
      </c>
      <c r="B205" s="586" t="s">
        <v>1485</v>
      </c>
      <c r="C205" s="541" t="str">
        <f>'LAP. PENJUALAN '!C234</f>
        <v>Juice Jambu Float</v>
      </c>
      <c r="D205" s="584"/>
      <c r="E205" s="584"/>
      <c r="F205" s="584"/>
      <c r="G205" s="584"/>
      <c r="H205" s="584"/>
      <c r="I205" s="584"/>
      <c r="J205" s="584"/>
      <c r="K205" s="584"/>
      <c r="L205" s="584"/>
      <c r="M205" s="584"/>
      <c r="N205" s="596">
        <f t="shared" si="39"/>
        <v>0</v>
      </c>
      <c r="O205" s="597">
        <f t="shared" si="38"/>
        <v>0</v>
      </c>
      <c r="P205" s="599">
        <f>(O205/O243)*100</f>
        <v>0</v>
      </c>
      <c r="Q205" s="625"/>
      <c r="R205" s="686">
        <f t="shared" si="40"/>
        <v>0</v>
      </c>
      <c r="S205" s="775"/>
      <c r="U205" s="566">
        <f t="shared" si="41"/>
        <v>0</v>
      </c>
      <c r="V205" s="566">
        <f t="shared" si="42"/>
        <v>0</v>
      </c>
      <c r="W205" s="566">
        <f t="shared" si="43"/>
        <v>0</v>
      </c>
      <c r="X205" s="566">
        <f t="shared" si="44"/>
        <v>0</v>
      </c>
      <c r="Y205" s="566">
        <f t="shared" si="45"/>
        <v>0</v>
      </c>
      <c r="Z205" s="566">
        <f t="shared" si="46"/>
        <v>0</v>
      </c>
      <c r="AA205" s="566">
        <f t="shared" si="47"/>
        <v>0</v>
      </c>
      <c r="AB205" s="566">
        <f t="shared" si="48"/>
        <v>0</v>
      </c>
      <c r="AC205" s="566">
        <f t="shared" si="49"/>
        <v>0</v>
      </c>
      <c r="AD205" s="566">
        <f t="shared" si="50"/>
        <v>0</v>
      </c>
      <c r="AE205" s="573"/>
    </row>
    <row r="206" spans="1:31" ht="25.15" customHeight="1">
      <c r="A206" s="585">
        <v>20</v>
      </c>
      <c r="B206" s="586" t="s">
        <v>1486</v>
      </c>
      <c r="C206" s="541" t="str">
        <f>'LAP. PENJUALAN '!C235</f>
        <v>Juice Jambu</v>
      </c>
      <c r="D206" s="584"/>
      <c r="E206" s="584"/>
      <c r="F206" s="584"/>
      <c r="G206" s="584"/>
      <c r="H206" s="584"/>
      <c r="I206" s="584"/>
      <c r="J206" s="584"/>
      <c r="K206" s="584"/>
      <c r="L206" s="584"/>
      <c r="M206" s="584"/>
      <c r="N206" s="596">
        <f t="shared" si="39"/>
        <v>0</v>
      </c>
      <c r="O206" s="597">
        <f t="shared" si="38"/>
        <v>0</v>
      </c>
      <c r="P206" s="599">
        <f>(O206/O243)*100</f>
        <v>0</v>
      </c>
      <c r="Q206" s="625"/>
      <c r="R206" s="686">
        <f t="shared" si="40"/>
        <v>0</v>
      </c>
      <c r="S206" s="775"/>
      <c r="U206" s="566">
        <f t="shared" si="41"/>
        <v>0</v>
      </c>
      <c r="V206" s="566">
        <f t="shared" si="42"/>
        <v>0</v>
      </c>
      <c r="W206" s="566">
        <f t="shared" si="43"/>
        <v>0</v>
      </c>
      <c r="X206" s="566">
        <f t="shared" si="44"/>
        <v>0</v>
      </c>
      <c r="Y206" s="566">
        <f t="shared" si="45"/>
        <v>0</v>
      </c>
      <c r="Z206" s="566">
        <f t="shared" si="46"/>
        <v>0</v>
      </c>
      <c r="AA206" s="566">
        <f t="shared" si="47"/>
        <v>0</v>
      </c>
      <c r="AB206" s="566">
        <f t="shared" si="48"/>
        <v>0</v>
      </c>
      <c r="AC206" s="566">
        <f t="shared" si="49"/>
        <v>0</v>
      </c>
      <c r="AD206" s="566">
        <f t="shared" si="50"/>
        <v>0</v>
      </c>
      <c r="AE206" s="573"/>
    </row>
    <row r="207" spans="1:31" ht="25.15" customHeight="1">
      <c r="A207" s="585">
        <v>21</v>
      </c>
      <c r="B207" s="586" t="s">
        <v>1487</v>
      </c>
      <c r="C207" s="541" t="str">
        <f>'LAP. PENJUALAN '!C236</f>
        <v>Juice Sirsak Float</v>
      </c>
      <c r="D207" s="584"/>
      <c r="E207" s="584"/>
      <c r="F207" s="584"/>
      <c r="G207" s="584"/>
      <c r="H207" s="584"/>
      <c r="I207" s="584"/>
      <c r="J207" s="584"/>
      <c r="K207" s="584"/>
      <c r="L207" s="584"/>
      <c r="M207" s="584"/>
      <c r="N207" s="596">
        <f t="shared" si="39"/>
        <v>0</v>
      </c>
      <c r="O207" s="597">
        <f t="shared" si="38"/>
        <v>0</v>
      </c>
      <c r="P207" s="599">
        <f>(O207/O243)*100</f>
        <v>0</v>
      </c>
      <c r="Q207" s="625"/>
      <c r="R207" s="686">
        <f t="shared" si="40"/>
        <v>0</v>
      </c>
      <c r="S207" s="775"/>
      <c r="U207" s="566">
        <f t="shared" si="41"/>
        <v>0</v>
      </c>
      <c r="V207" s="566">
        <f t="shared" si="42"/>
        <v>0</v>
      </c>
      <c r="W207" s="566">
        <f t="shared" si="43"/>
        <v>0</v>
      </c>
      <c r="X207" s="566">
        <f t="shared" si="44"/>
        <v>0</v>
      </c>
      <c r="Y207" s="566">
        <f t="shared" si="45"/>
        <v>0</v>
      </c>
      <c r="Z207" s="566">
        <f t="shared" si="46"/>
        <v>0</v>
      </c>
      <c r="AA207" s="566">
        <f t="shared" si="47"/>
        <v>0</v>
      </c>
      <c r="AB207" s="566">
        <f t="shared" si="48"/>
        <v>0</v>
      </c>
      <c r="AC207" s="566">
        <f t="shared" si="49"/>
        <v>0</v>
      </c>
      <c r="AD207" s="566">
        <f t="shared" si="50"/>
        <v>0</v>
      </c>
      <c r="AE207" s="573"/>
    </row>
    <row r="208" spans="1:31" ht="25.15" customHeight="1">
      <c r="A208" s="585">
        <v>22</v>
      </c>
      <c r="B208" s="586"/>
      <c r="C208" s="541" t="str">
        <f>'LAP. PENJUALAN '!C237</f>
        <v>Juice Sirsak</v>
      </c>
      <c r="D208" s="584"/>
      <c r="E208" s="584"/>
      <c r="F208" s="584"/>
      <c r="G208" s="584"/>
      <c r="H208" s="584"/>
      <c r="I208" s="584"/>
      <c r="J208" s="584"/>
      <c r="K208" s="584"/>
      <c r="L208" s="584"/>
      <c r="M208" s="584"/>
      <c r="N208" s="596">
        <f t="shared" si="39"/>
        <v>0</v>
      </c>
      <c r="O208" s="597">
        <f t="shared" si="38"/>
        <v>0</v>
      </c>
      <c r="P208" s="599">
        <f>(O208/O243)*100</f>
        <v>0</v>
      </c>
      <c r="Q208" s="625"/>
      <c r="R208" s="686">
        <f t="shared" si="40"/>
        <v>0</v>
      </c>
      <c r="S208" s="775"/>
      <c r="U208" s="566">
        <f t="shared" si="41"/>
        <v>0</v>
      </c>
      <c r="V208" s="566">
        <f t="shared" si="42"/>
        <v>0</v>
      </c>
      <c r="W208" s="566">
        <f t="shared" si="43"/>
        <v>0</v>
      </c>
      <c r="X208" s="566">
        <f t="shared" si="44"/>
        <v>0</v>
      </c>
      <c r="Y208" s="566">
        <f t="shared" si="45"/>
        <v>0</v>
      </c>
      <c r="Z208" s="566">
        <f t="shared" si="46"/>
        <v>0</v>
      </c>
      <c r="AA208" s="566">
        <f t="shared" si="47"/>
        <v>0</v>
      </c>
      <c r="AB208" s="566">
        <f t="shared" si="48"/>
        <v>0</v>
      </c>
      <c r="AC208" s="566">
        <f t="shared" si="49"/>
        <v>0</v>
      </c>
      <c r="AD208" s="566">
        <f t="shared" si="50"/>
        <v>0</v>
      </c>
      <c r="AE208" s="573"/>
    </row>
    <row r="209" spans="1:31" ht="25.15" customHeight="1">
      <c r="A209" s="585">
        <v>23</v>
      </c>
      <c r="B209" s="586" t="s">
        <v>1577</v>
      </c>
      <c r="C209" s="541"/>
      <c r="D209" s="584"/>
      <c r="E209" s="584"/>
      <c r="F209" s="584"/>
      <c r="G209" s="584"/>
      <c r="H209" s="584"/>
      <c r="I209" s="584"/>
      <c r="J209" s="584"/>
      <c r="K209" s="584"/>
      <c r="L209" s="584"/>
      <c r="M209" s="584"/>
      <c r="N209" s="596">
        <f t="shared" si="39"/>
        <v>0</v>
      </c>
      <c r="O209" s="597">
        <f t="shared" si="38"/>
        <v>0</v>
      </c>
      <c r="P209" s="599">
        <f>(O209/O243)*100</f>
        <v>0</v>
      </c>
      <c r="Q209" s="625"/>
      <c r="R209" s="686">
        <f t="shared" si="40"/>
        <v>0</v>
      </c>
      <c r="S209" s="775"/>
      <c r="U209" s="566">
        <f t="shared" si="41"/>
        <v>0</v>
      </c>
      <c r="V209" s="566">
        <f t="shared" si="42"/>
        <v>0</v>
      </c>
      <c r="W209" s="566">
        <f t="shared" si="43"/>
        <v>0</v>
      </c>
      <c r="X209" s="566">
        <f t="shared" si="44"/>
        <v>0</v>
      </c>
      <c r="Y209" s="566">
        <f t="shared" si="45"/>
        <v>0</v>
      </c>
      <c r="Z209" s="566">
        <f t="shared" si="46"/>
        <v>0</v>
      </c>
      <c r="AA209" s="566">
        <f t="shared" si="47"/>
        <v>0</v>
      </c>
      <c r="AB209" s="566">
        <f t="shared" si="48"/>
        <v>0</v>
      </c>
      <c r="AC209" s="566">
        <f t="shared" si="49"/>
        <v>0</v>
      </c>
      <c r="AD209" s="566">
        <f t="shared" si="50"/>
        <v>0</v>
      </c>
      <c r="AE209" s="573"/>
    </row>
    <row r="210" spans="1:31" ht="25.15" customHeight="1">
      <c r="A210" s="585">
        <v>24</v>
      </c>
      <c r="B210" s="586" t="s">
        <v>1578</v>
      </c>
      <c r="C210" s="541" t="str">
        <f>'LAP. PENJUALAN '!C239</f>
        <v>Milkshake Coklat</v>
      </c>
      <c r="D210" s="584"/>
      <c r="E210" s="584"/>
      <c r="F210" s="584"/>
      <c r="G210" s="584"/>
      <c r="H210" s="584"/>
      <c r="I210" s="584"/>
      <c r="J210" s="584"/>
      <c r="K210" s="584"/>
      <c r="L210" s="584"/>
      <c r="M210" s="584"/>
      <c r="N210" s="596">
        <f t="shared" si="39"/>
        <v>0</v>
      </c>
      <c r="O210" s="597">
        <f t="shared" si="38"/>
        <v>0</v>
      </c>
      <c r="P210" s="599">
        <f>(O210/O243)*100</f>
        <v>0</v>
      </c>
      <c r="Q210" s="625"/>
      <c r="R210" s="686">
        <f t="shared" si="40"/>
        <v>0</v>
      </c>
      <c r="S210" s="775"/>
      <c r="U210" s="566">
        <f t="shared" si="41"/>
        <v>0</v>
      </c>
      <c r="V210" s="566">
        <f t="shared" si="42"/>
        <v>0</v>
      </c>
      <c r="W210" s="566">
        <f t="shared" si="43"/>
        <v>0</v>
      </c>
      <c r="X210" s="566">
        <f t="shared" si="44"/>
        <v>0</v>
      </c>
      <c r="Y210" s="566">
        <f t="shared" si="45"/>
        <v>0</v>
      </c>
      <c r="Z210" s="566">
        <f t="shared" si="46"/>
        <v>0</v>
      </c>
      <c r="AA210" s="566">
        <f t="shared" si="47"/>
        <v>0</v>
      </c>
      <c r="AB210" s="566">
        <f t="shared" si="48"/>
        <v>0</v>
      </c>
      <c r="AC210" s="566">
        <f t="shared" si="49"/>
        <v>0</v>
      </c>
      <c r="AD210" s="566">
        <f t="shared" si="50"/>
        <v>0</v>
      </c>
      <c r="AE210" s="573"/>
    </row>
    <row r="211" spans="1:31" ht="25.15" customHeight="1">
      <c r="A211" s="585">
        <v>25</v>
      </c>
      <c r="B211" s="586" t="s">
        <v>1488</v>
      </c>
      <c r="C211" s="541" t="str">
        <f>'LAP. PENJUALAN '!C240</f>
        <v>Milkshake Coklat Float</v>
      </c>
      <c r="D211" s="584"/>
      <c r="E211" s="584"/>
      <c r="F211" s="584"/>
      <c r="G211" s="584"/>
      <c r="H211" s="584"/>
      <c r="I211" s="584"/>
      <c r="J211" s="584"/>
      <c r="K211" s="584"/>
      <c r="L211" s="584"/>
      <c r="M211" s="584"/>
      <c r="N211" s="596">
        <f t="shared" si="39"/>
        <v>0</v>
      </c>
      <c r="O211" s="597">
        <f t="shared" si="38"/>
        <v>0</v>
      </c>
      <c r="P211" s="599">
        <f>(O211/O243)*100</f>
        <v>0</v>
      </c>
      <c r="Q211" s="625"/>
      <c r="R211" s="686">
        <f t="shared" si="40"/>
        <v>0</v>
      </c>
      <c r="S211" s="775">
        <v>12500</v>
      </c>
      <c r="U211" s="566">
        <f t="shared" si="41"/>
        <v>0</v>
      </c>
      <c r="V211" s="566">
        <f t="shared" si="42"/>
        <v>0</v>
      </c>
      <c r="W211" s="566">
        <f t="shared" si="43"/>
        <v>0</v>
      </c>
      <c r="X211" s="566">
        <f t="shared" si="44"/>
        <v>0</v>
      </c>
      <c r="Y211" s="566">
        <f t="shared" si="45"/>
        <v>0</v>
      </c>
      <c r="Z211" s="566">
        <f t="shared" si="46"/>
        <v>0</v>
      </c>
      <c r="AA211" s="566">
        <f t="shared" si="47"/>
        <v>0</v>
      </c>
      <c r="AB211" s="566">
        <f t="shared" si="48"/>
        <v>0</v>
      </c>
      <c r="AC211" s="566">
        <f t="shared" si="49"/>
        <v>0</v>
      </c>
      <c r="AD211" s="566">
        <f t="shared" si="50"/>
        <v>0</v>
      </c>
      <c r="AE211" s="573"/>
    </row>
    <row r="212" spans="1:31" ht="25.15" customHeight="1">
      <c r="A212" s="585">
        <v>26</v>
      </c>
      <c r="B212" s="586" t="s">
        <v>1489</v>
      </c>
      <c r="C212" s="541" t="str">
        <f>'LAP. PENJUALAN '!C241</f>
        <v>Milkshake Strawberry</v>
      </c>
      <c r="D212" s="584"/>
      <c r="E212" s="584"/>
      <c r="F212" s="584"/>
      <c r="G212" s="584"/>
      <c r="H212" s="584"/>
      <c r="I212" s="584"/>
      <c r="J212" s="584"/>
      <c r="K212" s="584"/>
      <c r="L212" s="584"/>
      <c r="M212" s="584"/>
      <c r="N212" s="596">
        <f t="shared" si="39"/>
        <v>0</v>
      </c>
      <c r="O212" s="597">
        <f t="shared" si="38"/>
        <v>0</v>
      </c>
      <c r="P212" s="599">
        <f>(O212/O243)*100</f>
        <v>0</v>
      </c>
      <c r="Q212" s="625"/>
      <c r="R212" s="686">
        <f t="shared" si="40"/>
        <v>0</v>
      </c>
      <c r="S212" s="775"/>
      <c r="U212" s="566">
        <f t="shared" si="41"/>
        <v>0</v>
      </c>
      <c r="V212" s="566">
        <f t="shared" si="42"/>
        <v>0</v>
      </c>
      <c r="W212" s="566">
        <f t="shared" si="43"/>
        <v>0</v>
      </c>
      <c r="X212" s="566">
        <f t="shared" si="44"/>
        <v>0</v>
      </c>
      <c r="Y212" s="566">
        <f t="shared" si="45"/>
        <v>0</v>
      </c>
      <c r="Z212" s="566">
        <f t="shared" si="46"/>
        <v>0</v>
      </c>
      <c r="AA212" s="566">
        <f t="shared" si="47"/>
        <v>0</v>
      </c>
      <c r="AB212" s="566">
        <f t="shared" si="48"/>
        <v>0</v>
      </c>
      <c r="AC212" s="566">
        <f t="shared" si="49"/>
        <v>0</v>
      </c>
      <c r="AD212" s="566">
        <f t="shared" si="50"/>
        <v>0</v>
      </c>
      <c r="AE212" s="573"/>
    </row>
    <row r="213" spans="1:31" ht="25.15" customHeight="1">
      <c r="A213" s="585">
        <v>27</v>
      </c>
      <c r="B213" s="586" t="s">
        <v>1490</v>
      </c>
      <c r="C213" s="541" t="str">
        <f>'LAP. PENJUALAN '!C242</f>
        <v>Milkshake Strawberry Float</v>
      </c>
      <c r="D213" s="584"/>
      <c r="E213" s="584"/>
      <c r="F213" s="584"/>
      <c r="G213" s="584"/>
      <c r="H213" s="584"/>
      <c r="I213" s="584"/>
      <c r="J213" s="584"/>
      <c r="K213" s="584"/>
      <c r="L213" s="584"/>
      <c r="M213" s="584"/>
      <c r="N213" s="596">
        <f t="shared" si="39"/>
        <v>0</v>
      </c>
      <c r="O213" s="597">
        <f t="shared" si="38"/>
        <v>0</v>
      </c>
      <c r="P213" s="599">
        <f>(O213/O243)*100</f>
        <v>0</v>
      </c>
      <c r="Q213" s="625"/>
      <c r="R213" s="686">
        <f t="shared" si="40"/>
        <v>0</v>
      </c>
      <c r="S213" s="775">
        <v>12500</v>
      </c>
      <c r="U213" s="566">
        <f t="shared" si="41"/>
        <v>0</v>
      </c>
      <c r="V213" s="566">
        <f t="shared" si="42"/>
        <v>0</v>
      </c>
      <c r="W213" s="566">
        <f t="shared" si="43"/>
        <v>0</v>
      </c>
      <c r="X213" s="566">
        <f t="shared" si="44"/>
        <v>0</v>
      </c>
      <c r="Y213" s="566">
        <f t="shared" si="45"/>
        <v>0</v>
      </c>
      <c r="Z213" s="566">
        <f t="shared" si="46"/>
        <v>0</v>
      </c>
      <c r="AA213" s="566">
        <f t="shared" si="47"/>
        <v>0</v>
      </c>
      <c r="AB213" s="566">
        <f t="shared" si="48"/>
        <v>0</v>
      </c>
      <c r="AC213" s="566">
        <f t="shared" si="49"/>
        <v>0</v>
      </c>
      <c r="AD213" s="566">
        <f t="shared" si="50"/>
        <v>0</v>
      </c>
      <c r="AE213" s="573"/>
    </row>
    <row r="214" spans="1:31" ht="25.15" customHeight="1">
      <c r="A214" s="585">
        <v>28</v>
      </c>
      <c r="B214" s="586" t="s">
        <v>1491</v>
      </c>
      <c r="C214" s="541"/>
      <c r="D214" s="584"/>
      <c r="E214" s="584"/>
      <c r="F214" s="584"/>
      <c r="G214" s="584"/>
      <c r="H214" s="584"/>
      <c r="I214" s="584"/>
      <c r="J214" s="584"/>
      <c r="K214" s="584"/>
      <c r="L214" s="584"/>
      <c r="M214" s="584"/>
      <c r="N214" s="596">
        <f t="shared" si="39"/>
        <v>0</v>
      </c>
      <c r="O214" s="597">
        <f t="shared" si="38"/>
        <v>0</v>
      </c>
      <c r="P214" s="599">
        <f>(O214/O243)*100</f>
        <v>0</v>
      </c>
      <c r="Q214" s="625"/>
      <c r="R214" s="686">
        <f t="shared" si="40"/>
        <v>0</v>
      </c>
      <c r="S214" s="775"/>
      <c r="U214" s="566">
        <f t="shared" si="41"/>
        <v>0</v>
      </c>
      <c r="V214" s="566">
        <f t="shared" si="42"/>
        <v>0</v>
      </c>
      <c r="W214" s="566">
        <f t="shared" si="43"/>
        <v>0</v>
      </c>
      <c r="X214" s="566">
        <f t="shared" si="44"/>
        <v>0</v>
      </c>
      <c r="Y214" s="566">
        <f t="shared" si="45"/>
        <v>0</v>
      </c>
      <c r="Z214" s="566">
        <f t="shared" si="46"/>
        <v>0</v>
      </c>
      <c r="AA214" s="566">
        <f t="shared" si="47"/>
        <v>0</v>
      </c>
      <c r="AB214" s="566">
        <f t="shared" si="48"/>
        <v>0</v>
      </c>
      <c r="AC214" s="566">
        <f t="shared" si="49"/>
        <v>0</v>
      </c>
      <c r="AD214" s="566">
        <f t="shared" si="50"/>
        <v>0</v>
      </c>
      <c r="AE214" s="573"/>
    </row>
    <row r="215" spans="1:31" ht="25.15" customHeight="1">
      <c r="A215" s="585">
        <v>29</v>
      </c>
      <c r="B215" s="586" t="s">
        <v>1579</v>
      </c>
      <c r="C215" s="541" t="str">
        <f>'LAP. PENJUALAN '!C244</f>
        <v>Nestle Lemon Tea</v>
      </c>
      <c r="D215" s="584"/>
      <c r="E215" s="584"/>
      <c r="F215" s="584"/>
      <c r="G215" s="584"/>
      <c r="H215" s="584"/>
      <c r="I215" s="584"/>
      <c r="J215" s="584">
        <v>1</v>
      </c>
      <c r="K215" s="584"/>
      <c r="L215" s="584"/>
      <c r="M215" s="584"/>
      <c r="N215" s="596">
        <f t="shared" si="39"/>
        <v>1</v>
      </c>
      <c r="O215" s="597">
        <f t="shared" si="38"/>
        <v>10060</v>
      </c>
      <c r="P215" s="599">
        <f>(O215/O243)*100</f>
        <v>0.18388468273494701</v>
      </c>
      <c r="Q215" s="625"/>
      <c r="R215" s="686">
        <f t="shared" si="40"/>
        <v>0</v>
      </c>
      <c r="S215" s="790">
        <v>10060</v>
      </c>
      <c r="U215" s="566">
        <f t="shared" si="41"/>
        <v>0</v>
      </c>
      <c r="V215" s="566">
        <f t="shared" si="42"/>
        <v>0</v>
      </c>
      <c r="W215" s="566">
        <f t="shared" si="43"/>
        <v>0</v>
      </c>
      <c r="X215" s="566">
        <f t="shared" si="44"/>
        <v>0</v>
      </c>
      <c r="Y215" s="566">
        <f t="shared" si="45"/>
        <v>0</v>
      </c>
      <c r="Z215" s="566">
        <f t="shared" si="46"/>
        <v>0</v>
      </c>
      <c r="AA215" s="566">
        <f t="shared" si="47"/>
        <v>10060</v>
      </c>
      <c r="AB215" s="566">
        <f t="shared" si="48"/>
        <v>0</v>
      </c>
      <c r="AC215" s="566">
        <f t="shared" si="49"/>
        <v>0</v>
      </c>
      <c r="AD215" s="566">
        <f t="shared" si="50"/>
        <v>0</v>
      </c>
      <c r="AE215" s="573"/>
    </row>
    <row r="216" spans="1:31" ht="25.15" customHeight="1">
      <c r="A216" s="585">
        <v>30</v>
      </c>
      <c r="B216" s="586" t="s">
        <v>1580</v>
      </c>
      <c r="C216" s="541" t="str">
        <f>'LAP. PENJUALAN '!C245</f>
        <v>Milo</v>
      </c>
      <c r="D216" s="584"/>
      <c r="E216" s="584"/>
      <c r="F216" s="584">
        <v>1</v>
      </c>
      <c r="G216" s="584"/>
      <c r="H216" s="584">
        <v>2</v>
      </c>
      <c r="I216" s="584"/>
      <c r="J216" s="584"/>
      <c r="K216" s="584"/>
      <c r="L216" s="584"/>
      <c r="M216" s="584"/>
      <c r="N216" s="596">
        <f t="shared" si="39"/>
        <v>3</v>
      </c>
      <c r="O216" s="597">
        <f t="shared" si="38"/>
        <v>36660</v>
      </c>
      <c r="P216" s="599">
        <f>(O216/O243)*100</f>
        <v>0.67010064304802597</v>
      </c>
      <c r="Q216" s="625"/>
      <c r="R216" s="686">
        <f t="shared" si="40"/>
        <v>0</v>
      </c>
      <c r="S216" s="790">
        <v>12220</v>
      </c>
      <c r="U216" s="566">
        <f t="shared" si="41"/>
        <v>0</v>
      </c>
      <c r="V216" s="566">
        <f t="shared" si="42"/>
        <v>0</v>
      </c>
      <c r="W216" s="566">
        <f t="shared" si="43"/>
        <v>12220</v>
      </c>
      <c r="X216" s="566">
        <f t="shared" si="44"/>
        <v>0</v>
      </c>
      <c r="Y216" s="566">
        <f t="shared" si="45"/>
        <v>24440</v>
      </c>
      <c r="Z216" s="566">
        <f t="shared" si="46"/>
        <v>0</v>
      </c>
      <c r="AA216" s="566">
        <f t="shared" si="47"/>
        <v>0</v>
      </c>
      <c r="AB216" s="566">
        <f t="shared" si="48"/>
        <v>0</v>
      </c>
      <c r="AC216" s="566">
        <f t="shared" si="49"/>
        <v>0</v>
      </c>
      <c r="AD216" s="566">
        <f t="shared" si="50"/>
        <v>0</v>
      </c>
      <c r="AE216" s="573"/>
    </row>
    <row r="217" spans="1:31" ht="25.15" customHeight="1">
      <c r="A217" s="585">
        <v>31</v>
      </c>
      <c r="B217" s="586"/>
      <c r="C217" s="541" t="str">
        <f>'LAP. PENJUALAN '!C246</f>
        <v>Ice Cream</v>
      </c>
      <c r="D217" s="584"/>
      <c r="E217" s="584"/>
      <c r="F217" s="584"/>
      <c r="G217" s="584"/>
      <c r="H217" s="584"/>
      <c r="I217" s="584"/>
      <c r="J217" s="584"/>
      <c r="K217" s="584"/>
      <c r="L217" s="584"/>
      <c r="M217" s="584"/>
      <c r="N217" s="596">
        <f t="shared" si="39"/>
        <v>0</v>
      </c>
      <c r="O217" s="597">
        <f t="shared" si="38"/>
        <v>0</v>
      </c>
      <c r="P217" s="599">
        <f>(O217/O243)*100</f>
        <v>0</v>
      </c>
      <c r="Q217" s="625"/>
      <c r="R217" s="686">
        <f t="shared" si="40"/>
        <v>0</v>
      </c>
      <c r="S217" s="790">
        <v>6100</v>
      </c>
      <c r="U217" s="566">
        <f t="shared" si="41"/>
        <v>0</v>
      </c>
      <c r="V217" s="566">
        <f t="shared" si="42"/>
        <v>0</v>
      </c>
      <c r="W217" s="566">
        <f t="shared" si="43"/>
        <v>0</v>
      </c>
      <c r="X217" s="566">
        <f t="shared" si="44"/>
        <v>0</v>
      </c>
      <c r="Y217" s="566">
        <f t="shared" si="45"/>
        <v>0</v>
      </c>
      <c r="Z217" s="566">
        <f t="shared" si="46"/>
        <v>0</v>
      </c>
      <c r="AA217" s="566">
        <f t="shared" si="47"/>
        <v>0</v>
      </c>
      <c r="AB217" s="566">
        <f t="shared" si="48"/>
        <v>0</v>
      </c>
      <c r="AC217" s="566">
        <f t="shared" si="49"/>
        <v>0</v>
      </c>
      <c r="AD217" s="566">
        <f t="shared" si="50"/>
        <v>0</v>
      </c>
      <c r="AE217" s="573"/>
    </row>
    <row r="218" spans="1:31" ht="25.15" customHeight="1">
      <c r="A218" s="585">
        <v>32</v>
      </c>
      <c r="B218" s="586" t="s">
        <v>1581</v>
      </c>
      <c r="C218" s="541"/>
      <c r="D218" s="584"/>
      <c r="E218" s="584"/>
      <c r="F218" s="584"/>
      <c r="G218" s="584"/>
      <c r="H218" s="584"/>
      <c r="I218" s="584"/>
      <c r="J218" s="584"/>
      <c r="K218" s="584"/>
      <c r="L218" s="584"/>
      <c r="M218" s="584"/>
      <c r="N218" s="596">
        <f t="shared" si="39"/>
        <v>0</v>
      </c>
      <c r="O218" s="597">
        <f t="shared" si="38"/>
        <v>0</v>
      </c>
      <c r="P218" s="599">
        <f>(O218/O243)*100</f>
        <v>0</v>
      </c>
      <c r="Q218" s="625"/>
      <c r="R218" s="686">
        <f t="shared" si="40"/>
        <v>0</v>
      </c>
      <c r="S218" s="775"/>
      <c r="U218" s="566">
        <f t="shared" si="41"/>
        <v>0</v>
      </c>
      <c r="V218" s="566">
        <f t="shared" si="42"/>
        <v>0</v>
      </c>
      <c r="W218" s="566">
        <f t="shared" si="43"/>
        <v>0</v>
      </c>
      <c r="X218" s="566">
        <f t="shared" si="44"/>
        <v>0</v>
      </c>
      <c r="Y218" s="566">
        <f t="shared" si="45"/>
        <v>0</v>
      </c>
      <c r="Z218" s="566">
        <f t="shared" si="46"/>
        <v>0</v>
      </c>
      <c r="AA218" s="566">
        <f t="shared" si="47"/>
        <v>0</v>
      </c>
      <c r="AB218" s="566">
        <f t="shared" si="48"/>
        <v>0</v>
      </c>
      <c r="AC218" s="566">
        <f t="shared" si="49"/>
        <v>0</v>
      </c>
      <c r="AD218" s="566">
        <f t="shared" si="50"/>
        <v>0</v>
      </c>
      <c r="AE218" s="573"/>
    </row>
    <row r="219" spans="1:31" ht="25.15" customHeight="1">
      <c r="A219" s="585">
        <v>33</v>
      </c>
      <c r="B219" s="586" t="s">
        <v>1493</v>
      </c>
      <c r="C219" s="541" t="str">
        <f>'LAP. PENJUALAN '!C248</f>
        <v>Es Teh</v>
      </c>
      <c r="D219" s="584"/>
      <c r="E219" s="584"/>
      <c r="F219" s="584"/>
      <c r="G219" s="584">
        <v>1</v>
      </c>
      <c r="H219" s="584"/>
      <c r="I219" s="584"/>
      <c r="J219" s="584"/>
      <c r="K219" s="584"/>
      <c r="L219" s="584"/>
      <c r="M219" s="584"/>
      <c r="N219" s="596">
        <f t="shared" si="39"/>
        <v>1</v>
      </c>
      <c r="O219" s="597">
        <f t="shared" si="38"/>
        <v>7900</v>
      </c>
      <c r="P219" s="599">
        <f>(O219/O243)*100</f>
        <v>0.14440248445388401</v>
      </c>
      <c r="Q219" s="625"/>
      <c r="R219" s="686">
        <f t="shared" si="40"/>
        <v>0</v>
      </c>
      <c r="S219" s="775">
        <v>7900</v>
      </c>
      <c r="U219" s="566">
        <f t="shared" si="41"/>
        <v>0</v>
      </c>
      <c r="V219" s="566">
        <f t="shared" si="42"/>
        <v>0</v>
      </c>
      <c r="W219" s="566">
        <f t="shared" si="43"/>
        <v>0</v>
      </c>
      <c r="X219" s="566">
        <f t="shared" si="44"/>
        <v>7900</v>
      </c>
      <c r="Y219" s="566">
        <f t="shared" si="45"/>
        <v>0</v>
      </c>
      <c r="Z219" s="566">
        <f t="shared" si="46"/>
        <v>0</v>
      </c>
      <c r="AA219" s="566">
        <f t="shared" si="47"/>
        <v>0</v>
      </c>
      <c r="AB219" s="566">
        <f t="shared" si="48"/>
        <v>0</v>
      </c>
      <c r="AC219" s="566">
        <f t="shared" si="49"/>
        <v>0</v>
      </c>
      <c r="AD219" s="566">
        <f t="shared" si="50"/>
        <v>0</v>
      </c>
      <c r="AE219" s="573"/>
    </row>
    <row r="220" spans="1:31" ht="25.15" customHeight="1">
      <c r="A220" s="585">
        <v>34</v>
      </c>
      <c r="B220" s="586"/>
      <c r="C220" s="541" t="str">
        <f>'LAP. PENJUALAN '!C249</f>
        <v>Es Teh RC</v>
      </c>
      <c r="D220" s="584"/>
      <c r="E220" s="584"/>
      <c r="F220" s="584"/>
      <c r="G220" s="584"/>
      <c r="H220" s="584"/>
      <c r="I220" s="584"/>
      <c r="J220" s="584"/>
      <c r="K220" s="584"/>
      <c r="L220" s="584"/>
      <c r="M220" s="584"/>
      <c r="N220" s="596">
        <f t="shared" ref="N220" si="51">SUM(D220:M220)</f>
        <v>0</v>
      </c>
      <c r="O220" s="597">
        <f t="shared" ref="O220" si="52">N220*S220</f>
        <v>0</v>
      </c>
      <c r="P220" s="599">
        <f>(O220/O243)*100</f>
        <v>0</v>
      </c>
      <c r="Q220" s="625"/>
      <c r="R220" s="686">
        <f t="shared" ref="R220" si="53">P220*Q220</f>
        <v>0</v>
      </c>
      <c r="S220" s="775"/>
      <c r="U220" s="566">
        <f t="shared" ref="U220" si="54">D220*S220</f>
        <v>0</v>
      </c>
      <c r="V220" s="566">
        <f t="shared" ref="V220" si="55">E220*S220</f>
        <v>0</v>
      </c>
      <c r="W220" s="566">
        <f t="shared" ref="W220" si="56">F220*S220</f>
        <v>0</v>
      </c>
      <c r="X220" s="566">
        <f t="shared" ref="X220" si="57">G220*S220</f>
        <v>0</v>
      </c>
      <c r="Y220" s="566">
        <f t="shared" ref="Y220" si="58">H220*S220</f>
        <v>0</v>
      </c>
      <c r="Z220" s="566">
        <f t="shared" ref="Z220" si="59">I220*S220</f>
        <v>0</v>
      </c>
      <c r="AA220" s="566">
        <f t="shared" ref="AA220" si="60">J220*S220</f>
        <v>0</v>
      </c>
      <c r="AB220" s="566">
        <f t="shared" ref="AB220" si="61">K220*S220</f>
        <v>0</v>
      </c>
      <c r="AC220" s="566">
        <f t="shared" ref="AC220" si="62">L220*S220</f>
        <v>0</v>
      </c>
      <c r="AD220" s="566">
        <f t="shared" ref="AD220" si="63">M220*S220</f>
        <v>0</v>
      </c>
      <c r="AE220" s="573"/>
    </row>
    <row r="221" spans="1:31" ht="25.15" customHeight="1">
      <c r="A221" s="585">
        <v>35</v>
      </c>
      <c r="B221" s="586" t="s">
        <v>1582</v>
      </c>
      <c r="C221" s="541"/>
      <c r="D221" s="584"/>
      <c r="E221" s="584"/>
      <c r="F221" s="584"/>
      <c r="G221" s="584"/>
      <c r="H221" s="584"/>
      <c r="I221" s="584"/>
      <c r="J221" s="584"/>
      <c r="K221" s="584"/>
      <c r="L221" s="584"/>
      <c r="M221" s="584"/>
      <c r="N221" s="596">
        <f t="shared" si="39"/>
        <v>0</v>
      </c>
      <c r="O221" s="597">
        <f t="shared" si="38"/>
        <v>0</v>
      </c>
      <c r="P221" s="599">
        <f>(O221/O243)*100</f>
        <v>0</v>
      </c>
      <c r="Q221" s="625"/>
      <c r="R221" s="686">
        <f t="shared" si="40"/>
        <v>0</v>
      </c>
      <c r="S221" s="775"/>
      <c r="U221" s="566">
        <f t="shared" si="41"/>
        <v>0</v>
      </c>
      <c r="V221" s="566">
        <f t="shared" si="42"/>
        <v>0</v>
      </c>
      <c r="W221" s="566">
        <f t="shared" si="43"/>
        <v>0</v>
      </c>
      <c r="X221" s="566">
        <f t="shared" si="44"/>
        <v>0</v>
      </c>
      <c r="Y221" s="566">
        <f t="shared" si="45"/>
        <v>0</v>
      </c>
      <c r="Z221" s="566">
        <f t="shared" si="46"/>
        <v>0</v>
      </c>
      <c r="AA221" s="566">
        <f t="shared" si="47"/>
        <v>0</v>
      </c>
      <c r="AB221" s="566">
        <f t="shared" si="48"/>
        <v>0</v>
      </c>
      <c r="AC221" s="566">
        <f t="shared" si="49"/>
        <v>0</v>
      </c>
      <c r="AD221" s="566">
        <f t="shared" si="50"/>
        <v>0</v>
      </c>
      <c r="AE221" s="573"/>
    </row>
    <row r="222" spans="1:31" ht="25.15" customHeight="1">
      <c r="A222" s="585">
        <v>36</v>
      </c>
      <c r="B222" s="586" t="s">
        <v>1494</v>
      </c>
      <c r="C222" s="541" t="str">
        <f>'LAP. PENJUALAN '!C251</f>
        <v>Thai Green Tea</v>
      </c>
      <c r="D222" s="584"/>
      <c r="E222" s="584"/>
      <c r="F222" s="584"/>
      <c r="G222" s="584"/>
      <c r="H222" s="584"/>
      <c r="I222" s="584"/>
      <c r="J222" s="584"/>
      <c r="K222" s="584"/>
      <c r="L222" s="584"/>
      <c r="M222" s="584"/>
      <c r="N222" s="596">
        <f t="shared" si="39"/>
        <v>0</v>
      </c>
      <c r="O222" s="597">
        <f t="shared" si="38"/>
        <v>0</v>
      </c>
      <c r="P222" s="599">
        <f>(O222/O243)*100</f>
        <v>0</v>
      </c>
      <c r="Q222" s="625"/>
      <c r="R222" s="686">
        <f t="shared" si="40"/>
        <v>0</v>
      </c>
      <c r="S222" s="790">
        <v>17380</v>
      </c>
      <c r="U222" s="566">
        <f t="shared" si="41"/>
        <v>0</v>
      </c>
      <c r="V222" s="566">
        <f t="shared" si="42"/>
        <v>0</v>
      </c>
      <c r="W222" s="566">
        <f t="shared" si="43"/>
        <v>0</v>
      </c>
      <c r="X222" s="566">
        <f t="shared" si="44"/>
        <v>0</v>
      </c>
      <c r="Y222" s="566">
        <f t="shared" si="45"/>
        <v>0</v>
      </c>
      <c r="Z222" s="566">
        <f t="shared" si="46"/>
        <v>0</v>
      </c>
      <c r="AA222" s="566">
        <f t="shared" si="47"/>
        <v>0</v>
      </c>
      <c r="AB222" s="566">
        <f t="shared" si="48"/>
        <v>0</v>
      </c>
      <c r="AC222" s="566">
        <f t="shared" si="49"/>
        <v>0</v>
      </c>
      <c r="AD222" s="566">
        <f t="shared" si="50"/>
        <v>0</v>
      </c>
      <c r="AE222" s="573"/>
    </row>
    <row r="223" spans="1:31" ht="25.15" customHeight="1">
      <c r="A223" s="585">
        <v>37</v>
      </c>
      <c r="B223" s="586"/>
      <c r="C223" s="541" t="str">
        <f>'LAP. PENJUALAN '!C252</f>
        <v>Milky Mango</v>
      </c>
      <c r="D223" s="584"/>
      <c r="E223" s="584"/>
      <c r="F223" s="584"/>
      <c r="G223" s="584"/>
      <c r="H223" s="584"/>
      <c r="I223" s="584"/>
      <c r="J223" s="584"/>
      <c r="K223" s="584"/>
      <c r="L223" s="584"/>
      <c r="M223" s="584"/>
      <c r="N223" s="596">
        <f t="shared" si="39"/>
        <v>0</v>
      </c>
      <c r="O223" s="597">
        <f t="shared" si="38"/>
        <v>0</v>
      </c>
      <c r="P223" s="599">
        <f>(O223/O243)*100</f>
        <v>0</v>
      </c>
      <c r="Q223" s="625"/>
      <c r="R223" s="686">
        <f t="shared" si="40"/>
        <v>0</v>
      </c>
      <c r="S223" s="790">
        <v>17380</v>
      </c>
      <c r="U223" s="566">
        <f t="shared" si="41"/>
        <v>0</v>
      </c>
      <c r="V223" s="566">
        <f t="shared" si="42"/>
        <v>0</v>
      </c>
      <c r="W223" s="566">
        <f t="shared" si="43"/>
        <v>0</v>
      </c>
      <c r="X223" s="566">
        <f t="shared" si="44"/>
        <v>0</v>
      </c>
      <c r="Y223" s="566">
        <f t="shared" si="45"/>
        <v>0</v>
      </c>
      <c r="Z223" s="566">
        <f t="shared" si="46"/>
        <v>0</v>
      </c>
      <c r="AA223" s="566">
        <f t="shared" si="47"/>
        <v>0</v>
      </c>
      <c r="AB223" s="566">
        <f t="shared" si="48"/>
        <v>0</v>
      </c>
      <c r="AC223" s="566">
        <f t="shared" si="49"/>
        <v>0</v>
      </c>
      <c r="AD223" s="566">
        <f t="shared" si="50"/>
        <v>0</v>
      </c>
      <c r="AE223" s="573"/>
    </row>
    <row r="224" spans="1:31" ht="25.15" customHeight="1">
      <c r="A224" s="585">
        <v>38</v>
      </c>
      <c r="B224" s="586" t="s">
        <v>1495</v>
      </c>
      <c r="C224" s="541" t="str">
        <f>'LAP. PENJUALAN '!C253</f>
        <v>Red Velvet</v>
      </c>
      <c r="D224" s="584"/>
      <c r="E224" s="584"/>
      <c r="F224" s="584"/>
      <c r="G224" s="584"/>
      <c r="H224" s="584"/>
      <c r="I224" s="584"/>
      <c r="J224" s="584"/>
      <c r="K224" s="584"/>
      <c r="L224" s="584"/>
      <c r="M224" s="584"/>
      <c r="N224" s="596">
        <f t="shared" si="39"/>
        <v>0</v>
      </c>
      <c r="O224" s="597">
        <f t="shared" si="38"/>
        <v>0</v>
      </c>
      <c r="P224" s="599">
        <f>O224/O243*100</f>
        <v>0</v>
      </c>
      <c r="Q224" s="625"/>
      <c r="R224" s="686">
        <f t="shared" si="40"/>
        <v>0</v>
      </c>
      <c r="S224" s="791">
        <v>17380</v>
      </c>
      <c r="U224" s="566">
        <f t="shared" si="41"/>
        <v>0</v>
      </c>
      <c r="V224" s="566">
        <f t="shared" si="42"/>
        <v>0</v>
      </c>
      <c r="W224" s="566">
        <f t="shared" si="43"/>
        <v>0</v>
      </c>
      <c r="X224" s="566">
        <f t="shared" si="44"/>
        <v>0</v>
      </c>
      <c r="Y224" s="566">
        <f t="shared" si="45"/>
        <v>0</v>
      </c>
      <c r="Z224" s="566">
        <f t="shared" si="46"/>
        <v>0</v>
      </c>
      <c r="AA224" s="566">
        <f t="shared" si="47"/>
        <v>0</v>
      </c>
      <c r="AB224" s="566">
        <f t="shared" si="48"/>
        <v>0</v>
      </c>
      <c r="AC224" s="566">
        <f t="shared" si="49"/>
        <v>0</v>
      </c>
      <c r="AD224" s="566">
        <f t="shared" si="50"/>
        <v>0</v>
      </c>
      <c r="AE224" s="573"/>
    </row>
    <row r="225" spans="1:31" ht="25.15" customHeight="1">
      <c r="A225" s="585">
        <v>39</v>
      </c>
      <c r="B225" s="586"/>
      <c r="C225" s="541"/>
      <c r="D225" s="584"/>
      <c r="E225" s="584"/>
      <c r="F225" s="584"/>
      <c r="G225" s="584"/>
      <c r="H225" s="584"/>
      <c r="I225" s="584"/>
      <c r="J225" s="584"/>
      <c r="K225" s="584"/>
      <c r="L225" s="584"/>
      <c r="M225" s="584"/>
      <c r="N225" s="596">
        <f t="shared" si="39"/>
        <v>0</v>
      </c>
      <c r="O225" s="597">
        <f t="shared" si="38"/>
        <v>0</v>
      </c>
      <c r="P225" s="599">
        <f>O225/O243*100</f>
        <v>0</v>
      </c>
      <c r="Q225" s="625"/>
      <c r="R225" s="686">
        <f t="shared" si="40"/>
        <v>0</v>
      </c>
      <c r="S225" s="775"/>
      <c r="U225" s="566">
        <f t="shared" si="41"/>
        <v>0</v>
      </c>
      <c r="V225" s="566">
        <f t="shared" si="42"/>
        <v>0</v>
      </c>
      <c r="W225" s="566">
        <f t="shared" si="43"/>
        <v>0</v>
      </c>
      <c r="X225" s="566">
        <f t="shared" si="44"/>
        <v>0</v>
      </c>
      <c r="Y225" s="566">
        <f t="shared" si="45"/>
        <v>0</v>
      </c>
      <c r="Z225" s="566">
        <f t="shared" si="46"/>
        <v>0</v>
      </c>
      <c r="AA225" s="566">
        <f t="shared" si="47"/>
        <v>0</v>
      </c>
      <c r="AB225" s="566">
        <f t="shared" si="48"/>
        <v>0</v>
      </c>
      <c r="AC225" s="566">
        <f t="shared" si="49"/>
        <v>0</v>
      </c>
      <c r="AD225" s="566">
        <f t="shared" si="50"/>
        <v>0</v>
      </c>
      <c r="AE225" s="573"/>
    </row>
    <row r="226" spans="1:31" ht="25.15" customHeight="1">
      <c r="A226" s="585">
        <v>40</v>
      </c>
      <c r="B226" s="586"/>
      <c r="C226" s="541" t="str">
        <f>'LAP. PENJUALAN '!C255</f>
        <v>Es Teh Paket Harga Nol</v>
      </c>
      <c r="D226" s="584"/>
      <c r="E226" s="584"/>
      <c r="F226" s="584"/>
      <c r="G226" s="584"/>
      <c r="H226" s="584"/>
      <c r="I226" s="584"/>
      <c r="J226" s="584"/>
      <c r="K226" s="584"/>
      <c r="L226" s="584"/>
      <c r="M226" s="584"/>
      <c r="N226" s="596">
        <f t="shared" si="39"/>
        <v>0</v>
      </c>
      <c r="O226" s="597">
        <f t="shared" si="38"/>
        <v>0</v>
      </c>
      <c r="P226" s="599">
        <f>O226/O243*100</f>
        <v>0</v>
      </c>
      <c r="Q226" s="625"/>
      <c r="R226" s="686">
        <f t="shared" si="40"/>
        <v>0</v>
      </c>
      <c r="S226" s="775"/>
      <c r="U226" s="566">
        <f t="shared" si="41"/>
        <v>0</v>
      </c>
      <c r="V226" s="566">
        <f t="shared" si="42"/>
        <v>0</v>
      </c>
      <c r="W226" s="566">
        <f t="shared" si="43"/>
        <v>0</v>
      </c>
      <c r="X226" s="566">
        <f t="shared" si="44"/>
        <v>0</v>
      </c>
      <c r="Y226" s="566">
        <f t="shared" si="45"/>
        <v>0</v>
      </c>
      <c r="Z226" s="566">
        <f t="shared" si="46"/>
        <v>0</v>
      </c>
      <c r="AA226" s="566">
        <f t="shared" si="47"/>
        <v>0</v>
      </c>
      <c r="AB226" s="566">
        <f t="shared" si="48"/>
        <v>0</v>
      </c>
      <c r="AC226" s="566">
        <f t="shared" si="49"/>
        <v>0</v>
      </c>
      <c r="AD226" s="566">
        <f t="shared" si="50"/>
        <v>0</v>
      </c>
      <c r="AE226" s="573"/>
    </row>
    <row r="227" spans="1:31" ht="25.15" customHeight="1">
      <c r="A227" s="585">
        <v>41</v>
      </c>
      <c r="B227" s="586"/>
      <c r="C227" s="541" t="str">
        <f>'LAP. PENJUALAN '!C256</f>
        <v>S-tee Paket Harga Nol</v>
      </c>
      <c r="D227" s="584"/>
      <c r="E227" s="584"/>
      <c r="F227" s="584"/>
      <c r="G227" s="584"/>
      <c r="H227" s="584"/>
      <c r="I227" s="584"/>
      <c r="J227" s="584"/>
      <c r="K227" s="584"/>
      <c r="L227" s="584"/>
      <c r="M227" s="584"/>
      <c r="N227" s="596">
        <f t="shared" si="39"/>
        <v>0</v>
      </c>
      <c r="O227" s="597">
        <f t="shared" si="38"/>
        <v>0</v>
      </c>
      <c r="P227" s="599">
        <f>O227/O243*100</f>
        <v>0</v>
      </c>
      <c r="Q227" s="625"/>
      <c r="R227" s="686">
        <f t="shared" si="40"/>
        <v>0</v>
      </c>
      <c r="S227" s="775"/>
      <c r="U227" s="566">
        <f t="shared" si="41"/>
        <v>0</v>
      </c>
      <c r="V227" s="566">
        <f t="shared" si="42"/>
        <v>0</v>
      </c>
      <c r="W227" s="566">
        <f t="shared" si="43"/>
        <v>0</v>
      </c>
      <c r="X227" s="566">
        <f t="shared" si="44"/>
        <v>0</v>
      </c>
      <c r="Y227" s="566">
        <f t="shared" si="45"/>
        <v>0</v>
      </c>
      <c r="Z227" s="566">
        <f t="shared" si="46"/>
        <v>0</v>
      </c>
      <c r="AA227" s="566">
        <f t="shared" si="47"/>
        <v>0</v>
      </c>
      <c r="AB227" s="566">
        <f t="shared" si="48"/>
        <v>0</v>
      </c>
      <c r="AC227" s="566">
        <f t="shared" si="49"/>
        <v>0</v>
      </c>
      <c r="AD227" s="566">
        <f t="shared" si="50"/>
        <v>0</v>
      </c>
      <c r="AE227" s="573"/>
    </row>
    <row r="228" spans="1:31" ht="25.15" customHeight="1">
      <c r="A228" s="585">
        <v>42</v>
      </c>
      <c r="B228" s="586"/>
      <c r="C228" s="541" t="str">
        <f>'LAP. PENJUALAN '!C257</f>
        <v>Nestea Paket Harga Nol</v>
      </c>
      <c r="D228" s="584"/>
      <c r="E228" s="584"/>
      <c r="F228" s="584"/>
      <c r="G228" s="584"/>
      <c r="H228" s="584"/>
      <c r="I228" s="584"/>
      <c r="J228" s="584"/>
      <c r="K228" s="584"/>
      <c r="L228" s="584"/>
      <c r="M228" s="584"/>
      <c r="N228" s="596">
        <f t="shared" si="39"/>
        <v>0</v>
      </c>
      <c r="O228" s="597">
        <f t="shared" si="38"/>
        <v>0</v>
      </c>
      <c r="P228" s="599">
        <f>O228/O243*100</f>
        <v>0</v>
      </c>
      <c r="Q228" s="625"/>
      <c r="R228" s="686">
        <f t="shared" si="40"/>
        <v>0</v>
      </c>
      <c r="S228" s="775"/>
      <c r="U228" s="566">
        <f t="shared" si="41"/>
        <v>0</v>
      </c>
      <c r="V228" s="566">
        <f t="shared" si="42"/>
        <v>0</v>
      </c>
      <c r="W228" s="566">
        <f t="shared" si="43"/>
        <v>0</v>
      </c>
      <c r="X228" s="566">
        <f t="shared" si="44"/>
        <v>0</v>
      </c>
      <c r="Y228" s="566">
        <f t="shared" si="45"/>
        <v>0</v>
      </c>
      <c r="Z228" s="566">
        <f t="shared" si="46"/>
        <v>0</v>
      </c>
      <c r="AA228" s="566">
        <f t="shared" si="47"/>
        <v>0</v>
      </c>
      <c r="AB228" s="566">
        <f t="shared" si="48"/>
        <v>0</v>
      </c>
      <c r="AC228" s="566">
        <f t="shared" si="49"/>
        <v>0</v>
      </c>
      <c r="AD228" s="566">
        <f t="shared" si="50"/>
        <v>0</v>
      </c>
      <c r="AE228" s="573"/>
    </row>
    <row r="229" spans="1:31" ht="25.15" customHeight="1">
      <c r="A229" s="585">
        <v>43</v>
      </c>
      <c r="B229" s="586"/>
      <c r="C229" s="589"/>
      <c r="D229" s="584"/>
      <c r="E229" s="584"/>
      <c r="F229" s="584"/>
      <c r="G229" s="584"/>
      <c r="H229" s="584"/>
      <c r="I229" s="584"/>
      <c r="J229" s="584"/>
      <c r="K229" s="584"/>
      <c r="L229" s="584"/>
      <c r="M229" s="584"/>
      <c r="N229" s="596">
        <f t="shared" si="39"/>
        <v>0</v>
      </c>
      <c r="O229" s="597">
        <f t="shared" si="38"/>
        <v>0</v>
      </c>
      <c r="P229" s="599">
        <f>O229/O243*100</f>
        <v>0</v>
      </c>
      <c r="Q229" s="625"/>
      <c r="R229" s="686">
        <f t="shared" si="40"/>
        <v>0</v>
      </c>
      <c r="S229" s="775">
        <v>30500</v>
      </c>
      <c r="U229" s="566">
        <f t="shared" si="41"/>
        <v>0</v>
      </c>
      <c r="V229" s="566">
        <f t="shared" si="42"/>
        <v>0</v>
      </c>
      <c r="W229" s="566">
        <f t="shared" si="43"/>
        <v>0</v>
      </c>
      <c r="X229" s="566">
        <f t="shared" si="44"/>
        <v>0</v>
      </c>
      <c r="Y229" s="566">
        <f t="shared" si="45"/>
        <v>0</v>
      </c>
      <c r="Z229" s="566">
        <f t="shared" si="46"/>
        <v>0</v>
      </c>
      <c r="AA229" s="566">
        <f t="shared" si="47"/>
        <v>0</v>
      </c>
      <c r="AB229" s="566">
        <f t="shared" si="48"/>
        <v>0</v>
      </c>
      <c r="AC229" s="566">
        <f t="shared" si="49"/>
        <v>0</v>
      </c>
      <c r="AD229" s="566">
        <f t="shared" si="50"/>
        <v>0</v>
      </c>
      <c r="AE229" s="573"/>
    </row>
    <row r="230" spans="1:31" ht="25.15" customHeight="1">
      <c r="A230" s="585">
        <v>44</v>
      </c>
      <c r="B230" s="586"/>
      <c r="C230" s="589"/>
      <c r="D230" s="584"/>
      <c r="E230" s="584"/>
      <c r="F230" s="584"/>
      <c r="G230" s="584"/>
      <c r="H230" s="584"/>
      <c r="I230" s="584"/>
      <c r="J230" s="584"/>
      <c r="K230" s="584"/>
      <c r="L230" s="584"/>
      <c r="M230" s="584"/>
      <c r="N230" s="596">
        <f t="shared" si="39"/>
        <v>0</v>
      </c>
      <c r="O230" s="597">
        <f t="shared" si="38"/>
        <v>0</v>
      </c>
      <c r="P230" s="599">
        <f>O230/O243*100</f>
        <v>0</v>
      </c>
      <c r="Q230" s="625"/>
      <c r="R230" s="686">
        <f t="shared" si="40"/>
        <v>0</v>
      </c>
      <c r="S230" s="775">
        <v>30500</v>
      </c>
      <c r="U230" s="566">
        <f t="shared" si="41"/>
        <v>0</v>
      </c>
      <c r="V230" s="566">
        <f t="shared" si="42"/>
        <v>0</v>
      </c>
      <c r="W230" s="566">
        <f t="shared" si="43"/>
        <v>0</v>
      </c>
      <c r="X230" s="566">
        <f t="shared" si="44"/>
        <v>0</v>
      </c>
      <c r="Y230" s="566">
        <f t="shared" si="45"/>
        <v>0</v>
      </c>
      <c r="Z230" s="566">
        <f t="shared" si="46"/>
        <v>0</v>
      </c>
      <c r="AA230" s="566">
        <f t="shared" si="47"/>
        <v>0</v>
      </c>
      <c r="AB230" s="566">
        <f t="shared" si="48"/>
        <v>0</v>
      </c>
      <c r="AC230" s="566">
        <f t="shared" si="49"/>
        <v>0</v>
      </c>
      <c r="AD230" s="566">
        <f t="shared" si="50"/>
        <v>0</v>
      </c>
      <c r="AE230" s="573"/>
    </row>
    <row r="231" spans="1:31" ht="25.15" customHeight="1">
      <c r="A231" s="585">
        <v>45</v>
      </c>
      <c r="B231" s="586"/>
      <c r="C231" s="589"/>
      <c r="D231" s="584"/>
      <c r="E231" s="584"/>
      <c r="F231" s="584"/>
      <c r="G231" s="584"/>
      <c r="H231" s="584"/>
      <c r="I231" s="584"/>
      <c r="J231" s="584"/>
      <c r="K231" s="584"/>
      <c r="L231" s="584"/>
      <c r="M231" s="584"/>
      <c r="N231" s="596">
        <f t="shared" si="39"/>
        <v>0</v>
      </c>
      <c r="O231" s="597">
        <f t="shared" si="38"/>
        <v>0</v>
      </c>
      <c r="P231" s="599">
        <f>O231/O243*100</f>
        <v>0</v>
      </c>
      <c r="Q231" s="625"/>
      <c r="R231" s="686">
        <f t="shared" si="40"/>
        <v>0</v>
      </c>
      <c r="S231" s="775">
        <v>30500</v>
      </c>
      <c r="U231" s="566">
        <f t="shared" si="41"/>
        <v>0</v>
      </c>
      <c r="V231" s="566">
        <f t="shared" si="42"/>
        <v>0</v>
      </c>
      <c r="W231" s="566">
        <f t="shared" si="43"/>
        <v>0</v>
      </c>
      <c r="X231" s="566">
        <f t="shared" si="44"/>
        <v>0</v>
      </c>
      <c r="Y231" s="566">
        <f t="shared" si="45"/>
        <v>0</v>
      </c>
      <c r="Z231" s="566">
        <f t="shared" si="46"/>
        <v>0</v>
      </c>
      <c r="AA231" s="566">
        <f t="shared" si="47"/>
        <v>0</v>
      </c>
      <c r="AB231" s="566">
        <f t="shared" si="48"/>
        <v>0</v>
      </c>
      <c r="AC231" s="566">
        <f t="shared" si="49"/>
        <v>0</v>
      </c>
      <c r="AD231" s="566">
        <f t="shared" si="50"/>
        <v>0</v>
      </c>
      <c r="AE231" s="573"/>
    </row>
    <row r="232" spans="1:31" ht="25.15" customHeight="1">
      <c r="A232" s="585">
        <v>46</v>
      </c>
      <c r="B232" s="586"/>
      <c r="C232" s="589"/>
      <c r="D232" s="584"/>
      <c r="E232" s="584"/>
      <c r="F232" s="584"/>
      <c r="G232" s="584"/>
      <c r="H232" s="584"/>
      <c r="I232" s="584"/>
      <c r="J232" s="584"/>
      <c r="K232" s="584"/>
      <c r="L232" s="584"/>
      <c r="M232" s="584"/>
      <c r="N232" s="596">
        <f t="shared" si="39"/>
        <v>0</v>
      </c>
      <c r="O232" s="597">
        <f t="shared" si="38"/>
        <v>0</v>
      </c>
      <c r="P232" s="599">
        <f>O232/O243*100</f>
        <v>0</v>
      </c>
      <c r="Q232" s="625"/>
      <c r="R232" s="686">
        <f t="shared" si="40"/>
        <v>0</v>
      </c>
      <c r="S232" s="775">
        <v>20000</v>
      </c>
      <c r="U232" s="566">
        <f t="shared" si="41"/>
        <v>0</v>
      </c>
      <c r="V232" s="566">
        <f t="shared" si="42"/>
        <v>0</v>
      </c>
      <c r="W232" s="566">
        <f t="shared" si="43"/>
        <v>0</v>
      </c>
      <c r="X232" s="566">
        <f t="shared" si="44"/>
        <v>0</v>
      </c>
      <c r="Y232" s="566">
        <f t="shared" si="45"/>
        <v>0</v>
      </c>
      <c r="Z232" s="566">
        <f t="shared" si="46"/>
        <v>0</v>
      </c>
      <c r="AA232" s="566">
        <f t="shared" si="47"/>
        <v>0</v>
      </c>
      <c r="AB232" s="566">
        <f t="shared" si="48"/>
        <v>0</v>
      </c>
      <c r="AC232" s="566">
        <f t="shared" si="49"/>
        <v>0</v>
      </c>
      <c r="AD232" s="566">
        <f t="shared" si="50"/>
        <v>0</v>
      </c>
      <c r="AE232" s="573"/>
    </row>
    <row r="233" spans="1:31" ht="25.15" customHeight="1">
      <c r="A233" s="585">
        <v>47</v>
      </c>
      <c r="B233" s="586"/>
      <c r="C233" s="589"/>
      <c r="D233" s="584"/>
      <c r="E233" s="584"/>
      <c r="F233" s="584"/>
      <c r="G233" s="584"/>
      <c r="H233" s="584"/>
      <c r="I233" s="584"/>
      <c r="J233" s="584"/>
      <c r="K233" s="584"/>
      <c r="L233" s="584"/>
      <c r="M233" s="584"/>
      <c r="N233" s="596">
        <f t="shared" si="39"/>
        <v>0</v>
      </c>
      <c r="O233" s="597">
        <f t="shared" si="38"/>
        <v>0</v>
      </c>
      <c r="P233" s="599">
        <f>O233/O243*100</f>
        <v>0</v>
      </c>
      <c r="Q233" s="625"/>
      <c r="R233" s="686">
        <f t="shared" si="40"/>
        <v>0</v>
      </c>
      <c r="S233" s="775">
        <v>20900</v>
      </c>
      <c r="U233" s="566">
        <f t="shared" si="41"/>
        <v>0</v>
      </c>
      <c r="V233" s="566">
        <f t="shared" si="42"/>
        <v>0</v>
      </c>
      <c r="W233" s="566">
        <f t="shared" si="43"/>
        <v>0</v>
      </c>
      <c r="X233" s="566">
        <f t="shared" si="44"/>
        <v>0</v>
      </c>
      <c r="Y233" s="566">
        <f t="shared" si="45"/>
        <v>0</v>
      </c>
      <c r="Z233" s="566">
        <f t="shared" si="46"/>
        <v>0</v>
      </c>
      <c r="AA233" s="566">
        <f t="shared" si="47"/>
        <v>0</v>
      </c>
      <c r="AB233" s="566">
        <f t="shared" si="48"/>
        <v>0</v>
      </c>
      <c r="AC233" s="566">
        <f t="shared" si="49"/>
        <v>0</v>
      </c>
      <c r="AD233" s="566">
        <f t="shared" si="50"/>
        <v>0</v>
      </c>
      <c r="AE233" s="573"/>
    </row>
    <row r="234" spans="1:31" ht="25.15" customHeight="1">
      <c r="A234" s="585">
        <v>48</v>
      </c>
      <c r="B234" s="586"/>
      <c r="C234" s="589"/>
      <c r="D234" s="584"/>
      <c r="E234" s="584"/>
      <c r="F234" s="584"/>
      <c r="G234" s="584"/>
      <c r="H234" s="584"/>
      <c r="I234" s="584"/>
      <c r="J234" s="584"/>
      <c r="K234" s="584"/>
      <c r="L234" s="584"/>
      <c r="M234" s="584"/>
      <c r="N234" s="596">
        <f t="shared" si="39"/>
        <v>0</v>
      </c>
      <c r="O234" s="597">
        <f t="shared" si="38"/>
        <v>0</v>
      </c>
      <c r="P234" s="599">
        <f>O234/O243*100</f>
        <v>0</v>
      </c>
      <c r="Q234" s="625"/>
      <c r="R234" s="686">
        <f t="shared" si="40"/>
        <v>0</v>
      </c>
      <c r="S234" s="775">
        <v>32100</v>
      </c>
      <c r="U234" s="566">
        <f t="shared" si="41"/>
        <v>0</v>
      </c>
      <c r="V234" s="566">
        <f t="shared" si="42"/>
        <v>0</v>
      </c>
      <c r="W234" s="566">
        <f t="shared" si="43"/>
        <v>0</v>
      </c>
      <c r="X234" s="566">
        <f t="shared" si="44"/>
        <v>0</v>
      </c>
      <c r="Y234" s="566">
        <f t="shared" si="45"/>
        <v>0</v>
      </c>
      <c r="Z234" s="566">
        <f t="shared" si="46"/>
        <v>0</v>
      </c>
      <c r="AA234" s="566">
        <f t="shared" si="47"/>
        <v>0</v>
      </c>
      <c r="AB234" s="566">
        <f t="shared" si="48"/>
        <v>0</v>
      </c>
      <c r="AC234" s="566">
        <f t="shared" si="49"/>
        <v>0</v>
      </c>
      <c r="AD234" s="566">
        <f t="shared" si="50"/>
        <v>0</v>
      </c>
      <c r="AE234" s="573"/>
    </row>
    <row r="235" spans="1:31" ht="25.15" customHeight="1">
      <c r="A235" s="585">
        <v>49</v>
      </c>
      <c r="B235" s="586"/>
      <c r="C235" s="589"/>
      <c r="D235" s="584"/>
      <c r="E235" s="584"/>
      <c r="F235" s="584"/>
      <c r="G235" s="584"/>
      <c r="H235" s="584"/>
      <c r="I235" s="584"/>
      <c r="J235" s="584"/>
      <c r="K235" s="584"/>
      <c r="L235" s="584"/>
      <c r="M235" s="584"/>
      <c r="N235" s="596">
        <f t="shared" si="39"/>
        <v>0</v>
      </c>
      <c r="O235" s="597">
        <f t="shared" si="38"/>
        <v>0</v>
      </c>
      <c r="P235" s="599">
        <f>O235/O243*100</f>
        <v>0</v>
      </c>
      <c r="Q235" s="625"/>
      <c r="R235" s="686">
        <f t="shared" si="40"/>
        <v>0</v>
      </c>
      <c r="S235" s="775">
        <v>30500</v>
      </c>
      <c r="U235" s="566">
        <f t="shared" si="41"/>
        <v>0</v>
      </c>
      <c r="V235" s="566">
        <f t="shared" si="42"/>
        <v>0</v>
      </c>
      <c r="W235" s="566">
        <f t="shared" si="43"/>
        <v>0</v>
      </c>
      <c r="X235" s="566">
        <f t="shared" si="44"/>
        <v>0</v>
      </c>
      <c r="Y235" s="566">
        <f t="shared" si="45"/>
        <v>0</v>
      </c>
      <c r="Z235" s="566">
        <f t="shared" si="46"/>
        <v>0</v>
      </c>
      <c r="AA235" s="566">
        <f t="shared" si="47"/>
        <v>0</v>
      </c>
      <c r="AB235" s="566">
        <f t="shared" si="48"/>
        <v>0</v>
      </c>
      <c r="AC235" s="566">
        <f t="shared" si="49"/>
        <v>0</v>
      </c>
      <c r="AD235" s="566">
        <f t="shared" si="50"/>
        <v>0</v>
      </c>
      <c r="AE235" s="573"/>
    </row>
    <row r="236" spans="1:31" ht="25.15" customHeight="1">
      <c r="A236" s="585">
        <v>50</v>
      </c>
      <c r="B236" s="586"/>
      <c r="C236" s="589"/>
      <c r="D236" s="584"/>
      <c r="E236" s="584"/>
      <c r="F236" s="584"/>
      <c r="G236" s="584"/>
      <c r="H236" s="584"/>
      <c r="I236" s="584"/>
      <c r="J236" s="584"/>
      <c r="K236" s="584"/>
      <c r="L236" s="584"/>
      <c r="M236" s="584"/>
      <c r="N236" s="596">
        <f t="shared" si="39"/>
        <v>0</v>
      </c>
      <c r="O236" s="597">
        <f t="shared" si="38"/>
        <v>0</v>
      </c>
      <c r="P236" s="599">
        <f>(O236/O243)*100</f>
        <v>0</v>
      </c>
      <c r="Q236" s="625"/>
      <c r="R236" s="686">
        <f t="shared" si="40"/>
        <v>0</v>
      </c>
      <c r="S236" s="775">
        <v>6100</v>
      </c>
      <c r="U236" s="566">
        <f t="shared" si="41"/>
        <v>0</v>
      </c>
      <c r="V236" s="566">
        <f t="shared" si="42"/>
        <v>0</v>
      </c>
      <c r="W236" s="566">
        <f t="shared" si="43"/>
        <v>0</v>
      </c>
      <c r="X236" s="566">
        <f t="shared" si="44"/>
        <v>0</v>
      </c>
      <c r="Y236" s="566">
        <f t="shared" si="45"/>
        <v>0</v>
      </c>
      <c r="Z236" s="566">
        <f t="shared" si="46"/>
        <v>0</v>
      </c>
      <c r="AA236" s="566">
        <f t="shared" si="47"/>
        <v>0</v>
      </c>
      <c r="AB236" s="566">
        <f t="shared" si="48"/>
        <v>0</v>
      </c>
      <c r="AC236" s="566">
        <f t="shared" si="49"/>
        <v>0</v>
      </c>
      <c r="AD236" s="566">
        <f t="shared" si="50"/>
        <v>0</v>
      </c>
      <c r="AE236" s="573"/>
    </row>
    <row r="237" spans="1:31" ht="25.15" customHeight="1">
      <c r="A237" s="585">
        <v>51</v>
      </c>
      <c r="B237" s="586"/>
      <c r="C237" s="589"/>
      <c r="D237" s="584"/>
      <c r="E237" s="584"/>
      <c r="F237" s="584"/>
      <c r="G237" s="584"/>
      <c r="H237" s="584"/>
      <c r="I237" s="584"/>
      <c r="J237" s="584"/>
      <c r="K237" s="584"/>
      <c r="L237" s="584"/>
      <c r="M237" s="584"/>
      <c r="N237" s="596">
        <f t="shared" si="39"/>
        <v>0</v>
      </c>
      <c r="O237" s="597">
        <f t="shared" si="38"/>
        <v>0</v>
      </c>
      <c r="P237" s="599">
        <f>(O237/O243)*100</f>
        <v>0</v>
      </c>
      <c r="Q237" s="625"/>
      <c r="R237" s="686">
        <f t="shared" si="40"/>
        <v>0</v>
      </c>
      <c r="S237" s="775">
        <v>35900</v>
      </c>
      <c r="U237" s="566">
        <f t="shared" si="41"/>
        <v>0</v>
      </c>
      <c r="V237" s="566">
        <f t="shared" si="42"/>
        <v>0</v>
      </c>
      <c r="W237" s="566">
        <f t="shared" si="43"/>
        <v>0</v>
      </c>
      <c r="X237" s="566">
        <f t="shared" si="44"/>
        <v>0</v>
      </c>
      <c r="Y237" s="566">
        <f t="shared" si="45"/>
        <v>0</v>
      </c>
      <c r="Z237" s="566">
        <f t="shared" si="46"/>
        <v>0</v>
      </c>
      <c r="AA237" s="566">
        <f t="shared" si="47"/>
        <v>0</v>
      </c>
      <c r="AB237" s="566">
        <f t="shared" si="48"/>
        <v>0</v>
      </c>
      <c r="AC237" s="566">
        <f t="shared" si="49"/>
        <v>0</v>
      </c>
      <c r="AD237" s="566">
        <f t="shared" si="50"/>
        <v>0</v>
      </c>
      <c r="AE237" s="573"/>
    </row>
    <row r="238" spans="1:31" ht="25.15" customHeight="1">
      <c r="A238" s="585">
        <v>52</v>
      </c>
      <c r="B238" s="587"/>
      <c r="C238" s="589"/>
      <c r="D238" s="584"/>
      <c r="E238" s="584"/>
      <c r="F238" s="584"/>
      <c r="G238" s="584"/>
      <c r="H238" s="584"/>
      <c r="I238" s="584"/>
      <c r="J238" s="584"/>
      <c r="K238" s="584"/>
      <c r="L238" s="584"/>
      <c r="M238" s="584"/>
      <c r="N238" s="596">
        <f t="shared" si="39"/>
        <v>0</v>
      </c>
      <c r="O238" s="597">
        <f t="shared" si="38"/>
        <v>0</v>
      </c>
      <c r="P238" s="601">
        <f>(O238/O243)*100</f>
        <v>0</v>
      </c>
      <c r="Q238" s="657"/>
      <c r="R238" s="686">
        <f t="shared" si="40"/>
        <v>0</v>
      </c>
      <c r="S238" s="775">
        <v>36900</v>
      </c>
      <c r="U238" s="566">
        <f t="shared" si="41"/>
        <v>0</v>
      </c>
      <c r="V238" s="566">
        <f t="shared" si="42"/>
        <v>0</v>
      </c>
      <c r="W238" s="566">
        <f t="shared" si="43"/>
        <v>0</v>
      </c>
      <c r="X238" s="566">
        <f t="shared" si="44"/>
        <v>0</v>
      </c>
      <c r="Y238" s="566">
        <f t="shared" si="45"/>
        <v>0</v>
      </c>
      <c r="Z238" s="566">
        <f t="shared" si="46"/>
        <v>0</v>
      </c>
      <c r="AA238" s="566">
        <f t="shared" si="47"/>
        <v>0</v>
      </c>
      <c r="AB238" s="566">
        <f t="shared" si="48"/>
        <v>0</v>
      </c>
      <c r="AC238" s="566">
        <f t="shared" si="49"/>
        <v>0</v>
      </c>
      <c r="AD238" s="566">
        <f t="shared" si="50"/>
        <v>0</v>
      </c>
      <c r="AE238" s="573"/>
    </row>
    <row r="239" spans="1:31" ht="25.15" customHeight="1">
      <c r="A239" s="585">
        <v>53</v>
      </c>
      <c r="B239" s="588"/>
      <c r="C239" s="589"/>
      <c r="D239" s="584"/>
      <c r="E239" s="584"/>
      <c r="F239" s="584"/>
      <c r="G239" s="584"/>
      <c r="H239" s="584"/>
      <c r="I239" s="584"/>
      <c r="J239" s="584"/>
      <c r="K239" s="584"/>
      <c r="L239" s="584"/>
      <c r="M239" s="584"/>
      <c r="N239" s="596">
        <f t="shared" si="39"/>
        <v>0</v>
      </c>
      <c r="O239" s="597">
        <f t="shared" si="38"/>
        <v>0</v>
      </c>
      <c r="P239" s="599">
        <f>(O239/O243)*100</f>
        <v>0</v>
      </c>
      <c r="Q239" s="625"/>
      <c r="R239" s="686">
        <f t="shared" si="40"/>
        <v>0</v>
      </c>
      <c r="S239" s="775">
        <v>10900</v>
      </c>
      <c r="U239" s="566">
        <f t="shared" si="41"/>
        <v>0</v>
      </c>
      <c r="V239" s="566">
        <f t="shared" si="42"/>
        <v>0</v>
      </c>
      <c r="W239" s="566">
        <f t="shared" si="43"/>
        <v>0</v>
      </c>
      <c r="X239" s="566">
        <f t="shared" si="44"/>
        <v>0</v>
      </c>
      <c r="Y239" s="566">
        <f t="shared" si="45"/>
        <v>0</v>
      </c>
      <c r="Z239" s="566">
        <f t="shared" si="46"/>
        <v>0</v>
      </c>
      <c r="AA239" s="566">
        <f t="shared" si="47"/>
        <v>0</v>
      </c>
      <c r="AB239" s="566">
        <f t="shared" si="48"/>
        <v>0</v>
      </c>
      <c r="AC239" s="566">
        <f t="shared" si="49"/>
        <v>0</v>
      </c>
      <c r="AD239" s="566">
        <f t="shared" si="50"/>
        <v>0</v>
      </c>
      <c r="AE239" s="573"/>
    </row>
    <row r="240" spans="1:31" ht="25.15" customHeight="1">
      <c r="A240" s="585">
        <v>54</v>
      </c>
      <c r="B240" s="588"/>
      <c r="C240" s="589"/>
      <c r="D240" s="584"/>
      <c r="E240" s="584"/>
      <c r="F240" s="584"/>
      <c r="G240" s="584"/>
      <c r="H240" s="584"/>
      <c r="I240" s="584"/>
      <c r="J240" s="584"/>
      <c r="K240" s="584"/>
      <c r="L240" s="584"/>
      <c r="M240" s="584"/>
      <c r="N240" s="596">
        <f t="shared" si="39"/>
        <v>0</v>
      </c>
      <c r="O240" s="597">
        <f t="shared" si="38"/>
        <v>0</v>
      </c>
      <c r="P240" s="599">
        <f>(O240/O243)*100</f>
        <v>0</v>
      </c>
      <c r="Q240" s="625"/>
      <c r="R240" s="686">
        <f t="shared" si="40"/>
        <v>0</v>
      </c>
      <c r="S240" s="775">
        <v>7900</v>
      </c>
      <c r="U240" s="566">
        <f t="shared" si="41"/>
        <v>0</v>
      </c>
      <c r="V240" s="566">
        <f t="shared" si="42"/>
        <v>0</v>
      </c>
      <c r="W240" s="566">
        <f t="shared" si="43"/>
        <v>0</v>
      </c>
      <c r="X240" s="566">
        <f t="shared" si="44"/>
        <v>0</v>
      </c>
      <c r="Y240" s="566">
        <f t="shared" si="45"/>
        <v>0</v>
      </c>
      <c r="Z240" s="566">
        <f t="shared" si="46"/>
        <v>0</v>
      </c>
      <c r="AA240" s="566">
        <f t="shared" si="47"/>
        <v>0</v>
      </c>
      <c r="AB240" s="566">
        <f t="shared" si="48"/>
        <v>0</v>
      </c>
      <c r="AC240" s="566">
        <f t="shared" si="49"/>
        <v>0</v>
      </c>
      <c r="AD240" s="566">
        <f t="shared" si="50"/>
        <v>0</v>
      </c>
      <c r="AE240" s="573"/>
    </row>
    <row r="241" spans="1:35" ht="25.15" customHeight="1">
      <c r="A241" s="585">
        <v>55</v>
      </c>
      <c r="B241" s="626"/>
      <c r="C241" s="589"/>
      <c r="D241" s="584"/>
      <c r="E241" s="584"/>
      <c r="F241" s="584"/>
      <c r="G241" s="584"/>
      <c r="H241" s="584"/>
      <c r="I241" s="584"/>
      <c r="J241" s="584"/>
      <c r="K241" s="584"/>
      <c r="L241" s="584"/>
      <c r="M241" s="584"/>
      <c r="N241" s="596">
        <f t="shared" si="39"/>
        <v>0</v>
      </c>
      <c r="O241" s="597">
        <f t="shared" si="38"/>
        <v>0</v>
      </c>
      <c r="P241" s="601">
        <f>(O241/O243)*100</f>
        <v>0</v>
      </c>
      <c r="Q241" s="657"/>
      <c r="R241" s="686">
        <f t="shared" si="40"/>
        <v>0</v>
      </c>
      <c r="S241" s="775">
        <v>9200</v>
      </c>
      <c r="U241" s="566">
        <f t="shared" si="41"/>
        <v>0</v>
      </c>
      <c r="V241" s="566">
        <f t="shared" si="42"/>
        <v>0</v>
      </c>
      <c r="W241" s="566">
        <f t="shared" si="43"/>
        <v>0</v>
      </c>
      <c r="X241" s="566">
        <f t="shared" si="44"/>
        <v>0</v>
      </c>
      <c r="Y241" s="566">
        <f t="shared" si="45"/>
        <v>0</v>
      </c>
      <c r="Z241" s="566">
        <f t="shared" si="46"/>
        <v>0</v>
      </c>
      <c r="AA241" s="566">
        <f t="shared" si="47"/>
        <v>0</v>
      </c>
      <c r="AB241" s="566">
        <f t="shared" si="48"/>
        <v>0</v>
      </c>
      <c r="AC241" s="566">
        <f t="shared" si="49"/>
        <v>0</v>
      </c>
      <c r="AD241" s="566">
        <f t="shared" si="50"/>
        <v>0</v>
      </c>
      <c r="AE241" s="573"/>
    </row>
    <row r="242" spans="1:35" ht="100.15" customHeight="1">
      <c r="A242" s="2591" t="s">
        <v>1508</v>
      </c>
      <c r="B242" s="2592"/>
      <c r="C242" s="2593"/>
      <c r="D242" s="777">
        <f t="shared" ref="D242:M242" si="64">U242</f>
        <v>0</v>
      </c>
      <c r="E242" s="778">
        <f t="shared" si="64"/>
        <v>0</v>
      </c>
      <c r="F242" s="779">
        <f t="shared" si="64"/>
        <v>12220</v>
      </c>
      <c r="G242" s="780">
        <f t="shared" si="64"/>
        <v>16380</v>
      </c>
      <c r="H242" s="779">
        <f t="shared" si="64"/>
        <v>24440</v>
      </c>
      <c r="I242" s="780">
        <f t="shared" si="64"/>
        <v>0</v>
      </c>
      <c r="J242" s="779">
        <f t="shared" si="64"/>
        <v>18540</v>
      </c>
      <c r="K242" s="780">
        <f t="shared" si="64"/>
        <v>0</v>
      </c>
      <c r="L242" s="779">
        <f t="shared" si="64"/>
        <v>0</v>
      </c>
      <c r="M242" s="780">
        <f t="shared" si="64"/>
        <v>0</v>
      </c>
      <c r="N242" s="783"/>
      <c r="O242" s="784">
        <f>SUM(D242:M242)</f>
        <v>71580</v>
      </c>
      <c r="P242" s="644">
        <f>SUM(P187:P241)/100</f>
        <v>1.3083961819251999E-2</v>
      </c>
      <c r="Q242" s="792"/>
      <c r="R242" s="793">
        <f>SUM(R187:R241)/100</f>
        <v>0</v>
      </c>
      <c r="S242" s="661"/>
      <c r="U242" s="566">
        <f t="shared" ref="U242:AD242" si="65">SUM(U187:U241)</f>
        <v>0</v>
      </c>
      <c r="V242" s="566">
        <f t="shared" si="65"/>
        <v>0</v>
      </c>
      <c r="W242" s="566">
        <f t="shared" si="65"/>
        <v>12220</v>
      </c>
      <c r="X242" s="566">
        <f t="shared" si="65"/>
        <v>16380</v>
      </c>
      <c r="Y242" s="566">
        <f t="shared" si="65"/>
        <v>24440</v>
      </c>
      <c r="Z242" s="566">
        <f t="shared" si="65"/>
        <v>0</v>
      </c>
      <c r="AA242" s="566">
        <f t="shared" si="65"/>
        <v>18540</v>
      </c>
      <c r="AB242" s="566">
        <f t="shared" si="65"/>
        <v>0</v>
      </c>
      <c r="AC242" s="566">
        <f t="shared" si="65"/>
        <v>0</v>
      </c>
      <c r="AD242" s="566">
        <f t="shared" si="65"/>
        <v>0</v>
      </c>
      <c r="AE242" s="573"/>
    </row>
    <row r="243" spans="1:35" ht="100.15" customHeight="1">
      <c r="A243" s="2591" t="s">
        <v>1509</v>
      </c>
      <c r="B243" s="2592"/>
      <c r="C243" s="2593"/>
      <c r="D243" s="781">
        <f t="shared" ref="D243:M243" si="66">D184+D242</f>
        <v>598960</v>
      </c>
      <c r="E243" s="781">
        <f t="shared" si="66"/>
        <v>835220</v>
      </c>
      <c r="F243" s="781">
        <f t="shared" si="66"/>
        <v>1000840</v>
      </c>
      <c r="G243" s="781">
        <f t="shared" si="66"/>
        <v>1094300</v>
      </c>
      <c r="H243" s="781">
        <f t="shared" si="66"/>
        <v>776680</v>
      </c>
      <c r="I243" s="781">
        <f t="shared" si="66"/>
        <v>431500</v>
      </c>
      <c r="J243" s="781">
        <f t="shared" si="66"/>
        <v>733320</v>
      </c>
      <c r="K243" s="781">
        <f t="shared" si="66"/>
        <v>0</v>
      </c>
      <c r="L243" s="781">
        <f t="shared" si="66"/>
        <v>0</v>
      </c>
      <c r="M243" s="781">
        <f t="shared" si="66"/>
        <v>0</v>
      </c>
      <c r="N243" s="781"/>
      <c r="O243" s="645">
        <f>O184+O242</f>
        <v>5470820</v>
      </c>
      <c r="P243" s="785">
        <f>P184+P242</f>
        <v>1</v>
      </c>
      <c r="Q243" s="792"/>
      <c r="R243" s="793">
        <f>R184+R242/100</f>
        <v>0.124710574566251</v>
      </c>
      <c r="S243" s="661"/>
      <c r="U243" s="573"/>
      <c r="V243" s="573"/>
      <c r="W243" s="573"/>
      <c r="X243" s="573"/>
      <c r="Y243" s="573"/>
      <c r="Z243" s="573"/>
      <c r="AA243" s="573"/>
      <c r="AB243" s="573"/>
      <c r="AC243" s="573"/>
      <c r="AD243" s="573"/>
      <c r="AE243" s="573"/>
    </row>
    <row r="244" spans="1:35" s="771" customFormat="1" ht="29.5" customHeight="1">
      <c r="A244" s="2561" t="s">
        <v>1510</v>
      </c>
      <c r="B244" s="2562"/>
      <c r="C244" s="2563"/>
      <c r="D244" s="782"/>
      <c r="E244" s="782"/>
      <c r="F244" s="782"/>
      <c r="G244" s="782"/>
      <c r="H244" s="782"/>
      <c r="I244" s="782"/>
      <c r="J244" s="782"/>
      <c r="K244" s="782"/>
      <c r="L244" s="782"/>
      <c r="M244" s="782"/>
      <c r="N244" s="786">
        <f>SUM(D244:M244)</f>
        <v>0</v>
      </c>
      <c r="O244" s="787"/>
      <c r="P244" s="788"/>
      <c r="Q244" s="794"/>
      <c r="R244" s="788"/>
      <c r="S244" s="787"/>
      <c r="U244" s="795"/>
      <c r="V244" s="795"/>
      <c r="W244" s="795"/>
      <c r="X244" s="795"/>
      <c r="Y244" s="795"/>
      <c r="Z244" s="795"/>
      <c r="AA244" s="795"/>
      <c r="AB244" s="795"/>
      <c r="AC244" s="795"/>
      <c r="AD244" s="795"/>
      <c r="AE244" s="795"/>
    </row>
    <row r="245" spans="1:35" s="692" customFormat="1" ht="18" customHeight="1">
      <c r="P245" s="691"/>
      <c r="Q245" s="693"/>
      <c r="R245" s="691"/>
    </row>
    <row r="246" spans="1:35" s="692" customFormat="1" ht="18" customHeight="1">
      <c r="A246" s="743" t="s">
        <v>1511</v>
      </c>
      <c r="N246" s="2599" t="s">
        <v>391</v>
      </c>
      <c r="O246" s="2599"/>
      <c r="P246" s="691"/>
      <c r="Q246" s="768"/>
      <c r="R246" s="691"/>
      <c r="U246" s="532"/>
    </row>
    <row r="247" spans="1:35" s="692" customFormat="1" ht="32.25" customHeight="1">
      <c r="A247" s="2600" t="s">
        <v>1512</v>
      </c>
      <c r="B247" s="2601"/>
      <c r="C247" s="2601"/>
      <c r="D247" s="2601"/>
      <c r="E247" s="2601"/>
      <c r="F247" s="2601"/>
      <c r="G247" s="2601"/>
      <c r="H247" s="2601"/>
      <c r="I247" s="2601"/>
      <c r="J247" s="744"/>
      <c r="K247" s="744"/>
      <c r="L247" s="744"/>
      <c r="M247" s="744"/>
      <c r="P247" s="691"/>
      <c r="Q247" s="768"/>
      <c r="R247" s="691"/>
      <c r="U247" s="532"/>
    </row>
    <row r="248" spans="1:35" s="692" customFormat="1" ht="18" customHeight="1">
      <c r="A248" s="2600" t="s">
        <v>1513</v>
      </c>
      <c r="B248" s="2601"/>
      <c r="C248" s="2601"/>
      <c r="D248" s="2601"/>
      <c r="E248" s="2601"/>
      <c r="F248" s="2601"/>
      <c r="G248" s="2601"/>
      <c r="H248" s="2601"/>
      <c r="I248" s="2601"/>
      <c r="J248" s="744"/>
      <c r="K248" s="744"/>
      <c r="L248" s="744"/>
      <c r="M248" s="744"/>
      <c r="P248" s="691"/>
      <c r="Q248" s="768"/>
      <c r="R248" s="691"/>
      <c r="U248" s="532"/>
    </row>
    <row r="249" spans="1:35" s="692" customFormat="1" ht="18" customHeight="1">
      <c r="A249" s="2585" t="s">
        <v>1514</v>
      </c>
      <c r="B249" s="2585"/>
      <c r="C249" s="2585"/>
      <c r="D249" s="2585"/>
      <c r="E249" s="2585"/>
      <c r="F249" s="2585"/>
      <c r="G249" s="2585"/>
      <c r="H249" s="2585"/>
      <c r="I249" s="2585"/>
      <c r="J249" s="744"/>
      <c r="K249" s="744"/>
      <c r="L249" s="744"/>
      <c r="M249" s="744"/>
      <c r="P249" s="691"/>
      <c r="Q249" s="768"/>
      <c r="R249" s="691"/>
      <c r="U249" s="532"/>
    </row>
    <row r="250" spans="1:35" s="692" customFormat="1" ht="18" customHeight="1">
      <c r="A250" s="2586" t="s">
        <v>1515</v>
      </c>
      <c r="B250" s="2586"/>
      <c r="C250" s="2586"/>
      <c r="D250" s="2586"/>
      <c r="E250" s="2586"/>
      <c r="F250" s="2586"/>
      <c r="G250" s="2586"/>
      <c r="H250" s="2586"/>
      <c r="I250" s="2586"/>
      <c r="J250" s="744"/>
      <c r="K250" s="744"/>
      <c r="L250" s="744"/>
      <c r="M250" s="744"/>
      <c r="P250" s="753"/>
      <c r="Q250" s="768"/>
      <c r="R250" s="691"/>
      <c r="U250" s="532"/>
    </row>
    <row r="251" spans="1:35" s="692" customFormat="1" ht="18" customHeight="1">
      <c r="A251" s="2505"/>
      <c r="B251" s="2505"/>
      <c r="C251" s="2505"/>
      <c r="D251" s="2505"/>
      <c r="E251" s="2505"/>
      <c r="F251" s="2505"/>
      <c r="G251" s="2505"/>
      <c r="H251" s="2505"/>
      <c r="I251" s="2505"/>
      <c r="J251" s="744"/>
      <c r="K251" s="744"/>
      <c r="L251" s="744"/>
      <c r="M251" s="744"/>
      <c r="N251" s="2499" t="s">
        <v>1583</v>
      </c>
      <c r="O251" s="2499"/>
      <c r="P251" s="755"/>
      <c r="Q251" s="768"/>
      <c r="R251" s="691"/>
    </row>
    <row r="252" spans="1:35" s="692" customFormat="1" ht="18" customHeight="1">
      <c r="B252" s="744"/>
      <c r="C252" s="744"/>
      <c r="D252" s="744"/>
      <c r="E252" s="744"/>
      <c r="F252" s="744"/>
      <c r="G252" s="744"/>
      <c r="H252" s="744"/>
      <c r="I252" s="744"/>
      <c r="J252" s="744"/>
      <c r="K252" s="744"/>
      <c r="L252" s="744"/>
      <c r="M252" s="744"/>
      <c r="N252" s="756"/>
      <c r="O252" s="756"/>
      <c r="P252" s="755"/>
      <c r="Q252" s="768"/>
      <c r="R252" s="691"/>
    </row>
    <row r="253" spans="1:35" s="691" customFormat="1" ht="18" customHeight="1">
      <c r="A253" s="637" t="s">
        <v>343</v>
      </c>
      <c r="B253" s="637"/>
      <c r="C253" s="637"/>
      <c r="D253" s="692"/>
      <c r="E253" s="692"/>
      <c r="F253" s="692"/>
      <c r="G253" s="692"/>
      <c r="H253" s="692"/>
      <c r="I253" s="692"/>
      <c r="J253" s="692"/>
      <c r="K253" s="692"/>
      <c r="L253" s="692"/>
      <c r="M253" s="692"/>
      <c r="N253" s="692"/>
      <c r="O253" s="692"/>
      <c r="Q253" s="768"/>
      <c r="S253" s="692"/>
      <c r="T253" s="692"/>
      <c r="U253" s="692"/>
      <c r="V253" s="692"/>
      <c r="W253" s="692"/>
      <c r="X253" s="692"/>
      <c r="Y253" s="692"/>
      <c r="Z253" s="692"/>
      <c r="AA253" s="692"/>
      <c r="AB253" s="692"/>
      <c r="AC253" s="692"/>
      <c r="AD253" s="692"/>
      <c r="AE253" s="692"/>
      <c r="AF253" s="692"/>
      <c r="AG253" s="692"/>
      <c r="AH253" s="692"/>
      <c r="AI253" s="692"/>
    </row>
    <row r="254" spans="1:35" s="691" customFormat="1" ht="18" customHeight="1">
      <c r="A254" s="532" t="s">
        <v>344</v>
      </c>
      <c r="B254" s="532"/>
      <c r="C254" s="532"/>
      <c r="D254" s="692"/>
      <c r="E254" s="692"/>
      <c r="F254" s="692"/>
      <c r="G254" s="692"/>
      <c r="H254" s="692"/>
      <c r="I254" s="692"/>
      <c r="J254" s="692"/>
      <c r="K254" s="692"/>
      <c r="L254" s="692"/>
      <c r="M254" s="692"/>
      <c r="N254" s="692"/>
      <c r="O254" s="692"/>
      <c r="Q254" s="768"/>
      <c r="S254" s="692"/>
      <c r="T254" s="692"/>
      <c r="U254" s="692"/>
      <c r="V254" s="692"/>
      <c r="W254" s="692"/>
      <c r="X254" s="692"/>
      <c r="Y254" s="692"/>
      <c r="Z254" s="692"/>
      <c r="AA254" s="692"/>
      <c r="AB254" s="692"/>
      <c r="AC254" s="692"/>
      <c r="AD254" s="692"/>
      <c r="AE254" s="692"/>
      <c r="AF254" s="692"/>
      <c r="AG254" s="692"/>
      <c r="AH254" s="692"/>
      <c r="AI254" s="692"/>
    </row>
    <row r="255" spans="1:35" s="691" customFormat="1" ht="58.15" customHeight="1">
      <c r="A255" s="532" t="s">
        <v>345</v>
      </c>
      <c r="B255" s="532"/>
      <c r="C255" s="532"/>
      <c r="D255" s="638" t="s">
        <v>1517</v>
      </c>
      <c r="E255" s="638" t="s">
        <v>1518</v>
      </c>
      <c r="F255" s="639"/>
      <c r="G255" s="639"/>
      <c r="H255" s="639"/>
      <c r="I255" s="639"/>
      <c r="J255" s="639"/>
      <c r="K255" s="639"/>
      <c r="L255" s="757"/>
      <c r="M255" s="757"/>
      <c r="N255" s="757"/>
      <c r="O255" s="757"/>
      <c r="Q255" s="768"/>
      <c r="S255" s="692"/>
      <c r="T255" s="692"/>
      <c r="U255" s="692"/>
      <c r="V255" s="692"/>
      <c r="W255" s="692"/>
      <c r="X255" s="692"/>
      <c r="Y255" s="692"/>
      <c r="Z255" s="692"/>
      <c r="AA255" s="692"/>
      <c r="AB255" s="692"/>
      <c r="AC255" s="692"/>
      <c r="AD255" s="692"/>
      <c r="AE255" s="692"/>
      <c r="AF255" s="692"/>
      <c r="AG255" s="692"/>
      <c r="AH255" s="692"/>
      <c r="AI255" s="692"/>
    </row>
    <row r="256" spans="1:35" s="691" customFormat="1" ht="26">
      <c r="A256" s="532" t="s">
        <v>346</v>
      </c>
      <c r="B256" s="532"/>
      <c r="C256" s="532"/>
      <c r="D256" s="692"/>
      <c r="E256" s="745" t="s">
        <v>1519</v>
      </c>
      <c r="F256" s="692"/>
      <c r="G256" s="692"/>
      <c r="H256" s="692"/>
      <c r="I256" s="692"/>
      <c r="J256" s="692"/>
      <c r="K256" s="692"/>
      <c r="L256" s="692"/>
      <c r="M256" s="692"/>
      <c r="N256" s="692"/>
      <c r="O256" s="692"/>
      <c r="Q256" s="768"/>
      <c r="S256" s="692"/>
      <c r="T256" s="692"/>
      <c r="U256" s="692"/>
      <c r="V256" s="692"/>
      <c r="W256" s="692"/>
      <c r="X256" s="692"/>
      <c r="Y256" s="692"/>
      <c r="Z256" s="692"/>
      <c r="AA256" s="692"/>
      <c r="AB256" s="692"/>
      <c r="AC256" s="692"/>
      <c r="AD256" s="692"/>
      <c r="AE256" s="692"/>
      <c r="AF256" s="692"/>
      <c r="AG256" s="692"/>
      <c r="AH256" s="692"/>
      <c r="AI256" s="692"/>
    </row>
    <row r="257" spans="1:35" s="691" customFormat="1" ht="18" customHeight="1">
      <c r="A257" s="532" t="s">
        <v>347</v>
      </c>
      <c r="B257" s="532"/>
      <c r="C257" s="532"/>
      <c r="D257" s="692"/>
      <c r="E257" s="692"/>
      <c r="F257" s="692"/>
      <c r="G257" s="692"/>
      <c r="H257" s="692"/>
      <c r="I257" s="692"/>
      <c r="J257" s="692"/>
      <c r="K257" s="692"/>
      <c r="L257" s="692"/>
      <c r="M257" s="692"/>
      <c r="N257" s="692"/>
      <c r="O257" s="692"/>
      <c r="Q257" s="768"/>
      <c r="S257" s="692"/>
      <c r="T257" s="692"/>
      <c r="U257" s="692"/>
      <c r="V257" s="692"/>
      <c r="W257" s="692"/>
      <c r="X257" s="692"/>
      <c r="Y257" s="692"/>
      <c r="Z257" s="692"/>
      <c r="AA257" s="692"/>
      <c r="AB257" s="692"/>
      <c r="AC257" s="692"/>
      <c r="AD257" s="692"/>
      <c r="AE257" s="692"/>
      <c r="AF257" s="692"/>
      <c r="AG257" s="692"/>
      <c r="AH257" s="692"/>
      <c r="AI257" s="692"/>
    </row>
    <row r="258" spans="1:35" s="691" customFormat="1" ht="18" customHeight="1">
      <c r="A258" s="532" t="s">
        <v>348</v>
      </c>
      <c r="B258" s="532"/>
      <c r="C258" s="532"/>
      <c r="D258" s="692"/>
      <c r="E258" s="692"/>
      <c r="F258" s="692"/>
      <c r="G258" s="692"/>
      <c r="H258" s="692"/>
      <c r="I258" s="692"/>
      <c r="J258" s="692"/>
      <c r="K258" s="692"/>
      <c r="L258" s="692"/>
      <c r="M258" s="692"/>
      <c r="N258" s="692"/>
      <c r="O258" s="692"/>
      <c r="Q258" s="768"/>
      <c r="S258" s="692"/>
      <c r="T258" s="692"/>
      <c r="U258" s="692"/>
      <c r="V258" s="692"/>
      <c r="W258" s="692"/>
      <c r="X258" s="692"/>
      <c r="Y258" s="692"/>
      <c r="Z258" s="692"/>
      <c r="AA258" s="692"/>
      <c r="AB258" s="692"/>
      <c r="AC258" s="692"/>
      <c r="AD258" s="692"/>
      <c r="AE258" s="692"/>
      <c r="AF258" s="692"/>
      <c r="AG258" s="692"/>
      <c r="AH258" s="692"/>
      <c r="AI258" s="692"/>
    </row>
    <row r="259" spans="1:35" s="691" customFormat="1" ht="18" customHeight="1">
      <c r="A259" s="532" t="s">
        <v>349</v>
      </c>
      <c r="B259" s="532"/>
      <c r="C259" s="532"/>
      <c r="D259" s="692"/>
      <c r="E259" s="692"/>
      <c r="F259" s="692"/>
      <c r="G259" s="692"/>
      <c r="H259" s="692"/>
      <c r="I259" s="692" t="s">
        <v>1520</v>
      </c>
      <c r="J259" s="758">
        <f>N8+N9+N40+N53+N56+N61+N64+N69+N72+N77+N80+N85+N119+N124</f>
        <v>71</v>
      </c>
      <c r="K259" s="692"/>
      <c r="L259" s="692"/>
      <c r="M259" s="692"/>
      <c r="N259" s="692"/>
      <c r="O259" s="692"/>
      <c r="Q259" s="768"/>
      <c r="S259" s="692"/>
      <c r="T259" s="692"/>
      <c r="U259" s="692"/>
      <c r="V259" s="692"/>
      <c r="W259" s="692"/>
      <c r="X259" s="692"/>
      <c r="Y259" s="692"/>
      <c r="Z259" s="692"/>
      <c r="AA259" s="692"/>
      <c r="AB259" s="692"/>
      <c r="AC259" s="692"/>
      <c r="AD259" s="692"/>
      <c r="AE259" s="692"/>
      <c r="AF259" s="692"/>
      <c r="AG259" s="692"/>
      <c r="AH259" s="692"/>
      <c r="AI259" s="692"/>
    </row>
    <row r="260" spans="1:35" s="691" customFormat="1" ht="18" customHeight="1">
      <c r="A260" s="532" t="s">
        <v>350</v>
      </c>
      <c r="B260" s="532"/>
      <c r="C260" s="532"/>
      <c r="D260" s="692"/>
      <c r="E260" s="692"/>
      <c r="F260" s="692"/>
      <c r="G260" s="692"/>
      <c r="H260" s="692"/>
      <c r="I260" s="692" t="s">
        <v>1584</v>
      </c>
      <c r="J260" s="758">
        <f>N9+N37+N41+N52+N55+N60+N63+N68+N71+N76+N80+N120+N123</f>
        <v>30</v>
      </c>
      <c r="K260" s="692"/>
      <c r="L260" s="692"/>
      <c r="M260" s="692"/>
      <c r="N260" s="692"/>
      <c r="O260" s="692"/>
      <c r="Q260" s="768"/>
      <c r="S260" s="692"/>
      <c r="T260" s="692"/>
      <c r="U260" s="692"/>
      <c r="V260" s="692"/>
      <c r="W260" s="692"/>
      <c r="X260" s="692"/>
      <c r="Y260" s="692"/>
      <c r="Z260" s="692"/>
      <c r="AA260" s="692"/>
      <c r="AB260" s="692"/>
      <c r="AC260" s="692"/>
      <c r="AD260" s="692"/>
      <c r="AE260" s="692"/>
      <c r="AF260" s="692"/>
      <c r="AG260" s="692"/>
      <c r="AH260" s="692"/>
      <c r="AI260" s="692"/>
    </row>
    <row r="261" spans="1:35" s="691" customFormat="1" ht="18" customHeight="1">
      <c r="A261" s="641" t="s">
        <v>351</v>
      </c>
      <c r="B261" s="641"/>
      <c r="C261" s="641"/>
      <c r="D261" s="692"/>
      <c r="E261" s="692"/>
      <c r="F261" s="692"/>
      <c r="G261" s="692"/>
      <c r="H261" s="692"/>
      <c r="I261" s="692" t="s">
        <v>1522</v>
      </c>
      <c r="J261" s="758">
        <f>N11+N34+N51+N54+N59+N62+N67+N70+N75+N78+N121+N122</f>
        <v>42</v>
      </c>
      <c r="K261" s="692"/>
      <c r="L261" s="692"/>
      <c r="M261" s="692"/>
      <c r="N261" s="692"/>
      <c r="O261" s="692"/>
      <c r="Q261" s="768"/>
      <c r="S261" s="692"/>
      <c r="T261" s="692"/>
      <c r="U261" s="692"/>
      <c r="V261" s="692"/>
      <c r="W261" s="692"/>
      <c r="X261" s="692"/>
      <c r="Y261" s="692"/>
      <c r="Z261" s="692"/>
      <c r="AA261" s="692"/>
      <c r="AB261" s="692"/>
      <c r="AC261" s="692"/>
      <c r="AD261" s="692"/>
      <c r="AE261" s="692"/>
      <c r="AF261" s="692"/>
      <c r="AG261" s="692"/>
      <c r="AH261" s="692"/>
      <c r="AI261" s="692"/>
    </row>
    <row r="262" spans="1:35" s="691" customFormat="1" ht="18" customHeight="1">
      <c r="A262" s="641" t="s">
        <v>352</v>
      </c>
      <c r="B262" s="641"/>
      <c r="C262" s="641"/>
      <c r="D262" s="692"/>
      <c r="E262" s="692"/>
      <c r="F262" s="692"/>
      <c r="G262" s="692"/>
      <c r="H262" s="692"/>
      <c r="I262" s="692"/>
      <c r="J262" s="692"/>
      <c r="K262" s="692"/>
      <c r="L262" s="692"/>
      <c r="M262" s="692"/>
      <c r="N262" s="692"/>
      <c r="O262" s="692"/>
      <c r="Q262" s="768"/>
      <c r="S262" s="692"/>
      <c r="T262" s="692"/>
      <c r="U262" s="692"/>
      <c r="V262" s="692"/>
      <c r="W262" s="692"/>
      <c r="X262" s="692"/>
      <c r="Y262" s="692"/>
      <c r="Z262" s="692"/>
      <c r="AA262" s="692"/>
      <c r="AB262" s="692"/>
      <c r="AC262" s="692"/>
      <c r="AD262" s="692"/>
      <c r="AE262" s="692"/>
      <c r="AF262" s="692"/>
      <c r="AG262" s="692"/>
      <c r="AH262" s="692"/>
      <c r="AI262" s="692"/>
    </row>
    <row r="263" spans="1:35" s="691" customFormat="1" ht="18" customHeight="1">
      <c r="A263" s="641" t="s">
        <v>353</v>
      </c>
      <c r="B263" s="641"/>
      <c r="C263" s="641"/>
      <c r="D263" s="692"/>
      <c r="E263" s="692"/>
      <c r="F263" s="692"/>
      <c r="G263" s="692"/>
      <c r="H263" s="692"/>
      <c r="I263" s="692"/>
      <c r="J263" s="692"/>
      <c r="K263" s="692"/>
      <c r="L263" s="692"/>
      <c r="M263" s="692"/>
      <c r="N263" s="692"/>
      <c r="O263" s="692"/>
      <c r="Q263" s="768"/>
      <c r="S263" s="692"/>
      <c r="T263" s="692"/>
      <c r="U263" s="692"/>
      <c r="V263" s="692"/>
      <c r="W263" s="692"/>
      <c r="X263" s="692"/>
      <c r="Y263" s="692"/>
      <c r="Z263" s="692"/>
      <c r="AA263" s="692"/>
      <c r="AB263" s="692"/>
      <c r="AC263" s="692"/>
      <c r="AD263" s="692"/>
      <c r="AE263" s="692"/>
      <c r="AF263" s="692"/>
      <c r="AG263" s="692"/>
      <c r="AH263" s="692"/>
      <c r="AI263" s="692"/>
    </row>
    <row r="264" spans="1:35" s="691" customFormat="1" ht="18" customHeight="1">
      <c r="A264" s="641" t="s">
        <v>354</v>
      </c>
      <c r="B264" s="641"/>
      <c r="C264" s="641"/>
      <c r="D264" s="692"/>
      <c r="E264" s="692"/>
      <c r="F264" s="692"/>
      <c r="G264" s="692"/>
      <c r="H264" s="692"/>
      <c r="I264" s="692"/>
      <c r="J264" s="692"/>
      <c r="K264" s="692"/>
      <c r="L264" s="692"/>
      <c r="M264" s="692"/>
      <c r="N264" s="692"/>
      <c r="O264" s="692"/>
      <c r="Q264" s="768"/>
      <c r="S264" s="692"/>
      <c r="T264" s="692"/>
      <c r="U264" s="692"/>
      <c r="V264" s="692"/>
      <c r="W264" s="692"/>
      <c r="X264" s="692"/>
      <c r="Y264" s="692"/>
      <c r="Z264" s="692"/>
      <c r="AA264" s="692"/>
      <c r="AB264" s="692"/>
      <c r="AC264" s="692"/>
      <c r="AD264" s="692"/>
      <c r="AE264" s="692"/>
      <c r="AF264" s="692"/>
      <c r="AG264" s="692"/>
      <c r="AH264" s="692"/>
      <c r="AI264" s="692"/>
    </row>
    <row r="265" spans="1:35" s="691" customFormat="1" ht="18" customHeight="1">
      <c r="A265" s="532" t="s">
        <v>355</v>
      </c>
      <c r="B265" s="532"/>
      <c r="C265" s="532"/>
      <c r="D265" s="692"/>
      <c r="E265" s="692"/>
      <c r="F265" s="692"/>
      <c r="G265" s="692"/>
      <c r="H265" s="692"/>
      <c r="I265" s="692"/>
      <c r="J265" s="692"/>
      <c r="K265" s="692"/>
      <c r="L265" s="692"/>
      <c r="M265" s="692"/>
      <c r="N265" s="692"/>
      <c r="O265" s="692"/>
      <c r="Q265" s="768"/>
      <c r="S265" s="692"/>
      <c r="T265" s="692"/>
      <c r="U265" s="692"/>
      <c r="V265" s="692"/>
      <c r="W265" s="692"/>
      <c r="X265" s="692"/>
      <c r="Y265" s="692"/>
      <c r="Z265" s="692"/>
      <c r="AA265" s="692"/>
      <c r="AB265" s="692"/>
      <c r="AC265" s="692"/>
      <c r="AD265" s="692"/>
      <c r="AE265" s="692"/>
      <c r="AF265" s="692"/>
      <c r="AG265" s="692"/>
      <c r="AH265" s="692"/>
      <c r="AI265" s="692"/>
    </row>
    <row r="266" spans="1:35" s="691" customFormat="1" ht="18" customHeight="1">
      <c r="A266" s="532"/>
      <c r="B266" s="532"/>
      <c r="C266" s="532"/>
      <c r="D266" s="692"/>
      <c r="E266" s="692"/>
      <c r="F266" s="692"/>
      <c r="G266" s="692"/>
      <c r="H266" s="692"/>
      <c r="I266" s="692"/>
      <c r="J266" s="692"/>
      <c r="K266" s="692"/>
      <c r="L266" s="692"/>
      <c r="M266" s="692"/>
      <c r="N266" s="692"/>
      <c r="O266" s="692"/>
      <c r="Q266" s="768"/>
      <c r="S266" s="692"/>
      <c r="T266" s="692"/>
      <c r="U266" s="692"/>
      <c r="V266" s="692"/>
      <c r="W266" s="692"/>
      <c r="X266" s="692"/>
      <c r="Y266" s="692"/>
      <c r="Z266" s="692"/>
      <c r="AA266" s="692"/>
      <c r="AB266" s="692"/>
      <c r="AC266" s="692"/>
      <c r="AD266" s="692"/>
      <c r="AE266" s="692"/>
      <c r="AF266" s="692"/>
      <c r="AG266" s="692"/>
      <c r="AH266" s="692"/>
      <c r="AI266" s="692"/>
    </row>
    <row r="267" spans="1:35" s="691" customFormat="1" ht="18" customHeight="1">
      <c r="A267" s="532"/>
      <c r="B267" s="532"/>
      <c r="C267" s="532"/>
      <c r="D267" s="692"/>
      <c r="E267" s="692"/>
      <c r="F267" s="692"/>
      <c r="G267" s="692"/>
      <c r="H267" s="692"/>
      <c r="I267" s="692"/>
      <c r="J267" s="692"/>
      <c r="K267" s="692"/>
      <c r="L267" s="692"/>
      <c r="M267" s="692"/>
      <c r="N267" s="692"/>
      <c r="O267" s="692"/>
      <c r="Q267" s="768"/>
      <c r="S267" s="692"/>
      <c r="T267" s="692"/>
      <c r="U267" s="692"/>
      <c r="V267" s="692"/>
      <c r="W267" s="692"/>
      <c r="X267" s="692"/>
      <c r="Y267" s="692"/>
      <c r="Z267" s="692"/>
      <c r="AA267" s="692"/>
      <c r="AB267" s="692"/>
      <c r="AC267" s="692"/>
      <c r="AD267" s="692"/>
      <c r="AE267" s="692"/>
      <c r="AF267" s="692"/>
      <c r="AG267" s="692"/>
      <c r="AH267" s="692"/>
      <c r="AI267" s="692"/>
    </row>
    <row r="268" spans="1:35" s="691" customFormat="1" ht="18" customHeight="1">
      <c r="A268" s="532"/>
      <c r="B268" s="532"/>
      <c r="C268" s="532"/>
      <c r="D268" s="692"/>
      <c r="E268" s="692"/>
      <c r="F268" s="692"/>
      <c r="G268" s="692"/>
      <c r="H268" s="692"/>
      <c r="I268" s="692"/>
      <c r="J268" s="692"/>
      <c r="K268" s="692"/>
      <c r="L268" s="692"/>
      <c r="M268" s="692"/>
      <c r="N268" s="692"/>
      <c r="O268" s="692"/>
      <c r="Q268" s="768"/>
      <c r="S268" s="692"/>
      <c r="T268" s="692"/>
      <c r="U268" s="692"/>
      <c r="V268" s="692"/>
      <c r="W268" s="692"/>
      <c r="X268" s="692"/>
      <c r="Y268" s="692"/>
      <c r="Z268" s="692"/>
      <c r="AA268" s="692"/>
      <c r="AB268" s="692"/>
      <c r="AC268" s="692"/>
      <c r="AD268" s="692"/>
      <c r="AE268" s="692"/>
      <c r="AF268" s="692"/>
      <c r="AG268" s="692"/>
      <c r="AH268" s="692"/>
      <c r="AI268" s="692"/>
    </row>
    <row r="269" spans="1:35" s="692" customFormat="1" ht="18" customHeight="1">
      <c r="A269" s="532"/>
      <c r="B269" s="532"/>
      <c r="C269" s="532"/>
      <c r="P269" s="691"/>
      <c r="Q269" s="768"/>
      <c r="R269" s="691"/>
    </row>
    <row r="270" spans="1:35" s="692" customFormat="1" ht="18" customHeight="1">
      <c r="A270" s="532"/>
      <c r="B270" s="532"/>
      <c r="C270" s="532"/>
      <c r="P270" s="691"/>
      <c r="Q270" s="768"/>
      <c r="R270" s="691"/>
    </row>
    <row r="271" spans="1:35" s="692" customFormat="1" ht="18" customHeight="1">
      <c r="A271" s="532"/>
      <c r="B271" s="532"/>
      <c r="C271" s="532"/>
      <c r="P271" s="691"/>
      <c r="Q271" s="768"/>
      <c r="R271" s="691"/>
    </row>
    <row r="272" spans="1:35" s="692" customFormat="1" ht="18" customHeight="1">
      <c r="A272" s="532"/>
      <c r="B272" s="532"/>
      <c r="C272" s="532"/>
      <c r="P272" s="691"/>
      <c r="Q272" s="768"/>
      <c r="R272" s="691"/>
    </row>
    <row r="273" spans="1:18" s="692" customFormat="1" ht="18" customHeight="1">
      <c r="A273" s="532"/>
      <c r="B273" s="532"/>
      <c r="C273" s="532"/>
      <c r="P273" s="691"/>
      <c r="Q273" s="768"/>
      <c r="R273" s="691"/>
    </row>
    <row r="274" spans="1:18" s="692" customFormat="1" ht="18" customHeight="1">
      <c r="A274" s="532"/>
      <c r="B274" s="532"/>
      <c r="C274" s="532"/>
      <c r="P274" s="691"/>
      <c r="Q274" s="768"/>
      <c r="R274" s="691"/>
    </row>
    <row r="275" spans="1:18" s="692" customFormat="1" ht="18" customHeight="1">
      <c r="A275" s="532"/>
      <c r="B275" s="532"/>
      <c r="C275" s="532"/>
      <c r="P275" s="691"/>
      <c r="Q275" s="768"/>
      <c r="R275" s="691"/>
    </row>
    <row r="276" spans="1:18" s="692" customFormat="1" ht="18" customHeight="1">
      <c r="A276" s="532"/>
      <c r="B276" s="532"/>
      <c r="C276" s="532"/>
      <c r="P276" s="691"/>
      <c r="Q276" s="768"/>
      <c r="R276" s="691"/>
    </row>
    <row r="277" spans="1:18" s="692" customFormat="1" ht="18" customHeight="1">
      <c r="A277" s="532"/>
      <c r="B277" s="532"/>
      <c r="C277" s="532"/>
      <c r="P277" s="691"/>
      <c r="Q277" s="768"/>
      <c r="R277" s="691"/>
    </row>
    <row r="278" spans="1:18" s="692" customFormat="1" ht="18" customHeight="1">
      <c r="A278" s="532"/>
      <c r="B278" s="532"/>
      <c r="C278" s="532"/>
      <c r="P278" s="691"/>
      <c r="Q278" s="768"/>
      <c r="R278" s="691"/>
    </row>
    <row r="279" spans="1:18" s="692" customFormat="1" ht="18" customHeight="1">
      <c r="A279" s="532"/>
      <c r="B279" s="532"/>
      <c r="C279" s="532"/>
      <c r="P279" s="691"/>
      <c r="Q279" s="768"/>
      <c r="R279" s="691"/>
    </row>
    <row r="280" spans="1:18" s="692" customFormat="1" ht="18" customHeight="1">
      <c r="A280" s="532"/>
      <c r="B280" s="532"/>
      <c r="C280" s="532"/>
      <c r="P280" s="691"/>
      <c r="Q280" s="768"/>
      <c r="R280" s="691"/>
    </row>
    <row r="281" spans="1:18" s="692" customFormat="1" ht="18" customHeight="1">
      <c r="A281" s="532"/>
      <c r="B281" s="532"/>
      <c r="C281" s="532"/>
      <c r="P281" s="691"/>
      <c r="Q281" s="768"/>
      <c r="R281" s="691"/>
    </row>
    <row r="282" spans="1:18" s="692" customFormat="1" ht="18" customHeight="1">
      <c r="A282" s="532"/>
      <c r="B282" s="532"/>
      <c r="C282" s="532"/>
      <c r="P282" s="691"/>
      <c r="Q282" s="768"/>
      <c r="R282" s="691"/>
    </row>
    <row r="283" spans="1:18" s="692" customFormat="1" ht="18" customHeight="1">
      <c r="A283" s="532"/>
      <c r="B283" s="532"/>
      <c r="C283" s="532"/>
      <c r="P283" s="691"/>
      <c r="Q283" s="768"/>
      <c r="R283" s="691"/>
    </row>
    <row r="284" spans="1:18" s="692" customFormat="1" ht="18" customHeight="1">
      <c r="A284" s="532"/>
      <c r="B284" s="532"/>
      <c r="C284" s="532"/>
      <c r="P284" s="691"/>
      <c r="Q284" s="768"/>
      <c r="R284" s="691"/>
    </row>
    <row r="285" spans="1:18" s="692" customFormat="1" ht="18" customHeight="1">
      <c r="A285" s="532"/>
      <c r="B285" s="532"/>
      <c r="C285" s="532"/>
      <c r="P285" s="691"/>
      <c r="Q285" s="768"/>
      <c r="R285" s="691"/>
    </row>
    <row r="286" spans="1:18" s="692" customFormat="1" ht="32.25" customHeight="1">
      <c r="A286" s="642"/>
      <c r="B286" s="532"/>
      <c r="C286" s="532"/>
      <c r="P286" s="691"/>
      <c r="Q286" s="768"/>
      <c r="R286" s="691"/>
    </row>
    <row r="287" spans="1:18" ht="18" customHeight="1"/>
    <row r="288" spans="1:1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row r="520" ht="18" customHeight="1"/>
    <row r="521" ht="18" customHeight="1"/>
    <row r="522" ht="18" customHeight="1"/>
    <row r="523" ht="18" customHeight="1"/>
    <row r="524" ht="18" customHeight="1"/>
    <row r="525" ht="18" customHeight="1"/>
    <row r="526" ht="18" customHeight="1"/>
    <row r="527" ht="18" customHeight="1"/>
    <row r="528" ht="18" customHeight="1"/>
    <row r="529" ht="18" customHeight="1"/>
    <row r="530" ht="18" customHeight="1"/>
    <row r="531" ht="18" customHeight="1"/>
    <row r="532" ht="18" customHeight="1"/>
    <row r="533" ht="18" customHeight="1"/>
    <row r="534" ht="18" customHeight="1"/>
    <row r="535" ht="18" customHeight="1"/>
    <row r="536" ht="18" customHeight="1"/>
    <row r="537" ht="18" customHeight="1"/>
    <row r="538" ht="18" customHeight="1"/>
    <row r="539" ht="18" customHeight="1"/>
    <row r="540" ht="18" customHeight="1"/>
    <row r="541" ht="18" customHeight="1"/>
    <row r="542" ht="18" customHeight="1"/>
    <row r="543" ht="18" customHeight="1"/>
    <row r="544" ht="18" customHeight="1"/>
    <row r="545" ht="18" customHeight="1"/>
    <row r="546" ht="18" customHeight="1"/>
    <row r="547" ht="18" customHeight="1"/>
    <row r="548" ht="18" customHeight="1"/>
    <row r="549" ht="18" customHeight="1"/>
    <row r="550" ht="18" customHeight="1"/>
    <row r="551" ht="18" customHeight="1"/>
    <row r="552" ht="18" customHeight="1"/>
    <row r="553" ht="18" customHeight="1"/>
    <row r="554" ht="18" customHeight="1"/>
    <row r="555" ht="18" customHeight="1"/>
    <row r="556" ht="18" customHeight="1"/>
    <row r="557" ht="18" customHeight="1"/>
    <row r="558" ht="18" customHeight="1"/>
    <row r="559" ht="18" customHeight="1"/>
    <row r="560" ht="18" customHeight="1"/>
    <row r="561" ht="18" customHeight="1"/>
    <row r="562" ht="18" customHeight="1"/>
    <row r="563" ht="18" customHeight="1"/>
    <row r="564" ht="18" customHeight="1"/>
    <row r="565" ht="18" customHeight="1"/>
    <row r="566" ht="18" customHeight="1"/>
    <row r="567" ht="18" customHeight="1"/>
    <row r="568" ht="18" customHeight="1"/>
    <row r="569" ht="18" customHeight="1"/>
    <row r="570" ht="18" customHeight="1"/>
    <row r="571" ht="18" customHeight="1"/>
    <row r="572" ht="18"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row r="1001" ht="18" customHeight="1"/>
    <row r="1002" ht="18" customHeight="1"/>
    <row r="1003" ht="18" customHeight="1"/>
    <row r="1004" ht="18" customHeight="1"/>
    <row r="1005" ht="18" customHeight="1"/>
    <row r="1006" ht="18" customHeight="1"/>
    <row r="1007" ht="18" customHeight="1"/>
    <row r="1008" ht="18" customHeight="1"/>
    <row r="1009" ht="18" customHeight="1"/>
    <row r="1010" ht="18" customHeight="1"/>
    <row r="1011" ht="18" customHeight="1"/>
    <row r="1012" ht="18" customHeight="1"/>
    <row r="1013" ht="18" customHeight="1"/>
    <row r="1014" ht="18" customHeight="1"/>
    <row r="1015" ht="18" customHeight="1"/>
    <row r="1016" ht="18" customHeight="1"/>
    <row r="1017" ht="18" customHeight="1"/>
    <row r="1018" ht="18" customHeight="1"/>
    <row r="1019" ht="18" customHeight="1"/>
    <row r="1020" ht="18" customHeight="1"/>
    <row r="1021" ht="18" customHeight="1"/>
    <row r="1022" ht="18" customHeight="1"/>
    <row r="1023" ht="18" customHeight="1"/>
    <row r="1024" ht="18" customHeight="1"/>
    <row r="1025" ht="18" customHeight="1"/>
    <row r="1026" ht="18" customHeight="1"/>
    <row r="1027" ht="18" customHeight="1"/>
    <row r="1028" ht="18" customHeight="1"/>
    <row r="1029" ht="18" customHeight="1"/>
    <row r="1030" ht="18" customHeight="1"/>
    <row r="1031" ht="18" customHeight="1"/>
    <row r="1032" ht="18" customHeight="1"/>
    <row r="1033" ht="18" customHeight="1"/>
    <row r="1034" ht="18" customHeight="1"/>
    <row r="1035" ht="18" customHeight="1"/>
    <row r="1036" ht="18" customHeight="1"/>
    <row r="1037" ht="18" customHeight="1"/>
    <row r="1038" ht="18" customHeight="1"/>
    <row r="1039" ht="18" customHeight="1"/>
    <row r="1040" ht="18" customHeight="1"/>
    <row r="1041" ht="18" customHeight="1"/>
    <row r="1042" ht="18" customHeight="1"/>
    <row r="1043" ht="18" customHeight="1"/>
    <row r="1044" ht="18" customHeight="1"/>
    <row r="1045" ht="18" customHeight="1"/>
    <row r="1046" ht="18" customHeight="1"/>
    <row r="1047" ht="18" customHeight="1"/>
    <row r="1048" ht="18" customHeight="1"/>
    <row r="1049" ht="18" customHeight="1"/>
    <row r="1050" ht="18" customHeight="1"/>
    <row r="1051" ht="18" customHeight="1"/>
    <row r="1052" ht="18" customHeight="1"/>
    <row r="1053" ht="18" customHeight="1"/>
    <row r="1054" ht="18" customHeight="1"/>
    <row r="1055" ht="18" customHeight="1"/>
    <row r="1056" ht="18" customHeight="1"/>
    <row r="1057" ht="18" customHeight="1"/>
    <row r="1058" ht="18" customHeight="1"/>
    <row r="1059" ht="18" customHeight="1"/>
    <row r="1060" ht="18" customHeight="1"/>
    <row r="1061" ht="18" customHeight="1"/>
    <row r="1062" ht="18" customHeight="1"/>
    <row r="1063" ht="18" customHeight="1"/>
    <row r="1064" ht="18" customHeight="1"/>
    <row r="1065" ht="18" customHeight="1"/>
    <row r="1066" ht="18" customHeight="1"/>
    <row r="1067" ht="18" customHeight="1"/>
    <row r="1068" ht="18" customHeight="1"/>
    <row r="1069" ht="18" customHeight="1"/>
    <row r="1070" ht="18" customHeight="1"/>
    <row r="1071" ht="18" customHeight="1"/>
    <row r="1072" ht="18" customHeight="1"/>
    <row r="1073" ht="18" customHeight="1"/>
    <row r="1074" ht="18" customHeight="1"/>
    <row r="1075" ht="18" customHeight="1"/>
    <row r="1076" ht="18" customHeight="1"/>
    <row r="1077" ht="18" customHeight="1"/>
    <row r="1078" ht="18" customHeight="1"/>
    <row r="1079" ht="18" customHeight="1"/>
    <row r="1080" ht="18" customHeight="1"/>
    <row r="1081" ht="18" customHeight="1"/>
    <row r="1082" ht="18" customHeight="1"/>
    <row r="1083" ht="18" customHeight="1"/>
    <row r="1084" ht="18" customHeight="1"/>
    <row r="1085" ht="18" customHeight="1"/>
    <row r="1086" ht="18" customHeight="1"/>
    <row r="1087" ht="18" customHeight="1"/>
    <row r="1088" ht="18" customHeight="1"/>
    <row r="1089" ht="18" customHeight="1"/>
    <row r="1090" ht="18" customHeight="1"/>
    <row r="1091" ht="18" customHeight="1"/>
    <row r="1092" ht="18" customHeight="1"/>
    <row r="1093" ht="18" customHeight="1"/>
    <row r="1094" ht="18" customHeight="1"/>
    <row r="1095" ht="18" customHeight="1"/>
    <row r="1096" ht="18" customHeight="1"/>
    <row r="1097" ht="18" customHeight="1"/>
    <row r="1098" ht="18" customHeight="1"/>
    <row r="1099" ht="18" customHeight="1"/>
    <row r="1100" ht="18" customHeight="1"/>
    <row r="1101" ht="18" customHeight="1"/>
    <row r="1102" ht="18" customHeight="1"/>
    <row r="1103" ht="18" customHeight="1"/>
    <row r="1104" ht="18" customHeight="1"/>
    <row r="1105" ht="18" customHeight="1"/>
    <row r="1106" ht="18" customHeight="1"/>
    <row r="1107" ht="18" customHeight="1"/>
    <row r="1108" ht="18" customHeight="1"/>
    <row r="1109" ht="18" customHeight="1"/>
    <row r="1110" ht="18" customHeight="1"/>
    <row r="1111" ht="18" customHeight="1"/>
    <row r="1112" ht="18" customHeight="1"/>
    <row r="1113" ht="18" customHeight="1"/>
    <row r="1114" ht="18" customHeight="1"/>
    <row r="1115" ht="18" customHeight="1"/>
    <row r="1116" ht="18" customHeight="1"/>
    <row r="1117" ht="18" customHeight="1"/>
    <row r="1118" ht="18" customHeight="1"/>
    <row r="1119" ht="18" customHeight="1"/>
    <row r="1120" ht="18" customHeight="1"/>
    <row r="1121" spans="1:19" ht="18" customHeight="1">
      <c r="A1121" s="2564" t="s">
        <v>1276</v>
      </c>
      <c r="B1121" s="2564"/>
      <c r="C1121" s="2564"/>
      <c r="D1121" s="2564"/>
      <c r="E1121" s="2564"/>
      <c r="F1121" s="2564"/>
      <c r="G1121" s="2564"/>
      <c r="H1121" s="2564"/>
      <c r="I1121" s="2564"/>
      <c r="J1121" s="2564"/>
      <c r="K1121" s="2564"/>
      <c r="L1121" s="2564"/>
      <c r="M1121" s="2564"/>
      <c r="N1121" s="2564"/>
      <c r="O1121" s="2564"/>
      <c r="P1121" s="2564"/>
      <c r="Q1121" s="2564"/>
      <c r="R1121" s="2564"/>
      <c r="S1121" s="2564"/>
    </row>
    <row r="1122" spans="1:19" ht="18" customHeight="1"/>
    <row r="1123" spans="1:19" ht="18" customHeight="1"/>
    <row r="1124" spans="1:19" ht="18" customHeight="1"/>
    <row r="1125" spans="1:19" ht="18" customHeight="1"/>
  </sheetData>
  <sheetProtection algorithmName="SHA-512" hashValue="IHSXtxYmkCF/YEw9oNlutBmPSeR5jLiuowinDCkVFv3VVBj9Yz9GvU22UNf/MAku60LyD8mW9kxsuMjbKkGXZw==" saltValue="nQrb85ZSakYskmILWprW1w==" spinCount="100000" sheet="1" objects="1" scenarios="1"/>
  <mergeCells count="21">
    <mergeCell ref="A249:I249"/>
    <mergeCell ref="A250:I250"/>
    <mergeCell ref="A251:I251"/>
    <mergeCell ref="N251:O251"/>
    <mergeCell ref="A1121:S1121"/>
    <mergeCell ref="A243:C243"/>
    <mergeCell ref="A244:C244"/>
    <mergeCell ref="N246:O246"/>
    <mergeCell ref="A247:I247"/>
    <mergeCell ref="A248:I248"/>
    <mergeCell ref="A2:S2"/>
    <mergeCell ref="C4:D4"/>
    <mergeCell ref="N6:O6"/>
    <mergeCell ref="A184:C184"/>
    <mergeCell ref="A242:C242"/>
    <mergeCell ref="A6:A7"/>
    <mergeCell ref="B6:B7"/>
    <mergeCell ref="C6:C7"/>
    <mergeCell ref="P6:P7"/>
    <mergeCell ref="Q6:Q7"/>
    <mergeCell ref="R6:R7"/>
  </mergeCells>
  <printOptions horizontalCentered="1"/>
  <pageMargins left="0.12" right="0.12" top="0.39" bottom="0.12" header="0.31" footer="0.31"/>
  <pageSetup paperSize="9" scale="32" orientation="portrait"/>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92D050"/>
    <pageSetUpPr fitToPage="1"/>
  </sheetPr>
  <dimension ref="A2:AI1190"/>
  <sheetViews>
    <sheetView topLeftCell="A40" zoomScale="70" zoomScaleNormal="70" workbookViewId="0">
      <selection activeCell="G72" sqref="A1:S115"/>
    </sheetView>
  </sheetViews>
  <sheetFormatPr defaultColWidth="9.26953125" defaultRowHeight="13"/>
  <cols>
    <col min="1" max="1" width="8.7265625" style="692" customWidth="1"/>
    <col min="2" max="2" width="40.7265625" style="692" hidden="1" customWidth="1"/>
    <col min="3" max="3" width="80.1796875" style="692" customWidth="1"/>
    <col min="4" max="13" width="11.453125" style="692" customWidth="1"/>
    <col min="14" max="14" width="12.54296875" style="692" customWidth="1"/>
    <col min="15" max="15" width="25.7265625" style="692" customWidth="1"/>
    <col min="16" max="16" width="10.54296875" style="691" customWidth="1"/>
    <col min="17" max="17" width="10.54296875" style="693" customWidth="1"/>
    <col min="18" max="18" width="10.54296875" style="691" customWidth="1"/>
    <col min="19" max="19" width="12.54296875" style="692" customWidth="1"/>
    <col min="20" max="20" width="4.26953125" style="692" customWidth="1"/>
    <col min="21" max="31" width="20.7265625" style="692" customWidth="1"/>
    <col min="32" max="16384" width="9.26953125" style="692"/>
  </cols>
  <sheetData>
    <row r="2" spans="1:31" ht="40.15" customHeight="1">
      <c r="A2" s="2564" t="s">
        <v>1585</v>
      </c>
      <c r="B2" s="2564"/>
      <c r="C2" s="2564"/>
      <c r="D2" s="2564"/>
      <c r="E2" s="2564"/>
      <c r="F2" s="2564"/>
      <c r="G2" s="2564"/>
      <c r="H2" s="2564"/>
      <c r="I2" s="2564"/>
      <c r="J2" s="2564"/>
      <c r="K2" s="2564"/>
      <c r="L2" s="2564"/>
      <c r="M2" s="2564"/>
      <c r="N2" s="2564"/>
      <c r="O2" s="2564"/>
      <c r="P2" s="2564"/>
      <c r="Q2" s="2564"/>
      <c r="R2" s="2564"/>
      <c r="S2" s="2564"/>
    </row>
    <row r="3" spans="1:31" ht="25.15" customHeight="1">
      <c r="A3" s="532"/>
      <c r="B3" s="532"/>
      <c r="C3" s="532"/>
      <c r="D3" s="532"/>
      <c r="E3" s="532"/>
      <c r="F3" s="532"/>
      <c r="G3" s="532"/>
      <c r="H3" s="532"/>
      <c r="I3" s="532"/>
      <c r="J3" s="532"/>
      <c r="K3" s="532"/>
      <c r="L3" s="532"/>
      <c r="M3" s="535"/>
      <c r="N3" s="547" t="s">
        <v>1277</v>
      </c>
      <c r="O3" s="548" t="str">
        <f>'LAP TAMBAHAN '!O3:P3</f>
        <v>RC SAMATA GOWA</v>
      </c>
      <c r="P3" s="531"/>
      <c r="Q3" s="665"/>
      <c r="R3" s="531"/>
      <c r="S3" s="532"/>
    </row>
    <row r="4" spans="1:31" ht="25.15" customHeight="1">
      <c r="A4" s="532"/>
      <c r="B4" s="532"/>
      <c r="C4" s="532"/>
      <c r="D4" s="532"/>
      <c r="E4" s="532"/>
      <c r="F4" s="532"/>
      <c r="G4" s="532"/>
      <c r="H4" s="532"/>
      <c r="I4" s="532"/>
      <c r="J4" s="532"/>
      <c r="K4" s="532"/>
      <c r="L4" s="532"/>
      <c r="M4" s="535"/>
      <c r="N4" s="547" t="s">
        <v>1278</v>
      </c>
      <c r="O4" s="549" t="str">
        <f>'LAP TAMBAHAN '!O4:P4</f>
        <v>8-14 JANUARI 2025</v>
      </c>
      <c r="P4" s="531"/>
      <c r="Q4" s="665"/>
      <c r="R4" s="531"/>
      <c r="S4" s="532"/>
    </row>
    <row r="5" spans="1:31" ht="25.15" customHeight="1">
      <c r="A5" s="535"/>
      <c r="B5" s="532"/>
      <c r="C5" s="532"/>
      <c r="D5" s="532"/>
      <c r="E5" s="532"/>
      <c r="F5" s="532"/>
      <c r="G5" s="532"/>
      <c r="H5" s="532"/>
      <c r="I5" s="532"/>
      <c r="J5" s="532"/>
      <c r="K5" s="532"/>
      <c r="L5" s="532"/>
      <c r="M5" s="535"/>
      <c r="N5" s="532"/>
      <c r="O5" s="532"/>
      <c r="P5" s="531"/>
      <c r="Q5" s="665"/>
      <c r="R5" s="531"/>
      <c r="S5" s="532"/>
    </row>
    <row r="6" spans="1:31" ht="25.15" customHeight="1">
      <c r="A6" s="2571" t="s">
        <v>65</v>
      </c>
      <c r="B6" s="2594" t="s">
        <v>1279</v>
      </c>
      <c r="C6" s="2575" t="str">
        <f>B6</f>
        <v>PRODUCT</v>
      </c>
      <c r="D6" s="536">
        <f>'LAP. PENJUALAN '!D6</f>
        <v>46030</v>
      </c>
      <c r="E6" s="536">
        <f>'LAP. PENJUALAN '!E6</f>
        <v>46031</v>
      </c>
      <c r="F6" s="536">
        <f>'LAP. PENJUALAN '!F6</f>
        <v>46032</v>
      </c>
      <c r="G6" s="536">
        <f>'LAP. PENJUALAN '!G6</f>
        <v>46033</v>
      </c>
      <c r="H6" s="536">
        <f>'LAP. PENJUALAN '!H6</f>
        <v>46034</v>
      </c>
      <c r="I6" s="536">
        <f>'LAP. PENJUALAN '!I6</f>
        <v>46035</v>
      </c>
      <c r="J6" s="536">
        <f>'LAP. PENJUALAN '!J6</f>
        <v>46036</v>
      </c>
      <c r="K6" s="536">
        <f>'LAP. PENJUALAN '!K6</f>
        <v>0</v>
      </c>
      <c r="L6" s="536">
        <f>'LAP. PENJUALAN '!L6</f>
        <v>0</v>
      </c>
      <c r="M6" s="536">
        <f>'LAP. PENJUALAN '!M6</f>
        <v>0</v>
      </c>
      <c r="N6" s="2568" t="s">
        <v>310</v>
      </c>
      <c r="O6" s="2568"/>
      <c r="P6" s="2577" t="s">
        <v>1154</v>
      </c>
      <c r="Q6" s="2597" t="s">
        <v>1280</v>
      </c>
      <c r="R6" s="2581" t="s">
        <v>1281</v>
      </c>
      <c r="S6" s="558" t="s">
        <v>365</v>
      </c>
    </row>
    <row r="7" spans="1:31" ht="25.15" customHeight="1">
      <c r="A7" s="2572"/>
      <c r="B7" s="2595"/>
      <c r="C7" s="2596"/>
      <c r="D7" s="537" t="str">
        <f>'LAP. PENJUALAN '!D7</f>
        <v>KAMIS</v>
      </c>
      <c r="E7" s="538" t="str">
        <f>'LAP. PENJUALAN '!E7</f>
        <v>JUMAT</v>
      </c>
      <c r="F7" s="538" t="str">
        <f>'LAP. PENJUALAN '!F7</f>
        <v>SABTU</v>
      </c>
      <c r="G7" s="538" t="str">
        <f>'LAP. PENJUALAN '!G7</f>
        <v>MINGGU</v>
      </c>
      <c r="H7" s="538" t="str">
        <f>'LAP. PENJUALAN '!H7</f>
        <v>SENIN</v>
      </c>
      <c r="I7" s="538" t="str">
        <f>'LAP. PENJUALAN '!I7</f>
        <v>SELASA</v>
      </c>
      <c r="J7" s="538" t="str">
        <f>'LAP. PENJUALAN '!J7</f>
        <v>RABU</v>
      </c>
      <c r="K7" s="538">
        <f>'LAP. PENJUALAN '!K7</f>
        <v>0</v>
      </c>
      <c r="L7" s="538">
        <f>'LAP. PENJUALAN '!L7</f>
        <v>0</v>
      </c>
      <c r="M7" s="538">
        <f>'LAP. PENJUALAN '!M7</f>
        <v>0</v>
      </c>
      <c r="N7" s="551" t="s">
        <v>67</v>
      </c>
      <c r="O7" s="551" t="s">
        <v>415</v>
      </c>
      <c r="P7" s="2578"/>
      <c r="Q7" s="2598"/>
      <c r="R7" s="2582"/>
      <c r="S7" s="560" t="s">
        <v>368</v>
      </c>
    </row>
    <row r="8" spans="1:31" ht="25.15" customHeight="1">
      <c r="A8" s="539">
        <v>1</v>
      </c>
      <c r="B8" s="540" t="s">
        <v>1282</v>
      </c>
      <c r="C8" s="541" t="str">
        <f>'LAP. PENJUALAN '!C8</f>
        <v>Dada</v>
      </c>
      <c r="D8" s="694">
        <v>2</v>
      </c>
      <c r="E8" s="694">
        <v>1</v>
      </c>
      <c r="F8" s="694"/>
      <c r="G8" s="694">
        <v>2</v>
      </c>
      <c r="H8" s="694">
        <v>2</v>
      </c>
      <c r="I8" s="694">
        <v>2</v>
      </c>
      <c r="J8" s="694"/>
      <c r="K8" s="694"/>
      <c r="L8" s="694"/>
      <c r="M8" s="694"/>
      <c r="N8" s="552">
        <f>SUM(D8:M8)</f>
        <v>9</v>
      </c>
      <c r="O8" s="552">
        <f>N8*S8</f>
        <v>151200</v>
      </c>
      <c r="P8" s="553">
        <f>(O8/O240)*100</f>
        <v>10.679851668726799</v>
      </c>
      <c r="Q8" s="562"/>
      <c r="R8" s="553">
        <f>P8*Q8</f>
        <v>0</v>
      </c>
      <c r="S8" s="695">
        <v>16800</v>
      </c>
      <c r="U8" s="696">
        <f>D8*S8</f>
        <v>33600</v>
      </c>
      <c r="V8" s="696">
        <f>E8*S8</f>
        <v>16800</v>
      </c>
      <c r="W8" s="696">
        <f>F8*S8</f>
        <v>0</v>
      </c>
      <c r="X8" s="696">
        <f>G8*S8</f>
        <v>33600</v>
      </c>
      <c r="Y8" s="696">
        <f>H8*S8</f>
        <v>33600</v>
      </c>
      <c r="Z8" s="696">
        <f>I8*S8</f>
        <v>33600</v>
      </c>
      <c r="AA8" s="696">
        <f>J8*S8</f>
        <v>0</v>
      </c>
      <c r="AB8" s="696">
        <f>K8*S8</f>
        <v>0</v>
      </c>
      <c r="AC8" s="696">
        <f>L8*S8</f>
        <v>0</v>
      </c>
      <c r="AD8" s="696">
        <f>M8*S8</f>
        <v>0</v>
      </c>
      <c r="AE8" s="699"/>
    </row>
    <row r="9" spans="1:31" ht="25.15" customHeight="1">
      <c r="A9" s="543">
        <v>2</v>
      </c>
      <c r="B9" s="544" t="s">
        <v>1283</v>
      </c>
      <c r="C9" s="541" t="str">
        <f>'LAP. PENJUALAN '!C9</f>
        <v>Paha Atas</v>
      </c>
      <c r="D9" s="694">
        <v>3</v>
      </c>
      <c r="E9" s="694"/>
      <c r="F9" s="694"/>
      <c r="G9" s="694">
        <v>4</v>
      </c>
      <c r="H9" s="694"/>
      <c r="I9" s="694">
        <v>2</v>
      </c>
      <c r="J9" s="694">
        <v>1</v>
      </c>
      <c r="K9" s="694"/>
      <c r="L9" s="694"/>
      <c r="M9" s="694"/>
      <c r="N9" s="554">
        <f t="shared" ref="N9:N80" si="0">SUM(D9:M9)</f>
        <v>10</v>
      </c>
      <c r="O9" s="554">
        <f t="shared" ref="O9:O80" si="1">N9*S9</f>
        <v>168000</v>
      </c>
      <c r="P9" s="555">
        <f>(O9/O240)*100</f>
        <v>11.8665018541409</v>
      </c>
      <c r="Q9" s="567"/>
      <c r="R9" s="555">
        <f t="shared" ref="R9:R80" si="2">P9*Q9</f>
        <v>0</v>
      </c>
      <c r="S9" s="697">
        <v>16800</v>
      </c>
      <c r="U9" s="696">
        <f>D9*S9</f>
        <v>50400</v>
      </c>
      <c r="V9" s="696">
        <f t="shared" ref="V9:V80" si="3">E9*S9</f>
        <v>0</v>
      </c>
      <c r="W9" s="696">
        <f t="shared" ref="W9:W80" si="4">F9*S9</f>
        <v>0</v>
      </c>
      <c r="X9" s="696">
        <f t="shared" ref="X9:X80" si="5">G9*S9</f>
        <v>67200</v>
      </c>
      <c r="Y9" s="696">
        <f t="shared" ref="Y9:Y80" si="6">H9*S9</f>
        <v>0</v>
      </c>
      <c r="Z9" s="696">
        <f t="shared" ref="Z9:Z80" si="7">I9*S9</f>
        <v>33600</v>
      </c>
      <c r="AA9" s="696">
        <f t="shared" ref="AA9:AA80" si="8">J9*S9</f>
        <v>16800</v>
      </c>
      <c r="AB9" s="696">
        <f>K9*S9</f>
        <v>0</v>
      </c>
      <c r="AC9" s="696">
        <f t="shared" ref="AC9:AC80" si="9">L9*S9</f>
        <v>0</v>
      </c>
      <c r="AD9" s="696">
        <f t="shared" ref="AD9:AD80" si="10">M9*S9</f>
        <v>0</v>
      </c>
      <c r="AE9" s="699"/>
    </row>
    <row r="10" spans="1:31" ht="25.15" customHeight="1">
      <c r="A10" s="543">
        <v>3</v>
      </c>
      <c r="B10" s="544" t="s">
        <v>1284</v>
      </c>
      <c r="C10" s="541" t="str">
        <f>'LAP. PENJUALAN '!C10</f>
        <v>Paha Bawah</v>
      </c>
      <c r="D10" s="694">
        <v>2</v>
      </c>
      <c r="E10" s="694">
        <v>3</v>
      </c>
      <c r="F10" s="694"/>
      <c r="G10" s="694"/>
      <c r="H10" s="694">
        <v>1</v>
      </c>
      <c r="I10" s="694"/>
      <c r="J10" s="694"/>
      <c r="K10" s="694"/>
      <c r="L10" s="694"/>
      <c r="M10" s="694"/>
      <c r="N10" s="554">
        <f t="shared" si="0"/>
        <v>6</v>
      </c>
      <c r="O10" s="554">
        <f t="shared" si="1"/>
        <v>86400</v>
      </c>
      <c r="P10" s="555">
        <f>(O10/O240)*100</f>
        <v>6.1027723821296096</v>
      </c>
      <c r="Q10" s="567"/>
      <c r="R10" s="555">
        <f t="shared" si="2"/>
        <v>0</v>
      </c>
      <c r="S10" s="697">
        <v>14400</v>
      </c>
      <c r="U10" s="696">
        <f t="shared" ref="U10:U80" si="11">D10*S10</f>
        <v>28800</v>
      </c>
      <c r="V10" s="696">
        <f t="shared" si="3"/>
        <v>43200</v>
      </c>
      <c r="W10" s="696">
        <f t="shared" si="4"/>
        <v>0</v>
      </c>
      <c r="X10" s="696">
        <f t="shared" si="5"/>
        <v>0</v>
      </c>
      <c r="Y10" s="696">
        <f t="shared" si="6"/>
        <v>14400</v>
      </c>
      <c r="Z10" s="696">
        <f t="shared" si="7"/>
        <v>0</v>
      </c>
      <c r="AA10" s="696">
        <f t="shared" si="8"/>
        <v>0</v>
      </c>
      <c r="AB10" s="696">
        <f t="shared" ref="AB10:AB80" si="12">K10*S10</f>
        <v>0</v>
      </c>
      <c r="AC10" s="696">
        <f t="shared" si="9"/>
        <v>0</v>
      </c>
      <c r="AD10" s="696">
        <f t="shared" si="10"/>
        <v>0</v>
      </c>
      <c r="AE10" s="699"/>
    </row>
    <row r="11" spans="1:31" ht="25.15" customHeight="1">
      <c r="A11" s="543">
        <v>4</v>
      </c>
      <c r="B11" s="544" t="s">
        <v>1285</v>
      </c>
      <c r="C11" s="541" t="str">
        <f>'LAP. PENJUALAN '!C11</f>
        <v>Sayap</v>
      </c>
      <c r="D11" s="694"/>
      <c r="E11" s="694"/>
      <c r="F11" s="694"/>
      <c r="G11" s="694"/>
      <c r="H11" s="694"/>
      <c r="I11" s="694"/>
      <c r="J11" s="694">
        <v>1</v>
      </c>
      <c r="K11" s="694"/>
      <c r="L11" s="694"/>
      <c r="M11" s="694"/>
      <c r="N11" s="554">
        <f t="shared" si="0"/>
        <v>1</v>
      </c>
      <c r="O11" s="554">
        <f t="shared" si="1"/>
        <v>13200</v>
      </c>
      <c r="P11" s="555">
        <f>(O11/O240)*100</f>
        <v>0.93236800282535803</v>
      </c>
      <c r="Q11" s="567"/>
      <c r="R11" s="555">
        <f t="shared" si="2"/>
        <v>0</v>
      </c>
      <c r="S11" s="697">
        <v>13200</v>
      </c>
      <c r="U11" s="696">
        <f t="shared" si="11"/>
        <v>0</v>
      </c>
      <c r="V11" s="696">
        <f t="shared" si="3"/>
        <v>0</v>
      </c>
      <c r="W11" s="696">
        <f t="shared" si="4"/>
        <v>0</v>
      </c>
      <c r="X11" s="696">
        <f t="shared" si="5"/>
        <v>0</v>
      </c>
      <c r="Y11" s="696">
        <f t="shared" si="6"/>
        <v>0</v>
      </c>
      <c r="Z11" s="696">
        <f t="shared" si="7"/>
        <v>0</v>
      </c>
      <c r="AA11" s="696">
        <f t="shared" si="8"/>
        <v>13200</v>
      </c>
      <c r="AB11" s="696">
        <f t="shared" si="12"/>
        <v>0</v>
      </c>
      <c r="AC11" s="696">
        <f t="shared" si="9"/>
        <v>0</v>
      </c>
      <c r="AD11" s="696">
        <f t="shared" si="10"/>
        <v>0</v>
      </c>
      <c r="AE11" s="699"/>
    </row>
    <row r="12" spans="1:31" ht="25.15" customHeight="1">
      <c r="A12" s="543">
        <v>5</v>
      </c>
      <c r="B12" s="544" t="s">
        <v>1286</v>
      </c>
      <c r="C12" s="541" t="str">
        <f>'LAP. PENJUALAN '!C12</f>
        <v>Chicken Strips</v>
      </c>
      <c r="D12" s="694"/>
      <c r="E12" s="694"/>
      <c r="F12" s="694"/>
      <c r="G12" s="694"/>
      <c r="H12" s="694"/>
      <c r="I12" s="694"/>
      <c r="J12" s="694"/>
      <c r="K12" s="694"/>
      <c r="L12" s="694"/>
      <c r="M12" s="694"/>
      <c r="N12" s="554">
        <f t="shared" si="0"/>
        <v>0</v>
      </c>
      <c r="O12" s="554">
        <f t="shared" si="1"/>
        <v>0</v>
      </c>
      <c r="P12" s="555">
        <f>(O12/O240)*100</f>
        <v>0</v>
      </c>
      <c r="Q12" s="567"/>
      <c r="R12" s="555">
        <f t="shared" si="2"/>
        <v>0</v>
      </c>
      <c r="S12" s="697">
        <v>16800</v>
      </c>
      <c r="U12" s="696">
        <f t="shared" si="11"/>
        <v>0</v>
      </c>
      <c r="V12" s="696">
        <f t="shared" si="3"/>
        <v>0</v>
      </c>
      <c r="W12" s="696">
        <f t="shared" si="4"/>
        <v>0</v>
      </c>
      <c r="X12" s="696">
        <f t="shared" si="5"/>
        <v>0</v>
      </c>
      <c r="Y12" s="696">
        <f t="shared" si="6"/>
        <v>0</v>
      </c>
      <c r="Z12" s="696">
        <f t="shared" si="7"/>
        <v>0</v>
      </c>
      <c r="AA12" s="696">
        <f t="shared" si="8"/>
        <v>0</v>
      </c>
      <c r="AB12" s="696">
        <f t="shared" si="12"/>
        <v>0</v>
      </c>
      <c r="AC12" s="696">
        <f t="shared" si="9"/>
        <v>0</v>
      </c>
      <c r="AD12" s="696">
        <f t="shared" si="10"/>
        <v>0</v>
      </c>
      <c r="AE12" s="699"/>
    </row>
    <row r="13" spans="1:31" ht="25.15" customHeight="1">
      <c r="A13" s="543">
        <v>6</v>
      </c>
      <c r="B13" s="544" t="s">
        <v>1287</v>
      </c>
      <c r="C13" s="541" t="str">
        <f>'LAP. PENJUALAN '!C13</f>
        <v>Chicken Steak</v>
      </c>
      <c r="D13" s="694"/>
      <c r="E13" s="694"/>
      <c r="F13" s="694"/>
      <c r="G13" s="694">
        <v>1</v>
      </c>
      <c r="H13" s="694"/>
      <c r="I13" s="694"/>
      <c r="J13" s="694"/>
      <c r="K13" s="694"/>
      <c r="L13" s="694"/>
      <c r="M13" s="694"/>
      <c r="N13" s="554">
        <f t="shared" si="0"/>
        <v>1</v>
      </c>
      <c r="O13" s="554">
        <f t="shared" si="1"/>
        <v>18000</v>
      </c>
      <c r="P13" s="555">
        <f>(O13/O240)*100</f>
        <v>1.2714109129436699</v>
      </c>
      <c r="Q13" s="567"/>
      <c r="R13" s="555">
        <f t="shared" si="2"/>
        <v>0</v>
      </c>
      <c r="S13" s="697">
        <v>18000</v>
      </c>
      <c r="U13" s="696">
        <f t="shared" si="11"/>
        <v>0</v>
      </c>
      <c r="V13" s="696">
        <f t="shared" si="3"/>
        <v>0</v>
      </c>
      <c r="W13" s="696">
        <f t="shared" si="4"/>
        <v>0</v>
      </c>
      <c r="X13" s="696">
        <f t="shared" si="5"/>
        <v>18000</v>
      </c>
      <c r="Y13" s="696">
        <f t="shared" si="6"/>
        <v>0</v>
      </c>
      <c r="Z13" s="696">
        <f t="shared" si="7"/>
        <v>0</v>
      </c>
      <c r="AA13" s="696">
        <f t="shared" si="8"/>
        <v>0</v>
      </c>
      <c r="AB13" s="696">
        <f t="shared" si="12"/>
        <v>0</v>
      </c>
      <c r="AC13" s="696">
        <f t="shared" si="9"/>
        <v>0</v>
      </c>
      <c r="AD13" s="696">
        <f t="shared" si="10"/>
        <v>0</v>
      </c>
      <c r="AE13" s="699"/>
    </row>
    <row r="14" spans="1:31" ht="25.15" customHeight="1">
      <c r="A14" s="543"/>
      <c r="B14" s="544"/>
      <c r="C14" s="541"/>
      <c r="D14" s="694"/>
      <c r="E14" s="694"/>
      <c r="F14" s="694"/>
      <c r="G14" s="694"/>
      <c r="H14" s="694"/>
      <c r="I14" s="694"/>
      <c r="J14" s="694"/>
      <c r="K14" s="694"/>
      <c r="L14" s="694"/>
      <c r="M14" s="694"/>
      <c r="N14" s="554">
        <f t="shared" si="0"/>
        <v>0</v>
      </c>
      <c r="O14" s="554">
        <f t="shared" si="1"/>
        <v>0</v>
      </c>
      <c r="P14" s="555">
        <f>(O14/O240)*100</f>
        <v>0</v>
      </c>
      <c r="Q14" s="567"/>
      <c r="R14" s="555">
        <f t="shared" si="2"/>
        <v>0</v>
      </c>
      <c r="S14" s="697"/>
      <c r="U14" s="696">
        <f t="shared" si="11"/>
        <v>0</v>
      </c>
      <c r="V14" s="696">
        <f t="shared" si="3"/>
        <v>0</v>
      </c>
      <c r="W14" s="696">
        <f t="shared" si="4"/>
        <v>0</v>
      </c>
      <c r="X14" s="696">
        <f t="shared" si="5"/>
        <v>0</v>
      </c>
      <c r="Y14" s="696">
        <f t="shared" si="6"/>
        <v>0</v>
      </c>
      <c r="Z14" s="696">
        <f t="shared" si="7"/>
        <v>0</v>
      </c>
      <c r="AA14" s="696">
        <f t="shared" si="8"/>
        <v>0</v>
      </c>
      <c r="AB14" s="696">
        <f t="shared" si="12"/>
        <v>0</v>
      </c>
      <c r="AC14" s="696">
        <f t="shared" si="9"/>
        <v>0</v>
      </c>
      <c r="AD14" s="696">
        <f t="shared" si="10"/>
        <v>0</v>
      </c>
      <c r="AE14" s="699"/>
    </row>
    <row r="15" spans="1:31" ht="25.15" customHeight="1">
      <c r="A15" s="543">
        <v>7</v>
      </c>
      <c r="B15" s="544" t="s">
        <v>1288</v>
      </c>
      <c r="C15" s="541" t="str">
        <f>'LAP. PENJUALAN '!C15</f>
        <v>French Fries</v>
      </c>
      <c r="D15" s="694"/>
      <c r="E15" s="694"/>
      <c r="F15" s="694"/>
      <c r="G15" s="694"/>
      <c r="H15" s="694">
        <v>1</v>
      </c>
      <c r="I15" s="694"/>
      <c r="J15" s="694">
        <v>1</v>
      </c>
      <c r="K15" s="694"/>
      <c r="L15" s="694"/>
      <c r="M15" s="694"/>
      <c r="N15" s="554">
        <f t="shared" si="0"/>
        <v>2</v>
      </c>
      <c r="O15" s="554">
        <f t="shared" si="1"/>
        <v>24000</v>
      </c>
      <c r="P15" s="555">
        <f>(O15/O240)*100</f>
        <v>1.6952145505915599</v>
      </c>
      <c r="Q15" s="567"/>
      <c r="R15" s="555">
        <f t="shared" si="2"/>
        <v>0</v>
      </c>
      <c r="S15" s="697">
        <v>12000</v>
      </c>
      <c r="U15" s="696">
        <f t="shared" si="11"/>
        <v>0</v>
      </c>
      <c r="V15" s="696">
        <f t="shared" si="3"/>
        <v>0</v>
      </c>
      <c r="W15" s="696">
        <f t="shared" si="4"/>
        <v>0</v>
      </c>
      <c r="X15" s="696">
        <f t="shared" si="5"/>
        <v>0</v>
      </c>
      <c r="Y15" s="696">
        <f t="shared" si="6"/>
        <v>12000</v>
      </c>
      <c r="Z15" s="696">
        <f t="shared" si="7"/>
        <v>0</v>
      </c>
      <c r="AA15" s="696">
        <f t="shared" si="8"/>
        <v>12000</v>
      </c>
      <c r="AB15" s="696">
        <f t="shared" si="12"/>
        <v>0</v>
      </c>
      <c r="AC15" s="696">
        <f t="shared" si="9"/>
        <v>0</v>
      </c>
      <c r="AD15" s="696">
        <f t="shared" si="10"/>
        <v>0</v>
      </c>
      <c r="AE15" s="699"/>
    </row>
    <row r="16" spans="1:31" ht="25.15" customHeight="1">
      <c r="A16" s="543">
        <v>8</v>
      </c>
      <c r="B16" s="544" t="s">
        <v>1289</v>
      </c>
      <c r="C16" s="541" t="str">
        <f>'LAP. PENJUALAN '!C16</f>
        <v>Nasi</v>
      </c>
      <c r="D16" s="694"/>
      <c r="E16" s="694">
        <v>1</v>
      </c>
      <c r="F16" s="694"/>
      <c r="G16" s="694"/>
      <c r="H16" s="694"/>
      <c r="I16" s="694">
        <v>4</v>
      </c>
      <c r="J16" s="694">
        <v>1</v>
      </c>
      <c r="K16" s="694"/>
      <c r="L16" s="694"/>
      <c r="M16" s="694"/>
      <c r="N16" s="554">
        <f t="shared" si="0"/>
        <v>6</v>
      </c>
      <c r="O16" s="554">
        <f t="shared" si="1"/>
        <v>36000</v>
      </c>
      <c r="P16" s="555">
        <f>(O16/O240)*100</f>
        <v>2.5428218258873398</v>
      </c>
      <c r="Q16" s="567"/>
      <c r="R16" s="555">
        <f t="shared" si="2"/>
        <v>0</v>
      </c>
      <c r="S16" s="697">
        <v>6000</v>
      </c>
      <c r="U16" s="696">
        <f t="shared" si="11"/>
        <v>0</v>
      </c>
      <c r="V16" s="696">
        <f t="shared" si="3"/>
        <v>6000</v>
      </c>
      <c r="W16" s="696">
        <f t="shared" si="4"/>
        <v>0</v>
      </c>
      <c r="X16" s="696">
        <f t="shared" si="5"/>
        <v>0</v>
      </c>
      <c r="Y16" s="696">
        <f t="shared" si="6"/>
        <v>0</v>
      </c>
      <c r="Z16" s="696">
        <f t="shared" si="7"/>
        <v>24000</v>
      </c>
      <c r="AA16" s="696">
        <f t="shared" si="8"/>
        <v>6000</v>
      </c>
      <c r="AB16" s="696">
        <f t="shared" si="12"/>
        <v>0</v>
      </c>
      <c r="AC16" s="696">
        <f t="shared" si="9"/>
        <v>0</v>
      </c>
      <c r="AD16" s="696">
        <f t="shared" si="10"/>
        <v>0</v>
      </c>
      <c r="AE16" s="699"/>
    </row>
    <row r="17" spans="1:31" ht="25.15" customHeight="1">
      <c r="A17" s="543">
        <v>9</v>
      </c>
      <c r="B17" s="544" t="s">
        <v>1290</v>
      </c>
      <c r="C17" s="541" t="str">
        <f>'LAP. PENJUALAN '!C17</f>
        <v>Perkedel</v>
      </c>
      <c r="D17" s="694"/>
      <c r="E17" s="694"/>
      <c r="F17" s="694"/>
      <c r="G17" s="694"/>
      <c r="H17" s="694">
        <v>1</v>
      </c>
      <c r="I17" s="694"/>
      <c r="J17" s="694"/>
      <c r="K17" s="694"/>
      <c r="L17" s="694"/>
      <c r="M17" s="694"/>
      <c r="N17" s="554">
        <f t="shared" si="0"/>
        <v>1</v>
      </c>
      <c r="O17" s="554">
        <f t="shared" si="1"/>
        <v>6250</v>
      </c>
      <c r="P17" s="555">
        <f>(O17/O240)*100</f>
        <v>0.44146212254988498</v>
      </c>
      <c r="Q17" s="567"/>
      <c r="R17" s="555">
        <f t="shared" si="2"/>
        <v>0</v>
      </c>
      <c r="S17" s="697">
        <v>6250</v>
      </c>
      <c r="U17" s="696">
        <f t="shared" si="11"/>
        <v>0</v>
      </c>
      <c r="V17" s="696">
        <f t="shared" si="3"/>
        <v>0</v>
      </c>
      <c r="W17" s="696">
        <f t="shared" si="4"/>
        <v>0</v>
      </c>
      <c r="X17" s="696">
        <f t="shared" si="5"/>
        <v>0</v>
      </c>
      <c r="Y17" s="696">
        <f t="shared" si="6"/>
        <v>6250</v>
      </c>
      <c r="Z17" s="696">
        <f t="shared" si="7"/>
        <v>0</v>
      </c>
      <c r="AA17" s="696">
        <f t="shared" si="8"/>
        <v>0</v>
      </c>
      <c r="AB17" s="696">
        <f t="shared" si="12"/>
        <v>0</v>
      </c>
      <c r="AC17" s="696">
        <f t="shared" si="9"/>
        <v>0</v>
      </c>
      <c r="AD17" s="696">
        <f t="shared" si="10"/>
        <v>0</v>
      </c>
      <c r="AE17" s="699"/>
    </row>
    <row r="18" spans="1:31" ht="25.15" customHeight="1">
      <c r="A18" s="543">
        <v>10</v>
      </c>
      <c r="B18" s="544" t="s">
        <v>1291</v>
      </c>
      <c r="C18" s="541" t="str">
        <f>'LAP. PENJUALAN '!C18</f>
        <v>Chicken Burger</v>
      </c>
      <c r="D18" s="694"/>
      <c r="E18" s="694"/>
      <c r="F18" s="694"/>
      <c r="G18" s="694"/>
      <c r="H18" s="694"/>
      <c r="I18" s="694"/>
      <c r="J18" s="694"/>
      <c r="K18" s="694"/>
      <c r="L18" s="694"/>
      <c r="M18" s="694"/>
      <c r="N18" s="554">
        <f t="shared" si="0"/>
        <v>0</v>
      </c>
      <c r="O18" s="554">
        <f t="shared" si="1"/>
        <v>0</v>
      </c>
      <c r="P18" s="555">
        <f>(O18/O240)*100</f>
        <v>0</v>
      </c>
      <c r="Q18" s="567"/>
      <c r="R18" s="555">
        <f t="shared" si="2"/>
        <v>0</v>
      </c>
      <c r="S18" s="697">
        <v>18000</v>
      </c>
      <c r="U18" s="696">
        <f t="shared" si="11"/>
        <v>0</v>
      </c>
      <c r="V18" s="696">
        <f t="shared" si="3"/>
        <v>0</v>
      </c>
      <c r="W18" s="696">
        <f t="shared" si="4"/>
        <v>0</v>
      </c>
      <c r="X18" s="696">
        <f t="shared" si="5"/>
        <v>0</v>
      </c>
      <c r="Y18" s="696">
        <f t="shared" si="6"/>
        <v>0</v>
      </c>
      <c r="Z18" s="696">
        <f t="shared" si="7"/>
        <v>0</v>
      </c>
      <c r="AA18" s="696">
        <f t="shared" si="8"/>
        <v>0</v>
      </c>
      <c r="AB18" s="696">
        <f t="shared" si="12"/>
        <v>0</v>
      </c>
      <c r="AC18" s="696">
        <f t="shared" si="9"/>
        <v>0</v>
      </c>
      <c r="AD18" s="696">
        <f t="shared" si="10"/>
        <v>0</v>
      </c>
      <c r="AE18" s="699"/>
    </row>
    <row r="19" spans="1:31" ht="25.15" customHeight="1">
      <c r="A19" s="543">
        <v>11</v>
      </c>
      <c r="B19" s="544" t="s">
        <v>1292</v>
      </c>
      <c r="C19" s="541" t="str">
        <f>'LAP. PENJUALAN '!C19</f>
        <v>Cheese Burger</v>
      </c>
      <c r="D19" s="694"/>
      <c r="E19" s="694"/>
      <c r="F19" s="694"/>
      <c r="G19" s="694"/>
      <c r="H19" s="694">
        <v>1</v>
      </c>
      <c r="I19" s="694"/>
      <c r="J19" s="694"/>
      <c r="K19" s="694"/>
      <c r="L19" s="694"/>
      <c r="M19" s="694"/>
      <c r="N19" s="554">
        <f t="shared" si="0"/>
        <v>1</v>
      </c>
      <c r="O19" s="554">
        <f t="shared" si="1"/>
        <v>20400</v>
      </c>
      <c r="P19" s="555">
        <f>(O19/O240)*100</f>
        <v>1.4409323680028301</v>
      </c>
      <c r="Q19" s="567"/>
      <c r="R19" s="555">
        <f t="shared" si="2"/>
        <v>0</v>
      </c>
      <c r="S19" s="697">
        <v>20400</v>
      </c>
      <c r="U19" s="696">
        <f t="shared" si="11"/>
        <v>0</v>
      </c>
      <c r="V19" s="696">
        <f t="shared" si="3"/>
        <v>0</v>
      </c>
      <c r="W19" s="696">
        <f t="shared" si="4"/>
        <v>0</v>
      </c>
      <c r="X19" s="696">
        <f t="shared" si="5"/>
        <v>0</v>
      </c>
      <c r="Y19" s="696">
        <f t="shared" si="6"/>
        <v>20400</v>
      </c>
      <c r="Z19" s="696">
        <f t="shared" si="7"/>
        <v>0</v>
      </c>
      <c r="AA19" s="696">
        <f t="shared" si="8"/>
        <v>0</v>
      </c>
      <c r="AB19" s="696">
        <f t="shared" si="12"/>
        <v>0</v>
      </c>
      <c r="AC19" s="696">
        <f t="shared" si="9"/>
        <v>0</v>
      </c>
      <c r="AD19" s="696">
        <f t="shared" si="10"/>
        <v>0</v>
      </c>
      <c r="AE19" s="699"/>
    </row>
    <row r="20" spans="1:31" ht="25.15" customHeight="1">
      <c r="A20" s="543">
        <v>12</v>
      </c>
      <c r="B20" s="544" t="s">
        <v>1293</v>
      </c>
      <c r="C20" s="541" t="str">
        <f>'LAP. PENJUALAN '!C20</f>
        <v>Mix Platter</v>
      </c>
      <c r="D20" s="694"/>
      <c r="E20" s="694"/>
      <c r="F20" s="694"/>
      <c r="G20" s="694"/>
      <c r="H20" s="694"/>
      <c r="I20" s="694"/>
      <c r="J20" s="694"/>
      <c r="K20" s="694"/>
      <c r="L20" s="694"/>
      <c r="M20" s="694"/>
      <c r="N20" s="554">
        <f t="shared" si="0"/>
        <v>0</v>
      </c>
      <c r="O20" s="554">
        <f t="shared" si="1"/>
        <v>0</v>
      </c>
      <c r="P20" s="555">
        <f>(O20/O240)*100</f>
        <v>0</v>
      </c>
      <c r="Q20" s="567"/>
      <c r="R20" s="555">
        <f t="shared" si="2"/>
        <v>0</v>
      </c>
      <c r="S20" s="698"/>
      <c r="U20" s="696">
        <f t="shared" si="11"/>
        <v>0</v>
      </c>
      <c r="V20" s="696">
        <f t="shared" si="3"/>
        <v>0</v>
      </c>
      <c r="W20" s="696">
        <f t="shared" si="4"/>
        <v>0</v>
      </c>
      <c r="X20" s="696">
        <f t="shared" si="5"/>
        <v>0</v>
      </c>
      <c r="Y20" s="696">
        <f t="shared" si="6"/>
        <v>0</v>
      </c>
      <c r="Z20" s="696">
        <f t="shared" si="7"/>
        <v>0</v>
      </c>
      <c r="AA20" s="696">
        <f t="shared" si="8"/>
        <v>0</v>
      </c>
      <c r="AB20" s="696">
        <f t="shared" si="12"/>
        <v>0</v>
      </c>
      <c r="AC20" s="696">
        <f t="shared" si="9"/>
        <v>0</v>
      </c>
      <c r="AD20" s="696">
        <f t="shared" si="10"/>
        <v>0</v>
      </c>
      <c r="AE20" s="699"/>
    </row>
    <row r="21" spans="1:31" ht="25.15" customHeight="1">
      <c r="A21" s="543">
        <v>13</v>
      </c>
      <c r="B21" s="544" t="s">
        <v>1524</v>
      </c>
      <c r="C21" s="541" t="str">
        <f>'LAP. PENJUALAN '!C21</f>
        <v>Telur Ceplok</v>
      </c>
      <c r="D21" s="694"/>
      <c r="E21" s="694"/>
      <c r="F21" s="694"/>
      <c r="G21" s="694"/>
      <c r="H21" s="694"/>
      <c r="I21" s="694"/>
      <c r="J21" s="694"/>
      <c r="K21" s="694"/>
      <c r="L21" s="694"/>
      <c r="M21" s="694"/>
      <c r="N21" s="554">
        <f t="shared" si="0"/>
        <v>0</v>
      </c>
      <c r="O21" s="554">
        <f t="shared" si="1"/>
        <v>0</v>
      </c>
      <c r="P21" s="555">
        <f>(O21/O240)*100</f>
        <v>0</v>
      </c>
      <c r="Q21" s="567"/>
      <c r="R21" s="555">
        <f t="shared" si="2"/>
        <v>0</v>
      </c>
      <c r="S21" s="698"/>
      <c r="U21" s="696">
        <f t="shared" si="11"/>
        <v>0</v>
      </c>
      <c r="V21" s="696">
        <f t="shared" si="3"/>
        <v>0</v>
      </c>
      <c r="W21" s="696">
        <f t="shared" si="4"/>
        <v>0</v>
      </c>
      <c r="X21" s="696">
        <f t="shared" si="5"/>
        <v>0</v>
      </c>
      <c r="Y21" s="696">
        <f t="shared" si="6"/>
        <v>0</v>
      </c>
      <c r="Z21" s="696">
        <f t="shared" si="7"/>
        <v>0</v>
      </c>
      <c r="AA21" s="696">
        <f t="shared" si="8"/>
        <v>0</v>
      </c>
      <c r="AB21" s="696">
        <f t="shared" si="12"/>
        <v>0</v>
      </c>
      <c r="AC21" s="696">
        <f t="shared" si="9"/>
        <v>0</v>
      </c>
      <c r="AD21" s="696">
        <f t="shared" si="10"/>
        <v>0</v>
      </c>
      <c r="AE21" s="699"/>
    </row>
    <row r="22" spans="1:31" ht="25.15" customHeight="1">
      <c r="A22" s="543">
        <v>14</v>
      </c>
      <c r="B22" s="544" t="s">
        <v>1525</v>
      </c>
      <c r="C22" s="541" t="str">
        <f>'LAP. PENJUALAN '!C22</f>
        <v>Nasi Goreng Telur Ceplok</v>
      </c>
      <c r="D22" s="694"/>
      <c r="E22" s="694"/>
      <c r="F22" s="694"/>
      <c r="G22" s="694"/>
      <c r="H22" s="694"/>
      <c r="I22" s="694"/>
      <c r="J22" s="694"/>
      <c r="K22" s="694"/>
      <c r="L22" s="694"/>
      <c r="M22" s="694"/>
      <c r="N22" s="554">
        <f t="shared" si="0"/>
        <v>0</v>
      </c>
      <c r="O22" s="554">
        <f t="shared" si="1"/>
        <v>0</v>
      </c>
      <c r="P22" s="555">
        <f>(O22/O240)*100</f>
        <v>0</v>
      </c>
      <c r="Q22" s="567"/>
      <c r="R22" s="555">
        <f t="shared" si="2"/>
        <v>0</v>
      </c>
      <c r="S22" s="697">
        <v>19200</v>
      </c>
      <c r="U22" s="696">
        <f t="shared" si="11"/>
        <v>0</v>
      </c>
      <c r="V22" s="696">
        <f t="shared" si="3"/>
        <v>0</v>
      </c>
      <c r="W22" s="696">
        <f t="shared" si="4"/>
        <v>0</v>
      </c>
      <c r="X22" s="696">
        <f t="shared" si="5"/>
        <v>0</v>
      </c>
      <c r="Y22" s="696">
        <f t="shared" si="6"/>
        <v>0</v>
      </c>
      <c r="Z22" s="696">
        <f t="shared" si="7"/>
        <v>0</v>
      </c>
      <c r="AA22" s="696">
        <f t="shared" si="8"/>
        <v>0</v>
      </c>
      <c r="AB22" s="696">
        <f t="shared" si="12"/>
        <v>0</v>
      </c>
      <c r="AC22" s="696">
        <f t="shared" si="9"/>
        <v>0</v>
      </c>
      <c r="AD22" s="696">
        <f t="shared" si="10"/>
        <v>0</v>
      </c>
      <c r="AE22" s="699"/>
    </row>
    <row r="23" spans="1:31" ht="25.15" customHeight="1">
      <c r="A23" s="543"/>
      <c r="B23" s="544"/>
      <c r="C23" s="541"/>
      <c r="D23" s="694"/>
      <c r="E23" s="694"/>
      <c r="F23" s="694"/>
      <c r="G23" s="694"/>
      <c r="H23" s="694"/>
      <c r="I23" s="694"/>
      <c r="J23" s="694"/>
      <c r="K23" s="694"/>
      <c r="L23" s="694"/>
      <c r="M23" s="694"/>
      <c r="N23" s="554">
        <f t="shared" si="0"/>
        <v>0</v>
      </c>
      <c r="O23" s="554">
        <f t="shared" si="1"/>
        <v>0</v>
      </c>
      <c r="P23" s="555">
        <f>(O23/O240)*100</f>
        <v>0</v>
      </c>
      <c r="Q23" s="567"/>
      <c r="R23" s="555">
        <f t="shared" si="2"/>
        <v>0</v>
      </c>
      <c r="S23" s="698"/>
      <c r="U23" s="696">
        <f t="shared" si="11"/>
        <v>0</v>
      </c>
      <c r="V23" s="696">
        <f t="shared" si="3"/>
        <v>0</v>
      </c>
      <c r="W23" s="696">
        <f t="shared" si="4"/>
        <v>0</v>
      </c>
      <c r="X23" s="696">
        <f t="shared" si="5"/>
        <v>0</v>
      </c>
      <c r="Y23" s="696">
        <f t="shared" si="6"/>
        <v>0</v>
      </c>
      <c r="Z23" s="696">
        <f t="shared" si="7"/>
        <v>0</v>
      </c>
      <c r="AA23" s="696">
        <f t="shared" si="8"/>
        <v>0</v>
      </c>
      <c r="AB23" s="696">
        <f t="shared" si="12"/>
        <v>0</v>
      </c>
      <c r="AC23" s="696">
        <f t="shared" si="9"/>
        <v>0</v>
      </c>
      <c r="AD23" s="696">
        <f t="shared" si="10"/>
        <v>0</v>
      </c>
      <c r="AE23" s="699"/>
    </row>
    <row r="24" spans="1:31" ht="25.15" customHeight="1">
      <c r="A24" s="543">
        <v>15</v>
      </c>
      <c r="B24" s="544" t="s">
        <v>1526</v>
      </c>
      <c r="C24" s="541" t="str">
        <f>'LAP. PENJUALAN '!C24</f>
        <v>Paket Segar 1 Dine In (Es Teh / S-tee)</v>
      </c>
      <c r="D24" s="694"/>
      <c r="E24" s="694"/>
      <c r="F24" s="694"/>
      <c r="G24" s="694"/>
      <c r="H24" s="694"/>
      <c r="I24" s="694"/>
      <c r="J24" s="694"/>
      <c r="K24" s="694"/>
      <c r="L24" s="694"/>
      <c r="M24" s="694"/>
      <c r="N24" s="554">
        <f t="shared" si="0"/>
        <v>0</v>
      </c>
      <c r="O24" s="554">
        <f t="shared" si="1"/>
        <v>0</v>
      </c>
      <c r="P24" s="555">
        <f>(O24/O240)*100</f>
        <v>0</v>
      </c>
      <c r="Q24" s="567"/>
      <c r="R24" s="555">
        <f t="shared" si="2"/>
        <v>0</v>
      </c>
      <c r="S24" s="698"/>
      <c r="U24" s="696">
        <f t="shared" si="11"/>
        <v>0</v>
      </c>
      <c r="V24" s="696">
        <f t="shared" si="3"/>
        <v>0</v>
      </c>
      <c r="W24" s="696">
        <f t="shared" si="4"/>
        <v>0</v>
      </c>
      <c r="X24" s="696">
        <f t="shared" si="5"/>
        <v>0</v>
      </c>
      <c r="Y24" s="696">
        <f t="shared" si="6"/>
        <v>0</v>
      </c>
      <c r="Z24" s="696">
        <f t="shared" si="7"/>
        <v>0</v>
      </c>
      <c r="AA24" s="696">
        <f t="shared" si="8"/>
        <v>0</v>
      </c>
      <c r="AB24" s="696">
        <f t="shared" si="12"/>
        <v>0</v>
      </c>
      <c r="AC24" s="696">
        <f t="shared" si="9"/>
        <v>0</v>
      </c>
      <c r="AD24" s="696">
        <f t="shared" si="10"/>
        <v>0</v>
      </c>
      <c r="AE24" s="699"/>
    </row>
    <row r="25" spans="1:31" ht="25.15" customHeight="1">
      <c r="A25" s="543">
        <v>16</v>
      </c>
      <c r="B25" s="544" t="s">
        <v>1527</v>
      </c>
      <c r="C25" s="541" t="str">
        <f>'LAP. PENJUALAN '!C25</f>
        <v>Paket Segar 1 Take Away (Es Teh / S-tee)</v>
      </c>
      <c r="D25" s="694"/>
      <c r="E25" s="694"/>
      <c r="F25" s="694"/>
      <c r="G25" s="694"/>
      <c r="H25" s="694"/>
      <c r="I25" s="694"/>
      <c r="J25" s="694"/>
      <c r="K25" s="694"/>
      <c r="L25" s="694"/>
      <c r="M25" s="694"/>
      <c r="N25" s="554">
        <f t="shared" si="0"/>
        <v>0</v>
      </c>
      <c r="O25" s="554">
        <f t="shared" si="1"/>
        <v>0</v>
      </c>
      <c r="P25" s="555">
        <f>(O25/O240)*100</f>
        <v>0</v>
      </c>
      <c r="Q25" s="567"/>
      <c r="R25" s="555">
        <f t="shared" si="2"/>
        <v>0</v>
      </c>
      <c r="S25" s="698"/>
      <c r="U25" s="696">
        <f t="shared" si="11"/>
        <v>0</v>
      </c>
      <c r="V25" s="696">
        <f t="shared" si="3"/>
        <v>0</v>
      </c>
      <c r="W25" s="696">
        <f t="shared" si="4"/>
        <v>0</v>
      </c>
      <c r="X25" s="696">
        <f t="shared" si="5"/>
        <v>0</v>
      </c>
      <c r="Y25" s="696">
        <f t="shared" si="6"/>
        <v>0</v>
      </c>
      <c r="Z25" s="696">
        <f t="shared" si="7"/>
        <v>0</v>
      </c>
      <c r="AA25" s="696">
        <f t="shared" si="8"/>
        <v>0</v>
      </c>
      <c r="AB25" s="696">
        <f t="shared" si="12"/>
        <v>0</v>
      </c>
      <c r="AC25" s="696">
        <f t="shared" si="9"/>
        <v>0</v>
      </c>
      <c r="AD25" s="696">
        <f t="shared" si="10"/>
        <v>0</v>
      </c>
      <c r="AE25" s="699"/>
    </row>
    <row r="26" spans="1:31" ht="25.15" customHeight="1">
      <c r="A26" s="543">
        <v>17</v>
      </c>
      <c r="B26" s="544" t="s">
        <v>1528</v>
      </c>
      <c r="C26" s="541" t="str">
        <f>'LAP. PENJUALAN '!C26</f>
        <v>Paket Segar 2 (Es Teh / S-tee)</v>
      </c>
      <c r="D26" s="694"/>
      <c r="E26" s="694"/>
      <c r="F26" s="694"/>
      <c r="G26" s="694"/>
      <c r="H26" s="694"/>
      <c r="I26" s="694"/>
      <c r="J26" s="694"/>
      <c r="K26" s="694"/>
      <c r="L26" s="694"/>
      <c r="M26" s="694"/>
      <c r="N26" s="554">
        <f t="shared" si="0"/>
        <v>0</v>
      </c>
      <c r="O26" s="554">
        <f t="shared" si="1"/>
        <v>0</v>
      </c>
      <c r="P26" s="555">
        <f>(O26/O240)*100</f>
        <v>0</v>
      </c>
      <c r="Q26" s="567"/>
      <c r="R26" s="555">
        <f t="shared" si="2"/>
        <v>0</v>
      </c>
      <c r="S26" s="698"/>
      <c r="U26" s="696">
        <f t="shared" si="11"/>
        <v>0</v>
      </c>
      <c r="V26" s="696">
        <f t="shared" si="3"/>
        <v>0</v>
      </c>
      <c r="W26" s="696">
        <f t="shared" si="4"/>
        <v>0</v>
      </c>
      <c r="X26" s="696">
        <f t="shared" si="5"/>
        <v>0</v>
      </c>
      <c r="Y26" s="696">
        <f t="shared" si="6"/>
        <v>0</v>
      </c>
      <c r="Z26" s="696">
        <f t="shared" si="7"/>
        <v>0</v>
      </c>
      <c r="AA26" s="696">
        <f t="shared" si="8"/>
        <v>0</v>
      </c>
      <c r="AB26" s="696">
        <f t="shared" si="12"/>
        <v>0</v>
      </c>
      <c r="AC26" s="696">
        <f t="shared" si="9"/>
        <v>0</v>
      </c>
      <c r="AD26" s="696">
        <f t="shared" si="10"/>
        <v>0</v>
      </c>
      <c r="AE26" s="699"/>
    </row>
    <row r="27" spans="1:31" ht="25.15" customHeight="1">
      <c r="A27" s="543">
        <v>18</v>
      </c>
      <c r="B27" s="544" t="s">
        <v>1529</v>
      </c>
      <c r="C27" s="541" t="str">
        <f>'LAP. PENJUALAN '!C27</f>
        <v>Paket Segar 3 (Es Teh / S-tee)</v>
      </c>
      <c r="D27" s="694"/>
      <c r="E27" s="694"/>
      <c r="F27" s="694"/>
      <c r="G27" s="694"/>
      <c r="H27" s="694"/>
      <c r="I27" s="694"/>
      <c r="J27" s="694"/>
      <c r="K27" s="694"/>
      <c r="L27" s="694"/>
      <c r="M27" s="694"/>
      <c r="N27" s="554">
        <f t="shared" si="0"/>
        <v>0</v>
      </c>
      <c r="O27" s="554">
        <f t="shared" si="1"/>
        <v>0</v>
      </c>
      <c r="P27" s="555">
        <f>(O27/O240)*100</f>
        <v>0</v>
      </c>
      <c r="Q27" s="567"/>
      <c r="R27" s="555">
        <f t="shared" si="2"/>
        <v>0</v>
      </c>
      <c r="S27" s="698"/>
      <c r="U27" s="696">
        <f t="shared" si="11"/>
        <v>0</v>
      </c>
      <c r="V27" s="696">
        <f t="shared" si="3"/>
        <v>0</v>
      </c>
      <c r="W27" s="696">
        <f t="shared" si="4"/>
        <v>0</v>
      </c>
      <c r="X27" s="696">
        <f t="shared" si="5"/>
        <v>0</v>
      </c>
      <c r="Y27" s="696">
        <f t="shared" si="6"/>
        <v>0</v>
      </c>
      <c r="Z27" s="696">
        <f t="shared" si="7"/>
        <v>0</v>
      </c>
      <c r="AA27" s="696">
        <f t="shared" si="8"/>
        <v>0</v>
      </c>
      <c r="AB27" s="696">
        <f t="shared" si="12"/>
        <v>0</v>
      </c>
      <c r="AC27" s="696">
        <f t="shared" si="9"/>
        <v>0</v>
      </c>
      <c r="AD27" s="696">
        <f t="shared" si="10"/>
        <v>0</v>
      </c>
      <c r="AE27" s="699"/>
    </row>
    <row r="28" spans="1:31" ht="25.15" customHeight="1">
      <c r="A28" s="543">
        <v>19</v>
      </c>
      <c r="B28" s="544" t="s">
        <v>1530</v>
      </c>
      <c r="C28" s="541" t="str">
        <f>'LAP. PENJUALAN '!C28</f>
        <v>Paket Segar 4 (Es Teh / S-tee)</v>
      </c>
      <c r="D28" s="694"/>
      <c r="E28" s="694"/>
      <c r="F28" s="694"/>
      <c r="G28" s="694"/>
      <c r="H28" s="694"/>
      <c r="I28" s="694"/>
      <c r="J28" s="694"/>
      <c r="K28" s="694"/>
      <c r="L28" s="694"/>
      <c r="M28" s="694"/>
      <c r="N28" s="554">
        <f t="shared" si="0"/>
        <v>0</v>
      </c>
      <c r="O28" s="554">
        <f t="shared" si="1"/>
        <v>0</v>
      </c>
      <c r="P28" s="555">
        <f>(O28/O240)*100</f>
        <v>0</v>
      </c>
      <c r="Q28" s="567"/>
      <c r="R28" s="555">
        <f t="shared" si="2"/>
        <v>0</v>
      </c>
      <c r="S28" s="698"/>
      <c r="U28" s="696">
        <f t="shared" si="11"/>
        <v>0</v>
      </c>
      <c r="V28" s="696">
        <f t="shared" si="3"/>
        <v>0</v>
      </c>
      <c r="W28" s="696">
        <f t="shared" si="4"/>
        <v>0</v>
      </c>
      <c r="X28" s="696">
        <f t="shared" si="5"/>
        <v>0</v>
      </c>
      <c r="Y28" s="696">
        <f t="shared" si="6"/>
        <v>0</v>
      </c>
      <c r="Z28" s="696">
        <f t="shared" si="7"/>
        <v>0</v>
      </c>
      <c r="AA28" s="696">
        <f t="shared" si="8"/>
        <v>0</v>
      </c>
      <c r="AB28" s="696">
        <f t="shared" si="12"/>
        <v>0</v>
      </c>
      <c r="AC28" s="696">
        <f t="shared" si="9"/>
        <v>0</v>
      </c>
      <c r="AD28" s="696">
        <f t="shared" si="10"/>
        <v>0</v>
      </c>
      <c r="AE28" s="699"/>
    </row>
    <row r="29" spans="1:31" ht="25.15" customHeight="1">
      <c r="A29" s="543">
        <v>20</v>
      </c>
      <c r="B29" s="544" t="s">
        <v>1531</v>
      </c>
      <c r="C29" s="541" t="str">
        <f>'LAP. PENJUALAN '!C29</f>
        <v>Paket Segar 5 (Es Teh / S-tee)</v>
      </c>
      <c r="D29" s="694"/>
      <c r="E29" s="694"/>
      <c r="F29" s="694"/>
      <c r="G29" s="694"/>
      <c r="H29" s="694"/>
      <c r="I29" s="694"/>
      <c r="J29" s="694"/>
      <c r="K29" s="694"/>
      <c r="L29" s="694"/>
      <c r="M29" s="694"/>
      <c r="N29" s="554">
        <f t="shared" si="0"/>
        <v>0</v>
      </c>
      <c r="O29" s="554">
        <f t="shared" si="1"/>
        <v>0</v>
      </c>
      <c r="P29" s="555">
        <f>(O29/O240)*100</f>
        <v>0</v>
      </c>
      <c r="Q29" s="567"/>
      <c r="R29" s="555">
        <f t="shared" si="2"/>
        <v>0</v>
      </c>
      <c r="S29" s="698"/>
      <c r="U29" s="696">
        <f t="shared" si="11"/>
        <v>0</v>
      </c>
      <c r="V29" s="696">
        <f t="shared" si="3"/>
        <v>0</v>
      </c>
      <c r="W29" s="696">
        <f t="shared" si="4"/>
        <v>0</v>
      </c>
      <c r="X29" s="696">
        <f t="shared" si="5"/>
        <v>0</v>
      </c>
      <c r="Y29" s="696">
        <f t="shared" si="6"/>
        <v>0</v>
      </c>
      <c r="Z29" s="696">
        <f t="shared" si="7"/>
        <v>0</v>
      </c>
      <c r="AA29" s="696">
        <f t="shared" si="8"/>
        <v>0</v>
      </c>
      <c r="AB29" s="696">
        <f t="shared" si="12"/>
        <v>0</v>
      </c>
      <c r="AC29" s="696">
        <f t="shared" si="9"/>
        <v>0</v>
      </c>
      <c r="AD29" s="696">
        <f t="shared" si="10"/>
        <v>0</v>
      </c>
      <c r="AE29" s="699"/>
    </row>
    <row r="30" spans="1:31" ht="25.15" customHeight="1">
      <c r="A30" s="543">
        <v>21</v>
      </c>
      <c r="B30" s="544" t="s">
        <v>1532</v>
      </c>
      <c r="C30" s="541" t="str">
        <f>'LAP. PENJUALAN '!C30</f>
        <v>Paket Segar 6 (Es Teh / S-tee)</v>
      </c>
      <c r="D30" s="694"/>
      <c r="E30" s="694"/>
      <c r="F30" s="694"/>
      <c r="G30" s="694"/>
      <c r="H30" s="694"/>
      <c r="I30" s="694"/>
      <c r="J30" s="694"/>
      <c r="K30" s="694"/>
      <c r="L30" s="694"/>
      <c r="M30" s="694"/>
      <c r="N30" s="554">
        <f t="shared" si="0"/>
        <v>0</v>
      </c>
      <c r="O30" s="554">
        <f t="shared" si="1"/>
        <v>0</v>
      </c>
      <c r="P30" s="555">
        <f>(O30/O240)*100</f>
        <v>0</v>
      </c>
      <c r="Q30" s="567"/>
      <c r="R30" s="555">
        <f t="shared" si="2"/>
        <v>0</v>
      </c>
      <c r="S30" s="698"/>
      <c r="U30" s="696">
        <f t="shared" si="11"/>
        <v>0</v>
      </c>
      <c r="V30" s="696">
        <f t="shared" si="3"/>
        <v>0</v>
      </c>
      <c r="W30" s="696">
        <f t="shared" si="4"/>
        <v>0</v>
      </c>
      <c r="X30" s="696">
        <f t="shared" si="5"/>
        <v>0</v>
      </c>
      <c r="Y30" s="696">
        <f t="shared" si="6"/>
        <v>0</v>
      </c>
      <c r="Z30" s="696">
        <f t="shared" si="7"/>
        <v>0</v>
      </c>
      <c r="AA30" s="696">
        <f t="shared" si="8"/>
        <v>0</v>
      </c>
      <c r="AB30" s="696">
        <f t="shared" si="12"/>
        <v>0</v>
      </c>
      <c r="AC30" s="696">
        <f t="shared" si="9"/>
        <v>0</v>
      </c>
      <c r="AD30" s="696">
        <f t="shared" si="10"/>
        <v>0</v>
      </c>
      <c r="AE30" s="699"/>
    </row>
    <row r="31" spans="1:31" ht="25.15" customHeight="1">
      <c r="A31" s="543">
        <v>22</v>
      </c>
      <c r="B31" s="544"/>
      <c r="C31" s="541" t="str">
        <f>'LAP. PENJUALAN '!C31</f>
        <v>Paket Segar 7 (Es Teh / S-tee)</v>
      </c>
      <c r="D31" s="694"/>
      <c r="E31" s="694"/>
      <c r="F31" s="694"/>
      <c r="G31" s="694"/>
      <c r="H31" s="694"/>
      <c r="I31" s="694"/>
      <c r="J31" s="694"/>
      <c r="K31" s="694"/>
      <c r="L31" s="694"/>
      <c r="M31" s="694"/>
      <c r="N31" s="554">
        <f t="shared" si="0"/>
        <v>0</v>
      </c>
      <c r="O31" s="554">
        <f t="shared" si="1"/>
        <v>0</v>
      </c>
      <c r="P31" s="555">
        <f>(O31/O240)*100</f>
        <v>0</v>
      </c>
      <c r="Q31" s="567"/>
      <c r="R31" s="555">
        <f t="shared" si="2"/>
        <v>0</v>
      </c>
      <c r="S31" s="698"/>
      <c r="U31" s="696">
        <f t="shared" si="11"/>
        <v>0</v>
      </c>
      <c r="V31" s="696">
        <f t="shared" si="3"/>
        <v>0</v>
      </c>
      <c r="W31" s="696">
        <f t="shared" si="4"/>
        <v>0</v>
      </c>
      <c r="X31" s="696">
        <f t="shared" si="5"/>
        <v>0</v>
      </c>
      <c r="Y31" s="696">
        <f t="shared" si="6"/>
        <v>0</v>
      </c>
      <c r="Z31" s="696">
        <f t="shared" si="7"/>
        <v>0</v>
      </c>
      <c r="AA31" s="696">
        <f t="shared" si="8"/>
        <v>0</v>
      </c>
      <c r="AB31" s="696">
        <f t="shared" si="12"/>
        <v>0</v>
      </c>
      <c r="AC31" s="696">
        <f t="shared" si="9"/>
        <v>0</v>
      </c>
      <c r="AD31" s="696">
        <f t="shared" si="10"/>
        <v>0</v>
      </c>
      <c r="AE31" s="699"/>
    </row>
    <row r="32" spans="1:31" ht="25.15" customHeight="1">
      <c r="A32" s="543"/>
      <c r="B32" s="544" t="s">
        <v>1533</v>
      </c>
      <c r="C32" s="541"/>
      <c r="D32" s="694"/>
      <c r="E32" s="694"/>
      <c r="F32" s="694"/>
      <c r="G32" s="694"/>
      <c r="H32" s="694"/>
      <c r="I32" s="694"/>
      <c r="J32" s="694"/>
      <c r="K32" s="694"/>
      <c r="L32" s="694"/>
      <c r="M32" s="694"/>
      <c r="N32" s="554">
        <f t="shared" si="0"/>
        <v>0</v>
      </c>
      <c r="O32" s="554">
        <f t="shared" si="1"/>
        <v>0</v>
      </c>
      <c r="P32" s="555">
        <f>(O32/O240)*100</f>
        <v>0</v>
      </c>
      <c r="Q32" s="567"/>
      <c r="R32" s="555">
        <f t="shared" si="2"/>
        <v>0</v>
      </c>
      <c r="S32" s="698"/>
      <c r="U32" s="696">
        <f t="shared" si="11"/>
        <v>0</v>
      </c>
      <c r="V32" s="696">
        <f t="shared" si="3"/>
        <v>0</v>
      </c>
      <c r="W32" s="696">
        <f t="shared" si="4"/>
        <v>0</v>
      </c>
      <c r="X32" s="696">
        <f t="shared" si="5"/>
        <v>0</v>
      </c>
      <c r="Y32" s="696">
        <f t="shared" si="6"/>
        <v>0</v>
      </c>
      <c r="Z32" s="696">
        <f t="shared" si="7"/>
        <v>0</v>
      </c>
      <c r="AA32" s="696">
        <f t="shared" si="8"/>
        <v>0</v>
      </c>
      <c r="AB32" s="696">
        <f t="shared" si="12"/>
        <v>0</v>
      </c>
      <c r="AC32" s="696">
        <f t="shared" si="9"/>
        <v>0</v>
      </c>
      <c r="AD32" s="696">
        <f t="shared" si="10"/>
        <v>0</v>
      </c>
      <c r="AE32" s="699"/>
    </row>
    <row r="33" spans="1:31" ht="25.15" customHeight="1">
      <c r="A33" s="543">
        <v>23</v>
      </c>
      <c r="B33" s="544" t="s">
        <v>1307</v>
      </c>
      <c r="C33" s="541" t="str">
        <f>'LAP. PENJUALAN '!C33</f>
        <v>Paket Rocket 1 Dine In</v>
      </c>
      <c r="D33" s="694"/>
      <c r="E33" s="694"/>
      <c r="F33" s="694"/>
      <c r="G33" s="694"/>
      <c r="H33" s="694"/>
      <c r="I33" s="694"/>
      <c r="J33" s="694"/>
      <c r="K33" s="694"/>
      <c r="L33" s="694"/>
      <c r="M33" s="694"/>
      <c r="N33" s="554">
        <f t="shared" si="0"/>
        <v>0</v>
      </c>
      <c r="O33" s="554">
        <f t="shared" si="1"/>
        <v>0</v>
      </c>
      <c r="P33" s="555">
        <f>(O33/O240)*100</f>
        <v>0</v>
      </c>
      <c r="Q33" s="567"/>
      <c r="R33" s="555">
        <f t="shared" si="2"/>
        <v>0</v>
      </c>
      <c r="S33" s="698"/>
      <c r="U33" s="696">
        <f t="shared" si="11"/>
        <v>0</v>
      </c>
      <c r="V33" s="696">
        <f t="shared" si="3"/>
        <v>0</v>
      </c>
      <c r="W33" s="696">
        <f t="shared" si="4"/>
        <v>0</v>
      </c>
      <c r="X33" s="696">
        <f t="shared" si="5"/>
        <v>0</v>
      </c>
      <c r="Y33" s="696">
        <f t="shared" si="6"/>
        <v>0</v>
      </c>
      <c r="Z33" s="696">
        <f t="shared" si="7"/>
        <v>0</v>
      </c>
      <c r="AA33" s="696">
        <f t="shared" si="8"/>
        <v>0</v>
      </c>
      <c r="AB33" s="696">
        <f t="shared" si="12"/>
        <v>0</v>
      </c>
      <c r="AC33" s="696">
        <f t="shared" si="9"/>
        <v>0</v>
      </c>
      <c r="AD33" s="696">
        <f t="shared" si="10"/>
        <v>0</v>
      </c>
      <c r="AE33" s="699"/>
    </row>
    <row r="34" spans="1:31" ht="25.15" customHeight="1">
      <c r="A34" s="543">
        <v>24</v>
      </c>
      <c r="B34" s="544" t="s">
        <v>1308</v>
      </c>
      <c r="C34" s="541" t="str">
        <f>'LAP. PENJUALAN '!C34</f>
        <v>Paket Rocket 1 Take Away</v>
      </c>
      <c r="D34" s="694">
        <v>2</v>
      </c>
      <c r="E34" s="694">
        <v>3</v>
      </c>
      <c r="F34" s="694"/>
      <c r="G34" s="694">
        <v>2</v>
      </c>
      <c r="H34" s="694"/>
      <c r="I34" s="694"/>
      <c r="J34" s="694"/>
      <c r="K34" s="694"/>
      <c r="L34" s="694"/>
      <c r="M34" s="694"/>
      <c r="N34" s="554">
        <f t="shared" si="0"/>
        <v>7</v>
      </c>
      <c r="O34" s="554">
        <f t="shared" si="1"/>
        <v>113750</v>
      </c>
      <c r="P34" s="555">
        <f>(O34/O240)*100</f>
        <v>8.0346106304079097</v>
      </c>
      <c r="Q34" s="567"/>
      <c r="R34" s="555">
        <f t="shared" si="2"/>
        <v>0</v>
      </c>
      <c r="S34" s="697">
        <v>16250</v>
      </c>
      <c r="U34" s="696">
        <f t="shared" si="11"/>
        <v>32500</v>
      </c>
      <c r="V34" s="696">
        <f t="shared" si="3"/>
        <v>48750</v>
      </c>
      <c r="W34" s="696">
        <f t="shared" si="4"/>
        <v>0</v>
      </c>
      <c r="X34" s="696">
        <f t="shared" si="5"/>
        <v>32500</v>
      </c>
      <c r="Y34" s="696">
        <f t="shared" si="6"/>
        <v>0</v>
      </c>
      <c r="Z34" s="696">
        <f t="shared" si="7"/>
        <v>0</v>
      </c>
      <c r="AA34" s="696">
        <f t="shared" si="8"/>
        <v>0</v>
      </c>
      <c r="AB34" s="696">
        <f t="shared" si="12"/>
        <v>0</v>
      </c>
      <c r="AC34" s="696">
        <f t="shared" si="9"/>
        <v>0</v>
      </c>
      <c r="AD34" s="696">
        <f t="shared" si="10"/>
        <v>0</v>
      </c>
      <c r="AE34" s="699"/>
    </row>
    <row r="35" spans="1:31" ht="25.15" customHeight="1">
      <c r="A35" s="543">
        <v>25</v>
      </c>
      <c r="B35" s="544" t="s">
        <v>1309</v>
      </c>
      <c r="C35" s="541" t="str">
        <f>'LAP. PENJUALAN '!C35</f>
        <v>Paket Rocket 2</v>
      </c>
      <c r="D35" s="694">
        <v>1</v>
      </c>
      <c r="E35" s="694"/>
      <c r="F35" s="694"/>
      <c r="G35" s="694"/>
      <c r="H35" s="694">
        <v>2</v>
      </c>
      <c r="I35" s="694"/>
      <c r="J35" s="694">
        <v>1</v>
      </c>
      <c r="K35" s="694"/>
      <c r="L35" s="694"/>
      <c r="M35" s="694"/>
      <c r="N35" s="554">
        <f t="shared" si="0"/>
        <v>4</v>
      </c>
      <c r="O35" s="554">
        <f t="shared" si="1"/>
        <v>100000</v>
      </c>
      <c r="P35" s="555">
        <f>(O35/O240)*100</f>
        <v>7.0633939607981597</v>
      </c>
      <c r="Q35" s="567"/>
      <c r="R35" s="555">
        <f t="shared" si="2"/>
        <v>0</v>
      </c>
      <c r="S35" s="697">
        <v>25000</v>
      </c>
      <c r="U35" s="696">
        <f t="shared" si="11"/>
        <v>25000</v>
      </c>
      <c r="V35" s="696">
        <f t="shared" si="3"/>
        <v>0</v>
      </c>
      <c r="W35" s="696">
        <f t="shared" si="4"/>
        <v>0</v>
      </c>
      <c r="X35" s="696">
        <f t="shared" si="5"/>
        <v>0</v>
      </c>
      <c r="Y35" s="696">
        <f t="shared" si="6"/>
        <v>50000</v>
      </c>
      <c r="Z35" s="696">
        <f t="shared" si="7"/>
        <v>0</v>
      </c>
      <c r="AA35" s="696">
        <f t="shared" si="8"/>
        <v>25000</v>
      </c>
      <c r="AB35" s="696">
        <f t="shared" si="12"/>
        <v>0</v>
      </c>
      <c r="AC35" s="696">
        <f t="shared" si="9"/>
        <v>0</v>
      </c>
      <c r="AD35" s="696">
        <f t="shared" si="10"/>
        <v>0</v>
      </c>
      <c r="AE35" s="699"/>
    </row>
    <row r="36" spans="1:31" ht="25.15" customHeight="1">
      <c r="A36" s="543">
        <v>26</v>
      </c>
      <c r="B36" s="544" t="s">
        <v>1310</v>
      </c>
      <c r="C36" s="541" t="str">
        <f>'LAP. PENJUALAN '!C36</f>
        <v>Paket Rocket 3</v>
      </c>
      <c r="D36" s="694"/>
      <c r="E36" s="694">
        <v>2</v>
      </c>
      <c r="F36" s="694"/>
      <c r="G36" s="694"/>
      <c r="H36" s="694">
        <v>3</v>
      </c>
      <c r="I36" s="694"/>
      <c r="J36" s="694"/>
      <c r="K36" s="694"/>
      <c r="L36" s="694"/>
      <c r="M36" s="694"/>
      <c r="N36" s="554">
        <f t="shared" si="0"/>
        <v>5</v>
      </c>
      <c r="O36" s="554">
        <f t="shared" si="1"/>
        <v>118750</v>
      </c>
      <c r="P36" s="555">
        <f>(O36/O240)*100</f>
        <v>8.3877803284478194</v>
      </c>
      <c r="Q36" s="567"/>
      <c r="R36" s="555">
        <f t="shared" si="2"/>
        <v>0</v>
      </c>
      <c r="S36" s="697">
        <v>23750</v>
      </c>
      <c r="U36" s="696">
        <f t="shared" si="11"/>
        <v>0</v>
      </c>
      <c r="V36" s="696">
        <f t="shared" si="3"/>
        <v>47500</v>
      </c>
      <c r="W36" s="696">
        <f t="shared" si="4"/>
        <v>0</v>
      </c>
      <c r="X36" s="696">
        <f t="shared" si="5"/>
        <v>0</v>
      </c>
      <c r="Y36" s="696">
        <f t="shared" si="6"/>
        <v>71250</v>
      </c>
      <c r="Z36" s="696">
        <f t="shared" si="7"/>
        <v>0</v>
      </c>
      <c r="AA36" s="696">
        <f t="shared" si="8"/>
        <v>0</v>
      </c>
      <c r="AB36" s="696">
        <f t="shared" si="12"/>
        <v>0</v>
      </c>
      <c r="AC36" s="696">
        <f t="shared" si="9"/>
        <v>0</v>
      </c>
      <c r="AD36" s="696">
        <f t="shared" si="10"/>
        <v>0</v>
      </c>
      <c r="AE36" s="699"/>
    </row>
    <row r="37" spans="1:31" ht="25.15" customHeight="1">
      <c r="A37" s="543">
        <v>27</v>
      </c>
      <c r="B37" s="544" t="s">
        <v>1311</v>
      </c>
      <c r="C37" s="541" t="str">
        <f>'LAP. PENJUALAN '!C37</f>
        <v>Paket Rocket 4</v>
      </c>
      <c r="D37" s="694"/>
      <c r="E37" s="694">
        <v>1</v>
      </c>
      <c r="F37" s="694"/>
      <c r="G37" s="694"/>
      <c r="H37" s="694"/>
      <c r="I37" s="694"/>
      <c r="J37" s="694"/>
      <c r="K37" s="694"/>
      <c r="L37" s="694"/>
      <c r="M37" s="694"/>
      <c r="N37" s="554">
        <f t="shared" si="0"/>
        <v>1</v>
      </c>
      <c r="O37" s="554">
        <f t="shared" si="1"/>
        <v>18750</v>
      </c>
      <c r="P37" s="555">
        <f>(O37/O240)*100</f>
        <v>1.3243863676496599</v>
      </c>
      <c r="Q37" s="567"/>
      <c r="R37" s="555">
        <f t="shared" si="2"/>
        <v>0</v>
      </c>
      <c r="S37" s="697">
        <v>18750</v>
      </c>
      <c r="U37" s="696">
        <f t="shared" si="11"/>
        <v>0</v>
      </c>
      <c r="V37" s="696">
        <f t="shared" si="3"/>
        <v>18750</v>
      </c>
      <c r="W37" s="696">
        <f t="shared" si="4"/>
        <v>0</v>
      </c>
      <c r="X37" s="696">
        <f t="shared" si="5"/>
        <v>0</v>
      </c>
      <c r="Y37" s="696">
        <f t="shared" si="6"/>
        <v>0</v>
      </c>
      <c r="Z37" s="696">
        <f t="shared" si="7"/>
        <v>0</v>
      </c>
      <c r="AA37" s="696">
        <f t="shared" si="8"/>
        <v>0</v>
      </c>
      <c r="AB37" s="696">
        <f t="shared" si="12"/>
        <v>0</v>
      </c>
      <c r="AC37" s="696">
        <f t="shared" si="9"/>
        <v>0</v>
      </c>
      <c r="AD37" s="696">
        <f t="shared" si="10"/>
        <v>0</v>
      </c>
      <c r="AE37" s="699"/>
    </row>
    <row r="38" spans="1:31" ht="25.15" customHeight="1">
      <c r="A38" s="543">
        <v>28</v>
      </c>
      <c r="B38" s="544" t="s">
        <v>1312</v>
      </c>
      <c r="C38" s="541" t="str">
        <f>'LAP. PENJUALAN '!C38</f>
        <v>Paket Rocket 5</v>
      </c>
      <c r="D38" s="694"/>
      <c r="E38" s="694"/>
      <c r="F38" s="694"/>
      <c r="G38" s="694"/>
      <c r="H38" s="694">
        <v>1</v>
      </c>
      <c r="I38" s="694"/>
      <c r="J38" s="694"/>
      <c r="K38" s="694"/>
      <c r="L38" s="694"/>
      <c r="M38" s="694"/>
      <c r="N38" s="554">
        <f t="shared" si="0"/>
        <v>1</v>
      </c>
      <c r="O38" s="554">
        <f t="shared" si="1"/>
        <v>25000</v>
      </c>
      <c r="P38" s="555">
        <f>(O38/O240)*100</f>
        <v>1.7658484901995399</v>
      </c>
      <c r="Q38" s="567"/>
      <c r="R38" s="555">
        <f t="shared" si="2"/>
        <v>0</v>
      </c>
      <c r="S38" s="697">
        <v>25000</v>
      </c>
      <c r="U38" s="696">
        <f t="shared" si="11"/>
        <v>0</v>
      </c>
      <c r="V38" s="696">
        <f t="shared" si="3"/>
        <v>0</v>
      </c>
      <c r="W38" s="696">
        <f t="shared" si="4"/>
        <v>0</v>
      </c>
      <c r="X38" s="696">
        <f t="shared" si="5"/>
        <v>0</v>
      </c>
      <c r="Y38" s="696">
        <f t="shared" si="6"/>
        <v>25000</v>
      </c>
      <c r="Z38" s="696">
        <f t="shared" si="7"/>
        <v>0</v>
      </c>
      <c r="AA38" s="696">
        <f t="shared" si="8"/>
        <v>0</v>
      </c>
      <c r="AB38" s="696">
        <f t="shared" si="12"/>
        <v>0</v>
      </c>
      <c r="AC38" s="696">
        <f t="shared" si="9"/>
        <v>0</v>
      </c>
      <c r="AD38" s="696">
        <f t="shared" si="10"/>
        <v>0</v>
      </c>
      <c r="AE38" s="699"/>
    </row>
    <row r="39" spans="1:31" ht="25.15" customHeight="1">
      <c r="A39" s="543">
        <v>29</v>
      </c>
      <c r="B39" s="544" t="s">
        <v>1313</v>
      </c>
      <c r="C39" s="541" t="str">
        <f>'LAP. PENJUALAN '!C39</f>
        <v>Paket Rocket 6</v>
      </c>
      <c r="D39" s="694"/>
      <c r="E39" s="694"/>
      <c r="F39" s="694"/>
      <c r="G39" s="694"/>
      <c r="H39" s="694"/>
      <c r="I39" s="694"/>
      <c r="J39" s="694"/>
      <c r="K39" s="694"/>
      <c r="L39" s="694"/>
      <c r="M39" s="694"/>
      <c r="N39" s="554">
        <f t="shared" si="0"/>
        <v>0</v>
      </c>
      <c r="O39" s="554">
        <f t="shared" si="1"/>
        <v>0</v>
      </c>
      <c r="P39" s="555">
        <f>(O39/O240)*100</f>
        <v>0</v>
      </c>
      <c r="Q39" s="567"/>
      <c r="R39" s="555">
        <f t="shared" si="2"/>
        <v>0</v>
      </c>
      <c r="S39" s="697">
        <v>25000</v>
      </c>
      <c r="U39" s="696">
        <f t="shared" ref="U39:U41" si="13">D39*S39</f>
        <v>0</v>
      </c>
      <c r="V39" s="696">
        <f t="shared" ref="V39:V41" si="14">E39*S39</f>
        <v>0</v>
      </c>
      <c r="W39" s="696">
        <f t="shared" ref="W39:W41" si="15">F39*S39</f>
        <v>0</v>
      </c>
      <c r="X39" s="696">
        <f t="shared" ref="X39:X41" si="16">G39*S39</f>
        <v>0</v>
      </c>
      <c r="Y39" s="696">
        <f t="shared" ref="Y39:Y41" si="17">H39*S39</f>
        <v>0</v>
      </c>
      <c r="Z39" s="696">
        <f t="shared" ref="Z39:Z41" si="18">I39*S39</f>
        <v>0</v>
      </c>
      <c r="AA39" s="696">
        <f t="shared" ref="AA39:AA41" si="19">J39*S39</f>
        <v>0</v>
      </c>
      <c r="AB39" s="696">
        <f t="shared" ref="AB39:AB41" si="20">K39*S39</f>
        <v>0</v>
      </c>
      <c r="AC39" s="696">
        <f t="shared" ref="AC39:AC41" si="21">L39*S39</f>
        <v>0</v>
      </c>
      <c r="AD39" s="696">
        <f t="shared" ref="AD39:AD41" si="22">M39*S39</f>
        <v>0</v>
      </c>
      <c r="AE39" s="699"/>
    </row>
    <row r="40" spans="1:31" ht="25.15" customHeight="1">
      <c r="A40" s="543">
        <v>30</v>
      </c>
      <c r="B40" s="544" t="s">
        <v>1314</v>
      </c>
      <c r="C40" s="541" t="str">
        <f>'LAP. PENJUALAN '!C40</f>
        <v>Paket Rocket 7</v>
      </c>
      <c r="D40" s="694"/>
      <c r="E40" s="694"/>
      <c r="F40" s="694">
        <v>2</v>
      </c>
      <c r="G40" s="694">
        <v>1</v>
      </c>
      <c r="H40" s="694"/>
      <c r="I40" s="694"/>
      <c r="J40" s="694"/>
      <c r="K40" s="694"/>
      <c r="L40" s="694"/>
      <c r="M40" s="694"/>
      <c r="N40" s="554">
        <f t="shared" si="0"/>
        <v>3</v>
      </c>
      <c r="O40" s="554">
        <f t="shared" si="1"/>
        <v>78750</v>
      </c>
      <c r="P40" s="555">
        <f>(O40/O240)*100</f>
        <v>5.5624227441285496</v>
      </c>
      <c r="Q40" s="567"/>
      <c r="R40" s="555">
        <f t="shared" si="2"/>
        <v>0</v>
      </c>
      <c r="S40" s="697">
        <v>26250</v>
      </c>
      <c r="U40" s="696">
        <f t="shared" si="13"/>
        <v>0</v>
      </c>
      <c r="V40" s="696">
        <f t="shared" si="14"/>
        <v>0</v>
      </c>
      <c r="W40" s="696">
        <f t="shared" si="15"/>
        <v>52500</v>
      </c>
      <c r="X40" s="696">
        <f t="shared" si="16"/>
        <v>26250</v>
      </c>
      <c r="Y40" s="696">
        <f t="shared" si="17"/>
        <v>0</v>
      </c>
      <c r="Z40" s="696">
        <f t="shared" si="18"/>
        <v>0</v>
      </c>
      <c r="AA40" s="696">
        <f t="shared" si="19"/>
        <v>0</v>
      </c>
      <c r="AB40" s="696">
        <f t="shared" si="20"/>
        <v>0</v>
      </c>
      <c r="AC40" s="696">
        <f t="shared" si="21"/>
        <v>0</v>
      </c>
      <c r="AD40" s="696">
        <f t="shared" si="22"/>
        <v>0</v>
      </c>
      <c r="AE40" s="699"/>
    </row>
    <row r="41" spans="1:31" ht="25.15" customHeight="1">
      <c r="A41" s="543">
        <v>31</v>
      </c>
      <c r="B41" s="544" t="s">
        <v>1315</v>
      </c>
      <c r="C41" s="541" t="str">
        <f>'LAP. PENJUALAN '!C41</f>
        <v>Paket Rocket 8</v>
      </c>
      <c r="D41" s="694"/>
      <c r="E41" s="694"/>
      <c r="F41" s="694"/>
      <c r="G41" s="694"/>
      <c r="H41" s="694"/>
      <c r="I41" s="694"/>
      <c r="J41" s="694"/>
      <c r="K41" s="694"/>
      <c r="L41" s="694"/>
      <c r="M41" s="694"/>
      <c r="N41" s="554">
        <f t="shared" si="0"/>
        <v>0</v>
      </c>
      <c r="O41" s="554">
        <f t="shared" si="1"/>
        <v>0</v>
      </c>
      <c r="P41" s="555">
        <f>(O41/O240)*100</f>
        <v>0</v>
      </c>
      <c r="Q41" s="567"/>
      <c r="R41" s="555">
        <f t="shared" si="2"/>
        <v>0</v>
      </c>
      <c r="S41" s="697">
        <v>25000</v>
      </c>
      <c r="U41" s="696">
        <f t="shared" si="13"/>
        <v>0</v>
      </c>
      <c r="V41" s="696">
        <f t="shared" si="14"/>
        <v>0</v>
      </c>
      <c r="W41" s="696">
        <f t="shared" si="15"/>
        <v>0</v>
      </c>
      <c r="X41" s="696">
        <f t="shared" si="16"/>
        <v>0</v>
      </c>
      <c r="Y41" s="696">
        <f t="shared" si="17"/>
        <v>0</v>
      </c>
      <c r="Z41" s="696">
        <f t="shared" si="18"/>
        <v>0</v>
      </c>
      <c r="AA41" s="696">
        <f t="shared" si="19"/>
        <v>0</v>
      </c>
      <c r="AB41" s="696">
        <f t="shared" si="20"/>
        <v>0</v>
      </c>
      <c r="AC41" s="696">
        <f t="shared" si="21"/>
        <v>0</v>
      </c>
      <c r="AD41" s="696">
        <f t="shared" si="22"/>
        <v>0</v>
      </c>
      <c r="AE41" s="699"/>
    </row>
    <row r="42" spans="1:31" ht="25.15" customHeight="1">
      <c r="A42" s="543">
        <v>32</v>
      </c>
      <c r="B42" s="544"/>
      <c r="C42" s="541" t="str">
        <f>'LAP. PENJUALAN '!C42</f>
        <v>Paket Rocket 9</v>
      </c>
      <c r="D42" s="694"/>
      <c r="E42" s="694"/>
      <c r="F42" s="694"/>
      <c r="G42" s="694"/>
      <c r="H42" s="694"/>
      <c r="I42" s="694"/>
      <c r="J42" s="694">
        <v>1</v>
      </c>
      <c r="K42" s="694"/>
      <c r="L42" s="694"/>
      <c r="M42" s="694"/>
      <c r="N42" s="554">
        <f t="shared" si="0"/>
        <v>1</v>
      </c>
      <c r="O42" s="554">
        <f t="shared" si="1"/>
        <v>26250</v>
      </c>
      <c r="P42" s="555">
        <f>(O42/O240)*100</f>
        <v>1.85414091470952</v>
      </c>
      <c r="Q42" s="567"/>
      <c r="R42" s="555">
        <f t="shared" si="2"/>
        <v>0</v>
      </c>
      <c r="S42" s="697">
        <v>26250</v>
      </c>
      <c r="U42" s="696">
        <f t="shared" si="11"/>
        <v>0</v>
      </c>
      <c r="V42" s="696">
        <f t="shared" si="3"/>
        <v>0</v>
      </c>
      <c r="W42" s="696">
        <f t="shared" si="4"/>
        <v>0</v>
      </c>
      <c r="X42" s="696">
        <f t="shared" si="5"/>
        <v>0</v>
      </c>
      <c r="Y42" s="696">
        <f t="shared" si="6"/>
        <v>0</v>
      </c>
      <c r="Z42" s="696">
        <f t="shared" si="7"/>
        <v>0</v>
      </c>
      <c r="AA42" s="696">
        <f t="shared" si="8"/>
        <v>26250</v>
      </c>
      <c r="AB42" s="696">
        <f t="shared" si="12"/>
        <v>0</v>
      </c>
      <c r="AC42" s="696">
        <f t="shared" si="9"/>
        <v>0</v>
      </c>
      <c r="AD42" s="696">
        <f t="shared" si="10"/>
        <v>0</v>
      </c>
      <c r="AE42" s="699"/>
    </row>
    <row r="43" spans="1:31" ht="25.15" customHeight="1">
      <c r="A43" s="543">
        <v>33</v>
      </c>
      <c r="B43" s="545" t="s">
        <v>1316</v>
      </c>
      <c r="C43" s="541" t="str">
        <f>'LAP. PENJUALAN '!C43</f>
        <v>Paket Rocket 10</v>
      </c>
      <c r="D43" s="694"/>
      <c r="E43" s="694"/>
      <c r="F43" s="694"/>
      <c r="G43" s="694"/>
      <c r="H43" s="694"/>
      <c r="I43" s="694"/>
      <c r="J43" s="694"/>
      <c r="K43" s="694"/>
      <c r="L43" s="694"/>
      <c r="M43" s="694"/>
      <c r="N43" s="554">
        <f t="shared" si="0"/>
        <v>0</v>
      </c>
      <c r="O43" s="554">
        <f t="shared" si="1"/>
        <v>0</v>
      </c>
      <c r="P43" s="555">
        <f>(O43/O240)*100</f>
        <v>0</v>
      </c>
      <c r="Q43" s="567"/>
      <c r="R43" s="555">
        <f t="shared" si="2"/>
        <v>0</v>
      </c>
      <c r="S43" s="697">
        <v>26250</v>
      </c>
      <c r="U43" s="696">
        <f t="shared" si="11"/>
        <v>0</v>
      </c>
      <c r="V43" s="696">
        <f t="shared" si="3"/>
        <v>0</v>
      </c>
      <c r="W43" s="696">
        <f t="shared" si="4"/>
        <v>0</v>
      </c>
      <c r="X43" s="696">
        <f t="shared" si="5"/>
        <v>0</v>
      </c>
      <c r="Y43" s="696">
        <f t="shared" si="6"/>
        <v>0</v>
      </c>
      <c r="Z43" s="696">
        <f t="shared" si="7"/>
        <v>0</v>
      </c>
      <c r="AA43" s="696">
        <f t="shared" si="8"/>
        <v>0</v>
      </c>
      <c r="AB43" s="696">
        <f t="shared" si="12"/>
        <v>0</v>
      </c>
      <c r="AC43" s="696">
        <f t="shared" si="9"/>
        <v>0</v>
      </c>
      <c r="AD43" s="696">
        <f t="shared" si="10"/>
        <v>0</v>
      </c>
      <c r="AE43" s="699"/>
    </row>
    <row r="44" spans="1:31" ht="25.15" customHeight="1">
      <c r="A44" s="543"/>
      <c r="B44" s="546" t="s">
        <v>1317</v>
      </c>
      <c r="C44" s="541"/>
      <c r="D44" s="694"/>
      <c r="E44" s="694"/>
      <c r="F44" s="694"/>
      <c r="G44" s="694"/>
      <c r="H44" s="694"/>
      <c r="I44" s="694"/>
      <c r="J44" s="694"/>
      <c r="K44" s="694"/>
      <c r="L44" s="694"/>
      <c r="M44" s="694"/>
      <c r="N44" s="554">
        <f t="shared" si="0"/>
        <v>0</v>
      </c>
      <c r="O44" s="554">
        <f t="shared" si="1"/>
        <v>0</v>
      </c>
      <c r="P44" s="555">
        <f>(O44/O240)*100</f>
        <v>0</v>
      </c>
      <c r="Q44" s="567"/>
      <c r="R44" s="555">
        <f t="shared" si="2"/>
        <v>0</v>
      </c>
      <c r="S44" s="697"/>
      <c r="U44" s="696">
        <f t="shared" si="11"/>
        <v>0</v>
      </c>
      <c r="V44" s="696">
        <f t="shared" si="3"/>
        <v>0</v>
      </c>
      <c r="W44" s="696">
        <f t="shared" si="4"/>
        <v>0</v>
      </c>
      <c r="X44" s="696">
        <f t="shared" si="5"/>
        <v>0</v>
      </c>
      <c r="Y44" s="696">
        <f t="shared" si="6"/>
        <v>0</v>
      </c>
      <c r="Z44" s="696">
        <f t="shared" si="7"/>
        <v>0</v>
      </c>
      <c r="AA44" s="696">
        <f t="shared" si="8"/>
        <v>0</v>
      </c>
      <c r="AB44" s="696">
        <f t="shared" si="12"/>
        <v>0</v>
      </c>
      <c r="AC44" s="696">
        <f t="shared" si="9"/>
        <v>0</v>
      </c>
      <c r="AD44" s="696">
        <f t="shared" si="10"/>
        <v>0</v>
      </c>
      <c r="AE44" s="699"/>
    </row>
    <row r="45" spans="1:31" ht="25.15" customHeight="1">
      <c r="A45" s="543">
        <v>34</v>
      </c>
      <c r="B45" s="546" t="s">
        <v>1318</v>
      </c>
      <c r="C45" s="541" t="str">
        <f>'LAP. PENJUALAN '!C45</f>
        <v>Paket Roma 1</v>
      </c>
      <c r="D45" s="694"/>
      <c r="E45" s="694"/>
      <c r="F45" s="694"/>
      <c r="G45" s="694"/>
      <c r="H45" s="694"/>
      <c r="I45" s="694"/>
      <c r="J45" s="694"/>
      <c r="K45" s="694"/>
      <c r="L45" s="694"/>
      <c r="M45" s="694"/>
      <c r="N45" s="554">
        <f t="shared" si="0"/>
        <v>0</v>
      </c>
      <c r="O45" s="554">
        <f t="shared" si="1"/>
        <v>0</v>
      </c>
      <c r="P45" s="555">
        <f>(O45/O240)*100</f>
        <v>0</v>
      </c>
      <c r="Q45" s="567"/>
      <c r="R45" s="555">
        <f t="shared" si="2"/>
        <v>0</v>
      </c>
      <c r="S45" s="697">
        <v>25000</v>
      </c>
      <c r="U45" s="696">
        <f t="shared" si="11"/>
        <v>0</v>
      </c>
      <c r="V45" s="696">
        <f t="shared" si="3"/>
        <v>0</v>
      </c>
      <c r="W45" s="696">
        <f t="shared" si="4"/>
        <v>0</v>
      </c>
      <c r="X45" s="696">
        <f t="shared" si="5"/>
        <v>0</v>
      </c>
      <c r="Y45" s="696">
        <f t="shared" si="6"/>
        <v>0</v>
      </c>
      <c r="Z45" s="696">
        <f t="shared" si="7"/>
        <v>0</v>
      </c>
      <c r="AA45" s="696">
        <f t="shared" si="8"/>
        <v>0</v>
      </c>
      <c r="AB45" s="696">
        <f t="shared" si="12"/>
        <v>0</v>
      </c>
      <c r="AC45" s="696">
        <f t="shared" si="9"/>
        <v>0</v>
      </c>
      <c r="AD45" s="696">
        <f t="shared" si="10"/>
        <v>0</v>
      </c>
      <c r="AE45" s="699"/>
    </row>
    <row r="46" spans="1:31" ht="25.15" customHeight="1">
      <c r="A46" s="543">
        <v>35</v>
      </c>
      <c r="B46" s="546" t="s">
        <v>1319</v>
      </c>
      <c r="C46" s="541" t="str">
        <f>'LAP. PENJUALAN '!C46</f>
        <v>Paket Roma 2</v>
      </c>
      <c r="D46" s="694"/>
      <c r="E46" s="694"/>
      <c r="F46" s="694"/>
      <c r="G46" s="694"/>
      <c r="H46" s="694"/>
      <c r="I46" s="694"/>
      <c r="J46" s="694"/>
      <c r="K46" s="694"/>
      <c r="L46" s="694"/>
      <c r="M46" s="694"/>
      <c r="N46" s="554">
        <f t="shared" si="0"/>
        <v>0</v>
      </c>
      <c r="O46" s="554">
        <f t="shared" si="1"/>
        <v>0</v>
      </c>
      <c r="P46" s="555">
        <f>(O46/O240)*100</f>
        <v>0</v>
      </c>
      <c r="Q46" s="567"/>
      <c r="R46" s="555">
        <f t="shared" si="2"/>
        <v>0</v>
      </c>
      <c r="S46" s="697">
        <v>26250</v>
      </c>
      <c r="U46" s="696">
        <f t="shared" si="11"/>
        <v>0</v>
      </c>
      <c r="V46" s="696">
        <f t="shared" si="3"/>
        <v>0</v>
      </c>
      <c r="W46" s="696">
        <f t="shared" si="4"/>
        <v>0</v>
      </c>
      <c r="X46" s="696">
        <f t="shared" si="5"/>
        <v>0</v>
      </c>
      <c r="Y46" s="696">
        <f t="shared" si="6"/>
        <v>0</v>
      </c>
      <c r="Z46" s="696">
        <f t="shared" si="7"/>
        <v>0</v>
      </c>
      <c r="AA46" s="696">
        <f t="shared" si="8"/>
        <v>0</v>
      </c>
      <c r="AB46" s="696">
        <f t="shared" si="12"/>
        <v>0</v>
      </c>
      <c r="AC46" s="696">
        <f t="shared" si="9"/>
        <v>0</v>
      </c>
      <c r="AD46" s="696">
        <f t="shared" si="10"/>
        <v>0</v>
      </c>
      <c r="AE46" s="699"/>
    </row>
    <row r="47" spans="1:31" ht="25.15" customHeight="1">
      <c r="A47" s="543">
        <v>36</v>
      </c>
      <c r="B47" s="546" t="s">
        <v>1320</v>
      </c>
      <c r="C47" s="541" t="str">
        <f>'LAP. PENJUALAN '!C47</f>
        <v>Paket Roma 3</v>
      </c>
      <c r="D47" s="694"/>
      <c r="E47" s="694"/>
      <c r="F47" s="694"/>
      <c r="G47" s="694"/>
      <c r="H47" s="694"/>
      <c r="I47" s="694"/>
      <c r="J47" s="694"/>
      <c r="K47" s="694"/>
      <c r="L47" s="694"/>
      <c r="M47" s="694"/>
      <c r="N47" s="554">
        <f t="shared" si="0"/>
        <v>0</v>
      </c>
      <c r="O47" s="554">
        <f t="shared" si="1"/>
        <v>0</v>
      </c>
      <c r="P47" s="555">
        <f>(O47/O240)*100</f>
        <v>0</v>
      </c>
      <c r="Q47" s="567"/>
      <c r="R47" s="555">
        <f t="shared" si="2"/>
        <v>0</v>
      </c>
      <c r="S47" s="697">
        <v>27500</v>
      </c>
      <c r="U47" s="696">
        <f t="shared" si="11"/>
        <v>0</v>
      </c>
      <c r="V47" s="696">
        <f t="shared" si="3"/>
        <v>0</v>
      </c>
      <c r="W47" s="696">
        <f t="shared" si="4"/>
        <v>0</v>
      </c>
      <c r="X47" s="696">
        <f t="shared" si="5"/>
        <v>0</v>
      </c>
      <c r="Y47" s="696">
        <f t="shared" si="6"/>
        <v>0</v>
      </c>
      <c r="Z47" s="696">
        <f t="shared" si="7"/>
        <v>0</v>
      </c>
      <c r="AA47" s="696">
        <f t="shared" si="8"/>
        <v>0</v>
      </c>
      <c r="AB47" s="696">
        <f t="shared" si="12"/>
        <v>0</v>
      </c>
      <c r="AC47" s="696">
        <f t="shared" si="9"/>
        <v>0</v>
      </c>
      <c r="AD47" s="696">
        <f t="shared" si="10"/>
        <v>0</v>
      </c>
      <c r="AE47" s="699"/>
    </row>
    <row r="48" spans="1:31" ht="25.15" customHeight="1">
      <c r="A48" s="543">
        <v>37</v>
      </c>
      <c r="B48" s="546"/>
      <c r="C48" s="541" t="str">
        <f>'LAP. PENJUALAN '!C48</f>
        <v>Paket Roma 4</v>
      </c>
      <c r="D48" s="694"/>
      <c r="E48" s="694"/>
      <c r="F48" s="694"/>
      <c r="G48" s="694"/>
      <c r="H48" s="694"/>
      <c r="I48" s="694"/>
      <c r="J48" s="694"/>
      <c r="K48" s="694"/>
      <c r="L48" s="694"/>
      <c r="M48" s="694"/>
      <c r="N48" s="554">
        <f t="shared" si="0"/>
        <v>0</v>
      </c>
      <c r="O48" s="554">
        <f t="shared" si="1"/>
        <v>0</v>
      </c>
      <c r="P48" s="555">
        <f>(O48/O240)*100</f>
        <v>0</v>
      </c>
      <c r="Q48" s="567"/>
      <c r="R48" s="555">
        <f t="shared" si="2"/>
        <v>0</v>
      </c>
      <c r="S48" s="697">
        <v>28750</v>
      </c>
      <c r="U48" s="696">
        <f t="shared" si="11"/>
        <v>0</v>
      </c>
      <c r="V48" s="696">
        <f t="shared" si="3"/>
        <v>0</v>
      </c>
      <c r="W48" s="696">
        <f t="shared" si="4"/>
        <v>0</v>
      </c>
      <c r="X48" s="696">
        <f t="shared" si="5"/>
        <v>0</v>
      </c>
      <c r="Y48" s="696">
        <f t="shared" si="6"/>
        <v>0</v>
      </c>
      <c r="Z48" s="696">
        <f t="shared" si="7"/>
        <v>0</v>
      </c>
      <c r="AA48" s="696">
        <f t="shared" si="8"/>
        <v>0</v>
      </c>
      <c r="AB48" s="696">
        <f t="shared" si="12"/>
        <v>0</v>
      </c>
      <c r="AC48" s="696">
        <f t="shared" si="9"/>
        <v>0</v>
      </c>
      <c r="AD48" s="696">
        <f t="shared" si="10"/>
        <v>0</v>
      </c>
      <c r="AE48" s="699"/>
    </row>
    <row r="49" spans="1:31" ht="25.15" customHeight="1">
      <c r="A49" s="543">
        <v>38</v>
      </c>
      <c r="B49" s="546" t="s">
        <v>1534</v>
      </c>
      <c r="C49" s="541" t="str">
        <f>'LAP. PENJUALAN '!C49</f>
        <v>Paket Roma 5</v>
      </c>
      <c r="D49" s="694"/>
      <c r="E49" s="694"/>
      <c r="F49" s="694"/>
      <c r="G49" s="694"/>
      <c r="H49" s="694"/>
      <c r="I49" s="694"/>
      <c r="J49" s="694"/>
      <c r="K49" s="694"/>
      <c r="L49" s="694"/>
      <c r="M49" s="694"/>
      <c r="N49" s="554">
        <f t="shared" si="0"/>
        <v>0</v>
      </c>
      <c r="O49" s="554">
        <f t="shared" si="1"/>
        <v>0</v>
      </c>
      <c r="P49" s="555">
        <f>(O49/O240)*100</f>
        <v>0</v>
      </c>
      <c r="Q49" s="567"/>
      <c r="R49" s="555">
        <f t="shared" si="2"/>
        <v>0</v>
      </c>
      <c r="S49" s="697">
        <v>27500</v>
      </c>
      <c r="U49" s="696">
        <f t="shared" si="11"/>
        <v>0</v>
      </c>
      <c r="V49" s="696">
        <f t="shared" si="3"/>
        <v>0</v>
      </c>
      <c r="W49" s="696">
        <f t="shared" si="4"/>
        <v>0</v>
      </c>
      <c r="X49" s="696">
        <f t="shared" si="5"/>
        <v>0</v>
      </c>
      <c r="Y49" s="696">
        <f t="shared" si="6"/>
        <v>0</v>
      </c>
      <c r="Z49" s="696">
        <f t="shared" si="7"/>
        <v>0</v>
      </c>
      <c r="AA49" s="696">
        <f t="shared" si="8"/>
        <v>0</v>
      </c>
      <c r="AB49" s="696">
        <f t="shared" si="12"/>
        <v>0</v>
      </c>
      <c r="AC49" s="696">
        <f t="shared" si="9"/>
        <v>0</v>
      </c>
      <c r="AD49" s="696">
        <f t="shared" si="10"/>
        <v>0</v>
      </c>
      <c r="AE49" s="699"/>
    </row>
    <row r="50" spans="1:31" ht="25.15" customHeight="1">
      <c r="A50" s="543"/>
      <c r="B50" s="546" t="s">
        <v>1535</v>
      </c>
      <c r="C50" s="541"/>
      <c r="D50" s="694"/>
      <c r="E50" s="694"/>
      <c r="F50" s="694"/>
      <c r="G50" s="694"/>
      <c r="H50" s="694"/>
      <c r="I50" s="694"/>
      <c r="J50" s="694"/>
      <c r="K50" s="694"/>
      <c r="L50" s="694"/>
      <c r="M50" s="694"/>
      <c r="N50" s="554">
        <f t="shared" si="0"/>
        <v>0</v>
      </c>
      <c r="O50" s="554">
        <f t="shared" si="1"/>
        <v>0</v>
      </c>
      <c r="P50" s="555">
        <f>(O50/O240)*100</f>
        <v>0</v>
      </c>
      <c r="Q50" s="567"/>
      <c r="R50" s="555">
        <f t="shared" si="2"/>
        <v>0</v>
      </c>
      <c r="S50" s="697"/>
      <c r="U50" s="696">
        <f t="shared" si="11"/>
        <v>0</v>
      </c>
      <c r="V50" s="696">
        <f t="shared" si="3"/>
        <v>0</v>
      </c>
      <c r="W50" s="696">
        <f t="shared" si="4"/>
        <v>0</v>
      </c>
      <c r="X50" s="696">
        <f t="shared" si="5"/>
        <v>0</v>
      </c>
      <c r="Y50" s="696">
        <f t="shared" si="6"/>
        <v>0</v>
      </c>
      <c r="Z50" s="696">
        <f t="shared" si="7"/>
        <v>0</v>
      </c>
      <c r="AA50" s="696">
        <f t="shared" si="8"/>
        <v>0</v>
      </c>
      <c r="AB50" s="696">
        <f t="shared" si="12"/>
        <v>0</v>
      </c>
      <c r="AC50" s="696">
        <f t="shared" si="9"/>
        <v>0</v>
      </c>
      <c r="AD50" s="696">
        <f t="shared" si="10"/>
        <v>0</v>
      </c>
      <c r="AE50" s="699"/>
    </row>
    <row r="51" spans="1:31" ht="25.15" customHeight="1">
      <c r="A51" s="543">
        <v>39</v>
      </c>
      <c r="B51" s="546" t="s">
        <v>1536</v>
      </c>
      <c r="C51" s="541" t="str">
        <f>'LAP. PENJUALAN '!C51</f>
        <v>Paket Geprek Bawang 1 (Es Teh / S-tee / Lemon Tea)</v>
      </c>
      <c r="D51" s="694">
        <v>1</v>
      </c>
      <c r="E51" s="694"/>
      <c r="F51" s="694"/>
      <c r="G51" s="694"/>
      <c r="H51" s="694"/>
      <c r="I51" s="694"/>
      <c r="J51" s="694"/>
      <c r="K51" s="694"/>
      <c r="L51" s="694"/>
      <c r="M51" s="694"/>
      <c r="N51" s="554">
        <f t="shared" si="0"/>
        <v>1</v>
      </c>
      <c r="O51" s="554">
        <f t="shared" si="1"/>
        <v>25200</v>
      </c>
      <c r="P51" s="555">
        <f>(O51/O240)*100</f>
        <v>1.77997527812114</v>
      </c>
      <c r="Q51" s="567"/>
      <c r="R51" s="555">
        <f t="shared" si="2"/>
        <v>0</v>
      </c>
      <c r="S51" s="697">
        <v>25200</v>
      </c>
      <c r="U51" s="696">
        <f t="shared" si="11"/>
        <v>25200</v>
      </c>
      <c r="V51" s="696">
        <f t="shared" si="3"/>
        <v>0</v>
      </c>
      <c r="W51" s="696">
        <f t="shared" si="4"/>
        <v>0</v>
      </c>
      <c r="X51" s="696">
        <f t="shared" si="5"/>
        <v>0</v>
      </c>
      <c r="Y51" s="696">
        <f t="shared" si="6"/>
        <v>0</v>
      </c>
      <c r="Z51" s="696">
        <f t="shared" si="7"/>
        <v>0</v>
      </c>
      <c r="AA51" s="696">
        <f t="shared" si="8"/>
        <v>0</v>
      </c>
      <c r="AB51" s="696">
        <f t="shared" si="12"/>
        <v>0</v>
      </c>
      <c r="AC51" s="696">
        <f t="shared" si="9"/>
        <v>0</v>
      </c>
      <c r="AD51" s="696">
        <f t="shared" si="10"/>
        <v>0</v>
      </c>
      <c r="AE51" s="699"/>
    </row>
    <row r="52" spans="1:31" ht="25.15" customHeight="1">
      <c r="A52" s="543">
        <v>40</v>
      </c>
      <c r="B52" s="546" t="s">
        <v>1537</v>
      </c>
      <c r="C52" s="541" t="str">
        <f>'LAP. PENJUALAN '!C52</f>
        <v>Paket Geprek Bawang 2 (Es Teh / S-tee / Lemon Tea)</v>
      </c>
      <c r="D52" s="694"/>
      <c r="E52" s="694"/>
      <c r="F52" s="694"/>
      <c r="G52" s="694"/>
      <c r="H52" s="694"/>
      <c r="I52" s="694"/>
      <c r="J52" s="694"/>
      <c r="K52" s="694"/>
      <c r="L52" s="694"/>
      <c r="M52" s="694"/>
      <c r="N52" s="554">
        <f t="shared" si="0"/>
        <v>0</v>
      </c>
      <c r="O52" s="554">
        <f t="shared" si="1"/>
        <v>0</v>
      </c>
      <c r="P52" s="555">
        <f>(O52/O240)*100</f>
        <v>0</v>
      </c>
      <c r="Q52" s="567"/>
      <c r="R52" s="555">
        <f t="shared" si="2"/>
        <v>0</v>
      </c>
      <c r="S52" s="697">
        <v>27500</v>
      </c>
      <c r="U52" s="696">
        <f t="shared" si="11"/>
        <v>0</v>
      </c>
      <c r="V52" s="696">
        <f t="shared" si="3"/>
        <v>0</v>
      </c>
      <c r="W52" s="696">
        <f t="shared" si="4"/>
        <v>0</v>
      </c>
      <c r="X52" s="696">
        <f t="shared" si="5"/>
        <v>0</v>
      </c>
      <c r="Y52" s="696">
        <f t="shared" si="6"/>
        <v>0</v>
      </c>
      <c r="Z52" s="696">
        <f t="shared" si="7"/>
        <v>0</v>
      </c>
      <c r="AA52" s="696">
        <f t="shared" si="8"/>
        <v>0</v>
      </c>
      <c r="AB52" s="696">
        <f t="shared" si="12"/>
        <v>0</v>
      </c>
      <c r="AC52" s="696">
        <f t="shared" si="9"/>
        <v>0</v>
      </c>
      <c r="AD52" s="696">
        <f t="shared" si="10"/>
        <v>0</v>
      </c>
      <c r="AE52" s="699"/>
    </row>
    <row r="53" spans="1:31" ht="25.15" customHeight="1">
      <c r="A53" s="543">
        <v>41</v>
      </c>
      <c r="B53" s="546" t="s">
        <v>1538</v>
      </c>
      <c r="C53" s="541" t="str">
        <f>'LAP. PENJUALAN '!C53</f>
        <v>Paket Geprek Bawang 3 (Es Teh / S-tee / Lemon Tea)</v>
      </c>
      <c r="D53" s="694"/>
      <c r="E53" s="694"/>
      <c r="F53" s="694">
        <v>1</v>
      </c>
      <c r="G53" s="694"/>
      <c r="H53" s="694"/>
      <c r="I53" s="694"/>
      <c r="J53" s="694"/>
      <c r="K53" s="694"/>
      <c r="L53" s="694"/>
      <c r="M53" s="694"/>
      <c r="N53" s="554">
        <f t="shared" si="0"/>
        <v>1</v>
      </c>
      <c r="O53" s="554">
        <f t="shared" si="1"/>
        <v>28800</v>
      </c>
      <c r="P53" s="555">
        <f>(O53/O240)*100</f>
        <v>2.03425746070987</v>
      </c>
      <c r="Q53" s="567"/>
      <c r="R53" s="555">
        <f t="shared" si="2"/>
        <v>0</v>
      </c>
      <c r="S53" s="697">
        <v>28800</v>
      </c>
      <c r="U53" s="696">
        <f t="shared" si="11"/>
        <v>0</v>
      </c>
      <c r="V53" s="696">
        <f t="shared" si="3"/>
        <v>0</v>
      </c>
      <c r="W53" s="696">
        <f t="shared" si="4"/>
        <v>28800</v>
      </c>
      <c r="X53" s="696">
        <f t="shared" si="5"/>
        <v>0</v>
      </c>
      <c r="Y53" s="696">
        <f t="shared" si="6"/>
        <v>0</v>
      </c>
      <c r="Z53" s="696">
        <f t="shared" si="7"/>
        <v>0</v>
      </c>
      <c r="AA53" s="696">
        <f t="shared" si="8"/>
        <v>0</v>
      </c>
      <c r="AB53" s="696">
        <f t="shared" si="12"/>
        <v>0</v>
      </c>
      <c r="AC53" s="696">
        <f t="shared" si="9"/>
        <v>0</v>
      </c>
      <c r="AD53" s="696">
        <f t="shared" si="10"/>
        <v>0</v>
      </c>
      <c r="AE53" s="699"/>
    </row>
    <row r="54" spans="1:31" ht="25.15" customHeight="1">
      <c r="A54" s="543">
        <v>42</v>
      </c>
      <c r="B54" s="546" t="s">
        <v>1539</v>
      </c>
      <c r="C54" s="541" t="str">
        <f>'LAP. PENJUALAN '!C54</f>
        <v>Sayap Geprek Bawang</v>
      </c>
      <c r="D54" s="694"/>
      <c r="E54" s="694"/>
      <c r="F54" s="694"/>
      <c r="G54" s="694"/>
      <c r="H54" s="694"/>
      <c r="I54" s="694"/>
      <c r="J54" s="694"/>
      <c r="K54" s="694"/>
      <c r="L54" s="694"/>
      <c r="M54" s="694"/>
      <c r="N54" s="554">
        <f t="shared" si="0"/>
        <v>0</v>
      </c>
      <c r="O54" s="554">
        <f t="shared" si="1"/>
        <v>0</v>
      </c>
      <c r="P54" s="555">
        <f>(O54/O240)*100</f>
        <v>0</v>
      </c>
      <c r="Q54" s="567"/>
      <c r="R54" s="555">
        <f t="shared" si="2"/>
        <v>0</v>
      </c>
      <c r="S54" s="697">
        <v>16875</v>
      </c>
      <c r="U54" s="696">
        <f t="shared" si="11"/>
        <v>0</v>
      </c>
      <c r="V54" s="696">
        <f t="shared" si="3"/>
        <v>0</v>
      </c>
      <c r="W54" s="696">
        <f t="shared" si="4"/>
        <v>0</v>
      </c>
      <c r="X54" s="696">
        <f t="shared" si="5"/>
        <v>0</v>
      </c>
      <c r="Y54" s="696">
        <f t="shared" si="6"/>
        <v>0</v>
      </c>
      <c r="Z54" s="696">
        <f t="shared" si="7"/>
        <v>0</v>
      </c>
      <c r="AA54" s="696">
        <f t="shared" si="8"/>
        <v>0</v>
      </c>
      <c r="AB54" s="696">
        <f t="shared" si="12"/>
        <v>0</v>
      </c>
      <c r="AC54" s="696">
        <f t="shared" si="9"/>
        <v>0</v>
      </c>
      <c r="AD54" s="696">
        <f t="shared" si="10"/>
        <v>0</v>
      </c>
      <c r="AE54" s="699"/>
    </row>
    <row r="55" spans="1:31" ht="25.15" customHeight="1">
      <c r="A55" s="543">
        <v>43</v>
      </c>
      <c r="B55" s="546" t="s">
        <v>1540</v>
      </c>
      <c r="C55" s="541" t="str">
        <f>'LAP. PENJUALAN '!C55</f>
        <v>Paha Bawah Geprek Bawang</v>
      </c>
      <c r="D55" s="694"/>
      <c r="E55" s="694"/>
      <c r="F55" s="694"/>
      <c r="G55" s="694"/>
      <c r="H55" s="694"/>
      <c r="I55" s="694"/>
      <c r="J55" s="694"/>
      <c r="K55" s="694"/>
      <c r="L55" s="694"/>
      <c r="M55" s="694"/>
      <c r="N55" s="554">
        <f t="shared" si="0"/>
        <v>0</v>
      </c>
      <c r="O55" s="554">
        <f t="shared" si="1"/>
        <v>0</v>
      </c>
      <c r="P55" s="555">
        <f>(O55/O240)*100</f>
        <v>0</v>
      </c>
      <c r="Q55" s="567"/>
      <c r="R55" s="555">
        <f t="shared" si="2"/>
        <v>0</v>
      </c>
      <c r="S55" s="697">
        <v>18750</v>
      </c>
      <c r="U55" s="696">
        <f t="shared" si="11"/>
        <v>0</v>
      </c>
      <c r="V55" s="696">
        <f t="shared" si="3"/>
        <v>0</v>
      </c>
      <c r="W55" s="696">
        <f t="shared" si="4"/>
        <v>0</v>
      </c>
      <c r="X55" s="696">
        <f t="shared" si="5"/>
        <v>0</v>
      </c>
      <c r="Y55" s="696">
        <f t="shared" si="6"/>
        <v>0</v>
      </c>
      <c r="Z55" s="696">
        <f t="shared" si="7"/>
        <v>0</v>
      </c>
      <c r="AA55" s="696">
        <f t="shared" si="8"/>
        <v>0</v>
      </c>
      <c r="AB55" s="696">
        <f t="shared" si="12"/>
        <v>0</v>
      </c>
      <c r="AC55" s="696">
        <f t="shared" si="9"/>
        <v>0</v>
      </c>
      <c r="AD55" s="696">
        <f t="shared" si="10"/>
        <v>0</v>
      </c>
      <c r="AE55" s="699"/>
    </row>
    <row r="56" spans="1:31" ht="25.15" customHeight="1">
      <c r="A56" s="543">
        <v>44</v>
      </c>
      <c r="B56" s="546"/>
      <c r="C56" s="541" t="str">
        <f>'LAP. PENJUALAN '!C56</f>
        <v>Paha Atas / Dada Geprek Bawang</v>
      </c>
      <c r="D56" s="694"/>
      <c r="E56" s="694"/>
      <c r="F56" s="694"/>
      <c r="G56" s="694"/>
      <c r="H56" s="694"/>
      <c r="I56" s="694"/>
      <c r="J56" s="694"/>
      <c r="K56" s="694"/>
      <c r="L56" s="694"/>
      <c r="M56" s="694"/>
      <c r="N56" s="554">
        <f t="shared" si="0"/>
        <v>0</v>
      </c>
      <c r="O56" s="554">
        <f t="shared" si="1"/>
        <v>0</v>
      </c>
      <c r="P56" s="555">
        <f>(O56/O240)*100</f>
        <v>0</v>
      </c>
      <c r="Q56" s="567"/>
      <c r="R56" s="555">
        <f t="shared" si="2"/>
        <v>0</v>
      </c>
      <c r="S56" s="697">
        <v>20400</v>
      </c>
      <c r="U56" s="696">
        <f t="shared" si="11"/>
        <v>0</v>
      </c>
      <c r="V56" s="696">
        <f t="shared" si="3"/>
        <v>0</v>
      </c>
      <c r="W56" s="696">
        <f t="shared" si="4"/>
        <v>0</v>
      </c>
      <c r="X56" s="696">
        <f t="shared" si="5"/>
        <v>0</v>
      </c>
      <c r="Y56" s="696">
        <f t="shared" si="6"/>
        <v>0</v>
      </c>
      <c r="Z56" s="696">
        <f t="shared" si="7"/>
        <v>0</v>
      </c>
      <c r="AA56" s="696">
        <f t="shared" si="8"/>
        <v>0</v>
      </c>
      <c r="AB56" s="696">
        <f t="shared" si="12"/>
        <v>0</v>
      </c>
      <c r="AC56" s="696">
        <f t="shared" si="9"/>
        <v>0</v>
      </c>
      <c r="AD56" s="696">
        <f t="shared" si="10"/>
        <v>0</v>
      </c>
      <c r="AE56" s="699"/>
    </row>
    <row r="57" spans="1:31" ht="25.15" customHeight="1">
      <c r="A57" s="543">
        <v>45</v>
      </c>
      <c r="B57" s="546" t="s">
        <v>1541</v>
      </c>
      <c r="C57" s="541" t="str">
        <f>'LAP. PENJUALAN '!C57</f>
        <v>Sambal Geprek Bawang</v>
      </c>
      <c r="D57" s="694">
        <v>1</v>
      </c>
      <c r="E57" s="694"/>
      <c r="F57" s="694"/>
      <c r="G57" s="694"/>
      <c r="H57" s="694"/>
      <c r="I57" s="694"/>
      <c r="J57" s="694"/>
      <c r="K57" s="694"/>
      <c r="L57" s="694"/>
      <c r="M57" s="694"/>
      <c r="N57" s="554">
        <f t="shared" si="0"/>
        <v>1</v>
      </c>
      <c r="O57" s="554">
        <f t="shared" si="1"/>
        <v>6000</v>
      </c>
      <c r="P57" s="555">
        <f>(O57/O240)*100</f>
        <v>0.42380363764788997</v>
      </c>
      <c r="Q57" s="567"/>
      <c r="R57" s="555">
        <f t="shared" si="2"/>
        <v>0</v>
      </c>
      <c r="S57" s="697">
        <v>6000</v>
      </c>
      <c r="U57" s="696">
        <f t="shared" si="11"/>
        <v>6000</v>
      </c>
      <c r="V57" s="696">
        <f t="shared" si="3"/>
        <v>0</v>
      </c>
      <c r="W57" s="696">
        <f t="shared" si="4"/>
        <v>0</v>
      </c>
      <c r="X57" s="696">
        <f t="shared" si="5"/>
        <v>0</v>
      </c>
      <c r="Y57" s="696">
        <f t="shared" si="6"/>
        <v>0</v>
      </c>
      <c r="Z57" s="696">
        <f t="shared" si="7"/>
        <v>0</v>
      </c>
      <c r="AA57" s="696">
        <f t="shared" si="8"/>
        <v>0</v>
      </c>
      <c r="AB57" s="696">
        <f t="shared" si="12"/>
        <v>0</v>
      </c>
      <c r="AC57" s="696">
        <f t="shared" si="9"/>
        <v>0</v>
      </c>
      <c r="AD57" s="696">
        <f t="shared" si="10"/>
        <v>0</v>
      </c>
      <c r="AE57" s="699"/>
    </row>
    <row r="58" spans="1:31" ht="25.15" customHeight="1">
      <c r="A58" s="543"/>
      <c r="B58" s="546" t="s">
        <v>1542</v>
      </c>
      <c r="C58" s="541"/>
      <c r="D58" s="694"/>
      <c r="E58" s="694"/>
      <c r="F58" s="694"/>
      <c r="G58" s="694"/>
      <c r="H58" s="694"/>
      <c r="I58" s="694"/>
      <c r="J58" s="694"/>
      <c r="K58" s="694"/>
      <c r="L58" s="694"/>
      <c r="M58" s="694"/>
      <c r="N58" s="554">
        <f t="shared" si="0"/>
        <v>0</v>
      </c>
      <c r="O58" s="554">
        <f t="shared" si="1"/>
        <v>0</v>
      </c>
      <c r="P58" s="555">
        <f>(O58/O240)*100</f>
        <v>0</v>
      </c>
      <c r="Q58" s="567"/>
      <c r="R58" s="555">
        <f t="shared" si="2"/>
        <v>0</v>
      </c>
      <c r="S58" s="697"/>
      <c r="U58" s="696">
        <f t="shared" si="11"/>
        <v>0</v>
      </c>
      <c r="V58" s="696">
        <f t="shared" si="3"/>
        <v>0</v>
      </c>
      <c r="W58" s="696">
        <f t="shared" si="4"/>
        <v>0</v>
      </c>
      <c r="X58" s="696">
        <f t="shared" si="5"/>
        <v>0</v>
      </c>
      <c r="Y58" s="696">
        <f t="shared" si="6"/>
        <v>0</v>
      </c>
      <c r="Z58" s="696">
        <f t="shared" si="7"/>
        <v>0</v>
      </c>
      <c r="AA58" s="696">
        <f t="shared" si="8"/>
        <v>0</v>
      </c>
      <c r="AB58" s="696">
        <f t="shared" si="12"/>
        <v>0</v>
      </c>
      <c r="AC58" s="696">
        <f t="shared" si="9"/>
        <v>0</v>
      </c>
      <c r="AD58" s="696">
        <f t="shared" si="10"/>
        <v>0</v>
      </c>
      <c r="AE58" s="699"/>
    </row>
    <row r="59" spans="1:31" ht="25.15" customHeight="1">
      <c r="A59" s="543">
        <v>46</v>
      </c>
      <c r="B59" s="546" t="s">
        <v>1543</v>
      </c>
      <c r="C59" s="541" t="str">
        <f>'LAP. PENJUALAN '!C59</f>
        <v>Paket Matah 1 (Es Teh / S-tee / Lemon Tea)</v>
      </c>
      <c r="D59" s="694"/>
      <c r="E59" s="694"/>
      <c r="F59" s="694"/>
      <c r="G59" s="694"/>
      <c r="H59" s="694"/>
      <c r="I59" s="694"/>
      <c r="J59" s="694"/>
      <c r="K59" s="694"/>
      <c r="L59" s="694"/>
      <c r="M59" s="694"/>
      <c r="N59" s="554">
        <f t="shared" si="0"/>
        <v>0</v>
      </c>
      <c r="O59" s="554">
        <f t="shared" si="1"/>
        <v>0</v>
      </c>
      <c r="P59" s="555">
        <f>(O59/O240)*100</f>
        <v>0</v>
      </c>
      <c r="Q59" s="567"/>
      <c r="R59" s="555">
        <f t="shared" si="2"/>
        <v>0</v>
      </c>
      <c r="S59" s="697">
        <v>26250</v>
      </c>
      <c r="U59" s="696">
        <f t="shared" si="11"/>
        <v>0</v>
      </c>
      <c r="V59" s="696">
        <f t="shared" si="3"/>
        <v>0</v>
      </c>
      <c r="W59" s="696">
        <f t="shared" si="4"/>
        <v>0</v>
      </c>
      <c r="X59" s="696">
        <f t="shared" si="5"/>
        <v>0</v>
      </c>
      <c r="Y59" s="696">
        <f t="shared" si="6"/>
        <v>0</v>
      </c>
      <c r="Z59" s="696">
        <f t="shared" si="7"/>
        <v>0</v>
      </c>
      <c r="AA59" s="696">
        <f t="shared" si="8"/>
        <v>0</v>
      </c>
      <c r="AB59" s="696">
        <f t="shared" si="12"/>
        <v>0</v>
      </c>
      <c r="AC59" s="696">
        <f t="shared" si="9"/>
        <v>0</v>
      </c>
      <c r="AD59" s="696">
        <f t="shared" si="10"/>
        <v>0</v>
      </c>
      <c r="AE59" s="699"/>
    </row>
    <row r="60" spans="1:31" ht="25.15" customHeight="1">
      <c r="A60" s="543">
        <v>47</v>
      </c>
      <c r="B60" s="546" t="s">
        <v>1544</v>
      </c>
      <c r="C60" s="541" t="str">
        <f>'LAP. PENJUALAN '!C60</f>
        <v>Paket Matah 2 (Es Teh / S-tee / Lemon Tea)</v>
      </c>
      <c r="D60" s="694"/>
      <c r="E60" s="694"/>
      <c r="F60" s="694"/>
      <c r="G60" s="694">
        <v>1</v>
      </c>
      <c r="H60" s="694"/>
      <c r="I60" s="694"/>
      <c r="J60" s="694"/>
      <c r="K60" s="694"/>
      <c r="L60" s="694"/>
      <c r="M60" s="694"/>
      <c r="N60" s="554">
        <f t="shared" si="0"/>
        <v>1</v>
      </c>
      <c r="O60" s="554">
        <f t="shared" si="1"/>
        <v>28750</v>
      </c>
      <c r="P60" s="555">
        <f>(O60/O240)*100</f>
        <v>2.0307257637294698</v>
      </c>
      <c r="Q60" s="567"/>
      <c r="R60" s="555">
        <f t="shared" si="2"/>
        <v>0</v>
      </c>
      <c r="S60" s="697">
        <v>28750</v>
      </c>
      <c r="U60" s="696">
        <f t="shared" si="11"/>
        <v>0</v>
      </c>
      <c r="V60" s="696">
        <f t="shared" si="3"/>
        <v>0</v>
      </c>
      <c r="W60" s="696">
        <f t="shared" si="4"/>
        <v>0</v>
      </c>
      <c r="X60" s="696">
        <f t="shared" si="5"/>
        <v>28750</v>
      </c>
      <c r="Y60" s="696">
        <f t="shared" si="6"/>
        <v>0</v>
      </c>
      <c r="Z60" s="696">
        <f t="shared" si="7"/>
        <v>0</v>
      </c>
      <c r="AA60" s="696">
        <f t="shared" si="8"/>
        <v>0</v>
      </c>
      <c r="AB60" s="696">
        <f t="shared" si="12"/>
        <v>0</v>
      </c>
      <c r="AC60" s="696">
        <f t="shared" si="9"/>
        <v>0</v>
      </c>
      <c r="AD60" s="696">
        <f t="shared" si="10"/>
        <v>0</v>
      </c>
      <c r="AE60" s="699"/>
    </row>
    <row r="61" spans="1:31" ht="25.15" customHeight="1">
      <c r="A61" s="543">
        <v>48</v>
      </c>
      <c r="B61" s="546" t="s">
        <v>1545</v>
      </c>
      <c r="C61" s="541" t="str">
        <f>'LAP. PENJUALAN '!C61</f>
        <v>Paket Matah 3 (Es Teh / S-tee / Lemon Tea)</v>
      </c>
      <c r="D61" s="694"/>
      <c r="E61" s="694"/>
      <c r="F61" s="694"/>
      <c r="G61" s="694"/>
      <c r="H61" s="694"/>
      <c r="I61" s="694"/>
      <c r="J61" s="694"/>
      <c r="K61" s="694"/>
      <c r="L61" s="694"/>
      <c r="M61" s="694"/>
      <c r="N61" s="554">
        <f t="shared" si="0"/>
        <v>0</v>
      </c>
      <c r="O61" s="554">
        <f t="shared" si="1"/>
        <v>0</v>
      </c>
      <c r="P61" s="555">
        <f>(O61/O240)*100</f>
        <v>0</v>
      </c>
      <c r="Q61" s="567"/>
      <c r="R61" s="555">
        <f t="shared" si="2"/>
        <v>0</v>
      </c>
      <c r="S61" s="697">
        <v>30000</v>
      </c>
      <c r="U61" s="696">
        <f t="shared" si="11"/>
        <v>0</v>
      </c>
      <c r="V61" s="696">
        <f t="shared" si="3"/>
        <v>0</v>
      </c>
      <c r="W61" s="696">
        <f t="shared" si="4"/>
        <v>0</v>
      </c>
      <c r="X61" s="696">
        <f t="shared" si="5"/>
        <v>0</v>
      </c>
      <c r="Y61" s="696">
        <f t="shared" si="6"/>
        <v>0</v>
      </c>
      <c r="Z61" s="696">
        <f t="shared" si="7"/>
        <v>0</v>
      </c>
      <c r="AA61" s="696">
        <f t="shared" si="8"/>
        <v>0</v>
      </c>
      <c r="AB61" s="696">
        <f t="shared" si="12"/>
        <v>0</v>
      </c>
      <c r="AC61" s="696">
        <f t="shared" si="9"/>
        <v>0</v>
      </c>
      <c r="AD61" s="696">
        <f t="shared" si="10"/>
        <v>0</v>
      </c>
      <c r="AE61" s="699"/>
    </row>
    <row r="62" spans="1:31" ht="25.15" customHeight="1">
      <c r="A62" s="543">
        <v>49</v>
      </c>
      <c r="B62" s="546" t="s">
        <v>1546</v>
      </c>
      <c r="C62" s="541" t="str">
        <f>'LAP. PENJUALAN '!C62</f>
        <v>Sayap Matah</v>
      </c>
      <c r="D62" s="694"/>
      <c r="E62" s="694"/>
      <c r="F62" s="694"/>
      <c r="G62" s="694"/>
      <c r="H62" s="694"/>
      <c r="I62" s="694"/>
      <c r="J62" s="694"/>
      <c r="K62" s="694"/>
      <c r="L62" s="694"/>
      <c r="M62" s="694"/>
      <c r="N62" s="554">
        <f t="shared" si="0"/>
        <v>0</v>
      </c>
      <c r="O62" s="554">
        <f t="shared" si="1"/>
        <v>0</v>
      </c>
      <c r="P62" s="555">
        <f>(O62/O240)*100</f>
        <v>0</v>
      </c>
      <c r="Q62" s="567"/>
      <c r="R62" s="555">
        <f t="shared" si="2"/>
        <v>0</v>
      </c>
      <c r="S62" s="697">
        <v>16800</v>
      </c>
      <c r="U62" s="696">
        <f t="shared" si="11"/>
        <v>0</v>
      </c>
      <c r="V62" s="696">
        <f t="shared" si="3"/>
        <v>0</v>
      </c>
      <c r="W62" s="696">
        <f t="shared" si="4"/>
        <v>0</v>
      </c>
      <c r="X62" s="696">
        <f t="shared" si="5"/>
        <v>0</v>
      </c>
      <c r="Y62" s="696">
        <f t="shared" si="6"/>
        <v>0</v>
      </c>
      <c r="Z62" s="696">
        <f t="shared" si="7"/>
        <v>0</v>
      </c>
      <c r="AA62" s="696">
        <f t="shared" si="8"/>
        <v>0</v>
      </c>
      <c r="AB62" s="696">
        <f t="shared" si="12"/>
        <v>0</v>
      </c>
      <c r="AC62" s="696">
        <f t="shared" si="9"/>
        <v>0</v>
      </c>
      <c r="AD62" s="696">
        <f t="shared" si="10"/>
        <v>0</v>
      </c>
      <c r="AE62" s="699"/>
    </row>
    <row r="63" spans="1:31" ht="25.15" customHeight="1">
      <c r="A63" s="543">
        <v>50</v>
      </c>
      <c r="B63" s="546" t="s">
        <v>1547</v>
      </c>
      <c r="C63" s="541" t="str">
        <f>'LAP. PENJUALAN '!C63</f>
        <v>Paha Bawah Matah</v>
      </c>
      <c r="D63" s="694"/>
      <c r="E63" s="694"/>
      <c r="F63" s="694"/>
      <c r="G63" s="694"/>
      <c r="H63" s="694"/>
      <c r="I63" s="694"/>
      <c r="J63" s="694"/>
      <c r="K63" s="694"/>
      <c r="L63" s="694"/>
      <c r="M63" s="694"/>
      <c r="N63" s="554">
        <f t="shared" si="0"/>
        <v>0</v>
      </c>
      <c r="O63" s="554">
        <f t="shared" si="1"/>
        <v>0</v>
      </c>
      <c r="P63" s="555">
        <f>(O63/O240)*100</f>
        <v>0</v>
      </c>
      <c r="Q63" s="567"/>
      <c r="R63" s="555">
        <f t="shared" si="2"/>
        <v>0</v>
      </c>
      <c r="S63" s="697">
        <v>17500</v>
      </c>
      <c r="U63" s="696">
        <f t="shared" si="11"/>
        <v>0</v>
      </c>
      <c r="V63" s="696">
        <f t="shared" si="3"/>
        <v>0</v>
      </c>
      <c r="W63" s="696">
        <f t="shared" si="4"/>
        <v>0</v>
      </c>
      <c r="X63" s="696">
        <f t="shared" si="5"/>
        <v>0</v>
      </c>
      <c r="Y63" s="696">
        <f t="shared" si="6"/>
        <v>0</v>
      </c>
      <c r="Z63" s="696">
        <f t="shared" si="7"/>
        <v>0</v>
      </c>
      <c r="AA63" s="696">
        <f t="shared" si="8"/>
        <v>0</v>
      </c>
      <c r="AB63" s="696">
        <f t="shared" si="12"/>
        <v>0</v>
      </c>
      <c r="AC63" s="696">
        <f t="shared" si="9"/>
        <v>0</v>
      </c>
      <c r="AD63" s="696">
        <f t="shared" si="10"/>
        <v>0</v>
      </c>
      <c r="AE63" s="699"/>
    </row>
    <row r="64" spans="1:31" ht="25.15" customHeight="1">
      <c r="A64" s="543">
        <v>51</v>
      </c>
      <c r="B64" s="546"/>
      <c r="C64" s="541" t="str">
        <f>'LAP. PENJUALAN '!C64</f>
        <v>Paha Atas / Dada  Matah</v>
      </c>
      <c r="D64" s="694"/>
      <c r="E64" s="694"/>
      <c r="F64" s="694">
        <v>1</v>
      </c>
      <c r="G64" s="694"/>
      <c r="H64" s="694"/>
      <c r="I64" s="694">
        <v>2</v>
      </c>
      <c r="J64" s="694"/>
      <c r="K64" s="694"/>
      <c r="L64" s="694"/>
      <c r="M64" s="694"/>
      <c r="N64" s="554">
        <f t="shared" si="0"/>
        <v>3</v>
      </c>
      <c r="O64" s="554">
        <f t="shared" si="1"/>
        <v>61200</v>
      </c>
      <c r="P64" s="555">
        <f>(O64/O240)*100</f>
        <v>4.3227971040084796</v>
      </c>
      <c r="Q64" s="567"/>
      <c r="R64" s="555">
        <f t="shared" si="2"/>
        <v>0</v>
      </c>
      <c r="S64" s="697">
        <v>20400</v>
      </c>
      <c r="U64" s="696">
        <f t="shared" si="11"/>
        <v>0</v>
      </c>
      <c r="V64" s="696">
        <f t="shared" si="3"/>
        <v>0</v>
      </c>
      <c r="W64" s="696">
        <f t="shared" si="4"/>
        <v>20400</v>
      </c>
      <c r="X64" s="696">
        <f t="shared" si="5"/>
        <v>0</v>
      </c>
      <c r="Y64" s="696">
        <f t="shared" si="6"/>
        <v>0</v>
      </c>
      <c r="Z64" s="696">
        <f t="shared" si="7"/>
        <v>40800</v>
      </c>
      <c r="AA64" s="696">
        <f t="shared" si="8"/>
        <v>0</v>
      </c>
      <c r="AB64" s="696">
        <f t="shared" si="12"/>
        <v>0</v>
      </c>
      <c r="AC64" s="696">
        <f t="shared" si="9"/>
        <v>0</v>
      </c>
      <c r="AD64" s="696">
        <f t="shared" si="10"/>
        <v>0</v>
      </c>
      <c r="AE64" s="699"/>
    </row>
    <row r="65" spans="1:31" ht="25.15" customHeight="1">
      <c r="A65" s="543">
        <v>52</v>
      </c>
      <c r="B65" s="546" t="s">
        <v>1548</v>
      </c>
      <c r="C65" s="541" t="str">
        <f>'LAP. PENJUALAN '!C65</f>
        <v>Sambal Matah</v>
      </c>
      <c r="D65" s="694"/>
      <c r="E65" s="694"/>
      <c r="F65" s="694"/>
      <c r="G65" s="694"/>
      <c r="H65" s="694"/>
      <c r="I65" s="694"/>
      <c r="J65" s="694"/>
      <c r="K65" s="694"/>
      <c r="L65" s="694"/>
      <c r="M65" s="694"/>
      <c r="N65" s="554">
        <f t="shared" si="0"/>
        <v>0</v>
      </c>
      <c r="O65" s="554">
        <f t="shared" si="1"/>
        <v>0</v>
      </c>
      <c r="P65" s="555">
        <f>(O65/O240)*100</f>
        <v>0</v>
      </c>
      <c r="Q65" s="567"/>
      <c r="R65" s="555">
        <f t="shared" si="2"/>
        <v>0</v>
      </c>
      <c r="S65" s="697">
        <v>6000</v>
      </c>
      <c r="U65" s="696">
        <f t="shared" si="11"/>
        <v>0</v>
      </c>
      <c r="V65" s="696">
        <f t="shared" si="3"/>
        <v>0</v>
      </c>
      <c r="W65" s="696">
        <f t="shared" si="4"/>
        <v>0</v>
      </c>
      <c r="X65" s="696">
        <f t="shared" si="5"/>
        <v>0</v>
      </c>
      <c r="Y65" s="696">
        <f t="shared" si="6"/>
        <v>0</v>
      </c>
      <c r="Z65" s="696">
        <f t="shared" si="7"/>
        <v>0</v>
      </c>
      <c r="AA65" s="696">
        <f t="shared" si="8"/>
        <v>0</v>
      </c>
      <c r="AB65" s="696">
        <f t="shared" si="12"/>
        <v>0</v>
      </c>
      <c r="AC65" s="696">
        <f t="shared" si="9"/>
        <v>0</v>
      </c>
      <c r="AD65" s="696">
        <f t="shared" si="10"/>
        <v>0</v>
      </c>
      <c r="AE65" s="699"/>
    </row>
    <row r="66" spans="1:31" ht="25.15" customHeight="1">
      <c r="A66" s="543"/>
      <c r="B66" s="546" t="s">
        <v>1549</v>
      </c>
      <c r="C66" s="541"/>
      <c r="D66" s="694"/>
      <c r="E66" s="694"/>
      <c r="F66" s="694"/>
      <c r="G66" s="694"/>
      <c r="H66" s="694"/>
      <c r="I66" s="694"/>
      <c r="J66" s="694"/>
      <c r="K66" s="694"/>
      <c r="L66" s="694"/>
      <c r="M66" s="694"/>
      <c r="N66" s="554">
        <f t="shared" si="0"/>
        <v>0</v>
      </c>
      <c r="O66" s="554">
        <f t="shared" si="1"/>
        <v>0</v>
      </c>
      <c r="P66" s="555">
        <f>(O66/O240)*100</f>
        <v>0</v>
      </c>
      <c r="Q66" s="567"/>
      <c r="R66" s="555">
        <f t="shared" si="2"/>
        <v>0</v>
      </c>
      <c r="S66" s="697"/>
      <c r="U66" s="696">
        <f t="shared" si="11"/>
        <v>0</v>
      </c>
      <c r="V66" s="696">
        <f t="shared" si="3"/>
        <v>0</v>
      </c>
      <c r="W66" s="696">
        <f t="shared" si="4"/>
        <v>0</v>
      </c>
      <c r="X66" s="696">
        <f t="shared" si="5"/>
        <v>0</v>
      </c>
      <c r="Y66" s="696">
        <f t="shared" si="6"/>
        <v>0</v>
      </c>
      <c r="Z66" s="696">
        <f t="shared" si="7"/>
        <v>0</v>
      </c>
      <c r="AA66" s="696">
        <f t="shared" si="8"/>
        <v>0</v>
      </c>
      <c r="AB66" s="696">
        <f t="shared" si="12"/>
        <v>0</v>
      </c>
      <c r="AC66" s="696">
        <f t="shared" si="9"/>
        <v>0</v>
      </c>
      <c r="AD66" s="696">
        <f t="shared" si="10"/>
        <v>0</v>
      </c>
      <c r="AE66" s="699"/>
    </row>
    <row r="67" spans="1:31" ht="25.15" customHeight="1">
      <c r="A67" s="543">
        <v>53</v>
      </c>
      <c r="B67" s="546" t="s">
        <v>1550</v>
      </c>
      <c r="C67" s="541" t="str">
        <f>'LAP. PENJUALAN '!C67</f>
        <v>Paket Terasi 1 (Es Teh / S-tee / Lemon Tea)</v>
      </c>
      <c r="D67" s="694"/>
      <c r="E67" s="694"/>
      <c r="F67" s="694"/>
      <c r="G67" s="694"/>
      <c r="H67" s="694"/>
      <c r="I67" s="694"/>
      <c r="J67" s="694"/>
      <c r="K67" s="694"/>
      <c r="L67" s="694"/>
      <c r="M67" s="694"/>
      <c r="N67" s="554">
        <f t="shared" si="0"/>
        <v>0</v>
      </c>
      <c r="O67" s="554">
        <f t="shared" si="1"/>
        <v>0</v>
      </c>
      <c r="P67" s="555">
        <f>(O67/O240)*100</f>
        <v>0</v>
      </c>
      <c r="Q67" s="567"/>
      <c r="R67" s="555">
        <f t="shared" si="2"/>
        <v>0</v>
      </c>
      <c r="S67" s="697">
        <v>26250</v>
      </c>
      <c r="U67" s="696">
        <f t="shared" si="11"/>
        <v>0</v>
      </c>
      <c r="V67" s="696">
        <f t="shared" si="3"/>
        <v>0</v>
      </c>
      <c r="W67" s="696">
        <f t="shared" si="4"/>
        <v>0</v>
      </c>
      <c r="X67" s="696">
        <f t="shared" si="5"/>
        <v>0</v>
      </c>
      <c r="Y67" s="696">
        <f t="shared" si="6"/>
        <v>0</v>
      </c>
      <c r="Z67" s="696">
        <f t="shared" si="7"/>
        <v>0</v>
      </c>
      <c r="AA67" s="696">
        <f t="shared" si="8"/>
        <v>0</v>
      </c>
      <c r="AB67" s="696">
        <f t="shared" si="12"/>
        <v>0</v>
      </c>
      <c r="AC67" s="696">
        <f t="shared" si="9"/>
        <v>0</v>
      </c>
      <c r="AD67" s="696">
        <f t="shared" si="10"/>
        <v>0</v>
      </c>
      <c r="AE67" s="699"/>
    </row>
    <row r="68" spans="1:31" ht="25.15" customHeight="1">
      <c r="A68" s="543">
        <v>54</v>
      </c>
      <c r="B68" s="546" t="s">
        <v>1551</v>
      </c>
      <c r="C68" s="541" t="str">
        <f>'LAP. PENJUALAN '!C68</f>
        <v>Paket Terasi 2 (Es Teh / S-tee / Lemon Tea)</v>
      </c>
      <c r="D68" s="694"/>
      <c r="E68" s="694"/>
      <c r="F68" s="694"/>
      <c r="G68" s="694"/>
      <c r="H68" s="694"/>
      <c r="I68" s="694"/>
      <c r="J68" s="694"/>
      <c r="K68" s="694"/>
      <c r="L68" s="694"/>
      <c r="M68" s="694"/>
      <c r="N68" s="554">
        <f t="shared" si="0"/>
        <v>0</v>
      </c>
      <c r="O68" s="554">
        <f t="shared" si="1"/>
        <v>0</v>
      </c>
      <c r="P68" s="555">
        <f>(O68/O240)*100</f>
        <v>0</v>
      </c>
      <c r="Q68" s="567"/>
      <c r="R68" s="555">
        <f t="shared" si="2"/>
        <v>0</v>
      </c>
      <c r="S68" s="697">
        <v>28750</v>
      </c>
      <c r="U68" s="696">
        <f t="shared" si="11"/>
        <v>0</v>
      </c>
      <c r="V68" s="696">
        <f t="shared" si="3"/>
        <v>0</v>
      </c>
      <c r="W68" s="696">
        <f t="shared" si="4"/>
        <v>0</v>
      </c>
      <c r="X68" s="696">
        <f t="shared" si="5"/>
        <v>0</v>
      </c>
      <c r="Y68" s="696">
        <f t="shared" si="6"/>
        <v>0</v>
      </c>
      <c r="Z68" s="696">
        <f t="shared" si="7"/>
        <v>0</v>
      </c>
      <c r="AA68" s="696">
        <f t="shared" si="8"/>
        <v>0</v>
      </c>
      <c r="AB68" s="696">
        <f t="shared" si="12"/>
        <v>0</v>
      </c>
      <c r="AC68" s="696">
        <f t="shared" si="9"/>
        <v>0</v>
      </c>
      <c r="AD68" s="696">
        <f t="shared" si="10"/>
        <v>0</v>
      </c>
      <c r="AE68" s="699"/>
    </row>
    <row r="69" spans="1:31" ht="25.15" customHeight="1">
      <c r="A69" s="543">
        <v>55</v>
      </c>
      <c r="B69" s="546" t="s">
        <v>1552</v>
      </c>
      <c r="C69" s="541" t="str">
        <f>'LAP. PENJUALAN '!C69</f>
        <v>Paket Terasi 3 (Es Teh / S-tee / Lemon Tea)</v>
      </c>
      <c r="D69" s="694"/>
      <c r="E69" s="694"/>
      <c r="F69" s="694"/>
      <c r="G69" s="694"/>
      <c r="H69" s="694"/>
      <c r="I69" s="694"/>
      <c r="J69" s="694"/>
      <c r="K69" s="694"/>
      <c r="L69" s="694"/>
      <c r="M69" s="694"/>
      <c r="N69" s="554">
        <f t="shared" si="0"/>
        <v>0</v>
      </c>
      <c r="O69" s="554">
        <f t="shared" si="1"/>
        <v>0</v>
      </c>
      <c r="P69" s="555">
        <f>(O69/O240)*100</f>
        <v>0</v>
      </c>
      <c r="Q69" s="567"/>
      <c r="R69" s="555">
        <f t="shared" si="2"/>
        <v>0</v>
      </c>
      <c r="S69" s="697">
        <v>30000</v>
      </c>
      <c r="U69" s="696">
        <f t="shared" si="11"/>
        <v>0</v>
      </c>
      <c r="V69" s="696">
        <f t="shared" si="3"/>
        <v>0</v>
      </c>
      <c r="W69" s="696">
        <f t="shared" si="4"/>
        <v>0</v>
      </c>
      <c r="X69" s="696">
        <f t="shared" si="5"/>
        <v>0</v>
      </c>
      <c r="Y69" s="696">
        <f t="shared" si="6"/>
        <v>0</v>
      </c>
      <c r="Z69" s="696">
        <f t="shared" si="7"/>
        <v>0</v>
      </c>
      <c r="AA69" s="696">
        <f t="shared" si="8"/>
        <v>0</v>
      </c>
      <c r="AB69" s="696">
        <f t="shared" si="12"/>
        <v>0</v>
      </c>
      <c r="AC69" s="696">
        <f t="shared" si="9"/>
        <v>0</v>
      </c>
      <c r="AD69" s="696">
        <f t="shared" si="10"/>
        <v>0</v>
      </c>
      <c r="AE69" s="699"/>
    </row>
    <row r="70" spans="1:31" ht="25.15" customHeight="1">
      <c r="A70" s="543">
        <v>56</v>
      </c>
      <c r="B70" s="546" t="s">
        <v>1553</v>
      </c>
      <c r="C70" s="541" t="str">
        <f>'LAP. PENJUALAN '!C70</f>
        <v>Sayap Terasi</v>
      </c>
      <c r="D70" s="694"/>
      <c r="E70" s="694"/>
      <c r="F70" s="694"/>
      <c r="G70" s="694"/>
      <c r="H70" s="694"/>
      <c r="I70" s="694"/>
      <c r="J70" s="694"/>
      <c r="K70" s="694"/>
      <c r="L70" s="694"/>
      <c r="M70" s="694"/>
      <c r="N70" s="554">
        <f t="shared" si="0"/>
        <v>0</v>
      </c>
      <c r="O70" s="554">
        <f t="shared" si="1"/>
        <v>0</v>
      </c>
      <c r="P70" s="555">
        <f>(O70/O240)*100</f>
        <v>0</v>
      </c>
      <c r="Q70" s="567"/>
      <c r="R70" s="555">
        <f t="shared" si="2"/>
        <v>0</v>
      </c>
      <c r="S70" s="697">
        <v>16800</v>
      </c>
      <c r="U70" s="696">
        <f t="shared" si="11"/>
        <v>0</v>
      </c>
      <c r="V70" s="696">
        <f t="shared" si="3"/>
        <v>0</v>
      </c>
      <c r="W70" s="696">
        <f t="shared" si="4"/>
        <v>0</v>
      </c>
      <c r="X70" s="696">
        <f t="shared" si="5"/>
        <v>0</v>
      </c>
      <c r="Y70" s="696">
        <f t="shared" si="6"/>
        <v>0</v>
      </c>
      <c r="Z70" s="696">
        <f t="shared" si="7"/>
        <v>0</v>
      </c>
      <c r="AA70" s="696">
        <f t="shared" si="8"/>
        <v>0</v>
      </c>
      <c r="AB70" s="696">
        <f t="shared" si="12"/>
        <v>0</v>
      </c>
      <c r="AC70" s="696">
        <f t="shared" si="9"/>
        <v>0</v>
      </c>
      <c r="AD70" s="696">
        <f t="shared" si="10"/>
        <v>0</v>
      </c>
      <c r="AE70" s="699"/>
    </row>
    <row r="71" spans="1:31" ht="25.15" customHeight="1">
      <c r="A71" s="543">
        <v>57</v>
      </c>
      <c r="B71" s="546" t="s">
        <v>1554</v>
      </c>
      <c r="C71" s="541" t="str">
        <f>'LAP. PENJUALAN '!C71</f>
        <v>Paha Bawah Terasi</v>
      </c>
      <c r="D71" s="694"/>
      <c r="E71" s="694"/>
      <c r="F71" s="694"/>
      <c r="G71" s="694"/>
      <c r="H71" s="694"/>
      <c r="I71" s="694"/>
      <c r="J71" s="694"/>
      <c r="K71" s="694"/>
      <c r="L71" s="694"/>
      <c r="M71" s="694"/>
      <c r="N71" s="554">
        <f t="shared" si="0"/>
        <v>0</v>
      </c>
      <c r="O71" s="554">
        <f t="shared" si="1"/>
        <v>0</v>
      </c>
      <c r="P71" s="555">
        <f>(O71/O240)*100</f>
        <v>0</v>
      </c>
      <c r="Q71" s="567"/>
      <c r="R71" s="555">
        <f t="shared" si="2"/>
        <v>0</v>
      </c>
      <c r="S71" s="697">
        <v>18000</v>
      </c>
      <c r="U71" s="696">
        <f t="shared" si="11"/>
        <v>0</v>
      </c>
      <c r="V71" s="696">
        <f t="shared" si="3"/>
        <v>0</v>
      </c>
      <c r="W71" s="696">
        <f t="shared" si="4"/>
        <v>0</v>
      </c>
      <c r="X71" s="696">
        <f t="shared" si="5"/>
        <v>0</v>
      </c>
      <c r="Y71" s="696">
        <f t="shared" si="6"/>
        <v>0</v>
      </c>
      <c r="Z71" s="696">
        <f t="shared" si="7"/>
        <v>0</v>
      </c>
      <c r="AA71" s="696">
        <f t="shared" si="8"/>
        <v>0</v>
      </c>
      <c r="AB71" s="696">
        <f t="shared" si="12"/>
        <v>0</v>
      </c>
      <c r="AC71" s="696">
        <f t="shared" si="9"/>
        <v>0</v>
      </c>
      <c r="AD71" s="696">
        <f t="shared" si="10"/>
        <v>0</v>
      </c>
      <c r="AE71" s="699"/>
    </row>
    <row r="72" spans="1:31" ht="25.15" customHeight="1">
      <c r="A72" s="543">
        <v>58</v>
      </c>
      <c r="B72" s="546"/>
      <c r="C72" s="541" t="str">
        <f>'LAP. PENJUALAN '!C72</f>
        <v>Paha Atas / Dada Terasi</v>
      </c>
      <c r="D72" s="694"/>
      <c r="E72" s="694"/>
      <c r="F72" s="694"/>
      <c r="G72" s="694"/>
      <c r="H72" s="694"/>
      <c r="I72" s="694">
        <v>2</v>
      </c>
      <c r="J72" s="694"/>
      <c r="K72" s="694"/>
      <c r="L72" s="694"/>
      <c r="M72" s="694"/>
      <c r="N72" s="554">
        <f t="shared" si="0"/>
        <v>2</v>
      </c>
      <c r="O72" s="554">
        <f t="shared" si="1"/>
        <v>40800</v>
      </c>
      <c r="P72" s="555">
        <f>(O72/O240)*100</f>
        <v>2.88186473600565</v>
      </c>
      <c r="Q72" s="567"/>
      <c r="R72" s="555">
        <f t="shared" si="2"/>
        <v>0</v>
      </c>
      <c r="S72" s="697">
        <v>20400</v>
      </c>
      <c r="U72" s="696">
        <f t="shared" si="11"/>
        <v>0</v>
      </c>
      <c r="V72" s="696">
        <f t="shared" si="3"/>
        <v>0</v>
      </c>
      <c r="W72" s="696">
        <f t="shared" si="4"/>
        <v>0</v>
      </c>
      <c r="X72" s="696">
        <f t="shared" si="5"/>
        <v>0</v>
      </c>
      <c r="Y72" s="696">
        <f t="shared" si="6"/>
        <v>0</v>
      </c>
      <c r="Z72" s="696">
        <f t="shared" si="7"/>
        <v>40800</v>
      </c>
      <c r="AA72" s="696">
        <f t="shared" si="8"/>
        <v>0</v>
      </c>
      <c r="AB72" s="696">
        <f t="shared" si="12"/>
        <v>0</v>
      </c>
      <c r="AC72" s="696">
        <f t="shared" si="9"/>
        <v>0</v>
      </c>
      <c r="AD72" s="696">
        <f t="shared" si="10"/>
        <v>0</v>
      </c>
      <c r="AE72" s="699"/>
    </row>
    <row r="73" spans="1:31" ht="25.15" customHeight="1">
      <c r="A73" s="543">
        <v>59</v>
      </c>
      <c r="B73" s="546" t="s">
        <v>1400</v>
      </c>
      <c r="C73" s="541" t="str">
        <f>'LAP. PENJUALAN '!C73</f>
        <v>Sambal  Terasi</v>
      </c>
      <c r="D73" s="694"/>
      <c r="E73" s="694"/>
      <c r="F73" s="694"/>
      <c r="G73" s="694"/>
      <c r="H73" s="694"/>
      <c r="I73" s="694"/>
      <c r="J73" s="694"/>
      <c r="K73" s="694"/>
      <c r="L73" s="694"/>
      <c r="M73" s="694"/>
      <c r="N73" s="554">
        <f t="shared" si="0"/>
        <v>0</v>
      </c>
      <c r="O73" s="554">
        <f t="shared" si="1"/>
        <v>0</v>
      </c>
      <c r="P73" s="555">
        <f>(O73/O240)*100</f>
        <v>0</v>
      </c>
      <c r="Q73" s="567"/>
      <c r="R73" s="555">
        <f t="shared" si="2"/>
        <v>0</v>
      </c>
      <c r="S73" s="697">
        <v>6000</v>
      </c>
      <c r="U73" s="696">
        <f t="shared" si="11"/>
        <v>0</v>
      </c>
      <c r="V73" s="696">
        <f t="shared" si="3"/>
        <v>0</v>
      </c>
      <c r="W73" s="696">
        <f t="shared" si="4"/>
        <v>0</v>
      </c>
      <c r="X73" s="696">
        <f t="shared" si="5"/>
        <v>0</v>
      </c>
      <c r="Y73" s="696">
        <f t="shared" si="6"/>
        <v>0</v>
      </c>
      <c r="Z73" s="696">
        <f t="shared" si="7"/>
        <v>0</v>
      </c>
      <c r="AA73" s="696">
        <f t="shared" si="8"/>
        <v>0</v>
      </c>
      <c r="AB73" s="696">
        <f t="shared" si="12"/>
        <v>0</v>
      </c>
      <c r="AC73" s="696">
        <f t="shared" si="9"/>
        <v>0</v>
      </c>
      <c r="AD73" s="696">
        <f t="shared" si="10"/>
        <v>0</v>
      </c>
      <c r="AE73" s="699"/>
    </row>
    <row r="74" spans="1:31" ht="25.15" customHeight="1">
      <c r="A74" s="543"/>
      <c r="B74" s="546" t="s">
        <v>1401</v>
      </c>
      <c r="C74" s="541"/>
      <c r="D74" s="694"/>
      <c r="E74" s="694"/>
      <c r="F74" s="694"/>
      <c r="G74" s="694"/>
      <c r="H74" s="694"/>
      <c r="I74" s="694"/>
      <c r="J74" s="694"/>
      <c r="K74" s="694"/>
      <c r="L74" s="694"/>
      <c r="M74" s="694"/>
      <c r="N74" s="554">
        <f t="shared" si="0"/>
        <v>0</v>
      </c>
      <c r="O74" s="554">
        <f t="shared" si="1"/>
        <v>0</v>
      </c>
      <c r="P74" s="555">
        <f>(O74/O240)*100</f>
        <v>0</v>
      </c>
      <c r="Q74" s="567"/>
      <c r="R74" s="555">
        <f t="shared" si="2"/>
        <v>0</v>
      </c>
      <c r="S74" s="698"/>
      <c r="U74" s="696">
        <f t="shared" si="11"/>
        <v>0</v>
      </c>
      <c r="V74" s="696">
        <f t="shared" si="3"/>
        <v>0</v>
      </c>
      <c r="W74" s="696">
        <f t="shared" si="4"/>
        <v>0</v>
      </c>
      <c r="X74" s="696">
        <f t="shared" si="5"/>
        <v>0</v>
      </c>
      <c r="Y74" s="696">
        <f t="shared" si="6"/>
        <v>0</v>
      </c>
      <c r="Z74" s="696">
        <f t="shared" si="7"/>
        <v>0</v>
      </c>
      <c r="AA74" s="696">
        <f t="shared" si="8"/>
        <v>0</v>
      </c>
      <c r="AB74" s="696">
        <f t="shared" si="12"/>
        <v>0</v>
      </c>
      <c r="AC74" s="696">
        <f t="shared" si="9"/>
        <v>0</v>
      </c>
      <c r="AD74" s="696">
        <f t="shared" si="10"/>
        <v>0</v>
      </c>
      <c r="AE74" s="699"/>
    </row>
    <row r="75" spans="1:31" ht="25.15" customHeight="1">
      <c r="A75" s="543">
        <v>60</v>
      </c>
      <c r="B75" s="546"/>
      <c r="C75" s="541" t="str">
        <f>'LAP. PENJUALAN '!C75</f>
        <v>Paket 1 Hot Cheesy (Es Teh / S-tee / Lemon Tea)</v>
      </c>
      <c r="D75" s="694">
        <v>1</v>
      </c>
      <c r="E75" s="694"/>
      <c r="F75" s="694"/>
      <c r="G75" s="694"/>
      <c r="H75" s="694"/>
      <c r="I75" s="694"/>
      <c r="J75" s="694"/>
      <c r="K75" s="694"/>
      <c r="L75" s="694"/>
      <c r="M75" s="694"/>
      <c r="N75" s="554">
        <f t="shared" si="0"/>
        <v>1</v>
      </c>
      <c r="O75" s="554">
        <f t="shared" si="1"/>
        <v>25200</v>
      </c>
      <c r="P75" s="555">
        <f>(O75/O240)*100</f>
        <v>1.77997527812114</v>
      </c>
      <c r="Q75" s="567"/>
      <c r="R75" s="555">
        <f t="shared" si="2"/>
        <v>0</v>
      </c>
      <c r="S75" s="697">
        <v>25200</v>
      </c>
      <c r="U75" s="696">
        <f t="shared" si="11"/>
        <v>25200</v>
      </c>
      <c r="V75" s="696">
        <f t="shared" si="3"/>
        <v>0</v>
      </c>
      <c r="W75" s="696">
        <f t="shared" si="4"/>
        <v>0</v>
      </c>
      <c r="X75" s="696">
        <f t="shared" si="5"/>
        <v>0</v>
      </c>
      <c r="Y75" s="696">
        <f t="shared" si="6"/>
        <v>0</v>
      </c>
      <c r="Z75" s="696">
        <f t="shared" si="7"/>
        <v>0</v>
      </c>
      <c r="AA75" s="696">
        <f t="shared" si="8"/>
        <v>0</v>
      </c>
      <c r="AB75" s="696">
        <f t="shared" si="12"/>
        <v>0</v>
      </c>
      <c r="AC75" s="696">
        <f t="shared" si="9"/>
        <v>0</v>
      </c>
      <c r="AD75" s="696">
        <f t="shared" si="10"/>
        <v>0</v>
      </c>
      <c r="AE75" s="699"/>
    </row>
    <row r="76" spans="1:31" ht="25.15" customHeight="1">
      <c r="A76" s="543">
        <v>61</v>
      </c>
      <c r="B76" s="546" t="s">
        <v>1555</v>
      </c>
      <c r="C76" s="541" t="str">
        <f>'LAP. PENJUALAN '!C76</f>
        <v>Paket 2 Hot Cheesy (Es Teh / S-tee / Lemon Tea)</v>
      </c>
      <c r="D76" s="694"/>
      <c r="E76" s="694"/>
      <c r="F76" s="694"/>
      <c r="G76" s="694"/>
      <c r="H76" s="694"/>
      <c r="I76" s="694"/>
      <c r="J76" s="694"/>
      <c r="K76" s="694"/>
      <c r="L76" s="694"/>
      <c r="M76" s="694"/>
      <c r="N76" s="554">
        <f t="shared" si="0"/>
        <v>0</v>
      </c>
      <c r="O76" s="554">
        <f t="shared" si="1"/>
        <v>0</v>
      </c>
      <c r="P76" s="555">
        <f>(O76/O240)*100</f>
        <v>0</v>
      </c>
      <c r="Q76" s="567"/>
      <c r="R76" s="555">
        <f t="shared" si="2"/>
        <v>0</v>
      </c>
      <c r="S76" s="697">
        <v>27500</v>
      </c>
      <c r="U76" s="696">
        <f t="shared" si="11"/>
        <v>0</v>
      </c>
      <c r="V76" s="696">
        <f t="shared" si="3"/>
        <v>0</v>
      </c>
      <c r="W76" s="696">
        <f t="shared" si="4"/>
        <v>0</v>
      </c>
      <c r="X76" s="696">
        <f t="shared" si="5"/>
        <v>0</v>
      </c>
      <c r="Y76" s="696">
        <f t="shared" si="6"/>
        <v>0</v>
      </c>
      <c r="Z76" s="696">
        <f t="shared" si="7"/>
        <v>0</v>
      </c>
      <c r="AA76" s="696">
        <f t="shared" si="8"/>
        <v>0</v>
      </c>
      <c r="AB76" s="696">
        <f t="shared" si="12"/>
        <v>0</v>
      </c>
      <c r="AC76" s="696">
        <f t="shared" si="9"/>
        <v>0</v>
      </c>
      <c r="AD76" s="696">
        <f t="shared" si="10"/>
        <v>0</v>
      </c>
      <c r="AE76" s="699"/>
    </row>
    <row r="77" spans="1:31" ht="25.15" customHeight="1">
      <c r="A77" s="543">
        <v>62</v>
      </c>
      <c r="B77" s="546" t="s">
        <v>1556</v>
      </c>
      <c r="C77" s="541" t="str">
        <f>'LAP. PENJUALAN '!C77</f>
        <v>Paket 3 Hot Cheesy (Es Teh / S-tee / Lemon Tea)</v>
      </c>
      <c r="D77" s="694">
        <v>1</v>
      </c>
      <c r="E77" s="694"/>
      <c r="F77" s="694"/>
      <c r="G77" s="694"/>
      <c r="H77" s="694"/>
      <c r="I77" s="694"/>
      <c r="J77" s="694"/>
      <c r="K77" s="694"/>
      <c r="L77" s="694"/>
      <c r="M77" s="694"/>
      <c r="N77" s="554">
        <f t="shared" si="0"/>
        <v>1</v>
      </c>
      <c r="O77" s="554">
        <f t="shared" si="1"/>
        <v>28800</v>
      </c>
      <c r="P77" s="555">
        <f>(O77/O240)*100</f>
        <v>2.03425746070987</v>
      </c>
      <c r="Q77" s="567"/>
      <c r="R77" s="555">
        <f t="shared" si="2"/>
        <v>0</v>
      </c>
      <c r="S77" s="697">
        <v>28800</v>
      </c>
      <c r="U77" s="696">
        <f t="shared" si="11"/>
        <v>28800</v>
      </c>
      <c r="V77" s="696">
        <f t="shared" si="3"/>
        <v>0</v>
      </c>
      <c r="W77" s="696">
        <f t="shared" si="4"/>
        <v>0</v>
      </c>
      <c r="X77" s="696">
        <f t="shared" si="5"/>
        <v>0</v>
      </c>
      <c r="Y77" s="696">
        <f t="shared" si="6"/>
        <v>0</v>
      </c>
      <c r="Z77" s="696">
        <f t="shared" si="7"/>
        <v>0</v>
      </c>
      <c r="AA77" s="696">
        <f t="shared" si="8"/>
        <v>0</v>
      </c>
      <c r="AB77" s="696">
        <f t="shared" si="12"/>
        <v>0</v>
      </c>
      <c r="AC77" s="696">
        <f t="shared" si="9"/>
        <v>0</v>
      </c>
      <c r="AD77" s="696">
        <f t="shared" si="10"/>
        <v>0</v>
      </c>
      <c r="AE77" s="699"/>
    </row>
    <row r="78" spans="1:31" ht="25.15" customHeight="1">
      <c r="A78" s="543">
        <v>63</v>
      </c>
      <c r="B78" s="546" t="s">
        <v>1557</v>
      </c>
      <c r="C78" s="541" t="str">
        <f>'LAP. PENJUALAN '!C78</f>
        <v>Sayap Hot Cheesy</v>
      </c>
      <c r="D78" s="694"/>
      <c r="E78" s="694"/>
      <c r="F78" s="694"/>
      <c r="G78" s="694"/>
      <c r="H78" s="694"/>
      <c r="I78" s="694"/>
      <c r="J78" s="694"/>
      <c r="K78" s="694"/>
      <c r="L78" s="694"/>
      <c r="M78" s="694"/>
      <c r="N78" s="554">
        <f t="shared" si="0"/>
        <v>0</v>
      </c>
      <c r="O78" s="554">
        <f t="shared" si="1"/>
        <v>0</v>
      </c>
      <c r="P78" s="555">
        <f>(O78/O240)*100</f>
        <v>0</v>
      </c>
      <c r="Q78" s="567"/>
      <c r="R78" s="555">
        <f t="shared" si="2"/>
        <v>0</v>
      </c>
      <c r="S78" s="697">
        <v>16875</v>
      </c>
      <c r="U78" s="696">
        <f t="shared" si="11"/>
        <v>0</v>
      </c>
      <c r="V78" s="696">
        <f t="shared" si="3"/>
        <v>0</v>
      </c>
      <c r="W78" s="696">
        <f t="shared" si="4"/>
        <v>0</v>
      </c>
      <c r="X78" s="696">
        <f t="shared" si="5"/>
        <v>0</v>
      </c>
      <c r="Y78" s="696">
        <f t="shared" si="6"/>
        <v>0</v>
      </c>
      <c r="Z78" s="696">
        <f t="shared" si="7"/>
        <v>0</v>
      </c>
      <c r="AA78" s="696">
        <f t="shared" si="8"/>
        <v>0</v>
      </c>
      <c r="AB78" s="696">
        <f t="shared" si="12"/>
        <v>0</v>
      </c>
      <c r="AC78" s="696">
        <f t="shared" si="9"/>
        <v>0</v>
      </c>
      <c r="AD78" s="696">
        <f t="shared" si="10"/>
        <v>0</v>
      </c>
      <c r="AE78" s="699"/>
    </row>
    <row r="79" spans="1:31" ht="25.15" customHeight="1">
      <c r="A79" s="543">
        <v>64</v>
      </c>
      <c r="B79" s="546" t="s">
        <v>1558</v>
      </c>
      <c r="C79" s="541" t="str">
        <f>'LAP. PENJUALAN '!C79</f>
        <v>Paha Bawah Hot Cheesy</v>
      </c>
      <c r="D79" s="694"/>
      <c r="E79" s="694"/>
      <c r="F79" s="694"/>
      <c r="G79" s="694"/>
      <c r="H79" s="694"/>
      <c r="I79" s="694"/>
      <c r="J79" s="694"/>
      <c r="K79" s="694"/>
      <c r="L79" s="694"/>
      <c r="M79" s="694"/>
      <c r="N79" s="554">
        <f t="shared" si="0"/>
        <v>0</v>
      </c>
      <c r="O79" s="554">
        <f t="shared" si="1"/>
        <v>0</v>
      </c>
      <c r="P79" s="555">
        <f>(O79/O240)*100</f>
        <v>0</v>
      </c>
      <c r="Q79" s="567"/>
      <c r="R79" s="555">
        <f t="shared" si="2"/>
        <v>0</v>
      </c>
      <c r="S79" s="697">
        <v>18750</v>
      </c>
      <c r="U79" s="696">
        <f t="shared" si="11"/>
        <v>0</v>
      </c>
      <c r="V79" s="696">
        <f t="shared" si="3"/>
        <v>0</v>
      </c>
      <c r="W79" s="696">
        <f t="shared" si="4"/>
        <v>0</v>
      </c>
      <c r="X79" s="696">
        <f t="shared" si="5"/>
        <v>0</v>
      </c>
      <c r="Y79" s="696">
        <f t="shared" si="6"/>
        <v>0</v>
      </c>
      <c r="Z79" s="696">
        <f t="shared" si="7"/>
        <v>0</v>
      </c>
      <c r="AA79" s="696">
        <f t="shared" si="8"/>
        <v>0</v>
      </c>
      <c r="AB79" s="696">
        <f t="shared" si="12"/>
        <v>0</v>
      </c>
      <c r="AC79" s="696">
        <f t="shared" si="9"/>
        <v>0</v>
      </c>
      <c r="AD79" s="696">
        <f t="shared" si="10"/>
        <v>0</v>
      </c>
      <c r="AE79" s="699"/>
    </row>
    <row r="80" spans="1:31" ht="25.15" customHeight="1">
      <c r="A80" s="543">
        <v>65</v>
      </c>
      <c r="B80" s="546" t="s">
        <v>1559</v>
      </c>
      <c r="C80" s="541" t="str">
        <f>'LAP. PENJUALAN '!C80</f>
        <v>Paha Atas / Dada Hot Cheesy</v>
      </c>
      <c r="D80" s="694"/>
      <c r="E80" s="694"/>
      <c r="F80" s="694"/>
      <c r="G80" s="694"/>
      <c r="H80" s="694"/>
      <c r="I80" s="694"/>
      <c r="J80" s="694">
        <v>2</v>
      </c>
      <c r="K80" s="694"/>
      <c r="L80" s="694"/>
      <c r="M80" s="694"/>
      <c r="N80" s="554">
        <f t="shared" si="0"/>
        <v>2</v>
      </c>
      <c r="O80" s="554">
        <f t="shared" si="1"/>
        <v>40800</v>
      </c>
      <c r="P80" s="555">
        <f>(O80/O240)*100</f>
        <v>2.88186473600565</v>
      </c>
      <c r="Q80" s="567"/>
      <c r="R80" s="555">
        <f t="shared" si="2"/>
        <v>0</v>
      </c>
      <c r="S80" s="697">
        <v>20400</v>
      </c>
      <c r="U80" s="696">
        <f t="shared" si="11"/>
        <v>0</v>
      </c>
      <c r="V80" s="696">
        <f t="shared" si="3"/>
        <v>0</v>
      </c>
      <c r="W80" s="696">
        <f t="shared" si="4"/>
        <v>0</v>
      </c>
      <c r="X80" s="696">
        <f t="shared" si="5"/>
        <v>0</v>
      </c>
      <c r="Y80" s="696">
        <f t="shared" si="6"/>
        <v>0</v>
      </c>
      <c r="Z80" s="696">
        <f t="shared" si="7"/>
        <v>0</v>
      </c>
      <c r="AA80" s="696">
        <f t="shared" si="8"/>
        <v>40800</v>
      </c>
      <c r="AB80" s="696">
        <f t="shared" si="12"/>
        <v>0</v>
      </c>
      <c r="AC80" s="696">
        <f t="shared" si="9"/>
        <v>0</v>
      </c>
      <c r="AD80" s="696">
        <f t="shared" si="10"/>
        <v>0</v>
      </c>
      <c r="AE80" s="699"/>
    </row>
    <row r="81" spans="1:31" ht="25.15" customHeight="1">
      <c r="A81" s="543">
        <v>66</v>
      </c>
      <c r="B81" s="546" t="s">
        <v>1560</v>
      </c>
      <c r="C81" s="541" t="str">
        <f>'LAP. PENJUALAN '!C81</f>
        <v>Saos  Hot Cheesy</v>
      </c>
      <c r="D81" s="694"/>
      <c r="E81" s="694"/>
      <c r="F81" s="694"/>
      <c r="G81" s="694"/>
      <c r="H81" s="694"/>
      <c r="I81" s="694"/>
      <c r="J81" s="694"/>
      <c r="K81" s="694"/>
      <c r="L81" s="694"/>
      <c r="M81" s="694"/>
      <c r="N81" s="554">
        <f t="shared" ref="N81:N180" si="23">SUM(D81:M81)</f>
        <v>0</v>
      </c>
      <c r="O81" s="554">
        <f t="shared" ref="O81:O180" si="24">N81*S81</f>
        <v>0</v>
      </c>
      <c r="P81" s="555">
        <f>(O81/O240)*100</f>
        <v>0</v>
      </c>
      <c r="Q81" s="567"/>
      <c r="R81" s="555">
        <f t="shared" ref="R81:R180" si="25">P81*Q81</f>
        <v>0</v>
      </c>
      <c r="S81" s="697">
        <v>6250</v>
      </c>
      <c r="U81" s="696">
        <f t="shared" ref="U81:U180" si="26">D81*S81</f>
        <v>0</v>
      </c>
      <c r="V81" s="696">
        <f t="shared" ref="V81:V180" si="27">E81*S81</f>
        <v>0</v>
      </c>
      <c r="W81" s="696">
        <f t="shared" ref="W81:W180" si="28">F81*S81</f>
        <v>0</v>
      </c>
      <c r="X81" s="696">
        <f t="shared" ref="X81:X180" si="29">G81*S81</f>
        <v>0</v>
      </c>
      <c r="Y81" s="696">
        <f t="shared" ref="Y81:Y180" si="30">H81*S81</f>
        <v>0</v>
      </c>
      <c r="Z81" s="696">
        <f t="shared" ref="Z81:Z180" si="31">I81*S81</f>
        <v>0</v>
      </c>
      <c r="AA81" s="696">
        <f t="shared" ref="AA81:AA180" si="32">J81*S81</f>
        <v>0</v>
      </c>
      <c r="AB81" s="696">
        <f t="shared" ref="AB81:AB180" si="33">K81*S81</f>
        <v>0</v>
      </c>
      <c r="AC81" s="696">
        <f t="shared" ref="AC81:AC180" si="34">L81*S81</f>
        <v>0</v>
      </c>
      <c r="AD81" s="696">
        <f t="shared" ref="AD81:AD180" si="35">M81*S81</f>
        <v>0</v>
      </c>
      <c r="AE81" s="699"/>
    </row>
    <row r="82" spans="1:31" ht="25.15" customHeight="1">
      <c r="A82" s="543"/>
      <c r="B82" s="546"/>
      <c r="C82" s="541"/>
      <c r="D82" s="694"/>
      <c r="E82" s="694"/>
      <c r="F82" s="694"/>
      <c r="G82" s="694"/>
      <c r="H82" s="694"/>
      <c r="I82" s="694"/>
      <c r="J82" s="694"/>
      <c r="K82" s="694"/>
      <c r="L82" s="694"/>
      <c r="M82" s="694"/>
      <c r="N82" s="554">
        <f t="shared" si="23"/>
        <v>0</v>
      </c>
      <c r="O82" s="554">
        <f t="shared" si="24"/>
        <v>0</v>
      </c>
      <c r="P82" s="555">
        <f>(O82/O240)*100</f>
        <v>0</v>
      </c>
      <c r="Q82" s="567"/>
      <c r="R82" s="555">
        <f t="shared" si="25"/>
        <v>0</v>
      </c>
      <c r="S82" s="698"/>
      <c r="U82" s="696">
        <f t="shared" si="26"/>
        <v>0</v>
      </c>
      <c r="V82" s="696">
        <f t="shared" si="27"/>
        <v>0</v>
      </c>
      <c r="W82" s="696">
        <f t="shared" si="28"/>
        <v>0</v>
      </c>
      <c r="X82" s="696">
        <f t="shared" si="29"/>
        <v>0</v>
      </c>
      <c r="Y82" s="696">
        <f t="shared" si="30"/>
        <v>0</v>
      </c>
      <c r="Z82" s="696">
        <f t="shared" si="31"/>
        <v>0</v>
      </c>
      <c r="AA82" s="696">
        <f t="shared" si="32"/>
        <v>0</v>
      </c>
      <c r="AB82" s="696">
        <f t="shared" si="33"/>
        <v>0</v>
      </c>
      <c r="AC82" s="696">
        <f t="shared" si="34"/>
        <v>0</v>
      </c>
      <c r="AD82" s="696">
        <f t="shared" si="35"/>
        <v>0</v>
      </c>
      <c r="AE82" s="699"/>
    </row>
    <row r="83" spans="1:31" ht="25.15" customHeight="1">
      <c r="A83" s="543">
        <v>67</v>
      </c>
      <c r="B83" s="546" t="s">
        <v>1561</v>
      </c>
      <c r="C83" s="541" t="str">
        <f>'LAP. PENJUALAN '!C83</f>
        <v>Paket Sehat 1</v>
      </c>
      <c r="D83" s="694"/>
      <c r="E83" s="694"/>
      <c r="F83" s="694"/>
      <c r="G83" s="694"/>
      <c r="H83" s="694"/>
      <c r="I83" s="694"/>
      <c r="J83" s="694"/>
      <c r="K83" s="694"/>
      <c r="L83" s="694"/>
      <c r="M83" s="694"/>
      <c r="N83" s="554">
        <f t="shared" si="23"/>
        <v>0</v>
      </c>
      <c r="O83" s="554">
        <f t="shared" si="24"/>
        <v>0</v>
      </c>
      <c r="P83" s="555">
        <f>(O83/O240)*100</f>
        <v>0</v>
      </c>
      <c r="Q83" s="567"/>
      <c r="R83" s="555">
        <f t="shared" si="25"/>
        <v>0</v>
      </c>
      <c r="S83" s="697">
        <v>25000</v>
      </c>
      <c r="U83" s="696">
        <f t="shared" si="26"/>
        <v>0</v>
      </c>
      <c r="V83" s="696">
        <f t="shared" si="27"/>
        <v>0</v>
      </c>
      <c r="W83" s="696">
        <f t="shared" si="28"/>
        <v>0</v>
      </c>
      <c r="X83" s="696">
        <f t="shared" si="29"/>
        <v>0</v>
      </c>
      <c r="Y83" s="696">
        <f t="shared" si="30"/>
        <v>0</v>
      </c>
      <c r="Z83" s="696">
        <f t="shared" si="31"/>
        <v>0</v>
      </c>
      <c r="AA83" s="696">
        <f t="shared" si="32"/>
        <v>0</v>
      </c>
      <c r="AB83" s="696">
        <f t="shared" si="33"/>
        <v>0</v>
      </c>
      <c r="AC83" s="696">
        <f t="shared" si="34"/>
        <v>0</v>
      </c>
      <c r="AD83" s="696">
        <f t="shared" si="35"/>
        <v>0</v>
      </c>
      <c r="AE83" s="699"/>
    </row>
    <row r="84" spans="1:31" ht="25.15" customHeight="1">
      <c r="A84" s="543">
        <v>68</v>
      </c>
      <c r="B84" s="546" t="s">
        <v>1562</v>
      </c>
      <c r="C84" s="541" t="str">
        <f>'LAP. PENJUALAN '!C84</f>
        <v>Paket Sehat 2</v>
      </c>
      <c r="D84" s="694"/>
      <c r="E84" s="694"/>
      <c r="F84" s="694"/>
      <c r="G84" s="694"/>
      <c r="H84" s="694"/>
      <c r="I84" s="694"/>
      <c r="J84" s="694"/>
      <c r="K84" s="694"/>
      <c r="L84" s="694"/>
      <c r="M84" s="694"/>
      <c r="N84" s="554">
        <f t="shared" si="23"/>
        <v>0</v>
      </c>
      <c r="O84" s="554">
        <f t="shared" si="24"/>
        <v>0</v>
      </c>
      <c r="P84" s="555">
        <f>(O84/O240)*100</f>
        <v>0</v>
      </c>
      <c r="Q84" s="567"/>
      <c r="R84" s="555">
        <f t="shared" si="25"/>
        <v>0</v>
      </c>
      <c r="S84" s="697">
        <v>27500</v>
      </c>
      <c r="U84" s="696">
        <f t="shared" si="26"/>
        <v>0</v>
      </c>
      <c r="V84" s="696">
        <f t="shared" si="27"/>
        <v>0</v>
      </c>
      <c r="W84" s="696">
        <f t="shared" si="28"/>
        <v>0</v>
      </c>
      <c r="X84" s="696">
        <f t="shared" si="29"/>
        <v>0</v>
      </c>
      <c r="Y84" s="696">
        <f t="shared" si="30"/>
        <v>0</v>
      </c>
      <c r="Z84" s="696">
        <f t="shared" si="31"/>
        <v>0</v>
      </c>
      <c r="AA84" s="696">
        <f t="shared" si="32"/>
        <v>0</v>
      </c>
      <c r="AB84" s="696">
        <f t="shared" si="33"/>
        <v>0</v>
      </c>
      <c r="AC84" s="696">
        <f t="shared" si="34"/>
        <v>0</v>
      </c>
      <c r="AD84" s="696">
        <f t="shared" si="35"/>
        <v>0</v>
      </c>
      <c r="AE84" s="699"/>
    </row>
    <row r="85" spans="1:31" ht="25.15" customHeight="1">
      <c r="A85" s="543">
        <v>69</v>
      </c>
      <c r="B85" s="546" t="s">
        <v>1563</v>
      </c>
      <c r="C85" s="541" t="str">
        <f>'LAP. PENJUALAN '!C85</f>
        <v>Paket Sehat 3</v>
      </c>
      <c r="D85" s="694"/>
      <c r="E85" s="694"/>
      <c r="F85" s="694"/>
      <c r="G85" s="694"/>
      <c r="H85" s="694"/>
      <c r="I85" s="694"/>
      <c r="J85" s="694"/>
      <c r="K85" s="694"/>
      <c r="L85" s="694"/>
      <c r="M85" s="694"/>
      <c r="N85" s="554">
        <f t="shared" si="23"/>
        <v>0</v>
      </c>
      <c r="O85" s="554">
        <f t="shared" si="24"/>
        <v>0</v>
      </c>
      <c r="P85" s="555">
        <f>(O85/O240)*100</f>
        <v>0</v>
      </c>
      <c r="Q85" s="567"/>
      <c r="R85" s="555">
        <f t="shared" si="25"/>
        <v>0</v>
      </c>
      <c r="S85" s="697">
        <v>30000</v>
      </c>
      <c r="U85" s="696">
        <f t="shared" si="26"/>
        <v>0</v>
      </c>
      <c r="V85" s="696">
        <f t="shared" si="27"/>
        <v>0</v>
      </c>
      <c r="W85" s="696">
        <f t="shared" si="28"/>
        <v>0</v>
      </c>
      <c r="X85" s="696">
        <f t="shared" si="29"/>
        <v>0</v>
      </c>
      <c r="Y85" s="696">
        <f t="shared" si="30"/>
        <v>0</v>
      </c>
      <c r="Z85" s="696">
        <f t="shared" si="31"/>
        <v>0</v>
      </c>
      <c r="AA85" s="696">
        <f t="shared" si="32"/>
        <v>0</v>
      </c>
      <c r="AB85" s="696">
        <f t="shared" si="33"/>
        <v>0</v>
      </c>
      <c r="AC85" s="696">
        <f t="shared" si="34"/>
        <v>0</v>
      </c>
      <c r="AD85" s="696">
        <f t="shared" si="35"/>
        <v>0</v>
      </c>
      <c r="AE85" s="699"/>
    </row>
    <row r="86" spans="1:31" ht="25.15" customHeight="1">
      <c r="A86" s="543">
        <v>70</v>
      </c>
      <c r="B86" s="546" t="s">
        <v>1564</v>
      </c>
      <c r="C86" s="541" t="str">
        <f>'LAP. PENJUALAN '!C86</f>
        <v>Paket Sehat 4</v>
      </c>
      <c r="D86" s="694"/>
      <c r="E86" s="694"/>
      <c r="F86" s="694"/>
      <c r="G86" s="694"/>
      <c r="H86" s="694"/>
      <c r="I86" s="694"/>
      <c r="J86" s="694"/>
      <c r="K86" s="694"/>
      <c r="L86" s="694"/>
      <c r="M86" s="694"/>
      <c r="N86" s="554">
        <f t="shared" si="23"/>
        <v>0</v>
      </c>
      <c r="O86" s="554">
        <f t="shared" si="24"/>
        <v>0</v>
      </c>
      <c r="P86" s="555">
        <f>(O86/O240)*100</f>
        <v>0</v>
      </c>
      <c r="Q86" s="567"/>
      <c r="R86" s="555">
        <f t="shared" si="25"/>
        <v>0</v>
      </c>
      <c r="S86" s="697">
        <v>28750</v>
      </c>
      <c r="U86" s="696">
        <f t="shared" si="26"/>
        <v>0</v>
      </c>
      <c r="V86" s="696">
        <f t="shared" si="27"/>
        <v>0</v>
      </c>
      <c r="W86" s="696">
        <f t="shared" si="28"/>
        <v>0</v>
      </c>
      <c r="X86" s="696">
        <f t="shared" si="29"/>
        <v>0</v>
      </c>
      <c r="Y86" s="696">
        <f t="shared" si="30"/>
        <v>0</v>
      </c>
      <c r="Z86" s="696">
        <f t="shared" si="31"/>
        <v>0</v>
      </c>
      <c r="AA86" s="696">
        <f t="shared" si="32"/>
        <v>0</v>
      </c>
      <c r="AB86" s="696">
        <f t="shared" si="33"/>
        <v>0</v>
      </c>
      <c r="AC86" s="696">
        <f t="shared" si="34"/>
        <v>0</v>
      </c>
      <c r="AD86" s="696">
        <f t="shared" si="35"/>
        <v>0</v>
      </c>
      <c r="AE86" s="699"/>
    </row>
    <row r="87" spans="1:31" ht="25.15" customHeight="1">
      <c r="A87" s="543"/>
      <c r="B87" s="546" t="s">
        <v>1565</v>
      </c>
      <c r="C87" s="541"/>
      <c r="D87" s="694"/>
      <c r="E87" s="694"/>
      <c r="F87" s="694"/>
      <c r="G87" s="694"/>
      <c r="H87" s="694"/>
      <c r="I87" s="694"/>
      <c r="J87" s="694"/>
      <c r="K87" s="694"/>
      <c r="L87" s="694"/>
      <c r="M87" s="694"/>
      <c r="N87" s="554">
        <f t="shared" si="23"/>
        <v>0</v>
      </c>
      <c r="O87" s="554">
        <f t="shared" si="24"/>
        <v>0</v>
      </c>
      <c r="P87" s="555">
        <f>(O87/O240)*100</f>
        <v>0</v>
      </c>
      <c r="Q87" s="567"/>
      <c r="R87" s="555">
        <f t="shared" si="25"/>
        <v>0</v>
      </c>
      <c r="S87" s="698"/>
      <c r="U87" s="696">
        <f t="shared" si="26"/>
        <v>0</v>
      </c>
      <c r="V87" s="696">
        <f t="shared" si="27"/>
        <v>0</v>
      </c>
      <c r="W87" s="696">
        <f t="shared" si="28"/>
        <v>0</v>
      </c>
      <c r="X87" s="696">
        <f t="shared" si="29"/>
        <v>0</v>
      </c>
      <c r="Y87" s="696">
        <f t="shared" si="30"/>
        <v>0</v>
      </c>
      <c r="Z87" s="696">
        <f t="shared" si="31"/>
        <v>0</v>
      </c>
      <c r="AA87" s="696">
        <f t="shared" si="32"/>
        <v>0</v>
      </c>
      <c r="AB87" s="696">
        <f t="shared" si="33"/>
        <v>0</v>
      </c>
      <c r="AC87" s="696">
        <f t="shared" si="34"/>
        <v>0</v>
      </c>
      <c r="AD87" s="696">
        <f t="shared" si="35"/>
        <v>0</v>
      </c>
      <c r="AE87" s="699"/>
    </row>
    <row r="88" spans="1:31" ht="25.15" customHeight="1">
      <c r="A88" s="543">
        <v>71</v>
      </c>
      <c r="B88" s="546" t="s">
        <v>1566</v>
      </c>
      <c r="C88" s="541" t="str">
        <f>'LAP. PENJUALAN '!C88</f>
        <v>Paket Catering 1</v>
      </c>
      <c r="D88" s="694"/>
      <c r="E88" s="694"/>
      <c r="F88" s="694"/>
      <c r="G88" s="694"/>
      <c r="H88" s="694"/>
      <c r="I88" s="694"/>
      <c r="J88" s="694"/>
      <c r="K88" s="694"/>
      <c r="L88" s="694"/>
      <c r="M88" s="694"/>
      <c r="N88" s="554">
        <f t="shared" si="23"/>
        <v>0</v>
      </c>
      <c r="O88" s="554">
        <f t="shared" si="24"/>
        <v>0</v>
      </c>
      <c r="P88" s="555">
        <f>(O88/O240)*100</f>
        <v>0</v>
      </c>
      <c r="Q88" s="567"/>
      <c r="R88" s="555">
        <f t="shared" si="25"/>
        <v>0</v>
      </c>
      <c r="S88" s="698"/>
      <c r="U88" s="696">
        <f t="shared" si="26"/>
        <v>0</v>
      </c>
      <c r="V88" s="696">
        <f t="shared" si="27"/>
        <v>0</v>
      </c>
      <c r="W88" s="696">
        <f t="shared" si="28"/>
        <v>0</v>
      </c>
      <c r="X88" s="696">
        <f t="shared" si="29"/>
        <v>0</v>
      </c>
      <c r="Y88" s="696">
        <f t="shared" si="30"/>
        <v>0</v>
      </c>
      <c r="Z88" s="696">
        <f t="shared" si="31"/>
        <v>0</v>
      </c>
      <c r="AA88" s="696">
        <f t="shared" si="32"/>
        <v>0</v>
      </c>
      <c r="AB88" s="696">
        <f t="shared" si="33"/>
        <v>0</v>
      </c>
      <c r="AC88" s="696">
        <f t="shared" si="34"/>
        <v>0</v>
      </c>
      <c r="AD88" s="696">
        <f t="shared" si="35"/>
        <v>0</v>
      </c>
      <c r="AE88" s="699"/>
    </row>
    <row r="89" spans="1:31" ht="25.15" customHeight="1">
      <c r="A89" s="543">
        <v>72</v>
      </c>
      <c r="B89" s="546"/>
      <c r="C89" s="541" t="str">
        <f>'LAP. PENJUALAN '!C89</f>
        <v>Paket Catering 2</v>
      </c>
      <c r="D89" s="694"/>
      <c r="E89" s="694"/>
      <c r="F89" s="694"/>
      <c r="G89" s="694"/>
      <c r="H89" s="694"/>
      <c r="I89" s="694"/>
      <c r="J89" s="694"/>
      <c r="K89" s="694"/>
      <c r="L89" s="694"/>
      <c r="M89" s="694"/>
      <c r="N89" s="554">
        <f t="shared" si="23"/>
        <v>0</v>
      </c>
      <c r="O89" s="554">
        <f t="shared" si="24"/>
        <v>0</v>
      </c>
      <c r="P89" s="555">
        <f>(O89/O240)*100</f>
        <v>0</v>
      </c>
      <c r="Q89" s="567"/>
      <c r="R89" s="555">
        <f t="shared" si="25"/>
        <v>0</v>
      </c>
      <c r="S89" s="698"/>
      <c r="U89" s="696">
        <f t="shared" si="26"/>
        <v>0</v>
      </c>
      <c r="V89" s="696">
        <f t="shared" si="27"/>
        <v>0</v>
      </c>
      <c r="W89" s="696">
        <f t="shared" si="28"/>
        <v>0</v>
      </c>
      <c r="X89" s="696">
        <f t="shared" si="29"/>
        <v>0</v>
      </c>
      <c r="Y89" s="696">
        <f t="shared" si="30"/>
        <v>0</v>
      </c>
      <c r="Z89" s="696">
        <f t="shared" si="31"/>
        <v>0</v>
      </c>
      <c r="AA89" s="696">
        <f t="shared" si="32"/>
        <v>0</v>
      </c>
      <c r="AB89" s="696">
        <f t="shared" si="33"/>
        <v>0</v>
      </c>
      <c r="AC89" s="696">
        <f t="shared" si="34"/>
        <v>0</v>
      </c>
      <c r="AD89" s="696">
        <f t="shared" si="35"/>
        <v>0</v>
      </c>
      <c r="AE89" s="699"/>
    </row>
    <row r="90" spans="1:31" ht="25.15" customHeight="1">
      <c r="A90" s="543">
        <v>73</v>
      </c>
      <c r="B90" s="546" t="s">
        <v>1567</v>
      </c>
      <c r="C90" s="541" t="str">
        <f>'LAP. PENJUALAN '!C90</f>
        <v>Paket Catering 3</v>
      </c>
      <c r="D90" s="694"/>
      <c r="E90" s="694"/>
      <c r="F90" s="694"/>
      <c r="G90" s="694"/>
      <c r="H90" s="694"/>
      <c r="I90" s="694"/>
      <c r="J90" s="694"/>
      <c r="K90" s="694"/>
      <c r="L90" s="694"/>
      <c r="M90" s="694"/>
      <c r="N90" s="554">
        <f t="shared" si="23"/>
        <v>0</v>
      </c>
      <c r="O90" s="554">
        <f t="shared" si="24"/>
        <v>0</v>
      </c>
      <c r="P90" s="555">
        <f>(O90/O240)*100</f>
        <v>0</v>
      </c>
      <c r="Q90" s="567"/>
      <c r="R90" s="555">
        <f t="shared" si="25"/>
        <v>0</v>
      </c>
      <c r="S90" s="698"/>
      <c r="U90" s="696">
        <f t="shared" si="26"/>
        <v>0</v>
      </c>
      <c r="V90" s="696">
        <f t="shared" si="27"/>
        <v>0</v>
      </c>
      <c r="W90" s="696">
        <f t="shared" si="28"/>
        <v>0</v>
      </c>
      <c r="X90" s="696">
        <f t="shared" si="29"/>
        <v>0</v>
      </c>
      <c r="Y90" s="696">
        <f t="shared" si="30"/>
        <v>0</v>
      </c>
      <c r="Z90" s="696">
        <f t="shared" si="31"/>
        <v>0</v>
      </c>
      <c r="AA90" s="696">
        <f t="shared" si="32"/>
        <v>0</v>
      </c>
      <c r="AB90" s="696">
        <f t="shared" si="33"/>
        <v>0</v>
      </c>
      <c r="AC90" s="696">
        <f t="shared" si="34"/>
        <v>0</v>
      </c>
      <c r="AD90" s="696">
        <f t="shared" si="35"/>
        <v>0</v>
      </c>
      <c r="AE90" s="699"/>
    </row>
    <row r="91" spans="1:31" ht="25.15" customHeight="1">
      <c r="A91" s="543">
        <v>74</v>
      </c>
      <c r="B91" s="546" t="s">
        <v>1568</v>
      </c>
      <c r="C91" s="541" t="str">
        <f>'LAP. PENJUALAN '!C91</f>
        <v>Paket Catering 4</v>
      </c>
      <c r="D91" s="694"/>
      <c r="E91" s="694"/>
      <c r="F91" s="694"/>
      <c r="G91" s="694"/>
      <c r="H91" s="694"/>
      <c r="I91" s="694"/>
      <c r="J91" s="694"/>
      <c r="K91" s="694"/>
      <c r="L91" s="694"/>
      <c r="M91" s="694"/>
      <c r="N91" s="554">
        <f t="shared" si="23"/>
        <v>0</v>
      </c>
      <c r="O91" s="554">
        <f t="shared" si="24"/>
        <v>0</v>
      </c>
      <c r="P91" s="555">
        <f>(O91/O240)*100</f>
        <v>0</v>
      </c>
      <c r="Q91" s="567"/>
      <c r="R91" s="555">
        <f t="shared" si="25"/>
        <v>0</v>
      </c>
      <c r="S91" s="698"/>
      <c r="U91" s="696">
        <f t="shared" si="26"/>
        <v>0</v>
      </c>
      <c r="V91" s="696">
        <f t="shared" si="27"/>
        <v>0</v>
      </c>
      <c r="W91" s="696">
        <f t="shared" si="28"/>
        <v>0</v>
      </c>
      <c r="X91" s="696">
        <f t="shared" si="29"/>
        <v>0</v>
      </c>
      <c r="Y91" s="696">
        <f t="shared" si="30"/>
        <v>0</v>
      </c>
      <c r="Z91" s="696">
        <f t="shared" si="31"/>
        <v>0</v>
      </c>
      <c r="AA91" s="696">
        <f t="shared" si="32"/>
        <v>0</v>
      </c>
      <c r="AB91" s="696">
        <f t="shared" si="33"/>
        <v>0</v>
      </c>
      <c r="AC91" s="696">
        <f t="shared" si="34"/>
        <v>0</v>
      </c>
      <c r="AD91" s="696">
        <f t="shared" si="35"/>
        <v>0</v>
      </c>
      <c r="AE91" s="699"/>
    </row>
    <row r="92" spans="1:31" ht="25.15" customHeight="1">
      <c r="A92" s="543"/>
      <c r="B92" s="546" t="s">
        <v>1569</v>
      </c>
      <c r="C92" s="541"/>
      <c r="D92" s="694"/>
      <c r="E92" s="694"/>
      <c r="F92" s="694"/>
      <c r="G92" s="694"/>
      <c r="H92" s="694"/>
      <c r="I92" s="694"/>
      <c r="J92" s="694"/>
      <c r="K92" s="694"/>
      <c r="L92" s="694"/>
      <c r="M92" s="694"/>
      <c r="N92" s="554">
        <f t="shared" si="23"/>
        <v>0</v>
      </c>
      <c r="O92" s="554">
        <f t="shared" si="24"/>
        <v>0</v>
      </c>
      <c r="P92" s="555">
        <f>(O92/O240)*100</f>
        <v>0</v>
      </c>
      <c r="Q92" s="567"/>
      <c r="R92" s="555">
        <f t="shared" si="25"/>
        <v>0</v>
      </c>
      <c r="S92" s="698"/>
      <c r="U92" s="696">
        <f t="shared" si="26"/>
        <v>0</v>
      </c>
      <c r="V92" s="696">
        <f t="shared" si="27"/>
        <v>0</v>
      </c>
      <c r="W92" s="696">
        <f t="shared" si="28"/>
        <v>0</v>
      </c>
      <c r="X92" s="696">
        <f t="shared" si="29"/>
        <v>0</v>
      </c>
      <c r="Y92" s="696">
        <f t="shared" si="30"/>
        <v>0</v>
      </c>
      <c r="Z92" s="696">
        <f t="shared" si="31"/>
        <v>0</v>
      </c>
      <c r="AA92" s="696">
        <f t="shared" si="32"/>
        <v>0</v>
      </c>
      <c r="AB92" s="696">
        <f t="shared" si="33"/>
        <v>0</v>
      </c>
      <c r="AC92" s="696">
        <f t="shared" si="34"/>
        <v>0</v>
      </c>
      <c r="AD92" s="696">
        <f t="shared" si="35"/>
        <v>0</v>
      </c>
      <c r="AE92" s="699"/>
    </row>
    <row r="93" spans="1:31" ht="25.15" customHeight="1">
      <c r="A93" s="543">
        <v>73</v>
      </c>
      <c r="B93" s="546"/>
      <c r="C93" s="541" t="str">
        <f>'LAP. PENJUALAN '!C93</f>
        <v>Paket Takjil 1</v>
      </c>
      <c r="D93" s="694"/>
      <c r="E93" s="694"/>
      <c r="F93" s="694"/>
      <c r="G93" s="694"/>
      <c r="H93" s="694"/>
      <c r="I93" s="694"/>
      <c r="J93" s="694"/>
      <c r="K93" s="694"/>
      <c r="L93" s="694"/>
      <c r="M93" s="694"/>
      <c r="N93" s="554">
        <f t="shared" si="23"/>
        <v>0</v>
      </c>
      <c r="O93" s="554">
        <f t="shared" si="24"/>
        <v>0</v>
      </c>
      <c r="P93" s="555">
        <f>(O93/O240)*100</f>
        <v>0</v>
      </c>
      <c r="Q93" s="567"/>
      <c r="R93" s="555">
        <f t="shared" si="25"/>
        <v>0</v>
      </c>
      <c r="S93" s="698"/>
      <c r="U93" s="696">
        <f t="shared" si="26"/>
        <v>0</v>
      </c>
      <c r="V93" s="696">
        <f t="shared" si="27"/>
        <v>0</v>
      </c>
      <c r="W93" s="696">
        <f t="shared" si="28"/>
        <v>0</v>
      </c>
      <c r="X93" s="696">
        <f t="shared" si="29"/>
        <v>0</v>
      </c>
      <c r="Y93" s="696">
        <f t="shared" si="30"/>
        <v>0</v>
      </c>
      <c r="Z93" s="696">
        <f t="shared" si="31"/>
        <v>0</v>
      </c>
      <c r="AA93" s="696">
        <f t="shared" si="32"/>
        <v>0</v>
      </c>
      <c r="AB93" s="696">
        <f t="shared" si="33"/>
        <v>0</v>
      </c>
      <c r="AC93" s="696">
        <f t="shared" si="34"/>
        <v>0</v>
      </c>
      <c r="AD93" s="696">
        <f t="shared" si="35"/>
        <v>0</v>
      </c>
      <c r="AE93" s="699"/>
    </row>
    <row r="94" spans="1:31" ht="25.15" customHeight="1">
      <c r="A94" s="543">
        <v>74</v>
      </c>
      <c r="B94" s="546" t="s">
        <v>1398</v>
      </c>
      <c r="C94" s="541" t="str">
        <f>'LAP. PENJUALAN '!C94</f>
        <v>Paket Takjil 2</v>
      </c>
      <c r="D94" s="694"/>
      <c r="E94" s="694"/>
      <c r="F94" s="694"/>
      <c r="G94" s="694"/>
      <c r="H94" s="694"/>
      <c r="I94" s="694"/>
      <c r="J94" s="694"/>
      <c r="K94" s="694"/>
      <c r="L94" s="694"/>
      <c r="M94" s="694"/>
      <c r="N94" s="554">
        <f t="shared" si="23"/>
        <v>0</v>
      </c>
      <c r="O94" s="554">
        <f t="shared" si="24"/>
        <v>0</v>
      </c>
      <c r="P94" s="555">
        <f>(O94/O240)*100</f>
        <v>0</v>
      </c>
      <c r="Q94" s="567"/>
      <c r="R94" s="555">
        <f t="shared" si="25"/>
        <v>0</v>
      </c>
      <c r="S94" s="698"/>
      <c r="U94" s="696">
        <f t="shared" si="26"/>
        <v>0</v>
      </c>
      <c r="V94" s="696">
        <f t="shared" si="27"/>
        <v>0</v>
      </c>
      <c r="W94" s="696">
        <f t="shared" si="28"/>
        <v>0</v>
      </c>
      <c r="X94" s="696">
        <f t="shared" si="29"/>
        <v>0</v>
      </c>
      <c r="Y94" s="696">
        <f t="shared" si="30"/>
        <v>0</v>
      </c>
      <c r="Z94" s="696">
        <f t="shared" si="31"/>
        <v>0</v>
      </c>
      <c r="AA94" s="696">
        <f t="shared" si="32"/>
        <v>0</v>
      </c>
      <c r="AB94" s="696">
        <f t="shared" si="33"/>
        <v>0</v>
      </c>
      <c r="AC94" s="696">
        <f t="shared" si="34"/>
        <v>0</v>
      </c>
      <c r="AD94" s="696">
        <f t="shared" si="35"/>
        <v>0</v>
      </c>
      <c r="AE94" s="699"/>
    </row>
    <row r="95" spans="1:31" ht="25.15" customHeight="1">
      <c r="A95" s="543">
        <v>75</v>
      </c>
      <c r="B95" s="546" t="s">
        <v>1399</v>
      </c>
      <c r="C95" s="541" t="str">
        <f>'LAP. PENJUALAN '!C95</f>
        <v>Paket Takjil 3</v>
      </c>
      <c r="D95" s="694"/>
      <c r="E95" s="694"/>
      <c r="F95" s="694"/>
      <c r="G95" s="694"/>
      <c r="H95" s="694"/>
      <c r="I95" s="694"/>
      <c r="J95" s="694"/>
      <c r="K95" s="694"/>
      <c r="L95" s="694"/>
      <c r="M95" s="694"/>
      <c r="N95" s="554">
        <f t="shared" si="23"/>
        <v>0</v>
      </c>
      <c r="O95" s="554">
        <f t="shared" si="24"/>
        <v>0</v>
      </c>
      <c r="P95" s="555">
        <f>(O95/O240)*100</f>
        <v>0</v>
      </c>
      <c r="Q95" s="567"/>
      <c r="R95" s="555">
        <f t="shared" si="25"/>
        <v>0</v>
      </c>
      <c r="S95" s="698"/>
      <c r="U95" s="696">
        <f t="shared" si="26"/>
        <v>0</v>
      </c>
      <c r="V95" s="696">
        <f t="shared" si="27"/>
        <v>0</v>
      </c>
      <c r="W95" s="696">
        <f t="shared" si="28"/>
        <v>0</v>
      </c>
      <c r="X95" s="696">
        <f t="shared" si="29"/>
        <v>0</v>
      </c>
      <c r="Y95" s="696">
        <f t="shared" si="30"/>
        <v>0</v>
      </c>
      <c r="Z95" s="696">
        <f t="shared" si="31"/>
        <v>0</v>
      </c>
      <c r="AA95" s="696">
        <f t="shared" si="32"/>
        <v>0</v>
      </c>
      <c r="AB95" s="696">
        <f t="shared" si="33"/>
        <v>0</v>
      </c>
      <c r="AC95" s="696">
        <f t="shared" si="34"/>
        <v>0</v>
      </c>
      <c r="AD95" s="696">
        <f t="shared" si="35"/>
        <v>0</v>
      </c>
      <c r="AE95" s="699"/>
    </row>
    <row r="96" spans="1:31" ht="25.15" customHeight="1">
      <c r="A96" s="543">
        <v>76</v>
      </c>
      <c r="B96" s="546"/>
      <c r="C96" s="541" t="str">
        <f>'LAP. PENJUALAN '!C96</f>
        <v>Paket Takjil 4</v>
      </c>
      <c r="D96" s="694"/>
      <c r="E96" s="694"/>
      <c r="F96" s="694"/>
      <c r="G96" s="694"/>
      <c r="H96" s="694"/>
      <c r="I96" s="694"/>
      <c r="J96" s="694"/>
      <c r="K96" s="694"/>
      <c r="L96" s="694"/>
      <c r="M96" s="694"/>
      <c r="N96" s="554">
        <f t="shared" si="23"/>
        <v>0</v>
      </c>
      <c r="O96" s="554">
        <f t="shared" si="24"/>
        <v>0</v>
      </c>
      <c r="P96" s="555">
        <f>(O96/O240)*100</f>
        <v>0</v>
      </c>
      <c r="Q96" s="567"/>
      <c r="R96" s="555">
        <f t="shared" si="25"/>
        <v>0</v>
      </c>
      <c r="S96" s="698"/>
      <c r="U96" s="696">
        <f t="shared" si="26"/>
        <v>0</v>
      </c>
      <c r="V96" s="696">
        <f t="shared" si="27"/>
        <v>0</v>
      </c>
      <c r="W96" s="696">
        <f t="shared" si="28"/>
        <v>0</v>
      </c>
      <c r="X96" s="696">
        <f t="shared" si="29"/>
        <v>0</v>
      </c>
      <c r="Y96" s="696">
        <f t="shared" si="30"/>
        <v>0</v>
      </c>
      <c r="Z96" s="696">
        <f t="shared" si="31"/>
        <v>0</v>
      </c>
      <c r="AA96" s="696">
        <f t="shared" si="32"/>
        <v>0</v>
      </c>
      <c r="AB96" s="696">
        <f t="shared" si="33"/>
        <v>0</v>
      </c>
      <c r="AC96" s="696">
        <f t="shared" si="34"/>
        <v>0</v>
      </c>
      <c r="AD96" s="696">
        <f t="shared" si="35"/>
        <v>0</v>
      </c>
      <c r="AE96" s="699"/>
    </row>
    <row r="97" spans="1:31" ht="25.15" customHeight="1">
      <c r="A97" s="543">
        <v>77</v>
      </c>
      <c r="B97" s="546" t="s">
        <v>1349</v>
      </c>
      <c r="C97" s="541" t="str">
        <f>'LAP. PENJUALAN '!C97</f>
        <v>Paket Takjil 5</v>
      </c>
      <c r="D97" s="694"/>
      <c r="E97" s="694"/>
      <c r="F97" s="694"/>
      <c r="G97" s="694"/>
      <c r="H97" s="694"/>
      <c r="I97" s="694"/>
      <c r="J97" s="694"/>
      <c r="K97" s="694"/>
      <c r="L97" s="694"/>
      <c r="M97" s="694"/>
      <c r="N97" s="554">
        <f t="shared" si="23"/>
        <v>0</v>
      </c>
      <c r="O97" s="554">
        <f t="shared" si="24"/>
        <v>0</v>
      </c>
      <c r="P97" s="555">
        <f>(O97/O240)*100</f>
        <v>0</v>
      </c>
      <c r="Q97" s="567"/>
      <c r="R97" s="555">
        <f t="shared" si="25"/>
        <v>0</v>
      </c>
      <c r="S97" s="698"/>
      <c r="U97" s="696">
        <f t="shared" si="26"/>
        <v>0</v>
      </c>
      <c r="V97" s="696">
        <f t="shared" si="27"/>
        <v>0</v>
      </c>
      <c r="W97" s="696">
        <f t="shared" si="28"/>
        <v>0</v>
      </c>
      <c r="X97" s="696">
        <f t="shared" si="29"/>
        <v>0</v>
      </c>
      <c r="Y97" s="696">
        <f t="shared" si="30"/>
        <v>0</v>
      </c>
      <c r="Z97" s="696">
        <f t="shared" si="31"/>
        <v>0</v>
      </c>
      <c r="AA97" s="696">
        <f t="shared" si="32"/>
        <v>0</v>
      </c>
      <c r="AB97" s="696">
        <f t="shared" si="33"/>
        <v>0</v>
      </c>
      <c r="AC97" s="696">
        <f t="shared" si="34"/>
        <v>0</v>
      </c>
      <c r="AD97" s="696">
        <f t="shared" si="35"/>
        <v>0</v>
      </c>
      <c r="AE97" s="699"/>
    </row>
    <row r="98" spans="1:31" ht="25.15" customHeight="1">
      <c r="A98" s="543">
        <v>78</v>
      </c>
      <c r="B98" s="546" t="s">
        <v>1350</v>
      </c>
      <c r="C98" s="541" t="str">
        <f>'LAP. PENJUALAN '!C98</f>
        <v>Paket Takjil 6</v>
      </c>
      <c r="D98" s="694"/>
      <c r="E98" s="694"/>
      <c r="F98" s="694"/>
      <c r="G98" s="694"/>
      <c r="H98" s="694"/>
      <c r="I98" s="694"/>
      <c r="J98" s="694"/>
      <c r="K98" s="694"/>
      <c r="L98" s="694"/>
      <c r="M98" s="694"/>
      <c r="N98" s="554">
        <f t="shared" si="23"/>
        <v>0</v>
      </c>
      <c r="O98" s="554">
        <f t="shared" si="24"/>
        <v>0</v>
      </c>
      <c r="P98" s="555">
        <f>(O98/O240)*100</f>
        <v>0</v>
      </c>
      <c r="Q98" s="567"/>
      <c r="R98" s="555">
        <f t="shared" si="25"/>
        <v>0</v>
      </c>
      <c r="S98" s="698"/>
      <c r="U98" s="696">
        <f t="shared" si="26"/>
        <v>0</v>
      </c>
      <c r="V98" s="696">
        <f t="shared" si="27"/>
        <v>0</v>
      </c>
      <c r="W98" s="696">
        <f t="shared" si="28"/>
        <v>0</v>
      </c>
      <c r="X98" s="696">
        <f t="shared" si="29"/>
        <v>0</v>
      </c>
      <c r="Y98" s="696">
        <f t="shared" si="30"/>
        <v>0</v>
      </c>
      <c r="Z98" s="696">
        <f t="shared" si="31"/>
        <v>0</v>
      </c>
      <c r="AA98" s="696">
        <f t="shared" si="32"/>
        <v>0</v>
      </c>
      <c r="AB98" s="696">
        <f t="shared" si="33"/>
        <v>0</v>
      </c>
      <c r="AC98" s="696">
        <f t="shared" si="34"/>
        <v>0</v>
      </c>
      <c r="AD98" s="696">
        <f t="shared" si="35"/>
        <v>0</v>
      </c>
      <c r="AE98" s="699"/>
    </row>
    <row r="99" spans="1:31" ht="25.15" customHeight="1">
      <c r="A99" s="543">
        <v>79</v>
      </c>
      <c r="B99" s="546" t="s">
        <v>1351</v>
      </c>
      <c r="C99" s="541" t="str">
        <f>'LAP. PENJUALAN '!C99</f>
        <v>Paket Takjil 7</v>
      </c>
      <c r="D99" s="694"/>
      <c r="E99" s="694"/>
      <c r="F99" s="694"/>
      <c r="G99" s="694"/>
      <c r="H99" s="694"/>
      <c r="I99" s="694"/>
      <c r="J99" s="694"/>
      <c r="K99" s="694"/>
      <c r="L99" s="694"/>
      <c r="M99" s="694"/>
      <c r="N99" s="554">
        <f t="shared" si="23"/>
        <v>0</v>
      </c>
      <c r="O99" s="554">
        <f t="shared" si="24"/>
        <v>0</v>
      </c>
      <c r="P99" s="555">
        <f>(O99/O240)*100</f>
        <v>0</v>
      </c>
      <c r="Q99" s="567"/>
      <c r="R99" s="555">
        <f t="shared" si="25"/>
        <v>0</v>
      </c>
      <c r="S99" s="698"/>
      <c r="U99" s="696">
        <f t="shared" si="26"/>
        <v>0</v>
      </c>
      <c r="V99" s="696">
        <f t="shared" si="27"/>
        <v>0</v>
      </c>
      <c r="W99" s="696">
        <f t="shared" si="28"/>
        <v>0</v>
      </c>
      <c r="X99" s="696">
        <f t="shared" si="29"/>
        <v>0</v>
      </c>
      <c r="Y99" s="696">
        <f t="shared" si="30"/>
        <v>0</v>
      </c>
      <c r="Z99" s="696">
        <f t="shared" si="31"/>
        <v>0</v>
      </c>
      <c r="AA99" s="696">
        <f t="shared" si="32"/>
        <v>0</v>
      </c>
      <c r="AB99" s="696">
        <f t="shared" si="33"/>
        <v>0</v>
      </c>
      <c r="AC99" s="696">
        <f t="shared" si="34"/>
        <v>0</v>
      </c>
      <c r="AD99" s="696">
        <f t="shared" si="35"/>
        <v>0</v>
      </c>
      <c r="AE99" s="699"/>
    </row>
    <row r="100" spans="1:31" ht="25.15" customHeight="1">
      <c r="A100" s="543">
        <v>80</v>
      </c>
      <c r="B100" s="546" t="s">
        <v>1352</v>
      </c>
      <c r="C100" s="541" t="str">
        <f>'LAP. PENJUALAN '!C100</f>
        <v>Paket Takjil 8</v>
      </c>
      <c r="D100" s="694"/>
      <c r="E100" s="694"/>
      <c r="F100" s="694"/>
      <c r="G100" s="694"/>
      <c r="H100" s="694"/>
      <c r="I100" s="694"/>
      <c r="J100" s="694"/>
      <c r="K100" s="694"/>
      <c r="L100" s="694"/>
      <c r="M100" s="694"/>
      <c r="N100" s="554">
        <f t="shared" si="23"/>
        <v>0</v>
      </c>
      <c r="O100" s="554">
        <f t="shared" si="24"/>
        <v>0</v>
      </c>
      <c r="P100" s="555">
        <f>(O100/O240)*100</f>
        <v>0</v>
      </c>
      <c r="Q100" s="567"/>
      <c r="R100" s="555">
        <f t="shared" si="25"/>
        <v>0</v>
      </c>
      <c r="S100" s="698"/>
      <c r="U100" s="696">
        <f t="shared" si="26"/>
        <v>0</v>
      </c>
      <c r="V100" s="696">
        <f t="shared" si="27"/>
        <v>0</v>
      </c>
      <c r="W100" s="696">
        <f t="shared" si="28"/>
        <v>0</v>
      </c>
      <c r="X100" s="696">
        <f t="shared" si="29"/>
        <v>0</v>
      </c>
      <c r="Y100" s="696">
        <f t="shared" si="30"/>
        <v>0</v>
      </c>
      <c r="Z100" s="696">
        <f t="shared" si="31"/>
        <v>0</v>
      </c>
      <c r="AA100" s="696">
        <f t="shared" si="32"/>
        <v>0</v>
      </c>
      <c r="AB100" s="696">
        <f t="shared" si="33"/>
        <v>0</v>
      </c>
      <c r="AC100" s="696">
        <f t="shared" si="34"/>
        <v>0</v>
      </c>
      <c r="AD100" s="696">
        <f t="shared" si="35"/>
        <v>0</v>
      </c>
      <c r="AE100" s="699"/>
    </row>
    <row r="101" spans="1:31" ht="25.15" customHeight="1">
      <c r="A101" s="543"/>
      <c r="B101" s="546"/>
      <c r="C101" s="541"/>
      <c r="D101" s="694"/>
      <c r="E101" s="694"/>
      <c r="F101" s="694"/>
      <c r="G101" s="694"/>
      <c r="H101" s="694"/>
      <c r="I101" s="694"/>
      <c r="J101" s="694"/>
      <c r="K101" s="694"/>
      <c r="L101" s="694"/>
      <c r="M101" s="694"/>
      <c r="N101" s="554">
        <f t="shared" si="23"/>
        <v>0</v>
      </c>
      <c r="O101" s="554">
        <f t="shared" si="24"/>
        <v>0</v>
      </c>
      <c r="P101" s="555">
        <f>(O101/O240)*100</f>
        <v>0</v>
      </c>
      <c r="Q101" s="567"/>
      <c r="R101" s="555">
        <f t="shared" si="25"/>
        <v>0</v>
      </c>
      <c r="S101" s="698"/>
      <c r="U101" s="696">
        <f t="shared" si="26"/>
        <v>0</v>
      </c>
      <c r="V101" s="696">
        <f t="shared" si="27"/>
        <v>0</v>
      </c>
      <c r="W101" s="696">
        <f t="shared" si="28"/>
        <v>0</v>
      </c>
      <c r="X101" s="696">
        <f t="shared" si="29"/>
        <v>0</v>
      </c>
      <c r="Y101" s="696">
        <f t="shared" si="30"/>
        <v>0</v>
      </c>
      <c r="Z101" s="696">
        <f t="shared" si="31"/>
        <v>0</v>
      </c>
      <c r="AA101" s="696">
        <f t="shared" si="32"/>
        <v>0</v>
      </c>
      <c r="AB101" s="696">
        <f t="shared" si="33"/>
        <v>0</v>
      </c>
      <c r="AC101" s="696">
        <f t="shared" si="34"/>
        <v>0</v>
      </c>
      <c r="AD101" s="696">
        <f t="shared" si="35"/>
        <v>0</v>
      </c>
      <c r="AE101" s="699"/>
    </row>
    <row r="102" spans="1:31" ht="25.15" customHeight="1">
      <c r="A102" s="543">
        <v>81</v>
      </c>
      <c r="B102" s="546" t="s">
        <v>1570</v>
      </c>
      <c r="C102" s="541" t="str">
        <f>'LAP. PENJUALAN '!C102</f>
        <v>Ayam Utuh Original</v>
      </c>
      <c r="D102" s="694"/>
      <c r="E102" s="694"/>
      <c r="F102" s="694"/>
      <c r="G102" s="694"/>
      <c r="H102" s="694"/>
      <c r="I102" s="694"/>
      <c r="J102" s="694"/>
      <c r="K102" s="694"/>
      <c r="L102" s="694"/>
      <c r="M102" s="694"/>
      <c r="N102" s="554">
        <f t="shared" si="23"/>
        <v>0</v>
      </c>
      <c r="O102" s="554">
        <f t="shared" si="24"/>
        <v>0</v>
      </c>
      <c r="P102" s="555">
        <f>(O102/O240)*100</f>
        <v>0</v>
      </c>
      <c r="Q102" s="567"/>
      <c r="R102" s="555">
        <f t="shared" si="25"/>
        <v>0</v>
      </c>
      <c r="S102" s="697">
        <v>87500</v>
      </c>
      <c r="U102" s="696">
        <f t="shared" si="26"/>
        <v>0</v>
      </c>
      <c r="V102" s="696">
        <f t="shared" si="27"/>
        <v>0</v>
      </c>
      <c r="W102" s="696">
        <f t="shared" si="28"/>
        <v>0</v>
      </c>
      <c r="X102" s="696">
        <f t="shared" si="29"/>
        <v>0</v>
      </c>
      <c r="Y102" s="696">
        <f t="shared" si="30"/>
        <v>0</v>
      </c>
      <c r="Z102" s="696">
        <f t="shared" si="31"/>
        <v>0</v>
      </c>
      <c r="AA102" s="696">
        <f t="shared" si="32"/>
        <v>0</v>
      </c>
      <c r="AB102" s="696">
        <f t="shared" si="33"/>
        <v>0</v>
      </c>
      <c r="AC102" s="696">
        <f t="shared" si="34"/>
        <v>0</v>
      </c>
      <c r="AD102" s="696">
        <f t="shared" si="35"/>
        <v>0</v>
      </c>
      <c r="AE102" s="699"/>
    </row>
    <row r="103" spans="1:31" ht="25.15" customHeight="1">
      <c r="A103" s="543">
        <v>82</v>
      </c>
      <c r="B103" s="546"/>
      <c r="C103" s="541" t="str">
        <f>'LAP. PENJUALAN '!C103</f>
        <v>Ayam Utuh Hot Cheesy</v>
      </c>
      <c r="D103" s="694"/>
      <c r="E103" s="694"/>
      <c r="F103" s="694"/>
      <c r="G103" s="694"/>
      <c r="H103" s="694"/>
      <c r="I103" s="694"/>
      <c r="J103" s="694"/>
      <c r="K103" s="694"/>
      <c r="L103" s="694"/>
      <c r="M103" s="694"/>
      <c r="N103" s="554">
        <f t="shared" si="23"/>
        <v>0</v>
      </c>
      <c r="O103" s="554">
        <f t="shared" si="24"/>
        <v>0</v>
      </c>
      <c r="P103" s="555">
        <f>(O103/O240)*100</f>
        <v>0</v>
      </c>
      <c r="Q103" s="567"/>
      <c r="R103" s="555">
        <f t="shared" si="25"/>
        <v>0</v>
      </c>
      <c r="S103" s="697">
        <v>100000</v>
      </c>
      <c r="U103" s="696">
        <f t="shared" si="26"/>
        <v>0</v>
      </c>
      <c r="V103" s="696">
        <f t="shared" si="27"/>
        <v>0</v>
      </c>
      <c r="W103" s="696">
        <f t="shared" si="28"/>
        <v>0</v>
      </c>
      <c r="X103" s="696">
        <f t="shared" si="29"/>
        <v>0</v>
      </c>
      <c r="Y103" s="696">
        <f t="shared" si="30"/>
        <v>0</v>
      </c>
      <c r="Z103" s="696">
        <f t="shared" si="31"/>
        <v>0</v>
      </c>
      <c r="AA103" s="696">
        <f t="shared" si="32"/>
        <v>0</v>
      </c>
      <c r="AB103" s="696">
        <f t="shared" si="33"/>
        <v>0</v>
      </c>
      <c r="AC103" s="696">
        <f t="shared" si="34"/>
        <v>0</v>
      </c>
      <c r="AD103" s="696">
        <f t="shared" si="35"/>
        <v>0</v>
      </c>
      <c r="AE103" s="699"/>
    </row>
    <row r="104" spans="1:31" ht="25.15" customHeight="1">
      <c r="A104" s="543">
        <v>83</v>
      </c>
      <c r="B104" s="546"/>
      <c r="C104" s="541" t="str">
        <f>'LAP. PENJUALAN '!C104</f>
        <v>Ayam Utuh Geprek</v>
      </c>
      <c r="D104" s="694"/>
      <c r="E104" s="694">
        <v>1</v>
      </c>
      <c r="F104" s="694"/>
      <c r="G104" s="694"/>
      <c r="H104" s="694"/>
      <c r="I104" s="694"/>
      <c r="J104" s="694"/>
      <c r="K104" s="694"/>
      <c r="L104" s="694"/>
      <c r="M104" s="694"/>
      <c r="N104" s="554">
        <f t="shared" si="23"/>
        <v>1</v>
      </c>
      <c r="O104" s="554">
        <f t="shared" si="24"/>
        <v>100000</v>
      </c>
      <c r="P104" s="555">
        <f>(O104/O240)*100</f>
        <v>7.0633939607981597</v>
      </c>
      <c r="Q104" s="567"/>
      <c r="R104" s="555">
        <f t="shared" si="25"/>
        <v>0</v>
      </c>
      <c r="S104" s="697">
        <v>100000</v>
      </c>
      <c r="U104" s="696">
        <f t="shared" si="26"/>
        <v>0</v>
      </c>
      <c r="V104" s="696">
        <f t="shared" si="27"/>
        <v>100000</v>
      </c>
      <c r="W104" s="696">
        <f t="shared" si="28"/>
        <v>0</v>
      </c>
      <c r="X104" s="696">
        <f t="shared" si="29"/>
        <v>0</v>
      </c>
      <c r="Y104" s="696">
        <f t="shared" si="30"/>
        <v>0</v>
      </c>
      <c r="Z104" s="696">
        <f t="shared" si="31"/>
        <v>0</v>
      </c>
      <c r="AA104" s="696">
        <f t="shared" si="32"/>
        <v>0</v>
      </c>
      <c r="AB104" s="696">
        <f t="shared" si="33"/>
        <v>0</v>
      </c>
      <c r="AC104" s="696">
        <f t="shared" si="34"/>
        <v>0</v>
      </c>
      <c r="AD104" s="696">
        <f t="shared" si="35"/>
        <v>0</v>
      </c>
      <c r="AE104" s="699"/>
    </row>
    <row r="105" spans="1:31" ht="25.15" customHeight="1">
      <c r="A105" s="543">
        <v>84</v>
      </c>
      <c r="B105" s="546"/>
      <c r="C105" s="541" t="str">
        <f>'LAP. PENJUALAN '!C105</f>
        <v>P. Ayam Utuh Original</v>
      </c>
      <c r="D105" s="694"/>
      <c r="E105" s="694"/>
      <c r="F105" s="694"/>
      <c r="G105" s="694"/>
      <c r="H105" s="694"/>
      <c r="I105" s="694"/>
      <c r="J105" s="694"/>
      <c r="K105" s="694"/>
      <c r="L105" s="694"/>
      <c r="M105" s="694"/>
      <c r="N105" s="554">
        <f t="shared" si="23"/>
        <v>0</v>
      </c>
      <c r="O105" s="554">
        <f t="shared" si="24"/>
        <v>0</v>
      </c>
      <c r="P105" s="555">
        <f>(O105/O240)*100</f>
        <v>0</v>
      </c>
      <c r="Q105" s="567"/>
      <c r="R105" s="555">
        <f t="shared" si="25"/>
        <v>0</v>
      </c>
      <c r="S105" s="697">
        <v>118750</v>
      </c>
      <c r="U105" s="696">
        <f t="shared" si="26"/>
        <v>0</v>
      </c>
      <c r="V105" s="696">
        <f t="shared" si="27"/>
        <v>0</v>
      </c>
      <c r="W105" s="696">
        <f t="shared" si="28"/>
        <v>0</v>
      </c>
      <c r="X105" s="696">
        <f t="shared" si="29"/>
        <v>0</v>
      </c>
      <c r="Y105" s="696">
        <f t="shared" si="30"/>
        <v>0</v>
      </c>
      <c r="Z105" s="696">
        <f t="shared" si="31"/>
        <v>0</v>
      </c>
      <c r="AA105" s="696">
        <f t="shared" si="32"/>
        <v>0</v>
      </c>
      <c r="AB105" s="696">
        <f t="shared" si="33"/>
        <v>0</v>
      </c>
      <c r="AC105" s="696">
        <f t="shared" si="34"/>
        <v>0</v>
      </c>
      <c r="AD105" s="696">
        <f t="shared" si="35"/>
        <v>0</v>
      </c>
      <c r="AE105" s="699"/>
    </row>
    <row r="106" spans="1:31" ht="25.15" customHeight="1">
      <c r="A106" s="543">
        <v>85</v>
      </c>
      <c r="B106" s="546"/>
      <c r="C106" s="541" t="str">
        <f>'LAP. PENJUALAN '!C106</f>
        <v>P. Ayam Utuh Hot Cheesy</v>
      </c>
      <c r="D106" s="694"/>
      <c r="E106" s="694"/>
      <c r="F106" s="694"/>
      <c r="G106" s="694"/>
      <c r="H106" s="694"/>
      <c r="I106" s="694"/>
      <c r="J106" s="694"/>
      <c r="K106" s="694"/>
      <c r="L106" s="694"/>
      <c r="M106" s="694"/>
      <c r="N106" s="554">
        <f t="shared" si="23"/>
        <v>0</v>
      </c>
      <c r="O106" s="554">
        <f t="shared" si="24"/>
        <v>0</v>
      </c>
      <c r="P106" s="555">
        <f>(O106/O240)*100</f>
        <v>0</v>
      </c>
      <c r="Q106" s="567"/>
      <c r="R106" s="555">
        <f t="shared" si="25"/>
        <v>0</v>
      </c>
      <c r="S106" s="697">
        <v>131250</v>
      </c>
      <c r="U106" s="696">
        <f t="shared" si="26"/>
        <v>0</v>
      </c>
      <c r="V106" s="696">
        <f t="shared" si="27"/>
        <v>0</v>
      </c>
      <c r="W106" s="696">
        <f t="shared" si="28"/>
        <v>0</v>
      </c>
      <c r="X106" s="696">
        <f t="shared" si="29"/>
        <v>0</v>
      </c>
      <c r="Y106" s="696">
        <f t="shared" si="30"/>
        <v>0</v>
      </c>
      <c r="Z106" s="696">
        <f t="shared" si="31"/>
        <v>0</v>
      </c>
      <c r="AA106" s="696">
        <f t="shared" si="32"/>
        <v>0</v>
      </c>
      <c r="AB106" s="696">
        <f t="shared" si="33"/>
        <v>0</v>
      </c>
      <c r="AC106" s="696">
        <f t="shared" si="34"/>
        <v>0</v>
      </c>
      <c r="AD106" s="696">
        <f t="shared" si="35"/>
        <v>0</v>
      </c>
      <c r="AE106" s="699"/>
    </row>
    <row r="107" spans="1:31" ht="25.15" customHeight="1">
      <c r="A107" s="543">
        <v>86</v>
      </c>
      <c r="B107" s="546"/>
      <c r="C107" s="541" t="str">
        <f>'LAP. PENJUALAN '!C107</f>
        <v>P. Ayam Utuh Geprek</v>
      </c>
      <c r="D107" s="694"/>
      <c r="E107" s="694"/>
      <c r="F107" s="694"/>
      <c r="G107" s="694"/>
      <c r="H107" s="694"/>
      <c r="I107" s="694"/>
      <c r="J107" s="694"/>
      <c r="K107" s="694"/>
      <c r="L107" s="694"/>
      <c r="M107" s="694"/>
      <c r="N107" s="554">
        <f t="shared" si="23"/>
        <v>0</v>
      </c>
      <c r="O107" s="554">
        <f t="shared" si="24"/>
        <v>0</v>
      </c>
      <c r="P107" s="555">
        <f>(O107/O240)*100</f>
        <v>0</v>
      </c>
      <c r="Q107" s="567"/>
      <c r="R107" s="555">
        <f t="shared" si="25"/>
        <v>0</v>
      </c>
      <c r="S107" s="697">
        <v>131250</v>
      </c>
      <c r="U107" s="696">
        <f t="shared" si="26"/>
        <v>0</v>
      </c>
      <c r="V107" s="696">
        <f t="shared" si="27"/>
        <v>0</v>
      </c>
      <c r="W107" s="696">
        <f t="shared" si="28"/>
        <v>0</v>
      </c>
      <c r="X107" s="696">
        <f t="shared" si="29"/>
        <v>0</v>
      </c>
      <c r="Y107" s="696">
        <f t="shared" si="30"/>
        <v>0</v>
      </c>
      <c r="Z107" s="696">
        <f t="shared" si="31"/>
        <v>0</v>
      </c>
      <c r="AA107" s="696">
        <f t="shared" si="32"/>
        <v>0</v>
      </c>
      <c r="AB107" s="696">
        <f t="shared" si="33"/>
        <v>0</v>
      </c>
      <c r="AC107" s="696">
        <f t="shared" si="34"/>
        <v>0</v>
      </c>
      <c r="AD107" s="696">
        <f t="shared" si="35"/>
        <v>0</v>
      </c>
      <c r="AE107" s="699"/>
    </row>
    <row r="108" spans="1:31" ht="25.15" customHeight="1">
      <c r="A108" s="543">
        <v>87</v>
      </c>
      <c r="B108" s="546"/>
      <c r="C108" s="541" t="str">
        <f>'LAP. PENJUALAN '!C108</f>
        <v>Ayam Utuh Hot Spicy</v>
      </c>
      <c r="D108" s="694"/>
      <c r="E108" s="694"/>
      <c r="F108" s="694"/>
      <c r="G108" s="694"/>
      <c r="H108" s="694"/>
      <c r="I108" s="694"/>
      <c r="J108" s="694"/>
      <c r="K108" s="694"/>
      <c r="L108" s="694"/>
      <c r="M108" s="694"/>
      <c r="N108" s="554">
        <f t="shared" si="23"/>
        <v>0</v>
      </c>
      <c r="O108" s="554">
        <f t="shared" si="24"/>
        <v>0</v>
      </c>
      <c r="P108" s="555">
        <f>(O108/O240)*100</f>
        <v>0</v>
      </c>
      <c r="Q108" s="567"/>
      <c r="R108" s="555">
        <f t="shared" si="25"/>
        <v>0</v>
      </c>
      <c r="S108" s="698"/>
      <c r="U108" s="696">
        <f t="shared" si="26"/>
        <v>0</v>
      </c>
      <c r="V108" s="696">
        <f t="shared" si="27"/>
        <v>0</v>
      </c>
      <c r="W108" s="696">
        <f t="shared" si="28"/>
        <v>0</v>
      </c>
      <c r="X108" s="696">
        <f t="shared" si="29"/>
        <v>0</v>
      </c>
      <c r="Y108" s="696">
        <f t="shared" si="30"/>
        <v>0</v>
      </c>
      <c r="Z108" s="696">
        <f t="shared" si="31"/>
        <v>0</v>
      </c>
      <c r="AA108" s="696">
        <f t="shared" si="32"/>
        <v>0</v>
      </c>
      <c r="AB108" s="696">
        <f t="shared" si="33"/>
        <v>0</v>
      </c>
      <c r="AC108" s="696">
        <f t="shared" si="34"/>
        <v>0</v>
      </c>
      <c r="AD108" s="696">
        <f t="shared" si="35"/>
        <v>0</v>
      </c>
      <c r="AE108" s="699"/>
    </row>
    <row r="109" spans="1:31" ht="25.15" customHeight="1">
      <c r="A109" s="543">
        <v>88</v>
      </c>
      <c r="B109" s="546"/>
      <c r="C109" s="541" t="str">
        <f>'LAP. PENJUALAN '!C109</f>
        <v>Paket Ayam Utuh Hot Spicy</v>
      </c>
      <c r="D109" s="694"/>
      <c r="E109" s="694"/>
      <c r="F109" s="694"/>
      <c r="G109" s="694"/>
      <c r="H109" s="694"/>
      <c r="I109" s="694"/>
      <c r="J109" s="694"/>
      <c r="K109" s="694"/>
      <c r="L109" s="694"/>
      <c r="M109" s="694"/>
      <c r="N109" s="554">
        <f t="shared" si="23"/>
        <v>0</v>
      </c>
      <c r="O109" s="554">
        <f t="shared" si="24"/>
        <v>0</v>
      </c>
      <c r="P109" s="555">
        <f>(O109/O240)*100</f>
        <v>0</v>
      </c>
      <c r="Q109" s="567"/>
      <c r="R109" s="555">
        <f t="shared" si="25"/>
        <v>0</v>
      </c>
      <c r="S109" s="698"/>
      <c r="U109" s="696">
        <f t="shared" si="26"/>
        <v>0</v>
      </c>
      <c r="V109" s="696">
        <f t="shared" si="27"/>
        <v>0</v>
      </c>
      <c r="W109" s="696">
        <f t="shared" si="28"/>
        <v>0</v>
      </c>
      <c r="X109" s="696">
        <f t="shared" si="29"/>
        <v>0</v>
      </c>
      <c r="Y109" s="696">
        <f t="shared" si="30"/>
        <v>0</v>
      </c>
      <c r="Z109" s="696">
        <f t="shared" si="31"/>
        <v>0</v>
      </c>
      <c r="AA109" s="696">
        <f t="shared" si="32"/>
        <v>0</v>
      </c>
      <c r="AB109" s="696">
        <f t="shared" si="33"/>
        <v>0</v>
      </c>
      <c r="AC109" s="696">
        <f t="shared" si="34"/>
        <v>0</v>
      </c>
      <c r="AD109" s="696">
        <f t="shared" si="35"/>
        <v>0</v>
      </c>
      <c r="AE109" s="699"/>
    </row>
    <row r="110" spans="1:31" ht="25.15" customHeight="1">
      <c r="A110" s="543"/>
      <c r="B110" s="546"/>
      <c r="C110" s="541"/>
      <c r="D110" s="694"/>
      <c r="E110" s="694"/>
      <c r="F110" s="694"/>
      <c r="G110" s="694"/>
      <c r="H110" s="694"/>
      <c r="I110" s="694"/>
      <c r="J110" s="694"/>
      <c r="K110" s="694"/>
      <c r="L110" s="694"/>
      <c r="M110" s="694"/>
      <c r="N110" s="554">
        <f t="shared" si="23"/>
        <v>0</v>
      </c>
      <c r="O110" s="554">
        <f t="shared" si="24"/>
        <v>0</v>
      </c>
      <c r="P110" s="555">
        <f>(O110/O240)*100</f>
        <v>0</v>
      </c>
      <c r="Q110" s="567"/>
      <c r="R110" s="555">
        <f t="shared" si="25"/>
        <v>0</v>
      </c>
      <c r="S110" s="698"/>
      <c r="U110" s="696">
        <f t="shared" si="26"/>
        <v>0</v>
      </c>
      <c r="V110" s="696">
        <f t="shared" si="27"/>
        <v>0</v>
      </c>
      <c r="W110" s="696">
        <f t="shared" si="28"/>
        <v>0</v>
      </c>
      <c r="X110" s="696">
        <f t="shared" si="29"/>
        <v>0</v>
      </c>
      <c r="Y110" s="696">
        <f t="shared" si="30"/>
        <v>0</v>
      </c>
      <c r="Z110" s="696">
        <f t="shared" si="31"/>
        <v>0</v>
      </c>
      <c r="AA110" s="696">
        <f t="shared" si="32"/>
        <v>0</v>
      </c>
      <c r="AB110" s="696">
        <f t="shared" si="33"/>
        <v>0</v>
      </c>
      <c r="AC110" s="696">
        <f t="shared" si="34"/>
        <v>0</v>
      </c>
      <c r="AD110" s="696">
        <f t="shared" si="35"/>
        <v>0</v>
      </c>
      <c r="AE110" s="699"/>
    </row>
    <row r="111" spans="1:31" ht="25.15" customHeight="1">
      <c r="A111" s="543">
        <v>89</v>
      </c>
      <c r="B111" s="546"/>
      <c r="C111" s="541" t="str">
        <f>'LAP. PENJUALAN '!C111</f>
        <v>Beef Burger</v>
      </c>
      <c r="D111" s="694"/>
      <c r="E111" s="694"/>
      <c r="F111" s="694"/>
      <c r="G111" s="694"/>
      <c r="H111" s="694"/>
      <c r="I111" s="694"/>
      <c r="J111" s="694"/>
      <c r="K111" s="694"/>
      <c r="L111" s="694"/>
      <c r="M111" s="694"/>
      <c r="N111" s="554">
        <f t="shared" si="23"/>
        <v>0</v>
      </c>
      <c r="O111" s="554">
        <f t="shared" si="24"/>
        <v>0</v>
      </c>
      <c r="P111" s="555">
        <f>(O111/O240)*100</f>
        <v>0</v>
      </c>
      <c r="Q111" s="567"/>
      <c r="R111" s="555">
        <f t="shared" si="25"/>
        <v>0</v>
      </c>
      <c r="S111" s="698"/>
      <c r="U111" s="696">
        <f t="shared" si="26"/>
        <v>0</v>
      </c>
      <c r="V111" s="696">
        <f t="shared" si="27"/>
        <v>0</v>
      </c>
      <c r="W111" s="696">
        <f t="shared" si="28"/>
        <v>0</v>
      </c>
      <c r="X111" s="696">
        <f t="shared" si="29"/>
        <v>0</v>
      </c>
      <c r="Y111" s="696">
        <f t="shared" si="30"/>
        <v>0</v>
      </c>
      <c r="Z111" s="696">
        <f t="shared" si="31"/>
        <v>0</v>
      </c>
      <c r="AA111" s="696">
        <f t="shared" si="32"/>
        <v>0</v>
      </c>
      <c r="AB111" s="696">
        <f t="shared" si="33"/>
        <v>0</v>
      </c>
      <c r="AC111" s="696">
        <f t="shared" si="34"/>
        <v>0</v>
      </c>
      <c r="AD111" s="696">
        <f t="shared" si="35"/>
        <v>0</v>
      </c>
      <c r="AE111" s="699"/>
    </row>
    <row r="112" spans="1:31" ht="25.15" customHeight="1">
      <c r="A112" s="543">
        <v>90</v>
      </c>
      <c r="B112" s="546"/>
      <c r="C112" s="541" t="str">
        <f>'LAP. PENJUALAN '!C112</f>
        <v>Beef Burger + Lemon Tea</v>
      </c>
      <c r="D112" s="694"/>
      <c r="E112" s="694"/>
      <c r="F112" s="694"/>
      <c r="G112" s="694"/>
      <c r="H112" s="694"/>
      <c r="I112" s="694"/>
      <c r="J112" s="694"/>
      <c r="K112" s="694"/>
      <c r="L112" s="694"/>
      <c r="M112" s="694"/>
      <c r="N112" s="554">
        <f t="shared" si="23"/>
        <v>0</v>
      </c>
      <c r="O112" s="554">
        <f t="shared" si="24"/>
        <v>0</v>
      </c>
      <c r="P112" s="555">
        <f>(O112/O240)*100</f>
        <v>0</v>
      </c>
      <c r="Q112" s="567"/>
      <c r="R112" s="555">
        <f t="shared" si="25"/>
        <v>0</v>
      </c>
      <c r="S112" s="698"/>
      <c r="U112" s="696">
        <f t="shared" si="26"/>
        <v>0</v>
      </c>
      <c r="V112" s="696">
        <f t="shared" si="27"/>
        <v>0</v>
      </c>
      <c r="W112" s="696">
        <f t="shared" si="28"/>
        <v>0</v>
      </c>
      <c r="X112" s="696">
        <f t="shared" si="29"/>
        <v>0</v>
      </c>
      <c r="Y112" s="696">
        <f t="shared" si="30"/>
        <v>0</v>
      </c>
      <c r="Z112" s="696">
        <f t="shared" si="31"/>
        <v>0</v>
      </c>
      <c r="AA112" s="696">
        <f t="shared" si="32"/>
        <v>0</v>
      </c>
      <c r="AB112" s="696">
        <f t="shared" si="33"/>
        <v>0</v>
      </c>
      <c r="AC112" s="696">
        <f t="shared" si="34"/>
        <v>0</v>
      </c>
      <c r="AD112" s="696">
        <f t="shared" si="35"/>
        <v>0</v>
      </c>
      <c r="AE112" s="699"/>
    </row>
    <row r="113" spans="1:31" ht="25.15" customHeight="1">
      <c r="A113" s="543">
        <v>91</v>
      </c>
      <c r="B113" s="546"/>
      <c r="C113" s="541" t="str">
        <f>'LAP. PENJUALAN '!C113</f>
        <v>Beef cheese Burger</v>
      </c>
      <c r="D113" s="694"/>
      <c r="E113" s="694"/>
      <c r="F113" s="694"/>
      <c r="G113" s="694"/>
      <c r="H113" s="694"/>
      <c r="I113" s="694"/>
      <c r="J113" s="694"/>
      <c r="K113" s="694"/>
      <c r="L113" s="694"/>
      <c r="M113" s="694"/>
      <c r="N113" s="554">
        <f t="shared" si="23"/>
        <v>0</v>
      </c>
      <c r="O113" s="554">
        <f t="shared" si="24"/>
        <v>0</v>
      </c>
      <c r="P113" s="555">
        <f>(O113/O240)*100</f>
        <v>0</v>
      </c>
      <c r="Q113" s="567"/>
      <c r="R113" s="555">
        <f t="shared" si="25"/>
        <v>0</v>
      </c>
      <c r="S113" s="698"/>
      <c r="U113" s="696">
        <f t="shared" si="26"/>
        <v>0</v>
      </c>
      <c r="V113" s="696">
        <f t="shared" si="27"/>
        <v>0</v>
      </c>
      <c r="W113" s="696">
        <f t="shared" si="28"/>
        <v>0</v>
      </c>
      <c r="X113" s="696">
        <f t="shared" si="29"/>
        <v>0</v>
      </c>
      <c r="Y113" s="696">
        <f t="shared" si="30"/>
        <v>0</v>
      </c>
      <c r="Z113" s="696">
        <f t="shared" si="31"/>
        <v>0</v>
      </c>
      <c r="AA113" s="696">
        <f t="shared" si="32"/>
        <v>0</v>
      </c>
      <c r="AB113" s="696">
        <f t="shared" si="33"/>
        <v>0</v>
      </c>
      <c r="AC113" s="696">
        <f t="shared" si="34"/>
        <v>0</v>
      </c>
      <c r="AD113" s="696">
        <f t="shared" si="35"/>
        <v>0</v>
      </c>
      <c r="AE113" s="699"/>
    </row>
    <row r="114" spans="1:31" ht="25.15" customHeight="1">
      <c r="A114" s="543">
        <v>92</v>
      </c>
      <c r="B114" s="546"/>
      <c r="C114" s="541" t="str">
        <f>'LAP. PENJUALAN '!C114</f>
        <v>Beef cheese Burger + Lemon Tea</v>
      </c>
      <c r="D114" s="694"/>
      <c r="E114" s="694"/>
      <c r="F114" s="694"/>
      <c r="G114" s="694"/>
      <c r="H114" s="694"/>
      <c r="I114" s="694"/>
      <c r="J114" s="694"/>
      <c r="K114" s="694"/>
      <c r="L114" s="694"/>
      <c r="M114" s="694"/>
      <c r="N114" s="554">
        <f t="shared" si="23"/>
        <v>0</v>
      </c>
      <c r="O114" s="554">
        <f t="shared" si="24"/>
        <v>0</v>
      </c>
      <c r="P114" s="555">
        <f>(O114/O240)*100</f>
        <v>0</v>
      </c>
      <c r="Q114" s="567"/>
      <c r="R114" s="555">
        <f t="shared" si="25"/>
        <v>0</v>
      </c>
      <c r="S114" s="698"/>
      <c r="U114" s="696">
        <f t="shared" si="26"/>
        <v>0</v>
      </c>
      <c r="V114" s="696">
        <f t="shared" si="27"/>
        <v>0</v>
      </c>
      <c r="W114" s="696">
        <f t="shared" si="28"/>
        <v>0</v>
      </c>
      <c r="X114" s="696">
        <f t="shared" si="29"/>
        <v>0</v>
      </c>
      <c r="Y114" s="696">
        <f t="shared" si="30"/>
        <v>0</v>
      </c>
      <c r="Z114" s="696">
        <f t="shared" si="31"/>
        <v>0</v>
      </c>
      <c r="AA114" s="696">
        <f t="shared" si="32"/>
        <v>0</v>
      </c>
      <c r="AB114" s="696">
        <f t="shared" si="33"/>
        <v>0</v>
      </c>
      <c r="AC114" s="696">
        <f t="shared" si="34"/>
        <v>0</v>
      </c>
      <c r="AD114" s="696">
        <f t="shared" si="35"/>
        <v>0</v>
      </c>
      <c r="AE114" s="699"/>
    </row>
    <row r="115" spans="1:31" ht="25.15" customHeight="1">
      <c r="A115" s="543">
        <v>93</v>
      </c>
      <c r="B115" s="546"/>
      <c r="C115" s="541" t="str">
        <f>'LAP. PENJUALAN '!C115</f>
        <v>Beef Steak</v>
      </c>
      <c r="D115" s="694"/>
      <c r="E115" s="694"/>
      <c r="F115" s="694"/>
      <c r="G115" s="694"/>
      <c r="H115" s="694"/>
      <c r="I115" s="694"/>
      <c r="J115" s="694"/>
      <c r="K115" s="694"/>
      <c r="L115" s="694"/>
      <c r="M115" s="694"/>
      <c r="N115" s="554">
        <f t="shared" si="23"/>
        <v>0</v>
      </c>
      <c r="O115" s="554">
        <f t="shared" si="24"/>
        <v>0</v>
      </c>
      <c r="P115" s="555">
        <f>(O115/O240)*100</f>
        <v>0</v>
      </c>
      <c r="Q115" s="567"/>
      <c r="R115" s="555">
        <f t="shared" si="25"/>
        <v>0</v>
      </c>
      <c r="S115" s="698"/>
      <c r="U115" s="696">
        <f t="shared" si="26"/>
        <v>0</v>
      </c>
      <c r="V115" s="696">
        <f t="shared" si="27"/>
        <v>0</v>
      </c>
      <c r="W115" s="696">
        <f t="shared" si="28"/>
        <v>0</v>
      </c>
      <c r="X115" s="696">
        <f t="shared" si="29"/>
        <v>0</v>
      </c>
      <c r="Y115" s="696">
        <f t="shared" si="30"/>
        <v>0</v>
      </c>
      <c r="Z115" s="696">
        <f t="shared" si="31"/>
        <v>0</v>
      </c>
      <c r="AA115" s="696">
        <f t="shared" si="32"/>
        <v>0</v>
      </c>
      <c r="AB115" s="696">
        <f t="shared" si="33"/>
        <v>0</v>
      </c>
      <c r="AC115" s="696">
        <f t="shared" si="34"/>
        <v>0</v>
      </c>
      <c r="AD115" s="696">
        <f t="shared" si="35"/>
        <v>0</v>
      </c>
      <c r="AE115" s="699"/>
    </row>
    <row r="116" spans="1:31" ht="25.15" customHeight="1">
      <c r="A116" s="543">
        <v>94</v>
      </c>
      <c r="B116" s="546"/>
      <c r="C116" s="541" t="str">
        <f>'LAP. PENJUALAN '!C116</f>
        <v>Beef Steak + Lemon Tea</v>
      </c>
      <c r="D116" s="694"/>
      <c r="E116" s="694"/>
      <c r="F116" s="694"/>
      <c r="G116" s="694"/>
      <c r="H116" s="694"/>
      <c r="I116" s="694"/>
      <c r="J116" s="694"/>
      <c r="K116" s="694"/>
      <c r="L116" s="694"/>
      <c r="M116" s="694"/>
      <c r="N116" s="554">
        <f t="shared" si="23"/>
        <v>0</v>
      </c>
      <c r="O116" s="554">
        <f t="shared" si="24"/>
        <v>0</v>
      </c>
      <c r="P116" s="555">
        <f>(O116/O240)*100</f>
        <v>0</v>
      </c>
      <c r="Q116" s="567"/>
      <c r="R116" s="555">
        <f t="shared" si="25"/>
        <v>0</v>
      </c>
      <c r="S116" s="698"/>
      <c r="U116" s="696">
        <f t="shared" si="26"/>
        <v>0</v>
      </c>
      <c r="V116" s="696">
        <f t="shared" si="27"/>
        <v>0</v>
      </c>
      <c r="W116" s="696">
        <f t="shared" si="28"/>
        <v>0</v>
      </c>
      <c r="X116" s="696">
        <f t="shared" si="29"/>
        <v>0</v>
      </c>
      <c r="Y116" s="696">
        <f t="shared" si="30"/>
        <v>0</v>
      </c>
      <c r="Z116" s="696">
        <f t="shared" si="31"/>
        <v>0</v>
      </c>
      <c r="AA116" s="696">
        <f t="shared" si="32"/>
        <v>0</v>
      </c>
      <c r="AB116" s="696">
        <f t="shared" si="33"/>
        <v>0</v>
      </c>
      <c r="AC116" s="696">
        <f t="shared" si="34"/>
        <v>0</v>
      </c>
      <c r="AD116" s="696">
        <f t="shared" si="35"/>
        <v>0</v>
      </c>
      <c r="AE116" s="699"/>
    </row>
    <row r="117" spans="1:31" ht="25.15" customHeight="1">
      <c r="A117" s="543">
        <v>95</v>
      </c>
      <c r="B117" s="546"/>
      <c r="C117" s="541" t="str">
        <f>'LAP. PENJUALAN '!C117</f>
        <v>Beef Steak + Lemon Tea + Nasi</v>
      </c>
      <c r="D117" s="694"/>
      <c r="E117" s="694"/>
      <c r="F117" s="694"/>
      <c r="G117" s="694"/>
      <c r="H117" s="694"/>
      <c r="I117" s="694"/>
      <c r="J117" s="694"/>
      <c r="K117" s="694"/>
      <c r="L117" s="694"/>
      <c r="M117" s="694"/>
      <c r="N117" s="554">
        <f t="shared" si="23"/>
        <v>0</v>
      </c>
      <c r="O117" s="554">
        <f t="shared" si="24"/>
        <v>0</v>
      </c>
      <c r="P117" s="555">
        <f>(O117/O240)*100</f>
        <v>0</v>
      </c>
      <c r="Q117" s="567"/>
      <c r="R117" s="555">
        <f t="shared" si="25"/>
        <v>0</v>
      </c>
      <c r="S117" s="698"/>
      <c r="U117" s="696">
        <f t="shared" si="26"/>
        <v>0</v>
      </c>
      <c r="V117" s="696">
        <f t="shared" si="27"/>
        <v>0</v>
      </c>
      <c r="W117" s="696">
        <f t="shared" si="28"/>
        <v>0</v>
      </c>
      <c r="X117" s="696">
        <f t="shared" si="29"/>
        <v>0</v>
      </c>
      <c r="Y117" s="696">
        <f t="shared" si="30"/>
        <v>0</v>
      </c>
      <c r="Z117" s="696">
        <f t="shared" si="31"/>
        <v>0</v>
      </c>
      <c r="AA117" s="696">
        <f t="shared" si="32"/>
        <v>0</v>
      </c>
      <c r="AB117" s="696">
        <f t="shared" si="33"/>
        <v>0</v>
      </c>
      <c r="AC117" s="696">
        <f t="shared" si="34"/>
        <v>0</v>
      </c>
      <c r="AD117" s="696">
        <f t="shared" si="35"/>
        <v>0</v>
      </c>
      <c r="AE117" s="699"/>
    </row>
    <row r="118" spans="1:31" ht="25.15" customHeight="1">
      <c r="A118" s="543"/>
      <c r="B118" s="546"/>
      <c r="C118" s="541"/>
      <c r="D118" s="694"/>
      <c r="E118" s="694"/>
      <c r="F118" s="694"/>
      <c r="G118" s="694"/>
      <c r="H118" s="694"/>
      <c r="I118" s="694"/>
      <c r="J118" s="694"/>
      <c r="K118" s="694"/>
      <c r="L118" s="694"/>
      <c r="M118" s="694"/>
      <c r="N118" s="554">
        <f t="shared" si="23"/>
        <v>0</v>
      </c>
      <c r="O118" s="554">
        <f t="shared" si="24"/>
        <v>0</v>
      </c>
      <c r="P118" s="555">
        <f>(O118/O240)*100</f>
        <v>0</v>
      </c>
      <c r="Q118" s="567"/>
      <c r="R118" s="555">
        <f t="shared" si="25"/>
        <v>0</v>
      </c>
      <c r="S118" s="698"/>
      <c r="U118" s="696">
        <f t="shared" si="26"/>
        <v>0</v>
      </c>
      <c r="V118" s="696">
        <f t="shared" si="27"/>
        <v>0</v>
      </c>
      <c r="W118" s="696">
        <f t="shared" si="28"/>
        <v>0</v>
      </c>
      <c r="X118" s="696">
        <f t="shared" si="29"/>
        <v>0</v>
      </c>
      <c r="Y118" s="696">
        <f t="shared" si="30"/>
        <v>0</v>
      </c>
      <c r="Z118" s="696">
        <f t="shared" si="31"/>
        <v>0</v>
      </c>
      <c r="AA118" s="696">
        <f t="shared" si="32"/>
        <v>0</v>
      </c>
      <c r="AB118" s="696">
        <f t="shared" si="33"/>
        <v>0</v>
      </c>
      <c r="AC118" s="696">
        <f t="shared" si="34"/>
        <v>0</v>
      </c>
      <c r="AD118" s="696">
        <f t="shared" si="35"/>
        <v>0</v>
      </c>
      <c r="AE118" s="699"/>
    </row>
    <row r="119" spans="1:31" ht="25.15" customHeight="1">
      <c r="A119" s="543">
        <v>96</v>
      </c>
      <c r="B119" s="546"/>
      <c r="C119" s="541" t="str">
        <f>'LAP. PENJUALAN '!C119</f>
        <v>Dada / Paha Atas Hot Spicy</v>
      </c>
      <c r="D119" s="694"/>
      <c r="E119" s="694"/>
      <c r="F119" s="694"/>
      <c r="G119" s="694"/>
      <c r="H119" s="694"/>
      <c r="I119" s="694"/>
      <c r="J119" s="694"/>
      <c r="K119" s="694"/>
      <c r="L119" s="694"/>
      <c r="M119" s="694"/>
      <c r="N119" s="554">
        <f t="shared" si="23"/>
        <v>0</v>
      </c>
      <c r="O119" s="554">
        <f t="shared" si="24"/>
        <v>0</v>
      </c>
      <c r="P119" s="555">
        <f>(O119/O240)*100</f>
        <v>0</v>
      </c>
      <c r="Q119" s="567"/>
      <c r="R119" s="555">
        <f t="shared" si="25"/>
        <v>0</v>
      </c>
      <c r="S119" s="698">
        <v>20000</v>
      </c>
      <c r="U119" s="696">
        <f t="shared" si="26"/>
        <v>0</v>
      </c>
      <c r="V119" s="696">
        <f t="shared" si="27"/>
        <v>0</v>
      </c>
      <c r="W119" s="696">
        <f t="shared" si="28"/>
        <v>0</v>
      </c>
      <c r="X119" s="696">
        <f t="shared" si="29"/>
        <v>0</v>
      </c>
      <c r="Y119" s="696">
        <f t="shared" si="30"/>
        <v>0</v>
      </c>
      <c r="Z119" s="696">
        <f t="shared" si="31"/>
        <v>0</v>
      </c>
      <c r="AA119" s="696">
        <f t="shared" si="32"/>
        <v>0</v>
      </c>
      <c r="AB119" s="696">
        <f t="shared" si="33"/>
        <v>0</v>
      </c>
      <c r="AC119" s="696">
        <f t="shared" si="34"/>
        <v>0</v>
      </c>
      <c r="AD119" s="696">
        <f t="shared" si="35"/>
        <v>0</v>
      </c>
      <c r="AE119" s="699"/>
    </row>
    <row r="120" spans="1:31" ht="25.15" customHeight="1">
      <c r="A120" s="543">
        <v>97</v>
      </c>
      <c r="B120" s="546"/>
      <c r="C120" s="541" t="str">
        <f>'LAP. PENJUALAN '!C120</f>
        <v>Paha Bawah Hot Spicy</v>
      </c>
      <c r="D120" s="694"/>
      <c r="E120" s="694"/>
      <c r="F120" s="694"/>
      <c r="G120" s="694"/>
      <c r="H120" s="694"/>
      <c r="I120" s="694"/>
      <c r="J120" s="694"/>
      <c r="K120" s="694"/>
      <c r="L120" s="694"/>
      <c r="M120" s="694"/>
      <c r="N120" s="554">
        <f t="shared" si="23"/>
        <v>0</v>
      </c>
      <c r="O120" s="554">
        <f t="shared" si="24"/>
        <v>0</v>
      </c>
      <c r="P120" s="555">
        <f>(O120/O240)*100</f>
        <v>0</v>
      </c>
      <c r="Q120" s="567"/>
      <c r="R120" s="555">
        <f t="shared" si="25"/>
        <v>0</v>
      </c>
      <c r="S120" s="698">
        <v>16250</v>
      </c>
      <c r="U120" s="696">
        <f t="shared" si="26"/>
        <v>0</v>
      </c>
      <c r="V120" s="696">
        <f t="shared" si="27"/>
        <v>0</v>
      </c>
      <c r="W120" s="696">
        <f t="shared" si="28"/>
        <v>0</v>
      </c>
      <c r="X120" s="696">
        <f t="shared" si="29"/>
        <v>0</v>
      </c>
      <c r="Y120" s="696">
        <f t="shared" si="30"/>
        <v>0</v>
      </c>
      <c r="Z120" s="696">
        <f t="shared" si="31"/>
        <v>0</v>
      </c>
      <c r="AA120" s="696">
        <f t="shared" si="32"/>
        <v>0</v>
      </c>
      <c r="AB120" s="696">
        <f t="shared" si="33"/>
        <v>0</v>
      </c>
      <c r="AC120" s="696">
        <f t="shared" si="34"/>
        <v>0</v>
      </c>
      <c r="AD120" s="696">
        <f t="shared" si="35"/>
        <v>0</v>
      </c>
      <c r="AE120" s="699"/>
    </row>
    <row r="121" spans="1:31" ht="25.15" customHeight="1">
      <c r="A121" s="543">
        <v>98</v>
      </c>
      <c r="B121" s="546"/>
      <c r="C121" s="541" t="str">
        <f>'LAP. PENJUALAN '!C121</f>
        <v>Sayap Hot Spicy</v>
      </c>
      <c r="D121" s="694"/>
      <c r="E121" s="694"/>
      <c r="F121" s="694"/>
      <c r="G121" s="694"/>
      <c r="H121" s="694"/>
      <c r="I121" s="694"/>
      <c r="J121" s="694"/>
      <c r="K121" s="694"/>
      <c r="L121" s="694"/>
      <c r="M121" s="694"/>
      <c r="N121" s="554">
        <f t="shared" si="23"/>
        <v>0</v>
      </c>
      <c r="O121" s="554">
        <f t="shared" si="24"/>
        <v>0</v>
      </c>
      <c r="P121" s="555">
        <f>(O121/O240)*100</f>
        <v>0</v>
      </c>
      <c r="Q121" s="567"/>
      <c r="R121" s="555">
        <f t="shared" si="25"/>
        <v>0</v>
      </c>
      <c r="S121" s="698">
        <v>15000</v>
      </c>
      <c r="U121" s="696">
        <f t="shared" si="26"/>
        <v>0</v>
      </c>
      <c r="V121" s="696">
        <f t="shared" si="27"/>
        <v>0</v>
      </c>
      <c r="W121" s="696">
        <f t="shared" si="28"/>
        <v>0</v>
      </c>
      <c r="X121" s="696">
        <f t="shared" si="29"/>
        <v>0</v>
      </c>
      <c r="Y121" s="696">
        <f t="shared" si="30"/>
        <v>0</v>
      </c>
      <c r="Z121" s="696">
        <f t="shared" si="31"/>
        <v>0</v>
      </c>
      <c r="AA121" s="696">
        <f t="shared" si="32"/>
        <v>0</v>
      </c>
      <c r="AB121" s="696">
        <f t="shared" si="33"/>
        <v>0</v>
      </c>
      <c r="AC121" s="696">
        <f t="shared" si="34"/>
        <v>0</v>
      </c>
      <c r="AD121" s="696">
        <f t="shared" si="35"/>
        <v>0</v>
      </c>
      <c r="AE121" s="699"/>
    </row>
    <row r="122" spans="1:31" ht="25.15" customHeight="1">
      <c r="A122" s="543">
        <v>99</v>
      </c>
      <c r="B122" s="546"/>
      <c r="C122" s="541" t="str">
        <f>'LAP. PENJUALAN '!C122</f>
        <v>P. Hot Spicy 1 (Lemon Tea)</v>
      </c>
      <c r="D122" s="694"/>
      <c r="E122" s="694"/>
      <c r="F122" s="694"/>
      <c r="G122" s="694"/>
      <c r="H122" s="694"/>
      <c r="I122" s="694"/>
      <c r="J122" s="694"/>
      <c r="K122" s="694"/>
      <c r="L122" s="694"/>
      <c r="M122" s="694"/>
      <c r="N122" s="554">
        <f t="shared" si="23"/>
        <v>0</v>
      </c>
      <c r="O122" s="554">
        <f t="shared" si="24"/>
        <v>0</v>
      </c>
      <c r="P122" s="555">
        <f>(O122/O240)*100</f>
        <v>0</v>
      </c>
      <c r="Q122" s="567"/>
      <c r="R122" s="555">
        <f t="shared" si="25"/>
        <v>0</v>
      </c>
      <c r="S122" s="697">
        <v>25000</v>
      </c>
      <c r="U122" s="696">
        <f t="shared" si="26"/>
        <v>0</v>
      </c>
      <c r="V122" s="696">
        <f t="shared" si="27"/>
        <v>0</v>
      </c>
      <c r="W122" s="696">
        <f t="shared" si="28"/>
        <v>0</v>
      </c>
      <c r="X122" s="696">
        <f t="shared" si="29"/>
        <v>0</v>
      </c>
      <c r="Y122" s="696">
        <f t="shared" si="30"/>
        <v>0</v>
      </c>
      <c r="Z122" s="696">
        <f t="shared" si="31"/>
        <v>0</v>
      </c>
      <c r="AA122" s="696">
        <f t="shared" si="32"/>
        <v>0</v>
      </c>
      <c r="AB122" s="696">
        <f t="shared" si="33"/>
        <v>0</v>
      </c>
      <c r="AC122" s="696">
        <f t="shared" si="34"/>
        <v>0</v>
      </c>
      <c r="AD122" s="696">
        <f t="shared" si="35"/>
        <v>0</v>
      </c>
      <c r="AE122" s="699"/>
    </row>
    <row r="123" spans="1:31" ht="25.15" customHeight="1">
      <c r="A123" s="543">
        <v>100</v>
      </c>
      <c r="B123" s="546"/>
      <c r="C123" s="541" t="str">
        <f>'LAP. PENJUALAN '!C123</f>
        <v>P. Hot Spicy 2 (Lemon Tea)</v>
      </c>
      <c r="D123" s="694"/>
      <c r="E123" s="694"/>
      <c r="F123" s="694"/>
      <c r="G123" s="694"/>
      <c r="H123" s="694"/>
      <c r="I123" s="694"/>
      <c r="J123" s="694"/>
      <c r="K123" s="694"/>
      <c r="L123" s="694"/>
      <c r="M123" s="694"/>
      <c r="N123" s="554">
        <f t="shared" si="23"/>
        <v>0</v>
      </c>
      <c r="O123" s="554">
        <f t="shared" si="24"/>
        <v>0</v>
      </c>
      <c r="P123" s="555">
        <f>(O123/O240)*100</f>
        <v>0</v>
      </c>
      <c r="Q123" s="567"/>
      <c r="R123" s="555">
        <f t="shared" si="25"/>
        <v>0</v>
      </c>
      <c r="S123" s="697">
        <v>26250</v>
      </c>
      <c r="U123" s="696">
        <f t="shared" si="26"/>
        <v>0</v>
      </c>
      <c r="V123" s="696">
        <f t="shared" si="27"/>
        <v>0</v>
      </c>
      <c r="W123" s="696">
        <f t="shared" si="28"/>
        <v>0</v>
      </c>
      <c r="X123" s="696">
        <f t="shared" si="29"/>
        <v>0</v>
      </c>
      <c r="Y123" s="696">
        <f t="shared" si="30"/>
        <v>0</v>
      </c>
      <c r="Z123" s="696">
        <f t="shared" si="31"/>
        <v>0</v>
      </c>
      <c r="AA123" s="696">
        <f t="shared" si="32"/>
        <v>0</v>
      </c>
      <c r="AB123" s="696">
        <f t="shared" si="33"/>
        <v>0</v>
      </c>
      <c r="AC123" s="696">
        <f t="shared" si="34"/>
        <v>0</v>
      </c>
      <c r="AD123" s="696">
        <f t="shared" si="35"/>
        <v>0</v>
      </c>
      <c r="AE123" s="699"/>
    </row>
    <row r="124" spans="1:31" ht="25.15" customHeight="1">
      <c r="A124" s="543">
        <v>101</v>
      </c>
      <c r="B124" s="546"/>
      <c r="C124" s="541" t="str">
        <f>'LAP. PENJUALAN '!C124</f>
        <v>P. Hot Spicy 3 (Lemon Tea)</v>
      </c>
      <c r="D124" s="694"/>
      <c r="E124" s="694"/>
      <c r="F124" s="694"/>
      <c r="G124" s="694"/>
      <c r="H124" s="694"/>
      <c r="I124" s="694"/>
      <c r="J124" s="694"/>
      <c r="K124" s="694"/>
      <c r="L124" s="694"/>
      <c r="M124" s="694"/>
      <c r="N124" s="554">
        <f t="shared" si="23"/>
        <v>0</v>
      </c>
      <c r="O124" s="554">
        <f t="shared" si="24"/>
        <v>0</v>
      </c>
      <c r="P124" s="555">
        <f>(O124/O240)*100</f>
        <v>0</v>
      </c>
      <c r="Q124" s="567"/>
      <c r="R124" s="555">
        <f t="shared" si="25"/>
        <v>0</v>
      </c>
      <c r="S124" s="697">
        <v>30000</v>
      </c>
      <c r="U124" s="696">
        <f t="shared" si="26"/>
        <v>0</v>
      </c>
      <c r="V124" s="696">
        <f t="shared" si="27"/>
        <v>0</v>
      </c>
      <c r="W124" s="696">
        <f t="shared" si="28"/>
        <v>0</v>
      </c>
      <c r="X124" s="696">
        <f t="shared" si="29"/>
        <v>0</v>
      </c>
      <c r="Y124" s="696">
        <f t="shared" si="30"/>
        <v>0</v>
      </c>
      <c r="Z124" s="696">
        <f t="shared" si="31"/>
        <v>0</v>
      </c>
      <c r="AA124" s="696">
        <f t="shared" si="32"/>
        <v>0</v>
      </c>
      <c r="AB124" s="696">
        <f t="shared" si="33"/>
        <v>0</v>
      </c>
      <c r="AC124" s="696">
        <f t="shared" si="34"/>
        <v>0</v>
      </c>
      <c r="AD124" s="696">
        <f t="shared" si="35"/>
        <v>0</v>
      </c>
      <c r="AE124" s="699"/>
    </row>
    <row r="125" spans="1:31" ht="25.15" customHeight="1">
      <c r="A125" s="543">
        <v>102</v>
      </c>
      <c r="B125" s="546"/>
      <c r="C125" s="541" t="str">
        <f>'LAP. PENJUALAN '!C125</f>
        <v>P. Hot Spicy 1 Green Crispy (Es Teh / S-tee)</v>
      </c>
      <c r="D125" s="694"/>
      <c r="E125" s="694"/>
      <c r="F125" s="694"/>
      <c r="G125" s="694"/>
      <c r="H125" s="694"/>
      <c r="I125" s="694"/>
      <c r="J125" s="694"/>
      <c r="K125" s="694"/>
      <c r="L125" s="694"/>
      <c r="M125" s="694"/>
      <c r="N125" s="554">
        <f t="shared" si="23"/>
        <v>0</v>
      </c>
      <c r="O125" s="554">
        <f t="shared" si="24"/>
        <v>0</v>
      </c>
      <c r="P125" s="555">
        <f>(O125/O240)*100</f>
        <v>0</v>
      </c>
      <c r="Q125" s="567"/>
      <c r="R125" s="555">
        <f t="shared" si="25"/>
        <v>0</v>
      </c>
      <c r="S125" s="698"/>
      <c r="U125" s="696">
        <f t="shared" si="26"/>
        <v>0</v>
      </c>
      <c r="V125" s="696">
        <f t="shared" si="27"/>
        <v>0</v>
      </c>
      <c r="W125" s="696">
        <f t="shared" si="28"/>
        <v>0</v>
      </c>
      <c r="X125" s="696">
        <f t="shared" si="29"/>
        <v>0</v>
      </c>
      <c r="Y125" s="696">
        <f t="shared" si="30"/>
        <v>0</v>
      </c>
      <c r="Z125" s="696">
        <f t="shared" si="31"/>
        <v>0</v>
      </c>
      <c r="AA125" s="696">
        <f t="shared" si="32"/>
        <v>0</v>
      </c>
      <c r="AB125" s="696">
        <f t="shared" si="33"/>
        <v>0</v>
      </c>
      <c r="AC125" s="696">
        <f t="shared" si="34"/>
        <v>0</v>
      </c>
      <c r="AD125" s="696">
        <f t="shared" si="35"/>
        <v>0</v>
      </c>
      <c r="AE125" s="699"/>
    </row>
    <row r="126" spans="1:31" ht="25.15" customHeight="1">
      <c r="A126" s="543">
        <v>103</v>
      </c>
      <c r="B126" s="546"/>
      <c r="C126" s="541" t="str">
        <f>'LAP. PENJUALAN '!C126</f>
        <v>P. Hot Spicy 2 Green Crispy (Es Teh / S-tee)</v>
      </c>
      <c r="D126" s="694"/>
      <c r="E126" s="694"/>
      <c r="F126" s="694"/>
      <c r="G126" s="694"/>
      <c r="H126" s="694"/>
      <c r="I126" s="694"/>
      <c r="J126" s="694"/>
      <c r="K126" s="694"/>
      <c r="L126" s="694"/>
      <c r="M126" s="694"/>
      <c r="N126" s="554">
        <f t="shared" si="23"/>
        <v>0</v>
      </c>
      <c r="O126" s="554">
        <f t="shared" si="24"/>
        <v>0</v>
      </c>
      <c r="P126" s="555">
        <f>(O126/O240)*100</f>
        <v>0</v>
      </c>
      <c r="Q126" s="567"/>
      <c r="R126" s="555">
        <f t="shared" si="25"/>
        <v>0</v>
      </c>
      <c r="S126" s="698"/>
      <c r="U126" s="696">
        <f t="shared" si="26"/>
        <v>0</v>
      </c>
      <c r="V126" s="696">
        <f t="shared" si="27"/>
        <v>0</v>
      </c>
      <c r="W126" s="696">
        <f t="shared" si="28"/>
        <v>0</v>
      </c>
      <c r="X126" s="696">
        <f t="shared" si="29"/>
        <v>0</v>
      </c>
      <c r="Y126" s="696">
        <f t="shared" si="30"/>
        <v>0</v>
      </c>
      <c r="Z126" s="696">
        <f t="shared" si="31"/>
        <v>0</v>
      </c>
      <c r="AA126" s="696">
        <f t="shared" si="32"/>
        <v>0</v>
      </c>
      <c r="AB126" s="696">
        <f t="shared" si="33"/>
        <v>0</v>
      </c>
      <c r="AC126" s="696">
        <f t="shared" si="34"/>
        <v>0</v>
      </c>
      <c r="AD126" s="696">
        <f t="shared" si="35"/>
        <v>0</v>
      </c>
      <c r="AE126" s="699"/>
    </row>
    <row r="127" spans="1:31" ht="25.15" customHeight="1">
      <c r="A127" s="543">
        <v>104</v>
      </c>
      <c r="B127" s="546"/>
      <c r="C127" s="541" t="str">
        <f>'LAP. PENJUALAN '!C127</f>
        <v>P. Hot Spicy 3 Green Crispy (Es Teh / S-tee)</v>
      </c>
      <c r="D127" s="694"/>
      <c r="E127" s="694"/>
      <c r="F127" s="694"/>
      <c r="G127" s="694"/>
      <c r="H127" s="694"/>
      <c r="I127" s="694"/>
      <c r="J127" s="694"/>
      <c r="K127" s="694"/>
      <c r="L127" s="694"/>
      <c r="M127" s="694"/>
      <c r="N127" s="554">
        <f t="shared" si="23"/>
        <v>0</v>
      </c>
      <c r="O127" s="554">
        <f t="shared" si="24"/>
        <v>0</v>
      </c>
      <c r="P127" s="555">
        <f>(O127/O240)*100</f>
        <v>0</v>
      </c>
      <c r="Q127" s="567"/>
      <c r="R127" s="555">
        <f t="shared" si="25"/>
        <v>0</v>
      </c>
      <c r="S127" s="698">
        <v>30000</v>
      </c>
      <c r="U127" s="696">
        <f t="shared" si="26"/>
        <v>0</v>
      </c>
      <c r="V127" s="696">
        <f t="shared" si="27"/>
        <v>0</v>
      </c>
      <c r="W127" s="696">
        <f t="shared" si="28"/>
        <v>0</v>
      </c>
      <c r="X127" s="696">
        <f t="shared" si="29"/>
        <v>0</v>
      </c>
      <c r="Y127" s="696">
        <f t="shared" si="30"/>
        <v>0</v>
      </c>
      <c r="Z127" s="696">
        <f t="shared" si="31"/>
        <v>0</v>
      </c>
      <c r="AA127" s="696">
        <f t="shared" si="32"/>
        <v>0</v>
      </c>
      <c r="AB127" s="696">
        <f t="shared" si="33"/>
        <v>0</v>
      </c>
      <c r="AC127" s="696">
        <f t="shared" si="34"/>
        <v>0</v>
      </c>
      <c r="AD127" s="696">
        <f t="shared" si="35"/>
        <v>0</v>
      </c>
      <c r="AE127" s="699"/>
    </row>
    <row r="128" spans="1:31" ht="25.15" customHeight="1">
      <c r="A128" s="543"/>
      <c r="B128" s="546"/>
      <c r="C128" s="541"/>
      <c r="D128" s="694"/>
      <c r="E128" s="694"/>
      <c r="F128" s="694"/>
      <c r="G128" s="694"/>
      <c r="H128" s="694"/>
      <c r="I128" s="694"/>
      <c r="J128" s="694"/>
      <c r="K128" s="694"/>
      <c r="L128" s="694"/>
      <c r="M128" s="694"/>
      <c r="N128" s="554">
        <f t="shared" si="23"/>
        <v>0</v>
      </c>
      <c r="O128" s="554">
        <f t="shared" si="24"/>
        <v>0</v>
      </c>
      <c r="P128" s="555">
        <f>(O128/O240)*100</f>
        <v>0</v>
      </c>
      <c r="Q128" s="567"/>
      <c r="R128" s="555">
        <f t="shared" si="25"/>
        <v>0</v>
      </c>
      <c r="S128" s="698"/>
      <c r="U128" s="696">
        <f t="shared" si="26"/>
        <v>0</v>
      </c>
      <c r="V128" s="696">
        <f t="shared" si="27"/>
        <v>0</v>
      </c>
      <c r="W128" s="696">
        <f t="shared" si="28"/>
        <v>0</v>
      </c>
      <c r="X128" s="696">
        <f t="shared" si="29"/>
        <v>0</v>
      </c>
      <c r="Y128" s="696">
        <f t="shared" si="30"/>
        <v>0</v>
      </c>
      <c r="Z128" s="696">
        <f t="shared" si="31"/>
        <v>0</v>
      </c>
      <c r="AA128" s="696">
        <f t="shared" si="32"/>
        <v>0</v>
      </c>
      <c r="AB128" s="696">
        <f t="shared" si="33"/>
        <v>0</v>
      </c>
      <c r="AC128" s="696">
        <f t="shared" si="34"/>
        <v>0</v>
      </c>
      <c r="AD128" s="696">
        <f t="shared" si="35"/>
        <v>0</v>
      </c>
      <c r="AE128" s="699"/>
    </row>
    <row r="129" spans="1:31" ht="25.15" customHeight="1">
      <c r="A129" s="543">
        <v>105</v>
      </c>
      <c r="B129" s="546"/>
      <c r="C129" s="541" t="str">
        <f>'LAP. PENJUALAN '!C129</f>
        <v>P. Hot Cheesy 1 Green Crispy  (Es Teh / S-tee)</v>
      </c>
      <c r="D129" s="694"/>
      <c r="E129" s="694"/>
      <c r="F129" s="694"/>
      <c r="G129" s="694"/>
      <c r="H129" s="694"/>
      <c r="I129" s="694"/>
      <c r="J129" s="694"/>
      <c r="K129" s="694"/>
      <c r="L129" s="694"/>
      <c r="M129" s="694"/>
      <c r="N129" s="554">
        <f t="shared" si="23"/>
        <v>0</v>
      </c>
      <c r="O129" s="554">
        <f t="shared" si="24"/>
        <v>0</v>
      </c>
      <c r="P129" s="555">
        <f>(O129/O240)*100</f>
        <v>0</v>
      </c>
      <c r="Q129" s="567"/>
      <c r="R129" s="555">
        <f t="shared" si="25"/>
        <v>0</v>
      </c>
      <c r="S129" s="698"/>
      <c r="U129" s="696">
        <f t="shared" si="26"/>
        <v>0</v>
      </c>
      <c r="V129" s="696">
        <f t="shared" si="27"/>
        <v>0</v>
      </c>
      <c r="W129" s="696">
        <f t="shared" si="28"/>
        <v>0</v>
      </c>
      <c r="X129" s="696">
        <f t="shared" si="29"/>
        <v>0</v>
      </c>
      <c r="Y129" s="696">
        <f t="shared" si="30"/>
        <v>0</v>
      </c>
      <c r="Z129" s="696">
        <f t="shared" si="31"/>
        <v>0</v>
      </c>
      <c r="AA129" s="696">
        <f t="shared" si="32"/>
        <v>0</v>
      </c>
      <c r="AB129" s="696">
        <f t="shared" si="33"/>
        <v>0</v>
      </c>
      <c r="AC129" s="696">
        <f t="shared" si="34"/>
        <v>0</v>
      </c>
      <c r="AD129" s="696">
        <f t="shared" si="35"/>
        <v>0</v>
      </c>
      <c r="AE129" s="699"/>
    </row>
    <row r="130" spans="1:31" ht="25.15" customHeight="1">
      <c r="A130" s="543">
        <v>106</v>
      </c>
      <c r="B130" s="546"/>
      <c r="C130" s="541" t="str">
        <f>'LAP. PENJUALAN '!C130</f>
        <v>P. Hot Cheesy 2 Green Crispy (Es Teh / S-tee)</v>
      </c>
      <c r="D130" s="694"/>
      <c r="E130" s="694"/>
      <c r="F130" s="694"/>
      <c r="G130" s="694"/>
      <c r="H130" s="694"/>
      <c r="I130" s="694"/>
      <c r="J130" s="694"/>
      <c r="K130" s="694"/>
      <c r="L130" s="694"/>
      <c r="M130" s="694"/>
      <c r="N130" s="554">
        <f t="shared" si="23"/>
        <v>0</v>
      </c>
      <c r="O130" s="554">
        <f t="shared" si="24"/>
        <v>0</v>
      </c>
      <c r="P130" s="555">
        <f>(O130/O240)*100</f>
        <v>0</v>
      </c>
      <c r="Q130" s="567"/>
      <c r="R130" s="555">
        <f t="shared" si="25"/>
        <v>0</v>
      </c>
      <c r="S130" s="698"/>
      <c r="U130" s="696">
        <f t="shared" si="26"/>
        <v>0</v>
      </c>
      <c r="V130" s="696">
        <f t="shared" si="27"/>
        <v>0</v>
      </c>
      <c r="W130" s="696">
        <f t="shared" si="28"/>
        <v>0</v>
      </c>
      <c r="X130" s="696">
        <f t="shared" si="29"/>
        <v>0</v>
      </c>
      <c r="Y130" s="696">
        <f t="shared" si="30"/>
        <v>0</v>
      </c>
      <c r="Z130" s="696">
        <f t="shared" si="31"/>
        <v>0</v>
      </c>
      <c r="AA130" s="696">
        <f t="shared" si="32"/>
        <v>0</v>
      </c>
      <c r="AB130" s="696">
        <f t="shared" si="33"/>
        <v>0</v>
      </c>
      <c r="AC130" s="696">
        <f t="shared" si="34"/>
        <v>0</v>
      </c>
      <c r="AD130" s="696">
        <f t="shared" si="35"/>
        <v>0</v>
      </c>
      <c r="AE130" s="699"/>
    </row>
    <row r="131" spans="1:31" ht="25.15" customHeight="1">
      <c r="A131" s="543">
        <v>107</v>
      </c>
      <c r="B131" s="546"/>
      <c r="C131" s="541" t="str">
        <f>'LAP. PENJUALAN '!C131</f>
        <v>P. Hot Cheesy 3 Green Crispy (Es Teh / S-tee)</v>
      </c>
      <c r="D131" s="694"/>
      <c r="E131" s="694"/>
      <c r="F131" s="694"/>
      <c r="G131" s="694"/>
      <c r="H131" s="694"/>
      <c r="I131" s="694"/>
      <c r="J131" s="694"/>
      <c r="K131" s="694"/>
      <c r="L131" s="694"/>
      <c r="M131" s="694"/>
      <c r="N131" s="554">
        <f t="shared" si="23"/>
        <v>0</v>
      </c>
      <c r="O131" s="554">
        <f t="shared" si="24"/>
        <v>0</v>
      </c>
      <c r="P131" s="555">
        <f>(O131/O240)*100</f>
        <v>0</v>
      </c>
      <c r="Q131" s="567"/>
      <c r="R131" s="555">
        <f t="shared" si="25"/>
        <v>0</v>
      </c>
      <c r="S131" s="698">
        <v>28750</v>
      </c>
      <c r="U131" s="696">
        <f t="shared" si="26"/>
        <v>0</v>
      </c>
      <c r="V131" s="696">
        <f t="shared" si="27"/>
        <v>0</v>
      </c>
      <c r="W131" s="696">
        <f t="shared" si="28"/>
        <v>0</v>
      </c>
      <c r="X131" s="696">
        <f t="shared" si="29"/>
        <v>0</v>
      </c>
      <c r="Y131" s="696">
        <f t="shared" si="30"/>
        <v>0</v>
      </c>
      <c r="Z131" s="696">
        <f t="shared" si="31"/>
        <v>0</v>
      </c>
      <c r="AA131" s="696">
        <f t="shared" si="32"/>
        <v>0</v>
      </c>
      <c r="AB131" s="696">
        <f t="shared" si="33"/>
        <v>0</v>
      </c>
      <c r="AC131" s="696">
        <f t="shared" si="34"/>
        <v>0</v>
      </c>
      <c r="AD131" s="696">
        <f t="shared" si="35"/>
        <v>0</v>
      </c>
      <c r="AE131" s="699"/>
    </row>
    <row r="132" spans="1:31" ht="25.15" customHeight="1">
      <c r="A132" s="543">
        <v>108</v>
      </c>
      <c r="B132" s="546"/>
      <c r="C132" s="541" t="str">
        <f>'LAP. PENJUALAN '!C132</f>
        <v>Green Crispy</v>
      </c>
      <c r="D132" s="694"/>
      <c r="E132" s="694"/>
      <c r="F132" s="694"/>
      <c r="G132" s="694"/>
      <c r="H132" s="694"/>
      <c r="I132" s="694"/>
      <c r="J132" s="694"/>
      <c r="K132" s="694"/>
      <c r="L132" s="694"/>
      <c r="M132" s="694"/>
      <c r="N132" s="554">
        <f t="shared" si="23"/>
        <v>0</v>
      </c>
      <c r="O132" s="554">
        <f t="shared" si="24"/>
        <v>0</v>
      </c>
      <c r="P132" s="555">
        <f>(O132/O240)*100</f>
        <v>0</v>
      </c>
      <c r="Q132" s="567"/>
      <c r="R132" s="555">
        <f t="shared" si="25"/>
        <v>0</v>
      </c>
      <c r="S132" s="698"/>
      <c r="U132" s="696">
        <f t="shared" si="26"/>
        <v>0</v>
      </c>
      <c r="V132" s="696">
        <f t="shared" si="27"/>
        <v>0</v>
      </c>
      <c r="W132" s="696">
        <f t="shared" si="28"/>
        <v>0</v>
      </c>
      <c r="X132" s="696">
        <f t="shared" si="29"/>
        <v>0</v>
      </c>
      <c r="Y132" s="696">
        <f t="shared" si="30"/>
        <v>0</v>
      </c>
      <c r="Z132" s="696">
        <f t="shared" si="31"/>
        <v>0</v>
      </c>
      <c r="AA132" s="696">
        <f t="shared" si="32"/>
        <v>0</v>
      </c>
      <c r="AB132" s="696">
        <f t="shared" si="33"/>
        <v>0</v>
      </c>
      <c r="AC132" s="696">
        <f t="shared" si="34"/>
        <v>0</v>
      </c>
      <c r="AD132" s="696">
        <f t="shared" si="35"/>
        <v>0</v>
      </c>
      <c r="AE132" s="699"/>
    </row>
    <row r="133" spans="1:31" ht="25.15" customHeight="1">
      <c r="A133" s="543"/>
      <c r="B133" s="546"/>
      <c r="C133" s="541"/>
      <c r="D133" s="694"/>
      <c r="E133" s="694"/>
      <c r="F133" s="694"/>
      <c r="G133" s="694"/>
      <c r="H133" s="694"/>
      <c r="I133" s="694"/>
      <c r="J133" s="694"/>
      <c r="K133" s="694"/>
      <c r="L133" s="694"/>
      <c r="M133" s="694"/>
      <c r="N133" s="554">
        <f t="shared" si="23"/>
        <v>0</v>
      </c>
      <c r="O133" s="554">
        <f t="shared" si="24"/>
        <v>0</v>
      </c>
      <c r="P133" s="555">
        <f>(O133/O240)*100</f>
        <v>0</v>
      </c>
      <c r="Q133" s="567"/>
      <c r="R133" s="555">
        <f t="shared" si="25"/>
        <v>0</v>
      </c>
      <c r="S133" s="698"/>
      <c r="U133" s="696">
        <f t="shared" si="26"/>
        <v>0</v>
      </c>
      <c r="V133" s="696">
        <f t="shared" si="27"/>
        <v>0</v>
      </c>
      <c r="W133" s="696">
        <f t="shared" si="28"/>
        <v>0</v>
      </c>
      <c r="X133" s="696">
        <f t="shared" si="29"/>
        <v>0</v>
      </c>
      <c r="Y133" s="696">
        <f t="shared" si="30"/>
        <v>0</v>
      </c>
      <c r="Z133" s="696">
        <f t="shared" si="31"/>
        <v>0</v>
      </c>
      <c r="AA133" s="696">
        <f t="shared" si="32"/>
        <v>0</v>
      </c>
      <c r="AB133" s="696">
        <f t="shared" si="33"/>
        <v>0</v>
      </c>
      <c r="AC133" s="696">
        <f t="shared" si="34"/>
        <v>0</v>
      </c>
      <c r="AD133" s="696">
        <f t="shared" si="35"/>
        <v>0</v>
      </c>
      <c r="AE133" s="699"/>
    </row>
    <row r="134" spans="1:31" ht="25.15" customHeight="1">
      <c r="A134" s="543">
        <v>109</v>
      </c>
      <c r="B134" s="546"/>
      <c r="C134" s="541" t="str">
        <f>'LAP. PENJUALAN '!C134</f>
        <v>Paket Bucket 1</v>
      </c>
      <c r="D134" s="694"/>
      <c r="E134" s="694"/>
      <c r="F134" s="694"/>
      <c r="G134" s="694"/>
      <c r="H134" s="694"/>
      <c r="I134" s="694"/>
      <c r="J134" s="694"/>
      <c r="K134" s="694"/>
      <c r="L134" s="694"/>
      <c r="M134" s="694"/>
      <c r="N134" s="554">
        <f t="shared" si="23"/>
        <v>0</v>
      </c>
      <c r="O134" s="554">
        <f t="shared" si="24"/>
        <v>0</v>
      </c>
      <c r="P134" s="555">
        <f>(O134/O240)*100</f>
        <v>0</v>
      </c>
      <c r="Q134" s="567"/>
      <c r="R134" s="555">
        <f t="shared" si="25"/>
        <v>0</v>
      </c>
      <c r="S134" s="698"/>
      <c r="U134" s="696">
        <f t="shared" si="26"/>
        <v>0</v>
      </c>
      <c r="V134" s="696">
        <f t="shared" si="27"/>
        <v>0</v>
      </c>
      <c r="W134" s="696">
        <f t="shared" si="28"/>
        <v>0</v>
      </c>
      <c r="X134" s="696">
        <f t="shared" si="29"/>
        <v>0</v>
      </c>
      <c r="Y134" s="696">
        <f t="shared" si="30"/>
        <v>0</v>
      </c>
      <c r="Z134" s="696">
        <f t="shared" si="31"/>
        <v>0</v>
      </c>
      <c r="AA134" s="696">
        <f t="shared" si="32"/>
        <v>0</v>
      </c>
      <c r="AB134" s="696">
        <f t="shared" si="33"/>
        <v>0</v>
      </c>
      <c r="AC134" s="696">
        <f t="shared" si="34"/>
        <v>0</v>
      </c>
      <c r="AD134" s="696">
        <f t="shared" si="35"/>
        <v>0</v>
      </c>
      <c r="AE134" s="699"/>
    </row>
    <row r="135" spans="1:31" ht="25.15" customHeight="1">
      <c r="A135" s="543">
        <v>110</v>
      </c>
      <c r="B135" s="546"/>
      <c r="C135" s="541" t="str">
        <f>'LAP. PENJUALAN '!C135</f>
        <v>Paket Bucket 2</v>
      </c>
      <c r="D135" s="694"/>
      <c r="E135" s="694"/>
      <c r="F135" s="694"/>
      <c r="G135" s="694"/>
      <c r="H135" s="694"/>
      <c r="I135" s="694"/>
      <c r="J135" s="694"/>
      <c r="K135" s="694"/>
      <c r="L135" s="694"/>
      <c r="M135" s="694"/>
      <c r="N135" s="554">
        <f t="shared" si="23"/>
        <v>0</v>
      </c>
      <c r="O135" s="554">
        <f t="shared" si="24"/>
        <v>0</v>
      </c>
      <c r="P135" s="555">
        <f>(O135/O240)*100</f>
        <v>0</v>
      </c>
      <c r="Q135" s="567"/>
      <c r="R135" s="555">
        <f t="shared" si="25"/>
        <v>0</v>
      </c>
      <c r="S135" s="698"/>
      <c r="U135" s="696">
        <f t="shared" si="26"/>
        <v>0</v>
      </c>
      <c r="V135" s="696">
        <f t="shared" si="27"/>
        <v>0</v>
      </c>
      <c r="W135" s="696">
        <f t="shared" si="28"/>
        <v>0</v>
      </c>
      <c r="X135" s="696">
        <f t="shared" si="29"/>
        <v>0</v>
      </c>
      <c r="Y135" s="696">
        <f t="shared" si="30"/>
        <v>0</v>
      </c>
      <c r="Z135" s="696">
        <f t="shared" si="31"/>
        <v>0</v>
      </c>
      <c r="AA135" s="696">
        <f t="shared" si="32"/>
        <v>0</v>
      </c>
      <c r="AB135" s="696">
        <f t="shared" si="33"/>
        <v>0</v>
      </c>
      <c r="AC135" s="696">
        <f t="shared" si="34"/>
        <v>0</v>
      </c>
      <c r="AD135" s="696">
        <f t="shared" si="35"/>
        <v>0</v>
      </c>
      <c r="AE135" s="699"/>
    </row>
    <row r="136" spans="1:31" ht="25.15" customHeight="1">
      <c r="A136" s="543">
        <v>111</v>
      </c>
      <c r="B136" s="546"/>
      <c r="C136" s="541" t="str">
        <f>'LAP. PENJUALAN '!C136</f>
        <v>Paket Bucket 3</v>
      </c>
      <c r="D136" s="694"/>
      <c r="E136" s="694"/>
      <c r="F136" s="694"/>
      <c r="G136" s="694"/>
      <c r="H136" s="694"/>
      <c r="I136" s="694"/>
      <c r="J136" s="694"/>
      <c r="K136" s="694"/>
      <c r="L136" s="694"/>
      <c r="M136" s="694"/>
      <c r="N136" s="554">
        <f t="shared" si="23"/>
        <v>0</v>
      </c>
      <c r="O136" s="554">
        <f t="shared" si="24"/>
        <v>0</v>
      </c>
      <c r="P136" s="555">
        <f>(O136/O240)*100</f>
        <v>0</v>
      </c>
      <c r="Q136" s="567"/>
      <c r="R136" s="555">
        <f t="shared" si="25"/>
        <v>0</v>
      </c>
      <c r="S136" s="698"/>
      <c r="U136" s="696">
        <f t="shared" si="26"/>
        <v>0</v>
      </c>
      <c r="V136" s="696">
        <f t="shared" si="27"/>
        <v>0</v>
      </c>
      <c r="W136" s="696">
        <f t="shared" si="28"/>
        <v>0</v>
      </c>
      <c r="X136" s="696">
        <f t="shared" si="29"/>
        <v>0</v>
      </c>
      <c r="Y136" s="696">
        <f t="shared" si="30"/>
        <v>0</v>
      </c>
      <c r="Z136" s="696">
        <f t="shared" si="31"/>
        <v>0</v>
      </c>
      <c r="AA136" s="696">
        <f t="shared" si="32"/>
        <v>0</v>
      </c>
      <c r="AB136" s="696">
        <f t="shared" si="33"/>
        <v>0</v>
      </c>
      <c r="AC136" s="696">
        <f t="shared" si="34"/>
        <v>0</v>
      </c>
      <c r="AD136" s="696">
        <f t="shared" si="35"/>
        <v>0</v>
      </c>
      <c r="AE136" s="699"/>
    </row>
    <row r="137" spans="1:31" ht="25.15" customHeight="1">
      <c r="A137" s="543">
        <v>112</v>
      </c>
      <c r="B137" s="546"/>
      <c r="C137" s="541" t="str">
        <f>'LAP. PENJUALAN '!C137</f>
        <v>Paket Bucket 4 (Sambal Geprek)</v>
      </c>
      <c r="D137" s="694"/>
      <c r="E137" s="694"/>
      <c r="F137" s="694"/>
      <c r="G137" s="694"/>
      <c r="H137" s="694"/>
      <c r="I137" s="694"/>
      <c r="J137" s="694"/>
      <c r="K137" s="694"/>
      <c r="L137" s="694"/>
      <c r="M137" s="694"/>
      <c r="N137" s="554">
        <f t="shared" si="23"/>
        <v>0</v>
      </c>
      <c r="O137" s="554">
        <f t="shared" si="24"/>
        <v>0</v>
      </c>
      <c r="P137" s="555">
        <f>(O137/O240)*100</f>
        <v>0</v>
      </c>
      <c r="Q137" s="567"/>
      <c r="R137" s="555">
        <f t="shared" si="25"/>
        <v>0</v>
      </c>
      <c r="S137" s="698"/>
      <c r="U137" s="696">
        <f t="shared" si="26"/>
        <v>0</v>
      </c>
      <c r="V137" s="696">
        <f t="shared" si="27"/>
        <v>0</v>
      </c>
      <c r="W137" s="696">
        <f t="shared" si="28"/>
        <v>0</v>
      </c>
      <c r="X137" s="696">
        <f t="shared" si="29"/>
        <v>0</v>
      </c>
      <c r="Y137" s="696">
        <f t="shared" si="30"/>
        <v>0</v>
      </c>
      <c r="Z137" s="696">
        <f t="shared" si="31"/>
        <v>0</v>
      </c>
      <c r="AA137" s="696">
        <f t="shared" si="32"/>
        <v>0</v>
      </c>
      <c r="AB137" s="696">
        <f t="shared" si="33"/>
        <v>0</v>
      </c>
      <c r="AC137" s="696">
        <f t="shared" si="34"/>
        <v>0</v>
      </c>
      <c r="AD137" s="696">
        <f t="shared" si="35"/>
        <v>0</v>
      </c>
      <c r="AE137" s="699"/>
    </row>
    <row r="138" spans="1:31" ht="25.15" customHeight="1">
      <c r="A138" s="543">
        <v>113</v>
      </c>
      <c r="B138" s="546"/>
      <c r="C138" s="541" t="str">
        <f>'LAP. PENJUALAN '!C138</f>
        <v>Paket Bucket 4 (Hot Cheesy)</v>
      </c>
      <c r="D138" s="694"/>
      <c r="E138" s="694"/>
      <c r="F138" s="694"/>
      <c r="G138" s="694"/>
      <c r="H138" s="694"/>
      <c r="I138" s="694"/>
      <c r="J138" s="694"/>
      <c r="K138" s="694"/>
      <c r="L138" s="694"/>
      <c r="M138" s="694"/>
      <c r="N138" s="554">
        <f t="shared" si="23"/>
        <v>0</v>
      </c>
      <c r="O138" s="554">
        <f t="shared" si="24"/>
        <v>0</v>
      </c>
      <c r="P138" s="555">
        <f>(O138/O240)*100</f>
        <v>0</v>
      </c>
      <c r="Q138" s="567"/>
      <c r="R138" s="555">
        <f t="shared" si="25"/>
        <v>0</v>
      </c>
      <c r="S138" s="698"/>
      <c r="U138" s="696">
        <f t="shared" si="26"/>
        <v>0</v>
      </c>
      <c r="V138" s="696">
        <f t="shared" si="27"/>
        <v>0</v>
      </c>
      <c r="W138" s="696">
        <f t="shared" si="28"/>
        <v>0</v>
      </c>
      <c r="X138" s="696">
        <f t="shared" si="29"/>
        <v>0</v>
      </c>
      <c r="Y138" s="696">
        <f t="shared" si="30"/>
        <v>0</v>
      </c>
      <c r="Z138" s="696">
        <f t="shared" si="31"/>
        <v>0</v>
      </c>
      <c r="AA138" s="696">
        <f t="shared" si="32"/>
        <v>0</v>
      </c>
      <c r="AB138" s="696">
        <f t="shared" si="33"/>
        <v>0</v>
      </c>
      <c r="AC138" s="696">
        <f t="shared" si="34"/>
        <v>0</v>
      </c>
      <c r="AD138" s="696">
        <f t="shared" si="35"/>
        <v>0</v>
      </c>
      <c r="AE138" s="699"/>
    </row>
    <row r="139" spans="1:31" ht="25.15" customHeight="1">
      <c r="A139" s="543"/>
      <c r="B139" s="546"/>
      <c r="C139" s="541"/>
      <c r="D139" s="694"/>
      <c r="E139" s="694"/>
      <c r="F139" s="694"/>
      <c r="G139" s="694"/>
      <c r="H139" s="694"/>
      <c r="I139" s="694"/>
      <c r="J139" s="694"/>
      <c r="K139" s="694"/>
      <c r="L139" s="694"/>
      <c r="M139" s="694"/>
      <c r="N139" s="554">
        <f t="shared" si="23"/>
        <v>0</v>
      </c>
      <c r="O139" s="554">
        <f t="shared" si="24"/>
        <v>0</v>
      </c>
      <c r="P139" s="555">
        <f>(O139/O240)*100</f>
        <v>0</v>
      </c>
      <c r="Q139" s="567"/>
      <c r="R139" s="555">
        <f t="shared" si="25"/>
        <v>0</v>
      </c>
      <c r="S139" s="698"/>
      <c r="U139" s="696">
        <f t="shared" si="26"/>
        <v>0</v>
      </c>
      <c r="V139" s="696">
        <f t="shared" si="27"/>
        <v>0</v>
      </c>
      <c r="W139" s="696">
        <f t="shared" si="28"/>
        <v>0</v>
      </c>
      <c r="X139" s="696">
        <f t="shared" si="29"/>
        <v>0</v>
      </c>
      <c r="Y139" s="696">
        <f t="shared" si="30"/>
        <v>0</v>
      </c>
      <c r="Z139" s="696">
        <f t="shared" si="31"/>
        <v>0</v>
      </c>
      <c r="AA139" s="696">
        <f t="shared" si="32"/>
        <v>0</v>
      </c>
      <c r="AB139" s="696">
        <f t="shared" si="33"/>
        <v>0</v>
      </c>
      <c r="AC139" s="696">
        <f t="shared" si="34"/>
        <v>0</v>
      </c>
      <c r="AD139" s="696">
        <f t="shared" si="35"/>
        <v>0</v>
      </c>
      <c r="AE139" s="699"/>
    </row>
    <row r="140" spans="1:31" ht="25.15" customHeight="1">
      <c r="A140" s="543">
        <v>114</v>
      </c>
      <c r="B140" s="546"/>
      <c r="C140" s="541" t="str">
        <f>'LAP. PENJUALAN '!C140</f>
        <v>Paket Ultah 1</v>
      </c>
      <c r="D140" s="694"/>
      <c r="E140" s="694"/>
      <c r="F140" s="694"/>
      <c r="G140" s="694"/>
      <c r="H140" s="694"/>
      <c r="I140" s="694"/>
      <c r="J140" s="694"/>
      <c r="K140" s="694"/>
      <c r="L140" s="694"/>
      <c r="M140" s="694"/>
      <c r="N140" s="554">
        <f t="shared" si="23"/>
        <v>0</v>
      </c>
      <c r="O140" s="554">
        <f t="shared" si="24"/>
        <v>0</v>
      </c>
      <c r="P140" s="555">
        <f>(O140/O240)*100</f>
        <v>0</v>
      </c>
      <c r="Q140" s="567"/>
      <c r="R140" s="555">
        <f t="shared" si="25"/>
        <v>0</v>
      </c>
      <c r="S140" s="698"/>
      <c r="U140" s="696">
        <f t="shared" si="26"/>
        <v>0</v>
      </c>
      <c r="V140" s="696">
        <f t="shared" si="27"/>
        <v>0</v>
      </c>
      <c r="W140" s="696">
        <f t="shared" si="28"/>
        <v>0</v>
      </c>
      <c r="X140" s="696">
        <f t="shared" si="29"/>
        <v>0</v>
      </c>
      <c r="Y140" s="696">
        <f t="shared" si="30"/>
        <v>0</v>
      </c>
      <c r="Z140" s="696">
        <f t="shared" si="31"/>
        <v>0</v>
      </c>
      <c r="AA140" s="696">
        <f t="shared" si="32"/>
        <v>0</v>
      </c>
      <c r="AB140" s="696">
        <f t="shared" si="33"/>
        <v>0</v>
      </c>
      <c r="AC140" s="696">
        <f t="shared" si="34"/>
        <v>0</v>
      </c>
      <c r="AD140" s="696">
        <f t="shared" si="35"/>
        <v>0</v>
      </c>
      <c r="AE140" s="699"/>
    </row>
    <row r="141" spans="1:31" ht="25.15" customHeight="1">
      <c r="A141" s="543">
        <v>115</v>
      </c>
      <c r="B141" s="546"/>
      <c r="C141" s="541" t="str">
        <f>'LAP. PENJUALAN '!C141</f>
        <v>Paket Ultah 2</v>
      </c>
      <c r="D141" s="694"/>
      <c r="E141" s="694"/>
      <c r="F141" s="694"/>
      <c r="G141" s="694"/>
      <c r="H141" s="694"/>
      <c r="I141" s="694"/>
      <c r="J141" s="694"/>
      <c r="K141" s="694"/>
      <c r="L141" s="694"/>
      <c r="M141" s="694"/>
      <c r="N141" s="554">
        <f t="shared" si="23"/>
        <v>0</v>
      </c>
      <c r="O141" s="554">
        <f t="shared" si="24"/>
        <v>0</v>
      </c>
      <c r="P141" s="555">
        <f>(O141/O240)*100</f>
        <v>0</v>
      </c>
      <c r="Q141" s="567"/>
      <c r="R141" s="555">
        <f t="shared" si="25"/>
        <v>0</v>
      </c>
      <c r="S141" s="698"/>
      <c r="U141" s="696">
        <f t="shared" si="26"/>
        <v>0</v>
      </c>
      <c r="V141" s="696">
        <f t="shared" si="27"/>
        <v>0</v>
      </c>
      <c r="W141" s="696">
        <f t="shared" si="28"/>
        <v>0</v>
      </c>
      <c r="X141" s="696">
        <f t="shared" si="29"/>
        <v>0</v>
      </c>
      <c r="Y141" s="696">
        <f t="shared" si="30"/>
        <v>0</v>
      </c>
      <c r="Z141" s="696">
        <f t="shared" si="31"/>
        <v>0</v>
      </c>
      <c r="AA141" s="696">
        <f t="shared" si="32"/>
        <v>0</v>
      </c>
      <c r="AB141" s="696">
        <f t="shared" si="33"/>
        <v>0</v>
      </c>
      <c r="AC141" s="696">
        <f t="shared" si="34"/>
        <v>0</v>
      </c>
      <c r="AD141" s="696">
        <f t="shared" si="35"/>
        <v>0</v>
      </c>
      <c r="AE141" s="699"/>
    </row>
    <row r="142" spans="1:31" ht="25.15" customHeight="1">
      <c r="A142" s="543"/>
      <c r="B142" s="546"/>
      <c r="C142" s="541"/>
      <c r="D142" s="694"/>
      <c r="E142" s="694"/>
      <c r="F142" s="694"/>
      <c r="G142" s="694"/>
      <c r="H142" s="694"/>
      <c r="I142" s="694"/>
      <c r="J142" s="694"/>
      <c r="K142" s="694"/>
      <c r="L142" s="694"/>
      <c r="M142" s="694"/>
      <c r="N142" s="554">
        <f t="shared" si="23"/>
        <v>0</v>
      </c>
      <c r="O142" s="554">
        <f t="shared" si="24"/>
        <v>0</v>
      </c>
      <c r="P142" s="555">
        <f>(O142/O240)*100</f>
        <v>0</v>
      </c>
      <c r="Q142" s="567"/>
      <c r="R142" s="555">
        <f t="shared" si="25"/>
        <v>0</v>
      </c>
      <c r="S142" s="698"/>
      <c r="U142" s="696">
        <f t="shared" si="26"/>
        <v>0</v>
      </c>
      <c r="V142" s="696">
        <f t="shared" si="27"/>
        <v>0</v>
      </c>
      <c r="W142" s="696">
        <f t="shared" si="28"/>
        <v>0</v>
      </c>
      <c r="X142" s="696">
        <f t="shared" si="29"/>
        <v>0</v>
      </c>
      <c r="Y142" s="696">
        <f t="shared" si="30"/>
        <v>0</v>
      </c>
      <c r="Z142" s="696">
        <f t="shared" si="31"/>
        <v>0</v>
      </c>
      <c r="AA142" s="696">
        <f t="shared" si="32"/>
        <v>0</v>
      </c>
      <c r="AB142" s="696">
        <f t="shared" si="33"/>
        <v>0</v>
      </c>
      <c r="AC142" s="696">
        <f t="shared" si="34"/>
        <v>0</v>
      </c>
      <c r="AD142" s="696">
        <f t="shared" si="35"/>
        <v>0</v>
      </c>
      <c r="AE142" s="699"/>
    </row>
    <row r="143" spans="1:31" ht="25.15" customHeight="1">
      <c r="A143" s="543">
        <v>116</v>
      </c>
      <c r="B143" s="546"/>
      <c r="C143" s="541" t="str">
        <f>'LAP. PENJUALAN '!C143</f>
        <v>Paket Rocket Kids 1</v>
      </c>
      <c r="D143" s="694"/>
      <c r="E143" s="694"/>
      <c r="F143" s="694"/>
      <c r="G143" s="694"/>
      <c r="H143" s="694"/>
      <c r="I143" s="694"/>
      <c r="J143" s="694"/>
      <c r="K143" s="694"/>
      <c r="L143" s="694"/>
      <c r="M143" s="694"/>
      <c r="N143" s="554">
        <f t="shared" si="23"/>
        <v>0</v>
      </c>
      <c r="O143" s="554">
        <f t="shared" si="24"/>
        <v>0</v>
      </c>
      <c r="P143" s="555">
        <f>(O143/O240)*100</f>
        <v>0</v>
      </c>
      <c r="Q143" s="567"/>
      <c r="R143" s="555">
        <f t="shared" si="25"/>
        <v>0</v>
      </c>
      <c r="S143" s="698"/>
      <c r="U143" s="696">
        <f t="shared" si="26"/>
        <v>0</v>
      </c>
      <c r="V143" s="696">
        <f t="shared" si="27"/>
        <v>0</v>
      </c>
      <c r="W143" s="696">
        <f t="shared" si="28"/>
        <v>0</v>
      </c>
      <c r="X143" s="696">
        <f t="shared" si="29"/>
        <v>0</v>
      </c>
      <c r="Y143" s="696">
        <f t="shared" si="30"/>
        <v>0</v>
      </c>
      <c r="Z143" s="696">
        <f t="shared" si="31"/>
        <v>0</v>
      </c>
      <c r="AA143" s="696">
        <f t="shared" si="32"/>
        <v>0</v>
      </c>
      <c r="AB143" s="696">
        <f t="shared" si="33"/>
        <v>0</v>
      </c>
      <c r="AC143" s="696">
        <f t="shared" si="34"/>
        <v>0</v>
      </c>
      <c r="AD143" s="696">
        <f t="shared" si="35"/>
        <v>0</v>
      </c>
      <c r="AE143" s="699"/>
    </row>
    <row r="144" spans="1:31" ht="25.15" customHeight="1">
      <c r="A144" s="543">
        <v>117</v>
      </c>
      <c r="B144" s="546"/>
      <c r="C144" s="541" t="str">
        <f>'LAP. PENJUALAN '!C144</f>
        <v>Paket Rocket Kids 2</v>
      </c>
      <c r="D144" s="694"/>
      <c r="E144" s="694"/>
      <c r="F144" s="694"/>
      <c r="G144" s="694"/>
      <c r="H144" s="694"/>
      <c r="I144" s="694"/>
      <c r="J144" s="694"/>
      <c r="K144" s="694"/>
      <c r="L144" s="694"/>
      <c r="M144" s="694"/>
      <c r="N144" s="554">
        <f t="shared" si="23"/>
        <v>0</v>
      </c>
      <c r="O144" s="554">
        <f t="shared" si="24"/>
        <v>0</v>
      </c>
      <c r="P144" s="555">
        <f>(O144/O240)*100</f>
        <v>0</v>
      </c>
      <c r="Q144" s="567"/>
      <c r="R144" s="555">
        <f t="shared" si="25"/>
        <v>0</v>
      </c>
      <c r="S144" s="698"/>
      <c r="U144" s="696">
        <f t="shared" si="26"/>
        <v>0</v>
      </c>
      <c r="V144" s="696">
        <f t="shared" si="27"/>
        <v>0</v>
      </c>
      <c r="W144" s="696">
        <f t="shared" si="28"/>
        <v>0</v>
      </c>
      <c r="X144" s="696">
        <f t="shared" si="29"/>
        <v>0</v>
      </c>
      <c r="Y144" s="696">
        <f t="shared" si="30"/>
        <v>0</v>
      </c>
      <c r="Z144" s="696">
        <f t="shared" si="31"/>
        <v>0</v>
      </c>
      <c r="AA144" s="696">
        <f t="shared" si="32"/>
        <v>0</v>
      </c>
      <c r="AB144" s="696">
        <f t="shared" si="33"/>
        <v>0</v>
      </c>
      <c r="AC144" s="696">
        <f t="shared" si="34"/>
        <v>0</v>
      </c>
      <c r="AD144" s="696">
        <f t="shared" si="35"/>
        <v>0</v>
      </c>
      <c r="AE144" s="699"/>
    </row>
    <row r="145" spans="1:31" ht="25.15" customHeight="1">
      <c r="A145" s="543">
        <v>118</v>
      </c>
      <c r="B145" s="546"/>
      <c r="C145" s="541" t="str">
        <f>'LAP. PENJUALAN '!C145</f>
        <v>Paket Rocket Kids 3</v>
      </c>
      <c r="D145" s="694"/>
      <c r="E145" s="694"/>
      <c r="F145" s="694"/>
      <c r="G145" s="694"/>
      <c r="H145" s="694"/>
      <c r="I145" s="694"/>
      <c r="J145" s="694"/>
      <c r="K145" s="694"/>
      <c r="L145" s="694"/>
      <c r="M145" s="694"/>
      <c r="N145" s="554">
        <f t="shared" si="23"/>
        <v>0</v>
      </c>
      <c r="O145" s="554">
        <f t="shared" si="24"/>
        <v>0</v>
      </c>
      <c r="P145" s="555">
        <f>(O145/O240)*100</f>
        <v>0</v>
      </c>
      <c r="Q145" s="567"/>
      <c r="R145" s="555">
        <f t="shared" si="25"/>
        <v>0</v>
      </c>
      <c r="S145" s="698"/>
      <c r="U145" s="696">
        <f t="shared" si="26"/>
        <v>0</v>
      </c>
      <c r="V145" s="696">
        <f t="shared" si="27"/>
        <v>0</v>
      </c>
      <c r="W145" s="696">
        <f t="shared" si="28"/>
        <v>0</v>
      </c>
      <c r="X145" s="696">
        <f t="shared" si="29"/>
        <v>0</v>
      </c>
      <c r="Y145" s="696">
        <f t="shared" si="30"/>
        <v>0</v>
      </c>
      <c r="Z145" s="696">
        <f t="shared" si="31"/>
        <v>0</v>
      </c>
      <c r="AA145" s="696">
        <f t="shared" si="32"/>
        <v>0</v>
      </c>
      <c r="AB145" s="696">
        <f t="shared" si="33"/>
        <v>0</v>
      </c>
      <c r="AC145" s="696">
        <f t="shared" si="34"/>
        <v>0</v>
      </c>
      <c r="AD145" s="696">
        <f t="shared" si="35"/>
        <v>0</v>
      </c>
      <c r="AE145" s="699"/>
    </row>
    <row r="146" spans="1:31" ht="25.15" customHeight="1">
      <c r="A146" s="543"/>
      <c r="B146" s="546"/>
      <c r="C146" s="541"/>
      <c r="D146" s="694"/>
      <c r="E146" s="694"/>
      <c r="F146" s="694"/>
      <c r="G146" s="694"/>
      <c r="H146" s="694"/>
      <c r="I146" s="694"/>
      <c r="J146" s="694"/>
      <c r="K146" s="694"/>
      <c r="L146" s="694"/>
      <c r="M146" s="694"/>
      <c r="N146" s="554">
        <f t="shared" si="23"/>
        <v>0</v>
      </c>
      <c r="O146" s="554">
        <f t="shared" si="24"/>
        <v>0</v>
      </c>
      <c r="P146" s="555">
        <f>(O146/O240)*100</f>
        <v>0</v>
      </c>
      <c r="Q146" s="567"/>
      <c r="R146" s="555">
        <f t="shared" si="25"/>
        <v>0</v>
      </c>
      <c r="S146" s="698"/>
      <c r="U146" s="696">
        <f t="shared" si="26"/>
        <v>0</v>
      </c>
      <c r="V146" s="696">
        <f t="shared" si="27"/>
        <v>0</v>
      </c>
      <c r="W146" s="696">
        <f t="shared" si="28"/>
        <v>0</v>
      </c>
      <c r="X146" s="696">
        <f t="shared" si="29"/>
        <v>0</v>
      </c>
      <c r="Y146" s="696">
        <f t="shared" si="30"/>
        <v>0</v>
      </c>
      <c r="Z146" s="696">
        <f t="shared" si="31"/>
        <v>0</v>
      </c>
      <c r="AA146" s="696">
        <f t="shared" si="32"/>
        <v>0</v>
      </c>
      <c r="AB146" s="696">
        <f t="shared" si="33"/>
        <v>0</v>
      </c>
      <c r="AC146" s="696">
        <f t="shared" si="34"/>
        <v>0</v>
      </c>
      <c r="AD146" s="696">
        <f t="shared" si="35"/>
        <v>0</v>
      </c>
      <c r="AE146" s="699"/>
    </row>
    <row r="147" spans="1:31" ht="25.15" customHeight="1">
      <c r="A147" s="543">
        <v>119</v>
      </c>
      <c r="B147" s="546"/>
      <c r="C147" s="541" t="str">
        <f>'LAP. PENJUALAN '!C147</f>
        <v>Koin kids</v>
      </c>
      <c r="D147" s="694"/>
      <c r="E147" s="694"/>
      <c r="F147" s="694"/>
      <c r="G147" s="694"/>
      <c r="H147" s="694"/>
      <c r="I147" s="694"/>
      <c r="J147" s="694"/>
      <c r="K147" s="694"/>
      <c r="L147" s="694"/>
      <c r="M147" s="694"/>
      <c r="N147" s="554">
        <f t="shared" si="23"/>
        <v>0</v>
      </c>
      <c r="O147" s="554">
        <f t="shared" si="24"/>
        <v>0</v>
      </c>
      <c r="P147" s="555">
        <f>(O147/O240)*100</f>
        <v>0</v>
      </c>
      <c r="Q147" s="567"/>
      <c r="R147" s="555">
        <f t="shared" si="25"/>
        <v>0</v>
      </c>
      <c r="S147" s="698"/>
      <c r="U147" s="696">
        <f t="shared" si="26"/>
        <v>0</v>
      </c>
      <c r="V147" s="696">
        <f t="shared" si="27"/>
        <v>0</v>
      </c>
      <c r="W147" s="696">
        <f t="shared" si="28"/>
        <v>0</v>
      </c>
      <c r="X147" s="696">
        <f t="shared" si="29"/>
        <v>0</v>
      </c>
      <c r="Y147" s="696">
        <f t="shared" si="30"/>
        <v>0</v>
      </c>
      <c r="Z147" s="696">
        <f t="shared" si="31"/>
        <v>0</v>
      </c>
      <c r="AA147" s="696">
        <f t="shared" si="32"/>
        <v>0</v>
      </c>
      <c r="AB147" s="696">
        <f t="shared" si="33"/>
        <v>0</v>
      </c>
      <c r="AC147" s="696">
        <f t="shared" si="34"/>
        <v>0</v>
      </c>
      <c r="AD147" s="696">
        <f t="shared" si="35"/>
        <v>0</v>
      </c>
      <c r="AE147" s="699"/>
    </row>
    <row r="148" spans="1:31" ht="25.15" customHeight="1">
      <c r="A148" s="543"/>
      <c r="B148" s="546"/>
      <c r="C148" s="701" t="str">
        <f>'LAP. PENJUALAN '!C154</f>
        <v>PAKET PROMO REGION/AREA , DISKON KARYAWAN &amp; PAKET INDOMIE</v>
      </c>
      <c r="D148" s="694"/>
      <c r="E148" s="694"/>
      <c r="F148" s="694"/>
      <c r="G148" s="694"/>
      <c r="H148" s="694"/>
      <c r="I148" s="694"/>
      <c r="J148" s="694"/>
      <c r="K148" s="694"/>
      <c r="L148" s="694"/>
      <c r="M148" s="694"/>
      <c r="N148" s="554">
        <f t="shared" si="23"/>
        <v>0</v>
      </c>
      <c r="O148" s="554">
        <f t="shared" si="24"/>
        <v>0</v>
      </c>
      <c r="P148" s="555">
        <f>(O148/O240)*100</f>
        <v>0</v>
      </c>
      <c r="Q148" s="567"/>
      <c r="R148" s="555">
        <f t="shared" si="25"/>
        <v>0</v>
      </c>
      <c r="S148" s="698"/>
      <c r="U148" s="696">
        <f t="shared" si="26"/>
        <v>0</v>
      </c>
      <c r="V148" s="696">
        <f t="shared" si="27"/>
        <v>0</v>
      </c>
      <c r="W148" s="696">
        <f t="shared" si="28"/>
        <v>0</v>
      </c>
      <c r="X148" s="696">
        <f t="shared" si="29"/>
        <v>0</v>
      </c>
      <c r="Y148" s="696">
        <f t="shared" si="30"/>
        <v>0</v>
      </c>
      <c r="Z148" s="696">
        <f t="shared" si="31"/>
        <v>0</v>
      </c>
      <c r="AA148" s="696">
        <f t="shared" si="32"/>
        <v>0</v>
      </c>
      <c r="AB148" s="696">
        <f t="shared" si="33"/>
        <v>0</v>
      </c>
      <c r="AC148" s="696">
        <f t="shared" si="34"/>
        <v>0</v>
      </c>
      <c r="AD148" s="696">
        <f t="shared" si="35"/>
        <v>0</v>
      </c>
      <c r="AE148" s="699"/>
    </row>
    <row r="149" spans="1:31" ht="25.15" customHeight="1">
      <c r="A149" s="543">
        <v>1</v>
      </c>
      <c r="B149" s="546"/>
      <c r="C149" s="702" t="s">
        <v>1586</v>
      </c>
      <c r="D149" s="694"/>
      <c r="E149" s="694"/>
      <c r="F149" s="694"/>
      <c r="G149" s="694"/>
      <c r="H149" s="694"/>
      <c r="I149" s="694"/>
      <c r="J149" s="694"/>
      <c r="K149" s="694"/>
      <c r="L149" s="694"/>
      <c r="M149" s="694"/>
      <c r="N149" s="554">
        <f t="shared" si="23"/>
        <v>0</v>
      </c>
      <c r="O149" s="554">
        <f t="shared" si="24"/>
        <v>0</v>
      </c>
      <c r="P149" s="555">
        <f>(O149/O240)*100</f>
        <v>0</v>
      </c>
      <c r="Q149" s="567"/>
      <c r="R149" s="555">
        <f t="shared" si="25"/>
        <v>0</v>
      </c>
      <c r="S149" s="697">
        <v>13750</v>
      </c>
      <c r="U149" s="696">
        <f t="shared" si="26"/>
        <v>0</v>
      </c>
      <c r="V149" s="696">
        <f t="shared" si="27"/>
        <v>0</v>
      </c>
      <c r="W149" s="696">
        <f t="shared" si="28"/>
        <v>0</v>
      </c>
      <c r="X149" s="696">
        <f t="shared" si="29"/>
        <v>0</v>
      </c>
      <c r="Y149" s="696">
        <f t="shared" si="30"/>
        <v>0</v>
      </c>
      <c r="Z149" s="696">
        <f t="shared" si="31"/>
        <v>0</v>
      </c>
      <c r="AA149" s="696">
        <f t="shared" si="32"/>
        <v>0</v>
      </c>
      <c r="AB149" s="696">
        <f t="shared" si="33"/>
        <v>0</v>
      </c>
      <c r="AC149" s="696">
        <f t="shared" si="34"/>
        <v>0</v>
      </c>
      <c r="AD149" s="696">
        <f t="shared" si="35"/>
        <v>0</v>
      </c>
      <c r="AE149" s="699"/>
    </row>
    <row r="150" spans="1:31" ht="25.15" customHeight="1">
      <c r="A150" s="543">
        <v>2</v>
      </c>
      <c r="B150" s="546"/>
      <c r="C150" s="702" t="s">
        <v>1587</v>
      </c>
      <c r="D150" s="694"/>
      <c r="E150" s="694"/>
      <c r="F150" s="694"/>
      <c r="G150" s="694"/>
      <c r="H150" s="694"/>
      <c r="I150" s="694"/>
      <c r="J150" s="694"/>
      <c r="K150" s="694"/>
      <c r="L150" s="694"/>
      <c r="M150" s="694"/>
      <c r="N150" s="554">
        <f t="shared" si="23"/>
        <v>0</v>
      </c>
      <c r="O150" s="554">
        <f t="shared" si="24"/>
        <v>0</v>
      </c>
      <c r="P150" s="555">
        <f>(O150/O240)*100</f>
        <v>0</v>
      </c>
      <c r="Q150" s="567"/>
      <c r="R150" s="555">
        <f t="shared" si="25"/>
        <v>0</v>
      </c>
      <c r="S150" s="697">
        <v>18750</v>
      </c>
      <c r="U150" s="696">
        <f t="shared" si="26"/>
        <v>0</v>
      </c>
      <c r="V150" s="696">
        <f t="shared" si="27"/>
        <v>0</v>
      </c>
      <c r="W150" s="696">
        <f t="shared" si="28"/>
        <v>0</v>
      </c>
      <c r="X150" s="696">
        <f t="shared" si="29"/>
        <v>0</v>
      </c>
      <c r="Y150" s="696">
        <f t="shared" si="30"/>
        <v>0</v>
      </c>
      <c r="Z150" s="696">
        <f t="shared" si="31"/>
        <v>0</v>
      </c>
      <c r="AA150" s="696">
        <f t="shared" si="32"/>
        <v>0</v>
      </c>
      <c r="AB150" s="696">
        <f t="shared" si="33"/>
        <v>0</v>
      </c>
      <c r="AC150" s="696">
        <f t="shared" si="34"/>
        <v>0</v>
      </c>
      <c r="AD150" s="696">
        <f t="shared" si="35"/>
        <v>0</v>
      </c>
      <c r="AE150" s="699"/>
    </row>
    <row r="151" spans="1:31" ht="25.15" customHeight="1">
      <c r="A151" s="543">
        <v>3</v>
      </c>
      <c r="B151" s="546"/>
      <c r="C151" s="702" t="s">
        <v>1588</v>
      </c>
      <c r="D151" s="694"/>
      <c r="E151" s="694"/>
      <c r="F151" s="694"/>
      <c r="G151" s="694"/>
      <c r="H151" s="694"/>
      <c r="I151" s="694"/>
      <c r="J151" s="694"/>
      <c r="K151" s="694"/>
      <c r="L151" s="694"/>
      <c r="M151" s="694"/>
      <c r="N151" s="554">
        <f t="shared" si="23"/>
        <v>0</v>
      </c>
      <c r="O151" s="554">
        <f t="shared" si="24"/>
        <v>0</v>
      </c>
      <c r="P151" s="555">
        <f>(O151/O240)*100</f>
        <v>0</v>
      </c>
      <c r="Q151" s="567"/>
      <c r="R151" s="555">
        <f t="shared" si="25"/>
        <v>0</v>
      </c>
      <c r="S151" s="697">
        <v>18750</v>
      </c>
      <c r="U151" s="696">
        <f t="shared" si="26"/>
        <v>0</v>
      </c>
      <c r="V151" s="696">
        <f t="shared" si="27"/>
        <v>0</v>
      </c>
      <c r="W151" s="696">
        <f t="shared" si="28"/>
        <v>0</v>
      </c>
      <c r="X151" s="696">
        <f t="shared" si="29"/>
        <v>0</v>
      </c>
      <c r="Y151" s="696">
        <f t="shared" si="30"/>
        <v>0</v>
      </c>
      <c r="Z151" s="696">
        <f t="shared" si="31"/>
        <v>0</v>
      </c>
      <c r="AA151" s="696">
        <f t="shared" si="32"/>
        <v>0</v>
      </c>
      <c r="AB151" s="696">
        <f t="shared" si="33"/>
        <v>0</v>
      </c>
      <c r="AC151" s="696">
        <f t="shared" si="34"/>
        <v>0</v>
      </c>
      <c r="AD151" s="696">
        <f t="shared" si="35"/>
        <v>0</v>
      </c>
      <c r="AE151" s="699"/>
    </row>
    <row r="152" spans="1:31" ht="25.15" customHeight="1">
      <c r="A152" s="543">
        <v>4</v>
      </c>
      <c r="B152" s="546"/>
      <c r="C152" s="702" t="s">
        <v>1589</v>
      </c>
      <c r="D152" s="694"/>
      <c r="E152" s="694"/>
      <c r="F152" s="694"/>
      <c r="G152" s="694"/>
      <c r="H152" s="694"/>
      <c r="I152" s="694"/>
      <c r="J152" s="694"/>
      <c r="K152" s="694"/>
      <c r="L152" s="694"/>
      <c r="M152" s="694"/>
      <c r="N152" s="554">
        <f t="shared" si="23"/>
        <v>0</v>
      </c>
      <c r="O152" s="554">
        <f t="shared" si="24"/>
        <v>0</v>
      </c>
      <c r="P152" s="555">
        <f>(O152/O240)*100</f>
        <v>0</v>
      </c>
      <c r="Q152" s="567"/>
      <c r="R152" s="555">
        <f t="shared" si="25"/>
        <v>0</v>
      </c>
      <c r="S152" s="697">
        <v>21250</v>
      </c>
      <c r="U152" s="696">
        <f t="shared" si="26"/>
        <v>0</v>
      </c>
      <c r="V152" s="696">
        <f t="shared" si="27"/>
        <v>0</v>
      </c>
      <c r="W152" s="696">
        <f t="shared" si="28"/>
        <v>0</v>
      </c>
      <c r="X152" s="696">
        <f t="shared" si="29"/>
        <v>0</v>
      </c>
      <c r="Y152" s="696">
        <f t="shared" si="30"/>
        <v>0</v>
      </c>
      <c r="Z152" s="696">
        <f t="shared" si="31"/>
        <v>0</v>
      </c>
      <c r="AA152" s="696">
        <f t="shared" si="32"/>
        <v>0</v>
      </c>
      <c r="AB152" s="696">
        <f t="shared" si="33"/>
        <v>0</v>
      </c>
      <c r="AC152" s="696">
        <f t="shared" si="34"/>
        <v>0</v>
      </c>
      <c r="AD152" s="696">
        <f t="shared" si="35"/>
        <v>0</v>
      </c>
      <c r="AE152" s="699"/>
    </row>
    <row r="153" spans="1:31" ht="25.15" customHeight="1">
      <c r="A153" s="543">
        <v>5</v>
      </c>
      <c r="B153" s="546"/>
      <c r="C153" s="575"/>
      <c r="D153" s="694"/>
      <c r="E153" s="694"/>
      <c r="F153" s="694"/>
      <c r="G153" s="694"/>
      <c r="H153" s="694"/>
      <c r="I153" s="694"/>
      <c r="J153" s="694"/>
      <c r="K153" s="694"/>
      <c r="L153" s="694"/>
      <c r="M153" s="694"/>
      <c r="N153" s="554">
        <f t="shared" si="23"/>
        <v>0</v>
      </c>
      <c r="O153" s="554">
        <f t="shared" si="24"/>
        <v>0</v>
      </c>
      <c r="P153" s="555">
        <f>(O153/O240)*100</f>
        <v>0</v>
      </c>
      <c r="Q153" s="567"/>
      <c r="R153" s="555">
        <f t="shared" si="25"/>
        <v>0</v>
      </c>
      <c r="S153" s="698"/>
      <c r="U153" s="696">
        <f t="shared" si="26"/>
        <v>0</v>
      </c>
      <c r="V153" s="696">
        <f t="shared" si="27"/>
        <v>0</v>
      </c>
      <c r="W153" s="696">
        <f t="shared" si="28"/>
        <v>0</v>
      </c>
      <c r="X153" s="696">
        <f t="shared" si="29"/>
        <v>0</v>
      </c>
      <c r="Y153" s="696">
        <f t="shared" si="30"/>
        <v>0</v>
      </c>
      <c r="Z153" s="696">
        <f t="shared" si="31"/>
        <v>0</v>
      </c>
      <c r="AA153" s="696">
        <f t="shared" si="32"/>
        <v>0</v>
      </c>
      <c r="AB153" s="696">
        <f t="shared" si="33"/>
        <v>0</v>
      </c>
      <c r="AC153" s="696">
        <f t="shared" si="34"/>
        <v>0</v>
      </c>
      <c r="AD153" s="696">
        <f t="shared" si="35"/>
        <v>0</v>
      </c>
      <c r="AE153" s="699"/>
    </row>
    <row r="154" spans="1:31" ht="25.15" customHeight="1">
      <c r="A154" s="543">
        <v>6</v>
      </c>
      <c r="B154" s="546"/>
      <c r="C154" s="575"/>
      <c r="D154" s="694"/>
      <c r="E154" s="694"/>
      <c r="F154" s="694"/>
      <c r="G154" s="694"/>
      <c r="H154" s="694"/>
      <c r="I154" s="694"/>
      <c r="J154" s="694"/>
      <c r="K154" s="694"/>
      <c r="L154" s="694"/>
      <c r="M154" s="694"/>
      <c r="N154" s="554">
        <f t="shared" si="23"/>
        <v>0</v>
      </c>
      <c r="O154" s="554">
        <f t="shared" si="24"/>
        <v>0</v>
      </c>
      <c r="P154" s="555">
        <f>(O154/O240)*100</f>
        <v>0</v>
      </c>
      <c r="Q154" s="567"/>
      <c r="R154" s="555">
        <f t="shared" si="25"/>
        <v>0</v>
      </c>
      <c r="S154" s="698"/>
      <c r="U154" s="696">
        <f t="shared" si="26"/>
        <v>0</v>
      </c>
      <c r="V154" s="696">
        <f t="shared" si="27"/>
        <v>0</v>
      </c>
      <c r="W154" s="696">
        <f t="shared" si="28"/>
        <v>0</v>
      </c>
      <c r="X154" s="696">
        <f t="shared" si="29"/>
        <v>0</v>
      </c>
      <c r="Y154" s="696">
        <f t="shared" si="30"/>
        <v>0</v>
      </c>
      <c r="Z154" s="696">
        <f t="shared" si="31"/>
        <v>0</v>
      </c>
      <c r="AA154" s="696">
        <f t="shared" si="32"/>
        <v>0</v>
      </c>
      <c r="AB154" s="696">
        <f t="shared" si="33"/>
        <v>0</v>
      </c>
      <c r="AC154" s="696">
        <f t="shared" si="34"/>
        <v>0</v>
      </c>
      <c r="AD154" s="696">
        <f t="shared" si="35"/>
        <v>0</v>
      </c>
      <c r="AE154" s="699"/>
    </row>
    <row r="155" spans="1:31" ht="25.15" customHeight="1">
      <c r="A155" s="543">
        <v>7</v>
      </c>
      <c r="B155" s="546"/>
      <c r="C155" s="575"/>
      <c r="D155" s="694"/>
      <c r="E155" s="694"/>
      <c r="F155" s="694"/>
      <c r="G155" s="694"/>
      <c r="H155" s="694"/>
      <c r="I155" s="694"/>
      <c r="J155" s="694"/>
      <c r="K155" s="694"/>
      <c r="L155" s="694"/>
      <c r="M155" s="694"/>
      <c r="N155" s="554">
        <f t="shared" si="23"/>
        <v>0</v>
      </c>
      <c r="O155" s="554">
        <f t="shared" si="24"/>
        <v>0</v>
      </c>
      <c r="P155" s="555">
        <f>(O155/O240)*100</f>
        <v>0</v>
      </c>
      <c r="Q155" s="567"/>
      <c r="R155" s="555">
        <f t="shared" si="25"/>
        <v>0</v>
      </c>
      <c r="S155" s="698"/>
      <c r="U155" s="696">
        <f t="shared" si="26"/>
        <v>0</v>
      </c>
      <c r="V155" s="696">
        <f t="shared" si="27"/>
        <v>0</v>
      </c>
      <c r="W155" s="696">
        <f t="shared" si="28"/>
        <v>0</v>
      </c>
      <c r="X155" s="696">
        <f t="shared" si="29"/>
        <v>0</v>
      </c>
      <c r="Y155" s="696">
        <f t="shared" si="30"/>
        <v>0</v>
      </c>
      <c r="Z155" s="696">
        <f t="shared" si="31"/>
        <v>0</v>
      </c>
      <c r="AA155" s="696">
        <f t="shared" si="32"/>
        <v>0</v>
      </c>
      <c r="AB155" s="696">
        <f t="shared" si="33"/>
        <v>0</v>
      </c>
      <c r="AC155" s="696">
        <f t="shared" si="34"/>
        <v>0</v>
      </c>
      <c r="AD155" s="696">
        <f t="shared" si="35"/>
        <v>0</v>
      </c>
      <c r="AE155" s="699"/>
    </row>
    <row r="156" spans="1:31" ht="25.15" customHeight="1">
      <c r="A156" s="543">
        <v>8</v>
      </c>
      <c r="B156" s="546"/>
      <c r="C156" s="575"/>
      <c r="D156" s="694"/>
      <c r="E156" s="694"/>
      <c r="F156" s="694"/>
      <c r="G156" s="694"/>
      <c r="H156" s="694"/>
      <c r="I156" s="694"/>
      <c r="J156" s="694"/>
      <c r="K156" s="694"/>
      <c r="L156" s="694"/>
      <c r="M156" s="694"/>
      <c r="N156" s="554">
        <f t="shared" si="23"/>
        <v>0</v>
      </c>
      <c r="O156" s="554">
        <f t="shared" si="24"/>
        <v>0</v>
      </c>
      <c r="P156" s="555">
        <f>(O156/O240)*100</f>
        <v>0</v>
      </c>
      <c r="Q156" s="567"/>
      <c r="R156" s="555">
        <f t="shared" si="25"/>
        <v>0</v>
      </c>
      <c r="S156" s="698"/>
      <c r="U156" s="696">
        <f t="shared" si="26"/>
        <v>0</v>
      </c>
      <c r="V156" s="696">
        <f t="shared" si="27"/>
        <v>0</v>
      </c>
      <c r="W156" s="696">
        <f t="shared" si="28"/>
        <v>0</v>
      </c>
      <c r="X156" s="696">
        <f t="shared" si="29"/>
        <v>0</v>
      </c>
      <c r="Y156" s="696">
        <f t="shared" si="30"/>
        <v>0</v>
      </c>
      <c r="Z156" s="696">
        <f t="shared" si="31"/>
        <v>0</v>
      </c>
      <c r="AA156" s="696">
        <f t="shared" si="32"/>
        <v>0</v>
      </c>
      <c r="AB156" s="696">
        <f t="shared" si="33"/>
        <v>0</v>
      </c>
      <c r="AC156" s="696">
        <f t="shared" si="34"/>
        <v>0</v>
      </c>
      <c r="AD156" s="696">
        <f t="shared" si="35"/>
        <v>0</v>
      </c>
      <c r="AE156" s="699"/>
    </row>
    <row r="157" spans="1:31" ht="25.15" customHeight="1">
      <c r="A157" s="543">
        <v>9</v>
      </c>
      <c r="B157" s="546"/>
      <c r="C157" s="575"/>
      <c r="D157" s="694"/>
      <c r="E157" s="694"/>
      <c r="F157" s="694"/>
      <c r="G157" s="694"/>
      <c r="H157" s="694"/>
      <c r="I157" s="694"/>
      <c r="J157" s="694"/>
      <c r="K157" s="694"/>
      <c r="L157" s="694"/>
      <c r="M157" s="694"/>
      <c r="N157" s="554">
        <f t="shared" si="23"/>
        <v>0</v>
      </c>
      <c r="O157" s="554">
        <f t="shared" si="24"/>
        <v>0</v>
      </c>
      <c r="P157" s="555">
        <f>(O157/O240)*100</f>
        <v>0</v>
      </c>
      <c r="Q157" s="567"/>
      <c r="R157" s="555">
        <f t="shared" si="25"/>
        <v>0</v>
      </c>
      <c r="S157" s="698"/>
      <c r="U157" s="696">
        <f t="shared" si="26"/>
        <v>0</v>
      </c>
      <c r="V157" s="696">
        <f t="shared" si="27"/>
        <v>0</v>
      </c>
      <c r="W157" s="696">
        <f t="shared" si="28"/>
        <v>0</v>
      </c>
      <c r="X157" s="696">
        <f t="shared" si="29"/>
        <v>0</v>
      </c>
      <c r="Y157" s="696">
        <f t="shared" si="30"/>
        <v>0</v>
      </c>
      <c r="Z157" s="696">
        <f t="shared" si="31"/>
        <v>0</v>
      </c>
      <c r="AA157" s="696">
        <f t="shared" si="32"/>
        <v>0</v>
      </c>
      <c r="AB157" s="696">
        <f t="shared" si="33"/>
        <v>0</v>
      </c>
      <c r="AC157" s="696">
        <f t="shared" si="34"/>
        <v>0</v>
      </c>
      <c r="AD157" s="696">
        <f t="shared" si="35"/>
        <v>0</v>
      </c>
      <c r="AE157" s="699"/>
    </row>
    <row r="158" spans="1:31" ht="25.15" customHeight="1">
      <c r="A158" s="543">
        <v>10</v>
      </c>
      <c r="B158" s="546"/>
      <c r="C158" s="575"/>
      <c r="D158" s="694"/>
      <c r="E158" s="694"/>
      <c r="F158" s="694"/>
      <c r="G158" s="694"/>
      <c r="H158" s="694"/>
      <c r="I158" s="694"/>
      <c r="J158" s="694"/>
      <c r="K158" s="694"/>
      <c r="L158" s="694"/>
      <c r="M158" s="694"/>
      <c r="N158" s="554">
        <f t="shared" si="23"/>
        <v>0</v>
      </c>
      <c r="O158" s="554">
        <f t="shared" si="24"/>
        <v>0</v>
      </c>
      <c r="P158" s="555">
        <f>(O158/O240)*100</f>
        <v>0</v>
      </c>
      <c r="Q158" s="567"/>
      <c r="R158" s="555">
        <f t="shared" si="25"/>
        <v>0</v>
      </c>
      <c r="S158" s="698"/>
      <c r="U158" s="696">
        <f t="shared" si="26"/>
        <v>0</v>
      </c>
      <c r="V158" s="696">
        <f t="shared" si="27"/>
        <v>0</v>
      </c>
      <c r="W158" s="696">
        <f t="shared" si="28"/>
        <v>0</v>
      </c>
      <c r="X158" s="696">
        <f t="shared" si="29"/>
        <v>0</v>
      </c>
      <c r="Y158" s="696">
        <f t="shared" si="30"/>
        <v>0</v>
      </c>
      <c r="Z158" s="696">
        <f t="shared" si="31"/>
        <v>0</v>
      </c>
      <c r="AA158" s="696">
        <f t="shared" si="32"/>
        <v>0</v>
      </c>
      <c r="AB158" s="696">
        <f t="shared" si="33"/>
        <v>0</v>
      </c>
      <c r="AC158" s="696">
        <f t="shared" si="34"/>
        <v>0</v>
      </c>
      <c r="AD158" s="696">
        <f t="shared" si="35"/>
        <v>0</v>
      </c>
      <c r="AE158" s="699"/>
    </row>
    <row r="159" spans="1:31" ht="25.15" customHeight="1">
      <c r="A159" s="543">
        <v>11</v>
      </c>
      <c r="B159" s="546"/>
      <c r="C159" s="575"/>
      <c r="D159" s="694"/>
      <c r="E159" s="694"/>
      <c r="F159" s="694"/>
      <c r="G159" s="694"/>
      <c r="H159" s="694"/>
      <c r="I159" s="694"/>
      <c r="J159" s="694"/>
      <c r="K159" s="694"/>
      <c r="L159" s="694"/>
      <c r="M159" s="694"/>
      <c r="N159" s="554">
        <f t="shared" si="23"/>
        <v>0</v>
      </c>
      <c r="O159" s="554">
        <f t="shared" si="24"/>
        <v>0</v>
      </c>
      <c r="P159" s="555">
        <f>(O159/O240)*100</f>
        <v>0</v>
      </c>
      <c r="Q159" s="567"/>
      <c r="R159" s="555">
        <f t="shared" si="25"/>
        <v>0</v>
      </c>
      <c r="S159" s="698"/>
      <c r="U159" s="696">
        <f t="shared" si="26"/>
        <v>0</v>
      </c>
      <c r="V159" s="696">
        <f t="shared" si="27"/>
        <v>0</v>
      </c>
      <c r="W159" s="696">
        <f t="shared" si="28"/>
        <v>0</v>
      </c>
      <c r="X159" s="696">
        <f t="shared" si="29"/>
        <v>0</v>
      </c>
      <c r="Y159" s="696">
        <f t="shared" si="30"/>
        <v>0</v>
      </c>
      <c r="Z159" s="696">
        <f t="shared" si="31"/>
        <v>0</v>
      </c>
      <c r="AA159" s="696">
        <f t="shared" si="32"/>
        <v>0</v>
      </c>
      <c r="AB159" s="696">
        <f t="shared" si="33"/>
        <v>0</v>
      </c>
      <c r="AC159" s="696">
        <f t="shared" si="34"/>
        <v>0</v>
      </c>
      <c r="AD159" s="696">
        <f t="shared" si="35"/>
        <v>0</v>
      </c>
      <c r="AE159" s="699"/>
    </row>
    <row r="160" spans="1:31" ht="25.15" customHeight="1">
      <c r="A160" s="543">
        <v>12</v>
      </c>
      <c r="B160" s="546"/>
      <c r="C160" s="575"/>
      <c r="D160" s="694"/>
      <c r="E160" s="694"/>
      <c r="F160" s="694"/>
      <c r="G160" s="694"/>
      <c r="H160" s="694"/>
      <c r="I160" s="694"/>
      <c r="J160" s="694"/>
      <c r="K160" s="694"/>
      <c r="L160" s="694"/>
      <c r="M160" s="694"/>
      <c r="N160" s="554">
        <f t="shared" si="23"/>
        <v>0</v>
      </c>
      <c r="O160" s="554">
        <f t="shared" si="24"/>
        <v>0</v>
      </c>
      <c r="P160" s="555">
        <f>(O160/O240)*100</f>
        <v>0</v>
      </c>
      <c r="Q160" s="567"/>
      <c r="R160" s="555">
        <f t="shared" si="25"/>
        <v>0</v>
      </c>
      <c r="S160" s="698"/>
      <c r="U160" s="696">
        <f t="shared" si="26"/>
        <v>0</v>
      </c>
      <c r="V160" s="696">
        <f t="shared" si="27"/>
        <v>0</v>
      </c>
      <c r="W160" s="696">
        <f t="shared" si="28"/>
        <v>0</v>
      </c>
      <c r="X160" s="696">
        <f t="shared" si="29"/>
        <v>0</v>
      </c>
      <c r="Y160" s="696">
        <f t="shared" si="30"/>
        <v>0</v>
      </c>
      <c r="Z160" s="696">
        <f t="shared" si="31"/>
        <v>0</v>
      </c>
      <c r="AA160" s="696">
        <f t="shared" si="32"/>
        <v>0</v>
      </c>
      <c r="AB160" s="696">
        <f t="shared" si="33"/>
        <v>0</v>
      </c>
      <c r="AC160" s="696">
        <f t="shared" si="34"/>
        <v>0</v>
      </c>
      <c r="AD160" s="696">
        <f t="shared" si="35"/>
        <v>0</v>
      </c>
      <c r="AE160" s="699"/>
    </row>
    <row r="161" spans="1:31" ht="25.15" customHeight="1">
      <c r="A161" s="543">
        <v>13</v>
      </c>
      <c r="B161" s="546"/>
      <c r="C161" s="575"/>
      <c r="D161" s="694"/>
      <c r="E161" s="694"/>
      <c r="F161" s="694"/>
      <c r="G161" s="694"/>
      <c r="H161" s="694"/>
      <c r="I161" s="694"/>
      <c r="J161" s="694"/>
      <c r="K161" s="694"/>
      <c r="L161" s="694"/>
      <c r="M161" s="694"/>
      <c r="N161" s="554">
        <f t="shared" si="23"/>
        <v>0</v>
      </c>
      <c r="O161" s="554">
        <f t="shared" si="24"/>
        <v>0</v>
      </c>
      <c r="P161" s="555">
        <f>(O161/O240)*100</f>
        <v>0</v>
      </c>
      <c r="Q161" s="567"/>
      <c r="R161" s="555">
        <f t="shared" si="25"/>
        <v>0</v>
      </c>
      <c r="S161" s="698"/>
      <c r="U161" s="696">
        <f t="shared" si="26"/>
        <v>0</v>
      </c>
      <c r="V161" s="696">
        <f t="shared" si="27"/>
        <v>0</v>
      </c>
      <c r="W161" s="696">
        <f t="shared" si="28"/>
        <v>0</v>
      </c>
      <c r="X161" s="696">
        <f t="shared" si="29"/>
        <v>0</v>
      </c>
      <c r="Y161" s="696">
        <f t="shared" si="30"/>
        <v>0</v>
      </c>
      <c r="Z161" s="696">
        <f t="shared" si="31"/>
        <v>0</v>
      </c>
      <c r="AA161" s="696">
        <f t="shared" si="32"/>
        <v>0</v>
      </c>
      <c r="AB161" s="696">
        <f t="shared" si="33"/>
        <v>0</v>
      </c>
      <c r="AC161" s="696">
        <f t="shared" si="34"/>
        <v>0</v>
      </c>
      <c r="AD161" s="696">
        <f t="shared" si="35"/>
        <v>0</v>
      </c>
      <c r="AE161" s="699"/>
    </row>
    <row r="162" spans="1:31" ht="25.15" customHeight="1">
      <c r="A162" s="543">
        <v>14</v>
      </c>
      <c r="B162" s="546"/>
      <c r="C162" s="575"/>
      <c r="D162" s="694"/>
      <c r="E162" s="694"/>
      <c r="F162" s="694"/>
      <c r="G162" s="694"/>
      <c r="H162" s="694"/>
      <c r="I162" s="694"/>
      <c r="J162" s="694"/>
      <c r="K162" s="694"/>
      <c r="L162" s="694"/>
      <c r="M162" s="694"/>
      <c r="N162" s="554">
        <f t="shared" si="23"/>
        <v>0</v>
      </c>
      <c r="O162" s="554">
        <f t="shared" si="24"/>
        <v>0</v>
      </c>
      <c r="P162" s="555">
        <f>(O162/O240)*100</f>
        <v>0</v>
      </c>
      <c r="Q162" s="567"/>
      <c r="R162" s="555">
        <f t="shared" si="25"/>
        <v>0</v>
      </c>
      <c r="S162" s="698"/>
      <c r="U162" s="696">
        <f t="shared" si="26"/>
        <v>0</v>
      </c>
      <c r="V162" s="696">
        <f t="shared" si="27"/>
        <v>0</v>
      </c>
      <c r="W162" s="696">
        <f t="shared" si="28"/>
        <v>0</v>
      </c>
      <c r="X162" s="696">
        <f t="shared" si="29"/>
        <v>0</v>
      </c>
      <c r="Y162" s="696">
        <f t="shared" si="30"/>
        <v>0</v>
      </c>
      <c r="Z162" s="696">
        <f t="shared" si="31"/>
        <v>0</v>
      </c>
      <c r="AA162" s="696">
        <f t="shared" si="32"/>
        <v>0</v>
      </c>
      <c r="AB162" s="696">
        <f t="shared" si="33"/>
        <v>0</v>
      </c>
      <c r="AC162" s="696">
        <f t="shared" si="34"/>
        <v>0</v>
      </c>
      <c r="AD162" s="696">
        <f t="shared" si="35"/>
        <v>0</v>
      </c>
      <c r="AE162" s="699"/>
    </row>
    <row r="163" spans="1:31" ht="25.15" customHeight="1">
      <c r="A163" s="543">
        <v>15</v>
      </c>
      <c r="B163" s="546"/>
      <c r="C163" s="575"/>
      <c r="D163" s="694"/>
      <c r="E163" s="694"/>
      <c r="F163" s="694"/>
      <c r="G163" s="694"/>
      <c r="H163" s="694"/>
      <c r="I163" s="694"/>
      <c r="J163" s="694"/>
      <c r="K163" s="694"/>
      <c r="L163" s="694"/>
      <c r="M163" s="694"/>
      <c r="N163" s="554">
        <f t="shared" si="23"/>
        <v>0</v>
      </c>
      <c r="O163" s="554">
        <f t="shared" si="24"/>
        <v>0</v>
      </c>
      <c r="P163" s="555">
        <f>(O163/O240)*100</f>
        <v>0</v>
      </c>
      <c r="Q163" s="567"/>
      <c r="R163" s="555">
        <f t="shared" si="25"/>
        <v>0</v>
      </c>
      <c r="S163" s="698"/>
      <c r="U163" s="696">
        <f t="shared" si="26"/>
        <v>0</v>
      </c>
      <c r="V163" s="696">
        <f t="shared" si="27"/>
        <v>0</v>
      </c>
      <c r="W163" s="696">
        <f t="shared" si="28"/>
        <v>0</v>
      </c>
      <c r="X163" s="696">
        <f t="shared" si="29"/>
        <v>0</v>
      </c>
      <c r="Y163" s="696">
        <f t="shared" si="30"/>
        <v>0</v>
      </c>
      <c r="Z163" s="696">
        <f t="shared" si="31"/>
        <v>0</v>
      </c>
      <c r="AA163" s="696">
        <f t="shared" si="32"/>
        <v>0</v>
      </c>
      <c r="AB163" s="696">
        <f t="shared" si="33"/>
        <v>0</v>
      </c>
      <c r="AC163" s="696">
        <f t="shared" si="34"/>
        <v>0</v>
      </c>
      <c r="AD163" s="696">
        <f t="shared" si="35"/>
        <v>0</v>
      </c>
      <c r="AE163" s="699"/>
    </row>
    <row r="164" spans="1:31" ht="25.15" customHeight="1">
      <c r="A164" s="543">
        <v>16</v>
      </c>
      <c r="B164" s="546"/>
      <c r="C164" s="575"/>
      <c r="D164" s="694"/>
      <c r="E164" s="694"/>
      <c r="F164" s="694"/>
      <c r="G164" s="694"/>
      <c r="H164" s="694"/>
      <c r="I164" s="694"/>
      <c r="J164" s="694"/>
      <c r="K164" s="694"/>
      <c r="L164" s="694"/>
      <c r="M164" s="694"/>
      <c r="N164" s="554">
        <f t="shared" si="23"/>
        <v>0</v>
      </c>
      <c r="O164" s="554">
        <f t="shared" si="24"/>
        <v>0</v>
      </c>
      <c r="P164" s="555">
        <f>(O164/O240)*100</f>
        <v>0</v>
      </c>
      <c r="Q164" s="567"/>
      <c r="R164" s="555">
        <f t="shared" si="25"/>
        <v>0</v>
      </c>
      <c r="S164" s="698"/>
      <c r="U164" s="696">
        <f t="shared" si="26"/>
        <v>0</v>
      </c>
      <c r="V164" s="696">
        <f t="shared" si="27"/>
        <v>0</v>
      </c>
      <c r="W164" s="696">
        <f t="shared" si="28"/>
        <v>0</v>
      </c>
      <c r="X164" s="696">
        <f t="shared" si="29"/>
        <v>0</v>
      </c>
      <c r="Y164" s="696">
        <f t="shared" si="30"/>
        <v>0</v>
      </c>
      <c r="Z164" s="696">
        <f t="shared" si="31"/>
        <v>0</v>
      </c>
      <c r="AA164" s="696">
        <f t="shared" si="32"/>
        <v>0</v>
      </c>
      <c r="AB164" s="696">
        <f t="shared" si="33"/>
        <v>0</v>
      </c>
      <c r="AC164" s="696">
        <f t="shared" si="34"/>
        <v>0</v>
      </c>
      <c r="AD164" s="696">
        <f t="shared" si="35"/>
        <v>0</v>
      </c>
      <c r="AE164" s="699"/>
    </row>
    <row r="165" spans="1:31" ht="25.15" customHeight="1">
      <c r="A165" s="543">
        <v>17</v>
      </c>
      <c r="B165" s="546"/>
      <c r="C165" s="575"/>
      <c r="D165" s="694"/>
      <c r="E165" s="694"/>
      <c r="F165" s="694"/>
      <c r="G165" s="694"/>
      <c r="H165" s="694"/>
      <c r="I165" s="694"/>
      <c r="J165" s="694"/>
      <c r="K165" s="694"/>
      <c r="L165" s="694"/>
      <c r="M165" s="694"/>
      <c r="N165" s="554">
        <f t="shared" si="23"/>
        <v>0</v>
      </c>
      <c r="O165" s="554">
        <f t="shared" si="24"/>
        <v>0</v>
      </c>
      <c r="P165" s="555">
        <f>(O165/O240)*100</f>
        <v>0</v>
      </c>
      <c r="Q165" s="567"/>
      <c r="R165" s="555">
        <f t="shared" si="25"/>
        <v>0</v>
      </c>
      <c r="S165" s="698"/>
      <c r="U165" s="696">
        <f t="shared" si="26"/>
        <v>0</v>
      </c>
      <c r="V165" s="696">
        <f t="shared" si="27"/>
        <v>0</v>
      </c>
      <c r="W165" s="696">
        <f t="shared" si="28"/>
        <v>0</v>
      </c>
      <c r="X165" s="696">
        <f t="shared" si="29"/>
        <v>0</v>
      </c>
      <c r="Y165" s="696">
        <f t="shared" si="30"/>
        <v>0</v>
      </c>
      <c r="Z165" s="696">
        <f t="shared" si="31"/>
        <v>0</v>
      </c>
      <c r="AA165" s="696">
        <f t="shared" si="32"/>
        <v>0</v>
      </c>
      <c r="AB165" s="696">
        <f t="shared" si="33"/>
        <v>0</v>
      </c>
      <c r="AC165" s="696">
        <f t="shared" si="34"/>
        <v>0</v>
      </c>
      <c r="AD165" s="696">
        <f t="shared" si="35"/>
        <v>0</v>
      </c>
      <c r="AE165" s="699"/>
    </row>
    <row r="166" spans="1:31" ht="25.15" customHeight="1">
      <c r="A166" s="543">
        <v>18</v>
      </c>
      <c r="B166" s="546"/>
      <c r="C166" s="575"/>
      <c r="D166" s="694"/>
      <c r="E166" s="694"/>
      <c r="F166" s="694"/>
      <c r="G166" s="694"/>
      <c r="H166" s="694"/>
      <c r="I166" s="694"/>
      <c r="J166" s="694"/>
      <c r="K166" s="694"/>
      <c r="L166" s="694"/>
      <c r="M166" s="694"/>
      <c r="N166" s="554">
        <f t="shared" si="23"/>
        <v>0</v>
      </c>
      <c r="O166" s="554">
        <f t="shared" si="24"/>
        <v>0</v>
      </c>
      <c r="P166" s="555">
        <f>(O166/O240)*100</f>
        <v>0</v>
      </c>
      <c r="Q166" s="567"/>
      <c r="R166" s="555">
        <f t="shared" si="25"/>
        <v>0</v>
      </c>
      <c r="S166" s="698"/>
      <c r="U166" s="696">
        <f t="shared" si="26"/>
        <v>0</v>
      </c>
      <c r="V166" s="696">
        <f t="shared" si="27"/>
        <v>0</v>
      </c>
      <c r="W166" s="696">
        <f t="shared" si="28"/>
        <v>0</v>
      </c>
      <c r="X166" s="696">
        <f t="shared" si="29"/>
        <v>0</v>
      </c>
      <c r="Y166" s="696">
        <f t="shared" si="30"/>
        <v>0</v>
      </c>
      <c r="Z166" s="696">
        <f t="shared" si="31"/>
        <v>0</v>
      </c>
      <c r="AA166" s="696">
        <f t="shared" si="32"/>
        <v>0</v>
      </c>
      <c r="AB166" s="696">
        <f t="shared" si="33"/>
        <v>0</v>
      </c>
      <c r="AC166" s="696">
        <f t="shared" si="34"/>
        <v>0</v>
      </c>
      <c r="AD166" s="696">
        <f t="shared" si="35"/>
        <v>0</v>
      </c>
      <c r="AE166" s="699"/>
    </row>
    <row r="167" spans="1:31" ht="25.15" customHeight="1">
      <c r="A167" s="543">
        <v>19</v>
      </c>
      <c r="B167" s="546"/>
      <c r="C167" s="575"/>
      <c r="D167" s="694"/>
      <c r="E167" s="694"/>
      <c r="F167" s="694"/>
      <c r="G167" s="694"/>
      <c r="H167" s="694"/>
      <c r="I167" s="694"/>
      <c r="J167" s="694"/>
      <c r="K167" s="694"/>
      <c r="L167" s="694"/>
      <c r="M167" s="694"/>
      <c r="N167" s="554">
        <f t="shared" si="23"/>
        <v>0</v>
      </c>
      <c r="O167" s="554">
        <f t="shared" si="24"/>
        <v>0</v>
      </c>
      <c r="P167" s="555">
        <f>(O167/O240)*100</f>
        <v>0</v>
      </c>
      <c r="Q167" s="567"/>
      <c r="R167" s="555">
        <f t="shared" si="25"/>
        <v>0</v>
      </c>
      <c r="S167" s="698"/>
      <c r="U167" s="696">
        <f t="shared" si="26"/>
        <v>0</v>
      </c>
      <c r="V167" s="696">
        <f t="shared" si="27"/>
        <v>0</v>
      </c>
      <c r="W167" s="696">
        <f t="shared" si="28"/>
        <v>0</v>
      </c>
      <c r="X167" s="696">
        <f t="shared" si="29"/>
        <v>0</v>
      </c>
      <c r="Y167" s="696">
        <f t="shared" si="30"/>
        <v>0</v>
      </c>
      <c r="Z167" s="696">
        <f t="shared" si="31"/>
        <v>0</v>
      </c>
      <c r="AA167" s="696">
        <f t="shared" si="32"/>
        <v>0</v>
      </c>
      <c r="AB167" s="696">
        <f t="shared" si="33"/>
        <v>0</v>
      </c>
      <c r="AC167" s="696">
        <f t="shared" si="34"/>
        <v>0</v>
      </c>
      <c r="AD167" s="696">
        <f t="shared" si="35"/>
        <v>0</v>
      </c>
      <c r="AE167" s="699"/>
    </row>
    <row r="168" spans="1:31" ht="25.15" customHeight="1">
      <c r="A168" s="543">
        <v>20</v>
      </c>
      <c r="B168" s="546"/>
      <c r="C168" s="575"/>
      <c r="D168" s="694"/>
      <c r="E168" s="694"/>
      <c r="F168" s="694"/>
      <c r="G168" s="694"/>
      <c r="H168" s="694"/>
      <c r="I168" s="694"/>
      <c r="J168" s="694"/>
      <c r="K168" s="694"/>
      <c r="L168" s="694"/>
      <c r="M168" s="694"/>
      <c r="N168" s="554">
        <f t="shared" si="23"/>
        <v>0</v>
      </c>
      <c r="O168" s="554">
        <f t="shared" si="24"/>
        <v>0</v>
      </c>
      <c r="P168" s="555">
        <f>(O168/O240)*100</f>
        <v>0</v>
      </c>
      <c r="Q168" s="567"/>
      <c r="R168" s="555">
        <f t="shared" si="25"/>
        <v>0</v>
      </c>
      <c r="S168" s="698"/>
      <c r="U168" s="696">
        <f t="shared" si="26"/>
        <v>0</v>
      </c>
      <c r="V168" s="696">
        <f t="shared" si="27"/>
        <v>0</v>
      </c>
      <c r="W168" s="696">
        <f t="shared" si="28"/>
        <v>0</v>
      </c>
      <c r="X168" s="696">
        <f t="shared" si="29"/>
        <v>0</v>
      </c>
      <c r="Y168" s="696">
        <f t="shared" si="30"/>
        <v>0</v>
      </c>
      <c r="Z168" s="696">
        <f t="shared" si="31"/>
        <v>0</v>
      </c>
      <c r="AA168" s="696">
        <f t="shared" si="32"/>
        <v>0</v>
      </c>
      <c r="AB168" s="696">
        <f t="shared" si="33"/>
        <v>0</v>
      </c>
      <c r="AC168" s="696">
        <f t="shared" si="34"/>
        <v>0</v>
      </c>
      <c r="AD168" s="696">
        <f t="shared" si="35"/>
        <v>0</v>
      </c>
      <c r="AE168" s="699"/>
    </row>
    <row r="169" spans="1:31" ht="25.15" customHeight="1">
      <c r="A169" s="543">
        <v>21</v>
      </c>
      <c r="B169" s="546"/>
      <c r="C169" s="575"/>
      <c r="D169" s="694"/>
      <c r="E169" s="694"/>
      <c r="F169" s="694"/>
      <c r="G169" s="694"/>
      <c r="H169" s="694"/>
      <c r="I169" s="694"/>
      <c r="J169" s="694"/>
      <c r="K169" s="694"/>
      <c r="L169" s="694"/>
      <c r="M169" s="694"/>
      <c r="N169" s="554">
        <f t="shared" si="23"/>
        <v>0</v>
      </c>
      <c r="O169" s="554">
        <f t="shared" si="24"/>
        <v>0</v>
      </c>
      <c r="P169" s="555">
        <f>(O169/O240)*100</f>
        <v>0</v>
      </c>
      <c r="Q169" s="567"/>
      <c r="R169" s="555">
        <f t="shared" si="25"/>
        <v>0</v>
      </c>
      <c r="S169" s="698"/>
      <c r="U169" s="696">
        <f t="shared" si="26"/>
        <v>0</v>
      </c>
      <c r="V169" s="696">
        <f t="shared" si="27"/>
        <v>0</v>
      </c>
      <c r="W169" s="696">
        <f t="shared" si="28"/>
        <v>0</v>
      </c>
      <c r="X169" s="696">
        <f t="shared" si="29"/>
        <v>0</v>
      </c>
      <c r="Y169" s="696">
        <f t="shared" si="30"/>
        <v>0</v>
      </c>
      <c r="Z169" s="696">
        <f t="shared" si="31"/>
        <v>0</v>
      </c>
      <c r="AA169" s="696">
        <f t="shared" si="32"/>
        <v>0</v>
      </c>
      <c r="AB169" s="696">
        <f t="shared" si="33"/>
        <v>0</v>
      </c>
      <c r="AC169" s="696">
        <f t="shared" si="34"/>
        <v>0</v>
      </c>
      <c r="AD169" s="696">
        <f t="shared" si="35"/>
        <v>0</v>
      </c>
      <c r="AE169" s="699"/>
    </row>
    <row r="170" spans="1:31" ht="25.15" customHeight="1">
      <c r="A170" s="543">
        <v>22</v>
      </c>
      <c r="B170" s="546"/>
      <c r="C170" s="575"/>
      <c r="D170" s="694"/>
      <c r="E170" s="694"/>
      <c r="F170" s="694"/>
      <c r="G170" s="694"/>
      <c r="H170" s="694"/>
      <c r="I170" s="694"/>
      <c r="J170" s="694"/>
      <c r="K170" s="694"/>
      <c r="L170" s="694"/>
      <c r="M170" s="694"/>
      <c r="N170" s="554">
        <f t="shared" si="23"/>
        <v>0</v>
      </c>
      <c r="O170" s="554">
        <f t="shared" si="24"/>
        <v>0</v>
      </c>
      <c r="P170" s="555">
        <f>(O170/O240)*100</f>
        <v>0</v>
      </c>
      <c r="Q170" s="567"/>
      <c r="R170" s="555">
        <f t="shared" si="25"/>
        <v>0</v>
      </c>
      <c r="S170" s="698"/>
      <c r="U170" s="696">
        <f t="shared" si="26"/>
        <v>0</v>
      </c>
      <c r="V170" s="696">
        <f t="shared" si="27"/>
        <v>0</v>
      </c>
      <c r="W170" s="696">
        <f t="shared" si="28"/>
        <v>0</v>
      </c>
      <c r="X170" s="696">
        <f t="shared" si="29"/>
        <v>0</v>
      </c>
      <c r="Y170" s="696">
        <f t="shared" si="30"/>
        <v>0</v>
      </c>
      <c r="Z170" s="696">
        <f t="shared" si="31"/>
        <v>0</v>
      </c>
      <c r="AA170" s="696">
        <f t="shared" si="32"/>
        <v>0</v>
      </c>
      <c r="AB170" s="696">
        <f t="shared" si="33"/>
        <v>0</v>
      </c>
      <c r="AC170" s="696">
        <f t="shared" si="34"/>
        <v>0</v>
      </c>
      <c r="AD170" s="696">
        <f t="shared" si="35"/>
        <v>0</v>
      </c>
      <c r="AE170" s="699"/>
    </row>
    <row r="171" spans="1:31" ht="25.15" customHeight="1">
      <c r="A171" s="543">
        <v>23</v>
      </c>
      <c r="B171" s="546"/>
      <c r="C171" s="575"/>
      <c r="D171" s="694"/>
      <c r="E171" s="694"/>
      <c r="F171" s="694"/>
      <c r="G171" s="694"/>
      <c r="H171" s="694"/>
      <c r="I171" s="694"/>
      <c r="J171" s="694"/>
      <c r="K171" s="694"/>
      <c r="L171" s="694"/>
      <c r="M171" s="694"/>
      <c r="N171" s="554">
        <f t="shared" si="23"/>
        <v>0</v>
      </c>
      <c r="O171" s="554">
        <f t="shared" si="24"/>
        <v>0</v>
      </c>
      <c r="P171" s="555">
        <f>(O171/O240)*100</f>
        <v>0</v>
      </c>
      <c r="Q171" s="567"/>
      <c r="R171" s="555">
        <f t="shared" si="25"/>
        <v>0</v>
      </c>
      <c r="S171" s="698"/>
      <c r="U171" s="696">
        <f t="shared" si="26"/>
        <v>0</v>
      </c>
      <c r="V171" s="696">
        <f t="shared" si="27"/>
        <v>0</v>
      </c>
      <c r="W171" s="696">
        <f t="shared" si="28"/>
        <v>0</v>
      </c>
      <c r="X171" s="696">
        <f t="shared" si="29"/>
        <v>0</v>
      </c>
      <c r="Y171" s="696">
        <f t="shared" si="30"/>
        <v>0</v>
      </c>
      <c r="Z171" s="696">
        <f t="shared" si="31"/>
        <v>0</v>
      </c>
      <c r="AA171" s="696">
        <f t="shared" si="32"/>
        <v>0</v>
      </c>
      <c r="AB171" s="696">
        <f t="shared" si="33"/>
        <v>0</v>
      </c>
      <c r="AC171" s="696">
        <f t="shared" si="34"/>
        <v>0</v>
      </c>
      <c r="AD171" s="696">
        <f t="shared" si="35"/>
        <v>0</v>
      </c>
      <c r="AE171" s="699"/>
    </row>
    <row r="172" spans="1:31" ht="25.15" customHeight="1">
      <c r="A172" s="543">
        <v>24</v>
      </c>
      <c r="B172" s="546"/>
      <c r="C172" s="575"/>
      <c r="D172" s="694"/>
      <c r="E172" s="694"/>
      <c r="F172" s="694"/>
      <c r="G172" s="694"/>
      <c r="H172" s="694"/>
      <c r="I172" s="694"/>
      <c r="J172" s="694"/>
      <c r="K172" s="694"/>
      <c r="L172" s="694"/>
      <c r="M172" s="694"/>
      <c r="N172" s="554">
        <f t="shared" si="23"/>
        <v>0</v>
      </c>
      <c r="O172" s="554">
        <f t="shared" si="24"/>
        <v>0</v>
      </c>
      <c r="P172" s="555">
        <f>(O172/O240)*100</f>
        <v>0</v>
      </c>
      <c r="Q172" s="567"/>
      <c r="R172" s="555">
        <f t="shared" si="25"/>
        <v>0</v>
      </c>
      <c r="S172" s="698"/>
      <c r="U172" s="696">
        <f t="shared" si="26"/>
        <v>0</v>
      </c>
      <c r="V172" s="696">
        <f t="shared" si="27"/>
        <v>0</v>
      </c>
      <c r="W172" s="696">
        <f t="shared" si="28"/>
        <v>0</v>
      </c>
      <c r="X172" s="696">
        <f t="shared" si="29"/>
        <v>0</v>
      </c>
      <c r="Y172" s="696">
        <f t="shared" si="30"/>
        <v>0</v>
      </c>
      <c r="Z172" s="696">
        <f t="shared" si="31"/>
        <v>0</v>
      </c>
      <c r="AA172" s="696">
        <f t="shared" si="32"/>
        <v>0</v>
      </c>
      <c r="AB172" s="696">
        <f t="shared" si="33"/>
        <v>0</v>
      </c>
      <c r="AC172" s="696">
        <f t="shared" si="34"/>
        <v>0</v>
      </c>
      <c r="AD172" s="696">
        <f t="shared" si="35"/>
        <v>0</v>
      </c>
      <c r="AE172" s="699"/>
    </row>
    <row r="173" spans="1:31" ht="25.15" customHeight="1">
      <c r="A173" s="543">
        <v>25</v>
      </c>
      <c r="B173" s="546"/>
      <c r="C173" s="575"/>
      <c r="D173" s="694"/>
      <c r="E173" s="694"/>
      <c r="F173" s="694"/>
      <c r="G173" s="694"/>
      <c r="H173" s="694"/>
      <c r="I173" s="694"/>
      <c r="J173" s="694"/>
      <c r="K173" s="694"/>
      <c r="L173" s="694"/>
      <c r="M173" s="694"/>
      <c r="N173" s="554">
        <f t="shared" si="23"/>
        <v>0</v>
      </c>
      <c r="O173" s="554">
        <f t="shared" si="24"/>
        <v>0</v>
      </c>
      <c r="P173" s="555">
        <f>(O173/O240)*100</f>
        <v>0</v>
      </c>
      <c r="Q173" s="567"/>
      <c r="R173" s="555">
        <f t="shared" si="25"/>
        <v>0</v>
      </c>
      <c r="S173" s="698"/>
      <c r="U173" s="696">
        <f t="shared" si="26"/>
        <v>0</v>
      </c>
      <c r="V173" s="696">
        <f t="shared" si="27"/>
        <v>0</v>
      </c>
      <c r="W173" s="696">
        <f t="shared" si="28"/>
        <v>0</v>
      </c>
      <c r="X173" s="696">
        <f t="shared" si="29"/>
        <v>0</v>
      </c>
      <c r="Y173" s="696">
        <f t="shared" si="30"/>
        <v>0</v>
      </c>
      <c r="Z173" s="696">
        <f t="shared" si="31"/>
        <v>0</v>
      </c>
      <c r="AA173" s="696">
        <f t="shared" si="32"/>
        <v>0</v>
      </c>
      <c r="AB173" s="696">
        <f t="shared" si="33"/>
        <v>0</v>
      </c>
      <c r="AC173" s="696">
        <f t="shared" si="34"/>
        <v>0</v>
      </c>
      <c r="AD173" s="696">
        <f t="shared" si="35"/>
        <v>0</v>
      </c>
      <c r="AE173" s="699"/>
    </row>
    <row r="174" spans="1:31" ht="25.15" customHeight="1">
      <c r="A174" s="543">
        <v>26</v>
      </c>
      <c r="B174" s="546"/>
      <c r="C174" s="575"/>
      <c r="D174" s="694"/>
      <c r="E174" s="694"/>
      <c r="F174" s="694"/>
      <c r="G174" s="694"/>
      <c r="H174" s="694"/>
      <c r="I174" s="694"/>
      <c r="J174" s="694"/>
      <c r="K174" s="694"/>
      <c r="L174" s="694"/>
      <c r="M174" s="694"/>
      <c r="N174" s="554">
        <f t="shared" si="23"/>
        <v>0</v>
      </c>
      <c r="O174" s="554">
        <f t="shared" si="24"/>
        <v>0</v>
      </c>
      <c r="P174" s="555">
        <f>(O174/O240)*100</f>
        <v>0</v>
      </c>
      <c r="Q174" s="567"/>
      <c r="R174" s="555">
        <f t="shared" si="25"/>
        <v>0</v>
      </c>
      <c r="S174" s="698"/>
      <c r="U174" s="696">
        <f t="shared" si="26"/>
        <v>0</v>
      </c>
      <c r="V174" s="696">
        <f t="shared" si="27"/>
        <v>0</v>
      </c>
      <c r="W174" s="696">
        <f t="shared" si="28"/>
        <v>0</v>
      </c>
      <c r="X174" s="696">
        <f t="shared" si="29"/>
        <v>0</v>
      </c>
      <c r="Y174" s="696">
        <f t="shared" si="30"/>
        <v>0</v>
      </c>
      <c r="Z174" s="696">
        <f t="shared" si="31"/>
        <v>0</v>
      </c>
      <c r="AA174" s="696">
        <f t="shared" si="32"/>
        <v>0</v>
      </c>
      <c r="AB174" s="696">
        <f t="shared" si="33"/>
        <v>0</v>
      </c>
      <c r="AC174" s="696">
        <f t="shared" si="34"/>
        <v>0</v>
      </c>
      <c r="AD174" s="696">
        <f t="shared" si="35"/>
        <v>0</v>
      </c>
      <c r="AE174" s="699"/>
    </row>
    <row r="175" spans="1:31" ht="25.15" customHeight="1">
      <c r="A175" s="543">
        <v>27</v>
      </c>
      <c r="B175" s="546"/>
      <c r="C175" s="575"/>
      <c r="D175" s="694"/>
      <c r="E175" s="694"/>
      <c r="F175" s="694"/>
      <c r="G175" s="694"/>
      <c r="H175" s="694"/>
      <c r="I175" s="694"/>
      <c r="J175" s="694"/>
      <c r="K175" s="694"/>
      <c r="L175" s="694"/>
      <c r="M175" s="694"/>
      <c r="N175" s="554">
        <f t="shared" si="23"/>
        <v>0</v>
      </c>
      <c r="O175" s="554">
        <f t="shared" si="24"/>
        <v>0</v>
      </c>
      <c r="P175" s="555">
        <f>(O175/O240)*100</f>
        <v>0</v>
      </c>
      <c r="Q175" s="567"/>
      <c r="R175" s="555">
        <f t="shared" si="25"/>
        <v>0</v>
      </c>
      <c r="S175" s="698"/>
      <c r="U175" s="696">
        <f t="shared" si="26"/>
        <v>0</v>
      </c>
      <c r="V175" s="696">
        <f t="shared" si="27"/>
        <v>0</v>
      </c>
      <c r="W175" s="696">
        <f t="shared" si="28"/>
        <v>0</v>
      </c>
      <c r="X175" s="696">
        <f t="shared" si="29"/>
        <v>0</v>
      </c>
      <c r="Y175" s="696">
        <f t="shared" si="30"/>
        <v>0</v>
      </c>
      <c r="Z175" s="696">
        <f t="shared" si="31"/>
        <v>0</v>
      </c>
      <c r="AA175" s="696">
        <f t="shared" si="32"/>
        <v>0</v>
      </c>
      <c r="AB175" s="696">
        <f t="shared" si="33"/>
        <v>0</v>
      </c>
      <c r="AC175" s="696">
        <f t="shared" si="34"/>
        <v>0</v>
      </c>
      <c r="AD175" s="696">
        <f t="shared" si="35"/>
        <v>0</v>
      </c>
      <c r="AE175" s="699"/>
    </row>
    <row r="176" spans="1:31" ht="25.15" customHeight="1">
      <c r="A176" s="543">
        <v>28</v>
      </c>
      <c r="B176" s="546"/>
      <c r="C176" s="575"/>
      <c r="D176" s="694"/>
      <c r="E176" s="694"/>
      <c r="F176" s="694"/>
      <c r="G176" s="694"/>
      <c r="H176" s="694"/>
      <c r="I176" s="694"/>
      <c r="J176" s="694"/>
      <c r="K176" s="694"/>
      <c r="L176" s="694"/>
      <c r="M176" s="694"/>
      <c r="N176" s="554">
        <f t="shared" si="23"/>
        <v>0</v>
      </c>
      <c r="O176" s="554">
        <f t="shared" si="24"/>
        <v>0</v>
      </c>
      <c r="P176" s="555">
        <f>(O176/O240)*100</f>
        <v>0</v>
      </c>
      <c r="Q176" s="567"/>
      <c r="R176" s="555">
        <f t="shared" si="25"/>
        <v>0</v>
      </c>
      <c r="S176" s="698"/>
      <c r="U176" s="696">
        <f t="shared" si="26"/>
        <v>0</v>
      </c>
      <c r="V176" s="696">
        <f t="shared" si="27"/>
        <v>0</v>
      </c>
      <c r="W176" s="696">
        <f t="shared" si="28"/>
        <v>0</v>
      </c>
      <c r="X176" s="696">
        <f t="shared" si="29"/>
        <v>0</v>
      </c>
      <c r="Y176" s="696">
        <f t="shared" si="30"/>
        <v>0</v>
      </c>
      <c r="Z176" s="696">
        <f t="shared" si="31"/>
        <v>0</v>
      </c>
      <c r="AA176" s="696">
        <f t="shared" si="32"/>
        <v>0</v>
      </c>
      <c r="AB176" s="696">
        <f t="shared" si="33"/>
        <v>0</v>
      </c>
      <c r="AC176" s="696">
        <f t="shared" si="34"/>
        <v>0</v>
      </c>
      <c r="AD176" s="696">
        <f t="shared" si="35"/>
        <v>0</v>
      </c>
      <c r="AE176" s="699"/>
    </row>
    <row r="177" spans="1:31" ht="25.15" customHeight="1">
      <c r="A177" s="543">
        <v>29</v>
      </c>
      <c r="B177" s="546"/>
      <c r="C177" s="575"/>
      <c r="D177" s="694"/>
      <c r="E177" s="694"/>
      <c r="F177" s="694"/>
      <c r="G177" s="694"/>
      <c r="H177" s="694"/>
      <c r="I177" s="694"/>
      <c r="J177" s="694"/>
      <c r="K177" s="694"/>
      <c r="L177" s="694"/>
      <c r="M177" s="694"/>
      <c r="N177" s="554">
        <f t="shared" si="23"/>
        <v>0</v>
      </c>
      <c r="O177" s="554">
        <f t="shared" si="24"/>
        <v>0</v>
      </c>
      <c r="P177" s="555">
        <f>(O177/O240)*100</f>
        <v>0</v>
      </c>
      <c r="Q177" s="567"/>
      <c r="R177" s="555">
        <f t="shared" si="25"/>
        <v>0</v>
      </c>
      <c r="S177" s="698"/>
      <c r="U177" s="696">
        <f t="shared" si="26"/>
        <v>0</v>
      </c>
      <c r="V177" s="696">
        <f t="shared" si="27"/>
        <v>0</v>
      </c>
      <c r="W177" s="696">
        <f t="shared" si="28"/>
        <v>0</v>
      </c>
      <c r="X177" s="696">
        <f t="shared" si="29"/>
        <v>0</v>
      </c>
      <c r="Y177" s="696">
        <f t="shared" si="30"/>
        <v>0</v>
      </c>
      <c r="Z177" s="696">
        <f t="shared" si="31"/>
        <v>0</v>
      </c>
      <c r="AA177" s="696">
        <f t="shared" si="32"/>
        <v>0</v>
      </c>
      <c r="AB177" s="696">
        <f t="shared" si="33"/>
        <v>0</v>
      </c>
      <c r="AC177" s="696">
        <f t="shared" si="34"/>
        <v>0</v>
      </c>
      <c r="AD177" s="696">
        <f t="shared" si="35"/>
        <v>0</v>
      </c>
      <c r="AE177" s="699"/>
    </row>
    <row r="178" spans="1:31" ht="25.15" customHeight="1">
      <c r="A178" s="543">
        <v>30</v>
      </c>
      <c r="B178" s="546"/>
      <c r="C178" s="575"/>
      <c r="D178" s="694"/>
      <c r="E178" s="694"/>
      <c r="F178" s="694"/>
      <c r="G178" s="694"/>
      <c r="H178" s="694"/>
      <c r="I178" s="694"/>
      <c r="J178" s="694"/>
      <c r="K178" s="694"/>
      <c r="L178" s="694"/>
      <c r="M178" s="694"/>
      <c r="N178" s="554">
        <f t="shared" si="23"/>
        <v>0</v>
      </c>
      <c r="O178" s="554">
        <f t="shared" si="24"/>
        <v>0</v>
      </c>
      <c r="P178" s="555">
        <f>(O178/O240)*100</f>
        <v>0</v>
      </c>
      <c r="Q178" s="567"/>
      <c r="R178" s="555">
        <f t="shared" si="25"/>
        <v>0</v>
      </c>
      <c r="S178" s="698"/>
      <c r="U178" s="696">
        <f t="shared" si="26"/>
        <v>0</v>
      </c>
      <c r="V178" s="696">
        <f t="shared" si="27"/>
        <v>0</v>
      </c>
      <c r="W178" s="696">
        <f t="shared" si="28"/>
        <v>0</v>
      </c>
      <c r="X178" s="696">
        <f t="shared" si="29"/>
        <v>0</v>
      </c>
      <c r="Y178" s="696">
        <f t="shared" si="30"/>
        <v>0</v>
      </c>
      <c r="Z178" s="696">
        <f t="shared" si="31"/>
        <v>0</v>
      </c>
      <c r="AA178" s="696">
        <f t="shared" si="32"/>
        <v>0</v>
      </c>
      <c r="AB178" s="696">
        <f t="shared" si="33"/>
        <v>0</v>
      </c>
      <c r="AC178" s="696">
        <f t="shared" si="34"/>
        <v>0</v>
      </c>
      <c r="AD178" s="696">
        <f t="shared" si="35"/>
        <v>0</v>
      </c>
      <c r="AE178" s="699"/>
    </row>
    <row r="179" spans="1:31" ht="25.15" customHeight="1">
      <c r="A179" s="543">
        <v>31</v>
      </c>
      <c r="B179" s="546"/>
      <c r="C179" s="575"/>
      <c r="D179" s="694"/>
      <c r="E179" s="694"/>
      <c r="F179" s="694"/>
      <c r="G179" s="694"/>
      <c r="H179" s="694"/>
      <c r="I179" s="694"/>
      <c r="J179" s="694"/>
      <c r="K179" s="694"/>
      <c r="L179" s="694"/>
      <c r="M179" s="694"/>
      <c r="N179" s="554">
        <f t="shared" si="23"/>
        <v>0</v>
      </c>
      <c r="O179" s="554">
        <f t="shared" si="24"/>
        <v>0</v>
      </c>
      <c r="P179" s="555">
        <f>(O179/O240)*100</f>
        <v>0</v>
      </c>
      <c r="Q179" s="567"/>
      <c r="R179" s="555">
        <f t="shared" si="25"/>
        <v>0</v>
      </c>
      <c r="S179" s="698"/>
      <c r="U179" s="696">
        <f t="shared" si="26"/>
        <v>0</v>
      </c>
      <c r="V179" s="696">
        <f t="shared" si="27"/>
        <v>0</v>
      </c>
      <c r="W179" s="696">
        <f t="shared" si="28"/>
        <v>0</v>
      </c>
      <c r="X179" s="696">
        <f t="shared" si="29"/>
        <v>0</v>
      </c>
      <c r="Y179" s="696">
        <f t="shared" si="30"/>
        <v>0</v>
      </c>
      <c r="Z179" s="696">
        <f t="shared" si="31"/>
        <v>0</v>
      </c>
      <c r="AA179" s="696">
        <f t="shared" si="32"/>
        <v>0</v>
      </c>
      <c r="AB179" s="696">
        <f t="shared" si="33"/>
        <v>0</v>
      </c>
      <c r="AC179" s="696">
        <f t="shared" si="34"/>
        <v>0</v>
      </c>
      <c r="AD179" s="696">
        <f t="shared" si="35"/>
        <v>0</v>
      </c>
      <c r="AE179" s="699"/>
    </row>
    <row r="180" spans="1:31" ht="25.15" customHeight="1">
      <c r="A180" s="543">
        <v>32</v>
      </c>
      <c r="B180" s="576"/>
      <c r="C180" s="769"/>
      <c r="D180" s="694"/>
      <c r="E180" s="694"/>
      <c r="F180" s="694"/>
      <c r="G180" s="694"/>
      <c r="H180" s="694"/>
      <c r="I180" s="694"/>
      <c r="J180" s="694"/>
      <c r="K180" s="694"/>
      <c r="L180" s="694"/>
      <c r="M180" s="694"/>
      <c r="N180" s="590">
        <f t="shared" si="23"/>
        <v>0</v>
      </c>
      <c r="O180" s="590">
        <f t="shared" si="24"/>
        <v>0</v>
      </c>
      <c r="P180" s="591">
        <f>(O180/O240)*100</f>
        <v>0</v>
      </c>
      <c r="Q180" s="721"/>
      <c r="R180" s="591">
        <f t="shared" si="25"/>
        <v>0</v>
      </c>
      <c r="S180" s="698"/>
      <c r="U180" s="696">
        <f t="shared" si="26"/>
        <v>0</v>
      </c>
      <c r="V180" s="696">
        <f t="shared" si="27"/>
        <v>0</v>
      </c>
      <c r="W180" s="696">
        <f t="shared" si="28"/>
        <v>0</v>
      </c>
      <c r="X180" s="696">
        <f t="shared" si="29"/>
        <v>0</v>
      </c>
      <c r="Y180" s="696">
        <f t="shared" si="30"/>
        <v>0</v>
      </c>
      <c r="Z180" s="696">
        <f t="shared" si="31"/>
        <v>0</v>
      </c>
      <c r="AA180" s="696">
        <f t="shared" si="32"/>
        <v>0</v>
      </c>
      <c r="AB180" s="696">
        <f t="shared" si="33"/>
        <v>0</v>
      </c>
      <c r="AC180" s="696">
        <f t="shared" si="34"/>
        <v>0</v>
      </c>
      <c r="AD180" s="696">
        <f t="shared" si="35"/>
        <v>0</v>
      </c>
      <c r="AE180" s="699"/>
    </row>
    <row r="181" spans="1:31" s="690" customFormat="1" ht="100.15" customHeight="1">
      <c r="A181" s="2602" t="s">
        <v>300</v>
      </c>
      <c r="B181" s="2603"/>
      <c r="C181" s="2604"/>
      <c r="D181" s="577">
        <f t="shared" ref="D181:M181" si="36">U181</f>
        <v>255500</v>
      </c>
      <c r="E181" s="578">
        <f t="shared" si="36"/>
        <v>281000</v>
      </c>
      <c r="F181" s="578">
        <f t="shared" si="36"/>
        <v>101700</v>
      </c>
      <c r="G181" s="578">
        <f t="shared" si="36"/>
        <v>206300</v>
      </c>
      <c r="H181" s="578">
        <f t="shared" si="36"/>
        <v>232900</v>
      </c>
      <c r="I181" s="578">
        <f t="shared" si="36"/>
        <v>172800</v>
      </c>
      <c r="J181" s="578">
        <f t="shared" si="36"/>
        <v>140050</v>
      </c>
      <c r="K181" s="578">
        <f t="shared" si="36"/>
        <v>0</v>
      </c>
      <c r="L181" s="578">
        <f t="shared" si="36"/>
        <v>0</v>
      </c>
      <c r="M181" s="578">
        <f t="shared" si="36"/>
        <v>0</v>
      </c>
      <c r="N181" s="578"/>
      <c r="O181" s="592">
        <f>SUM(D181:M181)</f>
        <v>1390250</v>
      </c>
      <c r="P181" s="713">
        <f>SUM(P8:P180)/100</f>
        <v>0.98198834539996505</v>
      </c>
      <c r="Q181" s="713"/>
      <c r="R181" s="722">
        <f>SUM(R8:R180)/100</f>
        <v>0</v>
      </c>
      <c r="S181" s="723"/>
      <c r="U181" s="724">
        <f t="shared" ref="U181:AD181" si="37">SUM(U8:U180)</f>
        <v>255500</v>
      </c>
      <c r="V181" s="724">
        <f t="shared" si="37"/>
        <v>281000</v>
      </c>
      <c r="W181" s="724">
        <f t="shared" si="37"/>
        <v>101700</v>
      </c>
      <c r="X181" s="724">
        <f t="shared" si="37"/>
        <v>206300</v>
      </c>
      <c r="Y181" s="724">
        <f t="shared" si="37"/>
        <v>232900</v>
      </c>
      <c r="Z181" s="724">
        <f t="shared" si="37"/>
        <v>172800</v>
      </c>
      <c r="AA181" s="724">
        <f t="shared" si="37"/>
        <v>140050</v>
      </c>
      <c r="AB181" s="724">
        <f t="shared" si="37"/>
        <v>0</v>
      </c>
      <c r="AC181" s="724">
        <f t="shared" si="37"/>
        <v>0</v>
      </c>
      <c r="AD181" s="724">
        <f t="shared" si="37"/>
        <v>0</v>
      </c>
    </row>
    <row r="182" spans="1:31" ht="20.149999999999999" customHeight="1">
      <c r="A182" s="706"/>
      <c r="B182" s="706"/>
      <c r="C182" s="706"/>
      <c r="D182" s="707"/>
      <c r="E182" s="707"/>
      <c r="F182" s="707"/>
      <c r="G182" s="707"/>
      <c r="H182" s="707"/>
      <c r="I182" s="707"/>
      <c r="J182" s="707"/>
      <c r="K182" s="707"/>
      <c r="L182" s="707"/>
      <c r="M182" s="707"/>
      <c r="N182" s="707"/>
      <c r="O182" s="707"/>
      <c r="P182" s="714"/>
      <c r="Q182" s="725"/>
      <c r="R182" s="714"/>
      <c r="S182" s="707"/>
      <c r="U182" s="699"/>
      <c r="V182" s="699"/>
      <c r="W182" s="699"/>
      <c r="X182" s="699"/>
      <c r="Y182" s="699"/>
      <c r="Z182" s="699"/>
      <c r="AA182" s="699"/>
      <c r="AB182" s="699"/>
      <c r="AC182" s="699"/>
      <c r="AD182" s="699"/>
      <c r="AE182" s="699"/>
    </row>
    <row r="183" spans="1:31" ht="40.15" customHeight="1">
      <c r="A183" s="580" t="s">
        <v>65</v>
      </c>
      <c r="B183" s="580" t="s">
        <v>1465</v>
      </c>
      <c r="C183" s="580" t="str">
        <f>B183</f>
        <v>BEVERAGES</v>
      </c>
      <c r="D183" s="581">
        <f>'LAP. PENJUALAN '!D6</f>
        <v>46030</v>
      </c>
      <c r="E183" s="581">
        <f>'LAP. PENJUALAN '!E6</f>
        <v>46031</v>
      </c>
      <c r="F183" s="581">
        <f>'LAP. PENJUALAN '!F6</f>
        <v>46032</v>
      </c>
      <c r="G183" s="581">
        <f>'LAP. PENJUALAN '!G6</f>
        <v>46033</v>
      </c>
      <c r="H183" s="581">
        <f>'LAP. PENJUALAN '!H6</f>
        <v>46034</v>
      </c>
      <c r="I183" s="581">
        <f>'LAP. PENJUALAN '!I6</f>
        <v>46035</v>
      </c>
      <c r="J183" s="581">
        <f>'LAP. PENJUALAN '!J6</f>
        <v>46036</v>
      </c>
      <c r="K183" s="581">
        <f>'LAP. PENJUALAN '!K6</f>
        <v>0</v>
      </c>
      <c r="L183" s="581">
        <f>'LAP. PENJUALAN '!L6</f>
        <v>0</v>
      </c>
      <c r="M183" s="581">
        <f>'LAP. PENJUALAN '!M6</f>
        <v>0</v>
      </c>
      <c r="N183" s="715" t="s">
        <v>67</v>
      </c>
      <c r="O183" s="715" t="s">
        <v>415</v>
      </c>
      <c r="P183" s="716" t="s">
        <v>1154</v>
      </c>
      <c r="Q183" s="726" t="s">
        <v>1280</v>
      </c>
      <c r="R183" s="726" t="s">
        <v>1281</v>
      </c>
      <c r="S183" s="727" t="s">
        <v>1466</v>
      </c>
      <c r="U183" s="699"/>
      <c r="V183" s="699"/>
      <c r="W183" s="699"/>
      <c r="X183" s="699"/>
      <c r="Y183" s="699"/>
      <c r="Z183" s="699"/>
      <c r="AA183" s="699"/>
      <c r="AB183" s="699"/>
      <c r="AC183" s="699"/>
      <c r="AD183" s="699"/>
      <c r="AE183" s="699"/>
    </row>
    <row r="184" spans="1:31" ht="25.15" customHeight="1">
      <c r="A184" s="708">
        <v>1</v>
      </c>
      <c r="B184" s="709" t="s">
        <v>1575</v>
      </c>
      <c r="C184" s="541" t="str">
        <f>'LAP. PENJUALAN '!C216</f>
        <v>Air Mineral Botol  (600 ML)</v>
      </c>
      <c r="D184" s="710"/>
      <c r="E184" s="710"/>
      <c r="F184" s="710"/>
      <c r="G184" s="710"/>
      <c r="H184" s="710">
        <v>1</v>
      </c>
      <c r="I184" s="710"/>
      <c r="J184" s="710"/>
      <c r="K184" s="710"/>
      <c r="L184" s="710"/>
      <c r="M184" s="710"/>
      <c r="N184" s="717">
        <f>SUM(D184:M184)</f>
        <v>1</v>
      </c>
      <c r="O184" s="718">
        <f t="shared" ref="O184:O238" si="38">N184*S184</f>
        <v>7200</v>
      </c>
      <c r="P184" s="719">
        <f>(O184/O240)*100</f>
        <v>0.50856436517746795</v>
      </c>
      <c r="Q184" s="728"/>
      <c r="R184" s="729">
        <f>P184*Q184</f>
        <v>0</v>
      </c>
      <c r="S184" s="710">
        <v>7200</v>
      </c>
      <c r="U184" s="696">
        <f>D184*S184</f>
        <v>0</v>
      </c>
      <c r="V184" s="696">
        <f>E184*S184</f>
        <v>0</v>
      </c>
      <c r="W184" s="696">
        <f>F184*S184</f>
        <v>0</v>
      </c>
      <c r="X184" s="696">
        <f>G184*S184</f>
        <v>0</v>
      </c>
      <c r="Y184" s="696">
        <f>H184*S184</f>
        <v>7200</v>
      </c>
      <c r="Z184" s="696">
        <f>I184*S184</f>
        <v>0</v>
      </c>
      <c r="AA184" s="696">
        <f>J184*S184</f>
        <v>0</v>
      </c>
      <c r="AB184" s="696">
        <f>K184*S184</f>
        <v>0</v>
      </c>
      <c r="AC184" s="696">
        <f>L184*S184</f>
        <v>0</v>
      </c>
      <c r="AD184" s="696">
        <f>M184*S184</f>
        <v>0</v>
      </c>
      <c r="AE184" s="699"/>
    </row>
    <row r="185" spans="1:31" ht="25.15" customHeight="1">
      <c r="A185" s="711">
        <v>2</v>
      </c>
      <c r="B185" s="712" t="s">
        <v>1469</v>
      </c>
      <c r="C185" s="541" t="str">
        <f>'LAP. PENJUALAN '!C217</f>
        <v>Air Mineral Botol (330 ML)</v>
      </c>
      <c r="D185" s="710"/>
      <c r="E185" s="710"/>
      <c r="F185" s="710"/>
      <c r="G185" s="710"/>
      <c r="H185" s="710"/>
      <c r="I185" s="710"/>
      <c r="J185" s="710"/>
      <c r="K185" s="710"/>
      <c r="L185" s="710"/>
      <c r="M185" s="710"/>
      <c r="N185" s="717">
        <f t="shared" ref="N185:N238" si="39">SUM(D185:M185)</f>
        <v>0</v>
      </c>
      <c r="O185" s="718">
        <f t="shared" si="38"/>
        <v>0</v>
      </c>
      <c r="P185" s="719">
        <f>(O185/O240)*100</f>
        <v>0</v>
      </c>
      <c r="Q185" s="730"/>
      <c r="R185" s="729">
        <f t="shared" ref="R185:R238" si="40">P185*Q185</f>
        <v>0</v>
      </c>
      <c r="S185" s="710"/>
      <c r="T185" s="692" t="s">
        <v>61</v>
      </c>
      <c r="U185" s="696">
        <f t="shared" ref="U185:U238" si="41">D185*S185</f>
        <v>0</v>
      </c>
      <c r="V185" s="696">
        <f t="shared" ref="V185:V238" si="42">E185*S185</f>
        <v>0</v>
      </c>
      <c r="W185" s="696">
        <f t="shared" ref="W185:W238" si="43">F185*S185</f>
        <v>0</v>
      </c>
      <c r="X185" s="696">
        <f t="shared" ref="X185:X238" si="44">G185*S185</f>
        <v>0</v>
      </c>
      <c r="Y185" s="696">
        <f t="shared" ref="Y185:Y238" si="45">H185*S185</f>
        <v>0</v>
      </c>
      <c r="Z185" s="696">
        <f t="shared" ref="Z185:Z238" si="46">I185*S185</f>
        <v>0</v>
      </c>
      <c r="AA185" s="696">
        <f t="shared" ref="AA185:AA238" si="47">J185*S185</f>
        <v>0</v>
      </c>
      <c r="AB185" s="696">
        <f t="shared" ref="AB185:AB238" si="48">K185*S185</f>
        <v>0</v>
      </c>
      <c r="AC185" s="696">
        <f t="shared" ref="AC185:AC238" si="49">L185*S185</f>
        <v>0</v>
      </c>
      <c r="AD185" s="696">
        <f t="shared" ref="AD185:AD238" si="50">M185*S185</f>
        <v>0</v>
      </c>
      <c r="AE185" s="699"/>
    </row>
    <row r="186" spans="1:31" ht="25.15" customHeight="1">
      <c r="A186" s="711">
        <v>3</v>
      </c>
      <c r="B186" s="712" t="s">
        <v>1470</v>
      </c>
      <c r="C186" s="541" t="str">
        <f>'LAP. PENJUALAN '!C218</f>
        <v>Air Mineral Cup</v>
      </c>
      <c r="D186" s="710"/>
      <c r="E186" s="710"/>
      <c r="F186" s="710"/>
      <c r="G186" s="710"/>
      <c r="H186" s="710"/>
      <c r="I186" s="710"/>
      <c r="J186" s="710"/>
      <c r="K186" s="710"/>
      <c r="L186" s="710"/>
      <c r="M186" s="710"/>
      <c r="N186" s="717">
        <f t="shared" si="39"/>
        <v>0</v>
      </c>
      <c r="O186" s="718">
        <f t="shared" si="38"/>
        <v>0</v>
      </c>
      <c r="P186" s="719">
        <f>(O186/O240)*100</f>
        <v>0</v>
      </c>
      <c r="Q186" s="731"/>
      <c r="R186" s="729">
        <f t="shared" si="40"/>
        <v>0</v>
      </c>
      <c r="S186" s="710">
        <v>2500</v>
      </c>
      <c r="U186" s="696">
        <f t="shared" si="41"/>
        <v>0</v>
      </c>
      <c r="V186" s="696">
        <f t="shared" si="42"/>
        <v>0</v>
      </c>
      <c r="W186" s="696">
        <f t="shared" si="43"/>
        <v>0</v>
      </c>
      <c r="X186" s="696">
        <f t="shared" si="44"/>
        <v>0</v>
      </c>
      <c r="Y186" s="696">
        <f t="shared" si="45"/>
        <v>0</v>
      </c>
      <c r="Z186" s="696">
        <f t="shared" si="46"/>
        <v>0</v>
      </c>
      <c r="AA186" s="696">
        <f t="shared" si="47"/>
        <v>0</v>
      </c>
      <c r="AB186" s="696">
        <f t="shared" si="48"/>
        <v>0</v>
      </c>
      <c r="AC186" s="696">
        <f t="shared" si="49"/>
        <v>0</v>
      </c>
      <c r="AD186" s="696">
        <f t="shared" si="50"/>
        <v>0</v>
      </c>
      <c r="AE186" s="699"/>
    </row>
    <row r="187" spans="1:31" ht="25.15" customHeight="1">
      <c r="A187" s="711">
        <v>4</v>
      </c>
      <c r="B187" s="712" t="s">
        <v>1471</v>
      </c>
      <c r="C187" s="541" t="str">
        <f>'LAP. PENJUALAN '!C219</f>
        <v>Teh Botol</v>
      </c>
      <c r="D187" s="710">
        <v>1</v>
      </c>
      <c r="E187" s="710"/>
      <c r="F187" s="710"/>
      <c r="G187" s="710"/>
      <c r="H187" s="710"/>
      <c r="I187" s="710"/>
      <c r="J187" s="710"/>
      <c r="K187" s="710"/>
      <c r="L187" s="710"/>
      <c r="M187" s="710"/>
      <c r="N187" s="717">
        <f t="shared" si="39"/>
        <v>1</v>
      </c>
      <c r="O187" s="718">
        <f t="shared" si="38"/>
        <v>7500</v>
      </c>
      <c r="P187" s="719">
        <f>(O187/O240)*100</f>
        <v>0.52975454705986202</v>
      </c>
      <c r="Q187" s="731"/>
      <c r="R187" s="729">
        <f t="shared" si="40"/>
        <v>0</v>
      </c>
      <c r="S187" s="710">
        <v>7500</v>
      </c>
      <c r="U187" s="696">
        <f t="shared" si="41"/>
        <v>7500</v>
      </c>
      <c r="V187" s="696">
        <f t="shared" si="42"/>
        <v>0</v>
      </c>
      <c r="W187" s="696">
        <f t="shared" si="43"/>
        <v>0</v>
      </c>
      <c r="X187" s="696">
        <f t="shared" si="44"/>
        <v>0</v>
      </c>
      <c r="Y187" s="696">
        <f t="shared" si="45"/>
        <v>0</v>
      </c>
      <c r="Z187" s="696">
        <f t="shared" si="46"/>
        <v>0</v>
      </c>
      <c r="AA187" s="696">
        <f t="shared" si="47"/>
        <v>0</v>
      </c>
      <c r="AB187" s="696">
        <f t="shared" si="48"/>
        <v>0</v>
      </c>
      <c r="AC187" s="696">
        <f t="shared" si="49"/>
        <v>0</v>
      </c>
      <c r="AD187" s="696">
        <f t="shared" si="50"/>
        <v>0</v>
      </c>
      <c r="AE187" s="699"/>
    </row>
    <row r="188" spans="1:31" ht="25.15" customHeight="1">
      <c r="A188" s="711">
        <v>5</v>
      </c>
      <c r="B188" s="712" t="s">
        <v>1472</v>
      </c>
      <c r="C188" s="541" t="str">
        <f>'LAP. PENJUALAN '!C220</f>
        <v>Teh Sosro Genggam</v>
      </c>
      <c r="D188" s="710"/>
      <c r="E188" s="710"/>
      <c r="F188" s="710"/>
      <c r="G188" s="710"/>
      <c r="H188" s="710"/>
      <c r="I188" s="710"/>
      <c r="J188" s="710"/>
      <c r="K188" s="710"/>
      <c r="L188" s="710"/>
      <c r="M188" s="710"/>
      <c r="N188" s="717">
        <f t="shared" si="39"/>
        <v>0</v>
      </c>
      <c r="O188" s="718">
        <f t="shared" si="38"/>
        <v>0</v>
      </c>
      <c r="P188" s="720">
        <f>(O188/O240)*100</f>
        <v>0</v>
      </c>
      <c r="Q188" s="731"/>
      <c r="R188" s="729">
        <f t="shared" si="40"/>
        <v>0</v>
      </c>
      <c r="S188" s="710"/>
      <c r="U188" s="696">
        <f t="shared" si="41"/>
        <v>0</v>
      </c>
      <c r="V188" s="696">
        <f t="shared" si="42"/>
        <v>0</v>
      </c>
      <c r="W188" s="696">
        <f t="shared" si="43"/>
        <v>0</v>
      </c>
      <c r="X188" s="696">
        <f t="shared" si="44"/>
        <v>0</v>
      </c>
      <c r="Y188" s="696">
        <f t="shared" si="45"/>
        <v>0</v>
      </c>
      <c r="Z188" s="696">
        <f t="shared" si="46"/>
        <v>0</v>
      </c>
      <c r="AA188" s="696">
        <f t="shared" si="47"/>
        <v>0</v>
      </c>
      <c r="AB188" s="696">
        <f t="shared" si="48"/>
        <v>0</v>
      </c>
      <c r="AC188" s="696">
        <f t="shared" si="49"/>
        <v>0</v>
      </c>
      <c r="AD188" s="696">
        <f t="shared" si="50"/>
        <v>0</v>
      </c>
      <c r="AE188" s="699"/>
    </row>
    <row r="189" spans="1:31" ht="25.15" customHeight="1">
      <c r="A189" s="711">
        <v>6</v>
      </c>
      <c r="B189" s="712" t="s">
        <v>1473</v>
      </c>
      <c r="C189" s="541" t="str">
        <f>'LAP. PENJUALAN '!C221</f>
        <v>Fruit Tea Botol</v>
      </c>
      <c r="D189" s="710"/>
      <c r="E189" s="710"/>
      <c r="F189" s="710"/>
      <c r="G189" s="710"/>
      <c r="H189" s="710"/>
      <c r="I189" s="710"/>
      <c r="J189" s="710"/>
      <c r="K189" s="710"/>
      <c r="L189" s="710"/>
      <c r="M189" s="710"/>
      <c r="N189" s="717">
        <f t="shared" si="39"/>
        <v>0</v>
      </c>
      <c r="O189" s="718">
        <f t="shared" si="38"/>
        <v>0</v>
      </c>
      <c r="P189" s="720">
        <f>(O189/O240)*100</f>
        <v>0</v>
      </c>
      <c r="Q189" s="731"/>
      <c r="R189" s="729">
        <f t="shared" si="40"/>
        <v>0</v>
      </c>
      <c r="S189" s="710">
        <v>7500</v>
      </c>
      <c r="U189" s="696">
        <f t="shared" si="41"/>
        <v>0</v>
      </c>
      <c r="V189" s="696">
        <f t="shared" si="42"/>
        <v>0</v>
      </c>
      <c r="W189" s="696">
        <f t="shared" si="43"/>
        <v>0</v>
      </c>
      <c r="X189" s="696">
        <f t="shared" si="44"/>
        <v>0</v>
      </c>
      <c r="Y189" s="696">
        <f t="shared" si="45"/>
        <v>0</v>
      </c>
      <c r="Z189" s="696">
        <f t="shared" si="46"/>
        <v>0</v>
      </c>
      <c r="AA189" s="696">
        <f t="shared" si="47"/>
        <v>0</v>
      </c>
      <c r="AB189" s="696">
        <f t="shared" si="48"/>
        <v>0</v>
      </c>
      <c r="AC189" s="696">
        <f t="shared" si="49"/>
        <v>0</v>
      </c>
      <c r="AD189" s="696">
        <f t="shared" si="50"/>
        <v>0</v>
      </c>
      <c r="AE189" s="699"/>
    </row>
    <row r="190" spans="1:31" ht="25.15" customHeight="1">
      <c r="A190" s="711">
        <v>7</v>
      </c>
      <c r="B190" s="712" t="s">
        <v>1474</v>
      </c>
      <c r="C190" s="541" t="str">
        <f>'LAP. PENJUALAN '!C222</f>
        <v>Fuit Tea Genggam</v>
      </c>
      <c r="D190" s="710"/>
      <c r="E190" s="710"/>
      <c r="F190" s="710"/>
      <c r="G190" s="710"/>
      <c r="H190" s="710"/>
      <c r="I190" s="710"/>
      <c r="J190" s="710"/>
      <c r="K190" s="710"/>
      <c r="L190" s="710"/>
      <c r="M190" s="710"/>
      <c r="N190" s="717">
        <f t="shared" si="39"/>
        <v>0</v>
      </c>
      <c r="O190" s="718">
        <f t="shared" si="38"/>
        <v>0</v>
      </c>
      <c r="P190" s="720">
        <f>(O190/O240)*100</f>
        <v>0</v>
      </c>
      <c r="Q190" s="731"/>
      <c r="R190" s="729">
        <f t="shared" si="40"/>
        <v>0</v>
      </c>
      <c r="S190" s="710"/>
      <c r="U190" s="696">
        <f t="shared" si="41"/>
        <v>0</v>
      </c>
      <c r="V190" s="696">
        <f t="shared" si="42"/>
        <v>0</v>
      </c>
      <c r="W190" s="696">
        <f t="shared" si="43"/>
        <v>0</v>
      </c>
      <c r="X190" s="696">
        <f t="shared" si="44"/>
        <v>0</v>
      </c>
      <c r="Y190" s="696">
        <f t="shared" si="45"/>
        <v>0</v>
      </c>
      <c r="Z190" s="696">
        <f t="shared" si="46"/>
        <v>0</v>
      </c>
      <c r="AA190" s="696">
        <f t="shared" si="47"/>
        <v>0</v>
      </c>
      <c r="AB190" s="696">
        <f t="shared" si="48"/>
        <v>0</v>
      </c>
      <c r="AC190" s="696">
        <f t="shared" si="49"/>
        <v>0</v>
      </c>
      <c r="AD190" s="696">
        <f t="shared" si="50"/>
        <v>0</v>
      </c>
      <c r="AE190" s="699"/>
    </row>
    <row r="191" spans="1:31" ht="25.15" customHeight="1">
      <c r="A191" s="711">
        <v>8</v>
      </c>
      <c r="B191" s="712" t="s">
        <v>170</v>
      </c>
      <c r="C191" s="541" t="str">
        <f>'LAP. PENJUALAN '!C223</f>
        <v>Tebs</v>
      </c>
      <c r="D191" s="710"/>
      <c r="E191" s="710"/>
      <c r="F191" s="710"/>
      <c r="G191" s="710"/>
      <c r="H191" s="710"/>
      <c r="I191" s="710"/>
      <c r="J191" s="710"/>
      <c r="K191" s="710"/>
      <c r="L191" s="710"/>
      <c r="M191" s="710"/>
      <c r="N191" s="717">
        <f t="shared" si="39"/>
        <v>0</v>
      </c>
      <c r="O191" s="718">
        <f t="shared" si="38"/>
        <v>0</v>
      </c>
      <c r="P191" s="720">
        <f>(O191/O240)*100</f>
        <v>0</v>
      </c>
      <c r="Q191" s="731"/>
      <c r="R191" s="729">
        <f t="shared" si="40"/>
        <v>0</v>
      </c>
      <c r="S191" s="710">
        <v>7500</v>
      </c>
      <c r="U191" s="696">
        <f t="shared" si="41"/>
        <v>0</v>
      </c>
      <c r="V191" s="696">
        <f t="shared" si="42"/>
        <v>0</v>
      </c>
      <c r="W191" s="696">
        <f t="shared" si="43"/>
        <v>0</v>
      </c>
      <c r="X191" s="696">
        <f t="shared" si="44"/>
        <v>0</v>
      </c>
      <c r="Y191" s="696">
        <f t="shared" si="45"/>
        <v>0</v>
      </c>
      <c r="Z191" s="696">
        <f t="shared" si="46"/>
        <v>0</v>
      </c>
      <c r="AA191" s="696">
        <f t="shared" si="47"/>
        <v>0</v>
      </c>
      <c r="AB191" s="696">
        <f t="shared" si="48"/>
        <v>0</v>
      </c>
      <c r="AC191" s="696">
        <f t="shared" si="49"/>
        <v>0</v>
      </c>
      <c r="AD191" s="696">
        <f t="shared" si="50"/>
        <v>0</v>
      </c>
      <c r="AE191" s="699"/>
    </row>
    <row r="192" spans="1:31" ht="25.15" customHeight="1">
      <c r="A192" s="711">
        <v>9</v>
      </c>
      <c r="B192" s="712"/>
      <c r="C192" s="541" t="str">
        <f>'LAP. PENJUALAN '!C224</f>
        <v>S-tee</v>
      </c>
      <c r="D192" s="710"/>
      <c r="E192" s="710"/>
      <c r="F192" s="710"/>
      <c r="G192" s="710"/>
      <c r="H192" s="710"/>
      <c r="I192" s="710"/>
      <c r="J192" s="710"/>
      <c r="K192" s="710"/>
      <c r="L192" s="710"/>
      <c r="M192" s="710"/>
      <c r="N192" s="717">
        <f t="shared" si="39"/>
        <v>0</v>
      </c>
      <c r="O192" s="718">
        <f t="shared" si="38"/>
        <v>0</v>
      </c>
      <c r="P192" s="720">
        <f>(O192/O240)*100</f>
        <v>0</v>
      </c>
      <c r="Q192" s="731"/>
      <c r="R192" s="729">
        <f t="shared" si="40"/>
        <v>0</v>
      </c>
      <c r="S192" s="710"/>
      <c r="U192" s="696">
        <f t="shared" si="41"/>
        <v>0</v>
      </c>
      <c r="V192" s="696">
        <f t="shared" si="42"/>
        <v>0</v>
      </c>
      <c r="W192" s="696">
        <f t="shared" si="43"/>
        <v>0</v>
      </c>
      <c r="X192" s="696">
        <f t="shared" si="44"/>
        <v>0</v>
      </c>
      <c r="Y192" s="696">
        <f t="shared" si="45"/>
        <v>0</v>
      </c>
      <c r="Z192" s="696">
        <f t="shared" si="46"/>
        <v>0</v>
      </c>
      <c r="AA192" s="696">
        <f t="shared" si="47"/>
        <v>0</v>
      </c>
      <c r="AB192" s="696">
        <f t="shared" si="48"/>
        <v>0</v>
      </c>
      <c r="AC192" s="696">
        <f t="shared" si="49"/>
        <v>0</v>
      </c>
      <c r="AD192" s="696">
        <f t="shared" si="50"/>
        <v>0</v>
      </c>
      <c r="AE192" s="699"/>
    </row>
    <row r="193" spans="1:31" ht="25.15" customHeight="1">
      <c r="A193" s="711">
        <v>10</v>
      </c>
      <c r="B193" s="712" t="s">
        <v>1476</v>
      </c>
      <c r="C193" s="541"/>
      <c r="D193" s="710"/>
      <c r="E193" s="710"/>
      <c r="F193" s="710"/>
      <c r="G193" s="710"/>
      <c r="H193" s="710"/>
      <c r="I193" s="710"/>
      <c r="J193" s="710"/>
      <c r="K193" s="710"/>
      <c r="L193" s="710"/>
      <c r="M193" s="710"/>
      <c r="N193" s="717">
        <f t="shared" si="39"/>
        <v>0</v>
      </c>
      <c r="O193" s="718">
        <f t="shared" si="38"/>
        <v>0</v>
      </c>
      <c r="P193" s="720">
        <f>(O193/O240)*100</f>
        <v>0</v>
      </c>
      <c r="Q193" s="731"/>
      <c r="R193" s="729">
        <f t="shared" si="40"/>
        <v>0</v>
      </c>
      <c r="S193" s="710"/>
      <c r="U193" s="696">
        <f t="shared" si="41"/>
        <v>0</v>
      </c>
      <c r="V193" s="696">
        <f t="shared" si="42"/>
        <v>0</v>
      </c>
      <c r="W193" s="696">
        <f t="shared" si="43"/>
        <v>0</v>
      </c>
      <c r="X193" s="696">
        <f t="shared" si="44"/>
        <v>0</v>
      </c>
      <c r="Y193" s="696">
        <f t="shared" si="45"/>
        <v>0</v>
      </c>
      <c r="Z193" s="696">
        <f t="shared" si="46"/>
        <v>0</v>
      </c>
      <c r="AA193" s="696">
        <f t="shared" si="47"/>
        <v>0</v>
      </c>
      <c r="AB193" s="696">
        <f t="shared" si="48"/>
        <v>0</v>
      </c>
      <c r="AC193" s="696">
        <f t="shared" si="49"/>
        <v>0</v>
      </c>
      <c r="AD193" s="696">
        <f t="shared" si="50"/>
        <v>0</v>
      </c>
      <c r="AE193" s="699"/>
    </row>
    <row r="194" spans="1:31" ht="25.15" customHeight="1">
      <c r="A194" s="711">
        <v>11</v>
      </c>
      <c r="B194" s="712" t="s">
        <v>1477</v>
      </c>
      <c r="C194" s="541" t="str">
        <f>'LAP. PENJUALAN '!C226</f>
        <v>Juice Durian Float</v>
      </c>
      <c r="D194" s="710"/>
      <c r="E194" s="710"/>
      <c r="F194" s="710"/>
      <c r="G194" s="710"/>
      <c r="H194" s="710"/>
      <c r="I194" s="710"/>
      <c r="J194" s="710"/>
      <c r="K194" s="710"/>
      <c r="L194" s="710"/>
      <c r="M194" s="710"/>
      <c r="N194" s="717">
        <f t="shared" si="39"/>
        <v>0</v>
      </c>
      <c r="O194" s="718">
        <f t="shared" si="38"/>
        <v>0</v>
      </c>
      <c r="P194" s="720">
        <f>(O194/O240)*100</f>
        <v>0</v>
      </c>
      <c r="Q194" s="731"/>
      <c r="R194" s="729">
        <f t="shared" si="40"/>
        <v>0</v>
      </c>
      <c r="S194" s="710"/>
      <c r="U194" s="696">
        <f t="shared" si="41"/>
        <v>0</v>
      </c>
      <c r="V194" s="696">
        <f t="shared" si="42"/>
        <v>0</v>
      </c>
      <c r="W194" s="696">
        <f t="shared" si="43"/>
        <v>0</v>
      </c>
      <c r="X194" s="696">
        <f t="shared" si="44"/>
        <v>0</v>
      </c>
      <c r="Y194" s="696">
        <f t="shared" si="45"/>
        <v>0</v>
      </c>
      <c r="Z194" s="696">
        <f t="shared" si="46"/>
        <v>0</v>
      </c>
      <c r="AA194" s="696">
        <f t="shared" si="47"/>
        <v>0</v>
      </c>
      <c r="AB194" s="696">
        <f t="shared" si="48"/>
        <v>0</v>
      </c>
      <c r="AC194" s="696">
        <f t="shared" si="49"/>
        <v>0</v>
      </c>
      <c r="AD194" s="696">
        <f t="shared" si="50"/>
        <v>0</v>
      </c>
      <c r="AE194" s="699"/>
    </row>
    <row r="195" spans="1:31" ht="25.15" customHeight="1">
      <c r="A195" s="711">
        <v>12</v>
      </c>
      <c r="B195" s="712" t="s">
        <v>1478</v>
      </c>
      <c r="C195" s="541" t="str">
        <f>'LAP. PENJUALAN '!C227</f>
        <v>Juice Durian</v>
      </c>
      <c r="D195" s="710"/>
      <c r="E195" s="710"/>
      <c r="F195" s="710"/>
      <c r="G195" s="710"/>
      <c r="H195" s="710"/>
      <c r="I195" s="710"/>
      <c r="J195" s="710"/>
      <c r="K195" s="710"/>
      <c r="L195" s="710"/>
      <c r="M195" s="710"/>
      <c r="N195" s="717">
        <f t="shared" si="39"/>
        <v>0</v>
      </c>
      <c r="O195" s="718">
        <f t="shared" si="38"/>
        <v>0</v>
      </c>
      <c r="P195" s="720">
        <f>(O195/O240)*100</f>
        <v>0</v>
      </c>
      <c r="Q195" s="731"/>
      <c r="R195" s="729">
        <f t="shared" si="40"/>
        <v>0</v>
      </c>
      <c r="S195" s="710"/>
      <c r="U195" s="696">
        <f t="shared" si="41"/>
        <v>0</v>
      </c>
      <c r="V195" s="696">
        <f t="shared" si="42"/>
        <v>0</v>
      </c>
      <c r="W195" s="696">
        <f t="shared" si="43"/>
        <v>0</v>
      </c>
      <c r="X195" s="696">
        <f t="shared" si="44"/>
        <v>0</v>
      </c>
      <c r="Y195" s="696">
        <f t="shared" si="45"/>
        <v>0</v>
      </c>
      <c r="Z195" s="696">
        <f t="shared" si="46"/>
        <v>0</v>
      </c>
      <c r="AA195" s="696">
        <f t="shared" si="47"/>
        <v>0</v>
      </c>
      <c r="AB195" s="696">
        <f t="shared" si="48"/>
        <v>0</v>
      </c>
      <c r="AC195" s="696">
        <f t="shared" si="49"/>
        <v>0</v>
      </c>
      <c r="AD195" s="696">
        <f t="shared" si="50"/>
        <v>0</v>
      </c>
      <c r="AE195" s="699"/>
    </row>
    <row r="196" spans="1:31" ht="25.15" customHeight="1">
      <c r="A196" s="711">
        <v>13</v>
      </c>
      <c r="B196" s="712" t="s">
        <v>1479</v>
      </c>
      <c r="C196" s="541" t="str">
        <f>'LAP. PENJUALAN '!C228</f>
        <v>Juice Melon Float</v>
      </c>
      <c r="D196" s="710"/>
      <c r="E196" s="710"/>
      <c r="F196" s="710"/>
      <c r="G196" s="710"/>
      <c r="H196" s="710"/>
      <c r="I196" s="710"/>
      <c r="J196" s="710"/>
      <c r="K196" s="710"/>
      <c r="L196" s="710"/>
      <c r="M196" s="710"/>
      <c r="N196" s="717">
        <f t="shared" si="39"/>
        <v>0</v>
      </c>
      <c r="O196" s="718">
        <f t="shared" si="38"/>
        <v>0</v>
      </c>
      <c r="P196" s="720">
        <f>(O196/O240)*100</f>
        <v>0</v>
      </c>
      <c r="Q196" s="731"/>
      <c r="R196" s="729">
        <f t="shared" si="40"/>
        <v>0</v>
      </c>
      <c r="S196" s="710"/>
      <c r="U196" s="696">
        <f t="shared" si="41"/>
        <v>0</v>
      </c>
      <c r="V196" s="696">
        <f t="shared" si="42"/>
        <v>0</v>
      </c>
      <c r="W196" s="696">
        <f t="shared" si="43"/>
        <v>0</v>
      </c>
      <c r="X196" s="696">
        <f t="shared" si="44"/>
        <v>0</v>
      </c>
      <c r="Y196" s="696">
        <f t="shared" si="45"/>
        <v>0</v>
      </c>
      <c r="Z196" s="696">
        <f t="shared" si="46"/>
        <v>0</v>
      </c>
      <c r="AA196" s="696">
        <f t="shared" si="47"/>
        <v>0</v>
      </c>
      <c r="AB196" s="696">
        <f t="shared" si="48"/>
        <v>0</v>
      </c>
      <c r="AC196" s="696">
        <f t="shared" si="49"/>
        <v>0</v>
      </c>
      <c r="AD196" s="696">
        <f t="shared" si="50"/>
        <v>0</v>
      </c>
      <c r="AE196" s="699"/>
    </row>
    <row r="197" spans="1:31" ht="25.15" customHeight="1">
      <c r="A197" s="711">
        <v>14</v>
      </c>
      <c r="B197" s="712" t="s">
        <v>1480</v>
      </c>
      <c r="C197" s="541" t="str">
        <f>'LAP. PENJUALAN '!C229</f>
        <v>Juice Melon</v>
      </c>
      <c r="D197" s="710"/>
      <c r="E197" s="710"/>
      <c r="F197" s="710"/>
      <c r="G197" s="710"/>
      <c r="H197" s="710"/>
      <c r="I197" s="710"/>
      <c r="J197" s="710"/>
      <c r="K197" s="710"/>
      <c r="L197" s="710"/>
      <c r="M197" s="710"/>
      <c r="N197" s="717">
        <f t="shared" si="39"/>
        <v>0</v>
      </c>
      <c r="O197" s="718">
        <f t="shared" si="38"/>
        <v>0</v>
      </c>
      <c r="P197" s="720">
        <f>(O197/O240)*100</f>
        <v>0</v>
      </c>
      <c r="Q197" s="731"/>
      <c r="R197" s="729">
        <f t="shared" si="40"/>
        <v>0</v>
      </c>
      <c r="S197" s="710"/>
      <c r="U197" s="696">
        <f t="shared" si="41"/>
        <v>0</v>
      </c>
      <c r="V197" s="696">
        <f t="shared" si="42"/>
        <v>0</v>
      </c>
      <c r="W197" s="696">
        <f t="shared" si="43"/>
        <v>0</v>
      </c>
      <c r="X197" s="696">
        <f t="shared" si="44"/>
        <v>0</v>
      </c>
      <c r="Y197" s="696">
        <f t="shared" si="45"/>
        <v>0</v>
      </c>
      <c r="Z197" s="696">
        <f t="shared" si="46"/>
        <v>0</v>
      </c>
      <c r="AA197" s="696">
        <f t="shared" si="47"/>
        <v>0</v>
      </c>
      <c r="AB197" s="696">
        <f t="shared" si="48"/>
        <v>0</v>
      </c>
      <c r="AC197" s="696">
        <f t="shared" si="49"/>
        <v>0</v>
      </c>
      <c r="AD197" s="696">
        <f t="shared" si="50"/>
        <v>0</v>
      </c>
      <c r="AE197" s="699"/>
    </row>
    <row r="198" spans="1:31" ht="25.15" customHeight="1">
      <c r="A198" s="711">
        <v>15</v>
      </c>
      <c r="B198" s="712" t="s">
        <v>1576</v>
      </c>
      <c r="C198" s="541" t="str">
        <f>'LAP. PENJUALAN '!C230</f>
        <v>Juice Strawberry Float</v>
      </c>
      <c r="D198" s="710"/>
      <c r="E198" s="710"/>
      <c r="F198" s="710"/>
      <c r="G198" s="710"/>
      <c r="H198" s="710"/>
      <c r="I198" s="710"/>
      <c r="J198" s="710"/>
      <c r="K198" s="710"/>
      <c r="L198" s="710"/>
      <c r="M198" s="710"/>
      <c r="N198" s="717">
        <f t="shared" si="39"/>
        <v>0</v>
      </c>
      <c r="O198" s="718">
        <f t="shared" si="38"/>
        <v>0</v>
      </c>
      <c r="P198" s="720">
        <f>(O198/O240)*100</f>
        <v>0</v>
      </c>
      <c r="Q198" s="731"/>
      <c r="R198" s="729">
        <f t="shared" si="40"/>
        <v>0</v>
      </c>
      <c r="S198" s="710"/>
      <c r="U198" s="696">
        <f t="shared" si="41"/>
        <v>0</v>
      </c>
      <c r="V198" s="696">
        <f t="shared" si="42"/>
        <v>0</v>
      </c>
      <c r="W198" s="696">
        <f t="shared" si="43"/>
        <v>0</v>
      </c>
      <c r="X198" s="696">
        <f t="shared" si="44"/>
        <v>0</v>
      </c>
      <c r="Y198" s="696">
        <f t="shared" si="45"/>
        <v>0</v>
      </c>
      <c r="Z198" s="696">
        <f t="shared" si="46"/>
        <v>0</v>
      </c>
      <c r="AA198" s="696">
        <f t="shared" si="47"/>
        <v>0</v>
      </c>
      <c r="AB198" s="696">
        <f t="shared" si="48"/>
        <v>0</v>
      </c>
      <c r="AC198" s="696">
        <f t="shared" si="49"/>
        <v>0</v>
      </c>
      <c r="AD198" s="696">
        <f t="shared" si="50"/>
        <v>0</v>
      </c>
      <c r="AE198" s="699"/>
    </row>
    <row r="199" spans="1:31" ht="25.15" customHeight="1">
      <c r="A199" s="711">
        <v>16</v>
      </c>
      <c r="B199" s="712" t="s">
        <v>1482</v>
      </c>
      <c r="C199" s="541" t="str">
        <f>'LAP. PENJUALAN '!C231</f>
        <v>Juice Strawberry</v>
      </c>
      <c r="D199" s="710"/>
      <c r="E199" s="710"/>
      <c r="F199" s="710"/>
      <c r="G199" s="710"/>
      <c r="H199" s="710"/>
      <c r="I199" s="710"/>
      <c r="J199" s="710"/>
      <c r="K199" s="710"/>
      <c r="L199" s="710"/>
      <c r="M199" s="710"/>
      <c r="N199" s="717">
        <f t="shared" si="39"/>
        <v>0</v>
      </c>
      <c r="O199" s="718">
        <f t="shared" si="38"/>
        <v>0</v>
      </c>
      <c r="P199" s="746">
        <f>(O199/O240)*100</f>
        <v>0</v>
      </c>
      <c r="Q199" s="759"/>
      <c r="R199" s="729">
        <f t="shared" si="40"/>
        <v>0</v>
      </c>
      <c r="S199" s="710"/>
      <c r="U199" s="696">
        <f t="shared" si="41"/>
        <v>0</v>
      </c>
      <c r="V199" s="696">
        <f t="shared" si="42"/>
        <v>0</v>
      </c>
      <c r="W199" s="696">
        <f t="shared" si="43"/>
        <v>0</v>
      </c>
      <c r="X199" s="696">
        <f t="shared" si="44"/>
        <v>0</v>
      </c>
      <c r="Y199" s="696">
        <f t="shared" si="45"/>
        <v>0</v>
      </c>
      <c r="Z199" s="696">
        <f t="shared" si="46"/>
        <v>0</v>
      </c>
      <c r="AA199" s="696">
        <f t="shared" si="47"/>
        <v>0</v>
      </c>
      <c r="AB199" s="696">
        <f t="shared" si="48"/>
        <v>0</v>
      </c>
      <c r="AC199" s="696">
        <f t="shared" si="49"/>
        <v>0</v>
      </c>
      <c r="AD199" s="696">
        <f t="shared" si="50"/>
        <v>0</v>
      </c>
      <c r="AE199" s="699"/>
    </row>
    <row r="200" spans="1:31" ht="25.15" customHeight="1">
      <c r="A200" s="711">
        <v>17</v>
      </c>
      <c r="B200" s="712" t="s">
        <v>1483</v>
      </c>
      <c r="C200" s="541" t="str">
        <f>'LAP. PENJUALAN '!C232</f>
        <v>Juice Mangga Float</v>
      </c>
      <c r="D200" s="710"/>
      <c r="E200" s="710"/>
      <c r="F200" s="710"/>
      <c r="G200" s="710"/>
      <c r="H200" s="710"/>
      <c r="I200" s="710"/>
      <c r="J200" s="710"/>
      <c r="K200" s="710"/>
      <c r="L200" s="710"/>
      <c r="M200" s="710"/>
      <c r="N200" s="717">
        <f t="shared" si="39"/>
        <v>0</v>
      </c>
      <c r="O200" s="718">
        <f t="shared" si="38"/>
        <v>0</v>
      </c>
      <c r="P200" s="746">
        <f>(O200/O240)*100</f>
        <v>0</v>
      </c>
      <c r="Q200" s="759"/>
      <c r="R200" s="729">
        <f t="shared" si="40"/>
        <v>0</v>
      </c>
      <c r="S200" s="710"/>
      <c r="U200" s="696">
        <f t="shared" si="41"/>
        <v>0</v>
      </c>
      <c r="V200" s="696">
        <f t="shared" si="42"/>
        <v>0</v>
      </c>
      <c r="W200" s="696">
        <f t="shared" si="43"/>
        <v>0</v>
      </c>
      <c r="X200" s="696">
        <f t="shared" si="44"/>
        <v>0</v>
      </c>
      <c r="Y200" s="696">
        <f t="shared" si="45"/>
        <v>0</v>
      </c>
      <c r="Z200" s="696">
        <f t="shared" si="46"/>
        <v>0</v>
      </c>
      <c r="AA200" s="696">
        <f t="shared" si="47"/>
        <v>0</v>
      </c>
      <c r="AB200" s="696">
        <f t="shared" si="48"/>
        <v>0</v>
      </c>
      <c r="AC200" s="696">
        <f t="shared" si="49"/>
        <v>0</v>
      </c>
      <c r="AD200" s="696">
        <f t="shared" si="50"/>
        <v>0</v>
      </c>
      <c r="AE200" s="699"/>
    </row>
    <row r="201" spans="1:31" ht="25.15" customHeight="1">
      <c r="A201" s="711">
        <v>18</v>
      </c>
      <c r="B201" s="712" t="s">
        <v>1484</v>
      </c>
      <c r="C201" s="541" t="str">
        <f>'LAP. PENJUALAN '!C233</f>
        <v>Juice Mangga</v>
      </c>
      <c r="D201" s="710"/>
      <c r="E201" s="710"/>
      <c r="F201" s="710"/>
      <c r="G201" s="710"/>
      <c r="H201" s="710"/>
      <c r="I201" s="710"/>
      <c r="J201" s="710"/>
      <c r="K201" s="710"/>
      <c r="L201" s="710"/>
      <c r="M201" s="710"/>
      <c r="N201" s="717">
        <f t="shared" si="39"/>
        <v>0</v>
      </c>
      <c r="O201" s="718">
        <f t="shared" si="38"/>
        <v>0</v>
      </c>
      <c r="P201" s="746">
        <f>(O201/O240)*100</f>
        <v>0</v>
      </c>
      <c r="Q201" s="759"/>
      <c r="R201" s="729">
        <f t="shared" si="40"/>
        <v>0</v>
      </c>
      <c r="S201" s="710"/>
      <c r="U201" s="696">
        <f t="shared" si="41"/>
        <v>0</v>
      </c>
      <c r="V201" s="696">
        <f t="shared" si="42"/>
        <v>0</v>
      </c>
      <c r="W201" s="696">
        <f t="shared" si="43"/>
        <v>0</v>
      </c>
      <c r="X201" s="696">
        <f t="shared" si="44"/>
        <v>0</v>
      </c>
      <c r="Y201" s="696">
        <f t="shared" si="45"/>
        <v>0</v>
      </c>
      <c r="Z201" s="696">
        <f t="shared" si="46"/>
        <v>0</v>
      </c>
      <c r="AA201" s="696">
        <f t="shared" si="47"/>
        <v>0</v>
      </c>
      <c r="AB201" s="696">
        <f t="shared" si="48"/>
        <v>0</v>
      </c>
      <c r="AC201" s="696">
        <f t="shared" si="49"/>
        <v>0</v>
      </c>
      <c r="AD201" s="696">
        <f t="shared" si="50"/>
        <v>0</v>
      </c>
      <c r="AE201" s="699"/>
    </row>
    <row r="202" spans="1:31" ht="25.15" customHeight="1">
      <c r="A202" s="711">
        <v>19</v>
      </c>
      <c r="B202" s="712" t="s">
        <v>1485</v>
      </c>
      <c r="C202" s="541" t="str">
        <f>'LAP. PENJUALAN '!C234</f>
        <v>Juice Jambu Float</v>
      </c>
      <c r="D202" s="710"/>
      <c r="E202" s="710"/>
      <c r="F202" s="710"/>
      <c r="G202" s="710"/>
      <c r="H202" s="710"/>
      <c r="I202" s="710"/>
      <c r="J202" s="710"/>
      <c r="K202" s="710"/>
      <c r="L202" s="710"/>
      <c r="M202" s="710"/>
      <c r="N202" s="717">
        <f t="shared" si="39"/>
        <v>0</v>
      </c>
      <c r="O202" s="718">
        <f t="shared" si="38"/>
        <v>0</v>
      </c>
      <c r="P202" s="720">
        <f>(O202/O240)*100</f>
        <v>0</v>
      </c>
      <c r="Q202" s="731"/>
      <c r="R202" s="729">
        <f t="shared" si="40"/>
        <v>0</v>
      </c>
      <c r="S202" s="710"/>
      <c r="U202" s="696">
        <f t="shared" si="41"/>
        <v>0</v>
      </c>
      <c r="V202" s="696">
        <f t="shared" si="42"/>
        <v>0</v>
      </c>
      <c r="W202" s="696">
        <f t="shared" si="43"/>
        <v>0</v>
      </c>
      <c r="X202" s="696">
        <f t="shared" si="44"/>
        <v>0</v>
      </c>
      <c r="Y202" s="696">
        <f t="shared" si="45"/>
        <v>0</v>
      </c>
      <c r="Z202" s="696">
        <f t="shared" si="46"/>
        <v>0</v>
      </c>
      <c r="AA202" s="696">
        <f t="shared" si="47"/>
        <v>0</v>
      </c>
      <c r="AB202" s="696">
        <f t="shared" si="48"/>
        <v>0</v>
      </c>
      <c r="AC202" s="696">
        <f t="shared" si="49"/>
        <v>0</v>
      </c>
      <c r="AD202" s="696">
        <f t="shared" si="50"/>
        <v>0</v>
      </c>
      <c r="AE202" s="699"/>
    </row>
    <row r="203" spans="1:31" ht="25.15" customHeight="1">
      <c r="A203" s="711">
        <v>20</v>
      </c>
      <c r="B203" s="712" t="s">
        <v>1486</v>
      </c>
      <c r="C203" s="541" t="str">
        <f>'LAP. PENJUALAN '!C235</f>
        <v>Juice Jambu</v>
      </c>
      <c r="D203" s="710"/>
      <c r="E203" s="710"/>
      <c r="F203" s="710"/>
      <c r="G203" s="710"/>
      <c r="H203" s="710"/>
      <c r="I203" s="710"/>
      <c r="J203" s="710"/>
      <c r="K203" s="710"/>
      <c r="L203" s="710"/>
      <c r="M203" s="710"/>
      <c r="N203" s="717">
        <f t="shared" si="39"/>
        <v>0</v>
      </c>
      <c r="O203" s="718">
        <f t="shared" si="38"/>
        <v>0</v>
      </c>
      <c r="P203" s="720">
        <f>(O203/O240)*100</f>
        <v>0</v>
      </c>
      <c r="Q203" s="731"/>
      <c r="R203" s="729">
        <f t="shared" si="40"/>
        <v>0</v>
      </c>
      <c r="S203" s="710"/>
      <c r="U203" s="696">
        <f t="shared" si="41"/>
        <v>0</v>
      </c>
      <c r="V203" s="696">
        <f t="shared" si="42"/>
        <v>0</v>
      </c>
      <c r="W203" s="696">
        <f t="shared" si="43"/>
        <v>0</v>
      </c>
      <c r="X203" s="696">
        <f t="shared" si="44"/>
        <v>0</v>
      </c>
      <c r="Y203" s="696">
        <f t="shared" si="45"/>
        <v>0</v>
      </c>
      <c r="Z203" s="696">
        <f t="shared" si="46"/>
        <v>0</v>
      </c>
      <c r="AA203" s="696">
        <f t="shared" si="47"/>
        <v>0</v>
      </c>
      <c r="AB203" s="696">
        <f t="shared" si="48"/>
        <v>0</v>
      </c>
      <c r="AC203" s="696">
        <f t="shared" si="49"/>
        <v>0</v>
      </c>
      <c r="AD203" s="696">
        <f t="shared" si="50"/>
        <v>0</v>
      </c>
      <c r="AE203" s="699"/>
    </row>
    <row r="204" spans="1:31" ht="25.15" customHeight="1">
      <c r="A204" s="711">
        <v>21</v>
      </c>
      <c r="B204" s="712" t="s">
        <v>1487</v>
      </c>
      <c r="C204" s="541" t="str">
        <f>'LAP. PENJUALAN '!C236</f>
        <v>Juice Sirsak Float</v>
      </c>
      <c r="D204" s="710"/>
      <c r="E204" s="710"/>
      <c r="F204" s="710"/>
      <c r="G204" s="710"/>
      <c r="H204" s="710"/>
      <c r="I204" s="710"/>
      <c r="J204" s="710"/>
      <c r="K204" s="710"/>
      <c r="L204" s="710"/>
      <c r="M204" s="710"/>
      <c r="N204" s="717">
        <f t="shared" si="39"/>
        <v>0</v>
      </c>
      <c r="O204" s="718">
        <f t="shared" si="38"/>
        <v>0</v>
      </c>
      <c r="P204" s="720">
        <f>(O204/O240)*100</f>
        <v>0</v>
      </c>
      <c r="Q204" s="731"/>
      <c r="R204" s="729">
        <f t="shared" si="40"/>
        <v>0</v>
      </c>
      <c r="S204" s="710"/>
      <c r="U204" s="696">
        <f t="shared" si="41"/>
        <v>0</v>
      </c>
      <c r="V204" s="696">
        <f t="shared" si="42"/>
        <v>0</v>
      </c>
      <c r="W204" s="696">
        <f t="shared" si="43"/>
        <v>0</v>
      </c>
      <c r="X204" s="696">
        <f t="shared" si="44"/>
        <v>0</v>
      </c>
      <c r="Y204" s="696">
        <f t="shared" si="45"/>
        <v>0</v>
      </c>
      <c r="Z204" s="696">
        <f t="shared" si="46"/>
        <v>0</v>
      </c>
      <c r="AA204" s="696">
        <f t="shared" si="47"/>
        <v>0</v>
      </c>
      <c r="AB204" s="696">
        <f t="shared" si="48"/>
        <v>0</v>
      </c>
      <c r="AC204" s="696">
        <f t="shared" si="49"/>
        <v>0</v>
      </c>
      <c r="AD204" s="696">
        <f t="shared" si="50"/>
        <v>0</v>
      </c>
      <c r="AE204" s="699"/>
    </row>
    <row r="205" spans="1:31" ht="25.15" customHeight="1">
      <c r="A205" s="711">
        <v>22</v>
      </c>
      <c r="B205" s="712"/>
      <c r="C205" s="541" t="str">
        <f>'LAP. PENJUALAN '!C237</f>
        <v>Juice Sirsak</v>
      </c>
      <c r="D205" s="710"/>
      <c r="E205" s="710"/>
      <c r="F205" s="710"/>
      <c r="G205" s="710"/>
      <c r="H205" s="710"/>
      <c r="I205" s="710"/>
      <c r="J205" s="710"/>
      <c r="K205" s="710"/>
      <c r="L205" s="710"/>
      <c r="M205" s="710"/>
      <c r="N205" s="717">
        <f t="shared" si="39"/>
        <v>0</v>
      </c>
      <c r="O205" s="718">
        <f t="shared" si="38"/>
        <v>0</v>
      </c>
      <c r="P205" s="720">
        <f>(O205/O240)*100</f>
        <v>0</v>
      </c>
      <c r="Q205" s="731"/>
      <c r="R205" s="729">
        <f t="shared" si="40"/>
        <v>0</v>
      </c>
      <c r="S205" s="710"/>
      <c r="U205" s="696">
        <f t="shared" si="41"/>
        <v>0</v>
      </c>
      <c r="V205" s="696">
        <f t="shared" si="42"/>
        <v>0</v>
      </c>
      <c r="W205" s="696">
        <f t="shared" si="43"/>
        <v>0</v>
      </c>
      <c r="X205" s="696">
        <f t="shared" si="44"/>
        <v>0</v>
      </c>
      <c r="Y205" s="696">
        <f t="shared" si="45"/>
        <v>0</v>
      </c>
      <c r="Z205" s="696">
        <f t="shared" si="46"/>
        <v>0</v>
      </c>
      <c r="AA205" s="696">
        <f t="shared" si="47"/>
        <v>0</v>
      </c>
      <c r="AB205" s="696">
        <f t="shared" si="48"/>
        <v>0</v>
      </c>
      <c r="AC205" s="696">
        <f t="shared" si="49"/>
        <v>0</v>
      </c>
      <c r="AD205" s="696">
        <f t="shared" si="50"/>
        <v>0</v>
      </c>
      <c r="AE205" s="699"/>
    </row>
    <row r="206" spans="1:31" ht="25.15" customHeight="1">
      <c r="A206" s="711">
        <v>23</v>
      </c>
      <c r="B206" s="712" t="s">
        <v>1577</v>
      </c>
      <c r="C206" s="541"/>
      <c r="D206" s="710"/>
      <c r="E206" s="710"/>
      <c r="F206" s="710"/>
      <c r="G206" s="710"/>
      <c r="H206" s="710"/>
      <c r="I206" s="710"/>
      <c r="J206" s="710"/>
      <c r="K206" s="710"/>
      <c r="L206" s="710"/>
      <c r="M206" s="710"/>
      <c r="N206" s="717">
        <f t="shared" si="39"/>
        <v>0</v>
      </c>
      <c r="O206" s="718">
        <f t="shared" si="38"/>
        <v>0</v>
      </c>
      <c r="P206" s="720">
        <f>(O206/O240)*100</f>
        <v>0</v>
      </c>
      <c r="Q206" s="731"/>
      <c r="R206" s="729">
        <f t="shared" si="40"/>
        <v>0</v>
      </c>
      <c r="S206" s="710"/>
      <c r="U206" s="696">
        <f t="shared" si="41"/>
        <v>0</v>
      </c>
      <c r="V206" s="696">
        <f t="shared" si="42"/>
        <v>0</v>
      </c>
      <c r="W206" s="696">
        <f t="shared" si="43"/>
        <v>0</v>
      </c>
      <c r="X206" s="696">
        <f t="shared" si="44"/>
        <v>0</v>
      </c>
      <c r="Y206" s="696">
        <f t="shared" si="45"/>
        <v>0</v>
      </c>
      <c r="Z206" s="696">
        <f t="shared" si="46"/>
        <v>0</v>
      </c>
      <c r="AA206" s="696">
        <f t="shared" si="47"/>
        <v>0</v>
      </c>
      <c r="AB206" s="696">
        <f t="shared" si="48"/>
        <v>0</v>
      </c>
      <c r="AC206" s="696">
        <f t="shared" si="49"/>
        <v>0</v>
      </c>
      <c r="AD206" s="696">
        <f t="shared" si="50"/>
        <v>0</v>
      </c>
      <c r="AE206" s="699"/>
    </row>
    <row r="207" spans="1:31" ht="25.15" customHeight="1">
      <c r="A207" s="711">
        <v>24</v>
      </c>
      <c r="B207" s="712" t="s">
        <v>1578</v>
      </c>
      <c r="C207" s="541" t="str">
        <f>'LAP. PENJUALAN '!C239</f>
        <v>Milkshake Coklat</v>
      </c>
      <c r="D207" s="710"/>
      <c r="E207" s="710"/>
      <c r="F207" s="710"/>
      <c r="G207" s="710"/>
      <c r="H207" s="710"/>
      <c r="I207" s="710"/>
      <c r="J207" s="710"/>
      <c r="K207" s="710"/>
      <c r="L207" s="710"/>
      <c r="M207" s="710"/>
      <c r="N207" s="717">
        <f t="shared" si="39"/>
        <v>0</v>
      </c>
      <c r="O207" s="718">
        <f t="shared" si="38"/>
        <v>0</v>
      </c>
      <c r="P207" s="720">
        <f>(O207/O240)*100</f>
        <v>0</v>
      </c>
      <c r="Q207" s="731"/>
      <c r="R207" s="729">
        <f t="shared" si="40"/>
        <v>0</v>
      </c>
      <c r="S207" s="710"/>
      <c r="U207" s="696">
        <f t="shared" si="41"/>
        <v>0</v>
      </c>
      <c r="V207" s="696">
        <f t="shared" si="42"/>
        <v>0</v>
      </c>
      <c r="W207" s="696">
        <f t="shared" si="43"/>
        <v>0</v>
      </c>
      <c r="X207" s="696">
        <f t="shared" si="44"/>
        <v>0</v>
      </c>
      <c r="Y207" s="696">
        <f t="shared" si="45"/>
        <v>0</v>
      </c>
      <c r="Z207" s="696">
        <f t="shared" si="46"/>
        <v>0</v>
      </c>
      <c r="AA207" s="696">
        <f t="shared" si="47"/>
        <v>0</v>
      </c>
      <c r="AB207" s="696">
        <f t="shared" si="48"/>
        <v>0</v>
      </c>
      <c r="AC207" s="696">
        <f t="shared" si="49"/>
        <v>0</v>
      </c>
      <c r="AD207" s="696">
        <f t="shared" si="50"/>
        <v>0</v>
      </c>
      <c r="AE207" s="699"/>
    </row>
    <row r="208" spans="1:31" ht="25.15" customHeight="1">
      <c r="A208" s="711">
        <v>25</v>
      </c>
      <c r="B208" s="712" t="s">
        <v>1488</v>
      </c>
      <c r="C208" s="541" t="str">
        <f>'LAP. PENJUALAN '!C240</f>
        <v>Milkshake Coklat Float</v>
      </c>
      <c r="D208" s="710"/>
      <c r="E208" s="710"/>
      <c r="F208" s="710"/>
      <c r="G208" s="710"/>
      <c r="H208" s="710"/>
      <c r="I208" s="710"/>
      <c r="J208" s="710"/>
      <c r="K208" s="710"/>
      <c r="L208" s="710"/>
      <c r="M208" s="710"/>
      <c r="N208" s="717">
        <f t="shared" si="39"/>
        <v>0</v>
      </c>
      <c r="O208" s="718">
        <f t="shared" si="38"/>
        <v>0</v>
      </c>
      <c r="P208" s="720">
        <f>(O208/O240)*100</f>
        <v>0</v>
      </c>
      <c r="Q208" s="731"/>
      <c r="R208" s="729">
        <f t="shared" si="40"/>
        <v>0</v>
      </c>
      <c r="S208" s="710">
        <v>12500</v>
      </c>
      <c r="U208" s="696">
        <f t="shared" si="41"/>
        <v>0</v>
      </c>
      <c r="V208" s="696">
        <f t="shared" si="42"/>
        <v>0</v>
      </c>
      <c r="W208" s="696">
        <f t="shared" si="43"/>
        <v>0</v>
      </c>
      <c r="X208" s="696">
        <f t="shared" si="44"/>
        <v>0</v>
      </c>
      <c r="Y208" s="696">
        <f t="shared" si="45"/>
        <v>0</v>
      </c>
      <c r="Z208" s="696">
        <f t="shared" si="46"/>
        <v>0</v>
      </c>
      <c r="AA208" s="696">
        <f t="shared" si="47"/>
        <v>0</v>
      </c>
      <c r="AB208" s="696">
        <f t="shared" si="48"/>
        <v>0</v>
      </c>
      <c r="AC208" s="696">
        <f t="shared" si="49"/>
        <v>0</v>
      </c>
      <c r="AD208" s="696">
        <f t="shared" si="50"/>
        <v>0</v>
      </c>
      <c r="AE208" s="699"/>
    </row>
    <row r="209" spans="1:31" ht="25.15" customHeight="1">
      <c r="A209" s="711">
        <v>26</v>
      </c>
      <c r="B209" s="712" t="s">
        <v>1489</v>
      </c>
      <c r="C209" s="541" t="str">
        <f>'LAP. PENJUALAN '!C241</f>
        <v>Milkshake Strawberry</v>
      </c>
      <c r="D209" s="710"/>
      <c r="E209" s="710"/>
      <c r="F209" s="710"/>
      <c r="G209" s="710"/>
      <c r="H209" s="710"/>
      <c r="I209" s="710"/>
      <c r="J209" s="710"/>
      <c r="K209" s="710"/>
      <c r="L209" s="710"/>
      <c r="M209" s="710"/>
      <c r="N209" s="717">
        <f t="shared" si="39"/>
        <v>0</v>
      </c>
      <c r="O209" s="718">
        <f t="shared" si="38"/>
        <v>0</v>
      </c>
      <c r="P209" s="720">
        <f>(O209/O240)*100</f>
        <v>0</v>
      </c>
      <c r="Q209" s="731"/>
      <c r="R209" s="729">
        <f t="shared" si="40"/>
        <v>0</v>
      </c>
      <c r="S209" s="710"/>
      <c r="U209" s="696">
        <f t="shared" si="41"/>
        <v>0</v>
      </c>
      <c r="V209" s="696">
        <f t="shared" si="42"/>
        <v>0</v>
      </c>
      <c r="W209" s="696">
        <f t="shared" si="43"/>
        <v>0</v>
      </c>
      <c r="X209" s="696">
        <f t="shared" si="44"/>
        <v>0</v>
      </c>
      <c r="Y209" s="696">
        <f t="shared" si="45"/>
        <v>0</v>
      </c>
      <c r="Z209" s="696">
        <f t="shared" si="46"/>
        <v>0</v>
      </c>
      <c r="AA209" s="696">
        <f t="shared" si="47"/>
        <v>0</v>
      </c>
      <c r="AB209" s="696">
        <f t="shared" si="48"/>
        <v>0</v>
      </c>
      <c r="AC209" s="696">
        <f t="shared" si="49"/>
        <v>0</v>
      </c>
      <c r="AD209" s="696">
        <f t="shared" si="50"/>
        <v>0</v>
      </c>
      <c r="AE209" s="699"/>
    </row>
    <row r="210" spans="1:31" ht="25.15" customHeight="1">
      <c r="A210" s="711">
        <v>27</v>
      </c>
      <c r="B210" s="712" t="s">
        <v>1490</v>
      </c>
      <c r="C210" s="541" t="str">
        <f>'LAP. PENJUALAN '!C242</f>
        <v>Milkshake Strawberry Float</v>
      </c>
      <c r="D210" s="710"/>
      <c r="E210" s="710"/>
      <c r="F210" s="710"/>
      <c r="G210" s="710"/>
      <c r="H210" s="710"/>
      <c r="I210" s="710"/>
      <c r="J210" s="710"/>
      <c r="K210" s="710"/>
      <c r="L210" s="710"/>
      <c r="M210" s="710"/>
      <c r="N210" s="717">
        <f t="shared" si="39"/>
        <v>0</v>
      </c>
      <c r="O210" s="718">
        <f t="shared" si="38"/>
        <v>0</v>
      </c>
      <c r="P210" s="720">
        <f>(O210/O240)*100</f>
        <v>0</v>
      </c>
      <c r="Q210" s="731"/>
      <c r="R210" s="729">
        <f t="shared" si="40"/>
        <v>0</v>
      </c>
      <c r="S210" s="710">
        <v>12500</v>
      </c>
      <c r="U210" s="696">
        <f t="shared" si="41"/>
        <v>0</v>
      </c>
      <c r="V210" s="696">
        <f t="shared" si="42"/>
        <v>0</v>
      </c>
      <c r="W210" s="696">
        <f t="shared" si="43"/>
        <v>0</v>
      </c>
      <c r="X210" s="696">
        <f t="shared" si="44"/>
        <v>0</v>
      </c>
      <c r="Y210" s="696">
        <f t="shared" si="45"/>
        <v>0</v>
      </c>
      <c r="Z210" s="696">
        <f t="shared" si="46"/>
        <v>0</v>
      </c>
      <c r="AA210" s="696">
        <f t="shared" si="47"/>
        <v>0</v>
      </c>
      <c r="AB210" s="696">
        <f t="shared" si="48"/>
        <v>0</v>
      </c>
      <c r="AC210" s="696">
        <f t="shared" si="49"/>
        <v>0</v>
      </c>
      <c r="AD210" s="696">
        <f t="shared" si="50"/>
        <v>0</v>
      </c>
      <c r="AE210" s="699"/>
    </row>
    <row r="211" spans="1:31" ht="25.15" customHeight="1">
      <c r="A211" s="711">
        <v>28</v>
      </c>
      <c r="B211" s="712" t="s">
        <v>1491</v>
      </c>
      <c r="C211" s="541"/>
      <c r="D211" s="710"/>
      <c r="E211" s="710"/>
      <c r="F211" s="710"/>
      <c r="G211" s="710"/>
      <c r="H211" s="710"/>
      <c r="I211" s="710"/>
      <c r="J211" s="710"/>
      <c r="K211" s="710"/>
      <c r="L211" s="710"/>
      <c r="M211" s="710"/>
      <c r="N211" s="717">
        <f t="shared" si="39"/>
        <v>0</v>
      </c>
      <c r="O211" s="718">
        <f t="shared" si="38"/>
        <v>0</v>
      </c>
      <c r="P211" s="720">
        <f>(O211/O240)*100</f>
        <v>0</v>
      </c>
      <c r="Q211" s="731"/>
      <c r="R211" s="729">
        <f t="shared" si="40"/>
        <v>0</v>
      </c>
      <c r="S211" s="710"/>
      <c r="U211" s="696">
        <f t="shared" si="41"/>
        <v>0</v>
      </c>
      <c r="V211" s="696">
        <f t="shared" si="42"/>
        <v>0</v>
      </c>
      <c r="W211" s="696">
        <f t="shared" si="43"/>
        <v>0</v>
      </c>
      <c r="X211" s="696">
        <f t="shared" si="44"/>
        <v>0</v>
      </c>
      <c r="Y211" s="696">
        <f t="shared" si="45"/>
        <v>0</v>
      </c>
      <c r="Z211" s="696">
        <f t="shared" si="46"/>
        <v>0</v>
      </c>
      <c r="AA211" s="696">
        <f t="shared" si="47"/>
        <v>0</v>
      </c>
      <c r="AB211" s="696">
        <f t="shared" si="48"/>
        <v>0</v>
      </c>
      <c r="AC211" s="696">
        <f t="shared" si="49"/>
        <v>0</v>
      </c>
      <c r="AD211" s="696">
        <f t="shared" si="50"/>
        <v>0</v>
      </c>
      <c r="AE211" s="699"/>
    </row>
    <row r="212" spans="1:31" ht="25.15" customHeight="1">
      <c r="A212" s="711">
        <v>29</v>
      </c>
      <c r="B212" s="712" t="s">
        <v>1579</v>
      </c>
      <c r="C212" s="541" t="str">
        <f>'LAP. PENJUALAN '!C244</f>
        <v>Nestle Lemon Tea</v>
      </c>
      <c r="D212" s="710"/>
      <c r="E212" s="710"/>
      <c r="F212" s="710"/>
      <c r="G212" s="710"/>
      <c r="H212" s="710"/>
      <c r="I212" s="710"/>
      <c r="J212" s="710"/>
      <c r="K212" s="710"/>
      <c r="L212" s="710"/>
      <c r="M212" s="710"/>
      <c r="N212" s="717">
        <f t="shared" si="39"/>
        <v>0</v>
      </c>
      <c r="O212" s="718">
        <f t="shared" si="38"/>
        <v>0</v>
      </c>
      <c r="P212" s="720">
        <f>(O212/O240)*100</f>
        <v>0</v>
      </c>
      <c r="Q212" s="731"/>
      <c r="R212" s="729">
        <f t="shared" si="40"/>
        <v>0</v>
      </c>
      <c r="S212" s="760">
        <v>8400</v>
      </c>
      <c r="U212" s="696">
        <f t="shared" si="41"/>
        <v>0</v>
      </c>
      <c r="V212" s="696">
        <f t="shared" si="42"/>
        <v>0</v>
      </c>
      <c r="W212" s="696">
        <f t="shared" si="43"/>
        <v>0</v>
      </c>
      <c r="X212" s="696">
        <f t="shared" si="44"/>
        <v>0</v>
      </c>
      <c r="Y212" s="696">
        <f t="shared" si="45"/>
        <v>0</v>
      </c>
      <c r="Z212" s="696">
        <f t="shared" si="46"/>
        <v>0</v>
      </c>
      <c r="AA212" s="696">
        <f t="shared" si="47"/>
        <v>0</v>
      </c>
      <c r="AB212" s="696">
        <f t="shared" si="48"/>
        <v>0</v>
      </c>
      <c r="AC212" s="696">
        <f t="shared" si="49"/>
        <v>0</v>
      </c>
      <c r="AD212" s="696">
        <f t="shared" si="50"/>
        <v>0</v>
      </c>
      <c r="AE212" s="699"/>
    </row>
    <row r="213" spans="1:31" ht="25.15" customHeight="1">
      <c r="A213" s="711">
        <v>30</v>
      </c>
      <c r="B213" s="712" t="s">
        <v>1580</v>
      </c>
      <c r="C213" s="541" t="str">
        <f>'LAP. PENJUALAN '!C245</f>
        <v>Milo</v>
      </c>
      <c r="D213" s="710">
        <v>1</v>
      </c>
      <c r="E213" s="710"/>
      <c r="F213" s="710"/>
      <c r="G213" s="710"/>
      <c r="H213" s="710"/>
      <c r="I213" s="710"/>
      <c r="J213" s="710"/>
      <c r="K213" s="710"/>
      <c r="L213" s="710"/>
      <c r="M213" s="710"/>
      <c r="N213" s="717">
        <f t="shared" si="39"/>
        <v>1</v>
      </c>
      <c r="O213" s="718">
        <f t="shared" si="38"/>
        <v>10800</v>
      </c>
      <c r="P213" s="720">
        <f>(O213/O240)*100</f>
        <v>0.76284654776620198</v>
      </c>
      <c r="Q213" s="731"/>
      <c r="R213" s="729">
        <f t="shared" si="40"/>
        <v>0</v>
      </c>
      <c r="S213" s="760">
        <v>10800</v>
      </c>
      <c r="U213" s="696">
        <f t="shared" si="41"/>
        <v>10800</v>
      </c>
      <c r="V213" s="696">
        <f t="shared" si="42"/>
        <v>0</v>
      </c>
      <c r="W213" s="696">
        <f t="shared" si="43"/>
        <v>0</v>
      </c>
      <c r="X213" s="696">
        <f t="shared" si="44"/>
        <v>0</v>
      </c>
      <c r="Y213" s="696">
        <f t="shared" si="45"/>
        <v>0</v>
      </c>
      <c r="Z213" s="696">
        <f t="shared" si="46"/>
        <v>0</v>
      </c>
      <c r="AA213" s="696">
        <f t="shared" si="47"/>
        <v>0</v>
      </c>
      <c r="AB213" s="696">
        <f t="shared" si="48"/>
        <v>0</v>
      </c>
      <c r="AC213" s="696">
        <f t="shared" si="49"/>
        <v>0</v>
      </c>
      <c r="AD213" s="696">
        <f t="shared" si="50"/>
        <v>0</v>
      </c>
      <c r="AE213" s="699"/>
    </row>
    <row r="214" spans="1:31" ht="25.15" customHeight="1">
      <c r="A214" s="711">
        <v>31</v>
      </c>
      <c r="B214" s="712"/>
      <c r="C214" s="541" t="str">
        <f>'LAP. PENJUALAN '!C246</f>
        <v>Ice Cream</v>
      </c>
      <c r="D214" s="710"/>
      <c r="E214" s="710"/>
      <c r="F214" s="710"/>
      <c r="G214" s="710"/>
      <c r="H214" s="710"/>
      <c r="I214" s="710"/>
      <c r="J214" s="710"/>
      <c r="K214" s="710"/>
      <c r="L214" s="710"/>
      <c r="M214" s="710"/>
      <c r="N214" s="717">
        <f t="shared" si="39"/>
        <v>0</v>
      </c>
      <c r="O214" s="718">
        <f t="shared" si="38"/>
        <v>0</v>
      </c>
      <c r="P214" s="720">
        <f>(O214/O240)*100</f>
        <v>0</v>
      </c>
      <c r="Q214" s="731"/>
      <c r="R214" s="729">
        <f t="shared" si="40"/>
        <v>0</v>
      </c>
      <c r="S214" s="710">
        <v>5000</v>
      </c>
      <c r="U214" s="696">
        <f t="shared" si="41"/>
        <v>0</v>
      </c>
      <c r="V214" s="696">
        <f t="shared" si="42"/>
        <v>0</v>
      </c>
      <c r="W214" s="696">
        <f t="shared" si="43"/>
        <v>0</v>
      </c>
      <c r="X214" s="696">
        <f t="shared" si="44"/>
        <v>0</v>
      </c>
      <c r="Y214" s="696">
        <f t="shared" si="45"/>
        <v>0</v>
      </c>
      <c r="Z214" s="696">
        <f t="shared" si="46"/>
        <v>0</v>
      </c>
      <c r="AA214" s="696">
        <f t="shared" si="47"/>
        <v>0</v>
      </c>
      <c r="AB214" s="696">
        <f t="shared" si="48"/>
        <v>0</v>
      </c>
      <c r="AC214" s="696">
        <f t="shared" si="49"/>
        <v>0</v>
      </c>
      <c r="AD214" s="696">
        <f t="shared" si="50"/>
        <v>0</v>
      </c>
      <c r="AE214" s="699"/>
    </row>
    <row r="215" spans="1:31" ht="25.15" customHeight="1">
      <c r="A215" s="711">
        <v>32</v>
      </c>
      <c r="B215" s="712" t="s">
        <v>1581</v>
      </c>
      <c r="C215" s="541"/>
      <c r="D215" s="710"/>
      <c r="E215" s="710"/>
      <c r="F215" s="710"/>
      <c r="G215" s="710"/>
      <c r="H215" s="710"/>
      <c r="I215" s="710"/>
      <c r="J215" s="710"/>
      <c r="K215" s="710"/>
      <c r="L215" s="710"/>
      <c r="M215" s="710"/>
      <c r="N215" s="717">
        <f t="shared" si="39"/>
        <v>0</v>
      </c>
      <c r="O215" s="718">
        <f t="shared" si="38"/>
        <v>0</v>
      </c>
      <c r="P215" s="720">
        <f>(O215/O240)*100</f>
        <v>0</v>
      </c>
      <c r="Q215" s="731"/>
      <c r="R215" s="729">
        <f t="shared" si="40"/>
        <v>0</v>
      </c>
      <c r="S215" s="710"/>
      <c r="U215" s="696">
        <f t="shared" si="41"/>
        <v>0</v>
      </c>
      <c r="V215" s="696">
        <f t="shared" si="42"/>
        <v>0</v>
      </c>
      <c r="W215" s="696">
        <f t="shared" si="43"/>
        <v>0</v>
      </c>
      <c r="X215" s="696">
        <f t="shared" si="44"/>
        <v>0</v>
      </c>
      <c r="Y215" s="696">
        <f t="shared" si="45"/>
        <v>0</v>
      </c>
      <c r="Z215" s="696">
        <f t="shared" si="46"/>
        <v>0</v>
      </c>
      <c r="AA215" s="696">
        <f t="shared" si="47"/>
        <v>0</v>
      </c>
      <c r="AB215" s="696">
        <f t="shared" si="48"/>
        <v>0</v>
      </c>
      <c r="AC215" s="696">
        <f t="shared" si="49"/>
        <v>0</v>
      </c>
      <c r="AD215" s="696">
        <f t="shared" si="50"/>
        <v>0</v>
      </c>
      <c r="AE215" s="699"/>
    </row>
    <row r="216" spans="1:31" ht="25.15" customHeight="1">
      <c r="A216" s="711">
        <v>33</v>
      </c>
      <c r="B216" s="712" t="s">
        <v>1493</v>
      </c>
      <c r="C216" s="541" t="str">
        <f>'LAP. PENJUALAN '!C248</f>
        <v>Es Teh</v>
      </c>
      <c r="D216" s="710"/>
      <c r="E216" s="710"/>
      <c r="F216" s="710"/>
      <c r="G216" s="710"/>
      <c r="H216" s="710"/>
      <c r="I216" s="710"/>
      <c r="J216" s="710"/>
      <c r="K216" s="710"/>
      <c r="L216" s="710"/>
      <c r="M216" s="710"/>
      <c r="N216" s="717">
        <f t="shared" si="39"/>
        <v>0</v>
      </c>
      <c r="O216" s="718">
        <f t="shared" si="38"/>
        <v>0</v>
      </c>
      <c r="P216" s="720">
        <f>(O216/O240)*100</f>
        <v>0</v>
      </c>
      <c r="Q216" s="731"/>
      <c r="R216" s="729">
        <f t="shared" si="40"/>
        <v>0</v>
      </c>
      <c r="S216" s="710">
        <v>6250</v>
      </c>
      <c r="U216" s="696">
        <f t="shared" si="41"/>
        <v>0</v>
      </c>
      <c r="V216" s="696">
        <f t="shared" si="42"/>
        <v>0</v>
      </c>
      <c r="W216" s="696">
        <f t="shared" si="43"/>
        <v>0</v>
      </c>
      <c r="X216" s="696">
        <f t="shared" si="44"/>
        <v>0</v>
      </c>
      <c r="Y216" s="696">
        <f t="shared" si="45"/>
        <v>0</v>
      </c>
      <c r="Z216" s="696">
        <f t="shared" si="46"/>
        <v>0</v>
      </c>
      <c r="AA216" s="696">
        <f t="shared" si="47"/>
        <v>0</v>
      </c>
      <c r="AB216" s="696">
        <f t="shared" si="48"/>
        <v>0</v>
      </c>
      <c r="AC216" s="696">
        <f t="shared" si="49"/>
        <v>0</v>
      </c>
      <c r="AD216" s="696">
        <f t="shared" si="50"/>
        <v>0</v>
      </c>
      <c r="AE216" s="699"/>
    </row>
    <row r="217" spans="1:31" ht="25.15" customHeight="1">
      <c r="A217" s="711">
        <v>34</v>
      </c>
      <c r="B217" s="712"/>
      <c r="C217" s="541" t="str">
        <f>'LAP. PENJUALAN '!C249</f>
        <v>Es Teh RC</v>
      </c>
      <c r="D217" s="710"/>
      <c r="E217" s="710"/>
      <c r="F217" s="710"/>
      <c r="G217" s="710"/>
      <c r="H217" s="710"/>
      <c r="I217" s="710"/>
      <c r="J217" s="710"/>
      <c r="K217" s="710"/>
      <c r="L217" s="710"/>
      <c r="M217" s="710"/>
      <c r="N217" s="717">
        <f t="shared" ref="N217" si="51">SUM(D217:M217)</f>
        <v>0</v>
      </c>
      <c r="O217" s="718">
        <f t="shared" ref="O217" si="52">N217*S217</f>
        <v>0</v>
      </c>
      <c r="P217" s="720">
        <f>(O217/O240)*100</f>
        <v>0</v>
      </c>
      <c r="Q217" s="731"/>
      <c r="R217" s="729">
        <f t="shared" ref="R217" si="53">P217*Q217</f>
        <v>0</v>
      </c>
      <c r="S217" s="710"/>
      <c r="U217" s="696">
        <f t="shared" ref="U217" si="54">D217*S217</f>
        <v>0</v>
      </c>
      <c r="V217" s="696">
        <f t="shared" ref="V217" si="55">E217*S217</f>
        <v>0</v>
      </c>
      <c r="W217" s="696">
        <f t="shared" ref="W217" si="56">F217*S217</f>
        <v>0</v>
      </c>
      <c r="X217" s="696">
        <f t="shared" ref="X217" si="57">G217*S217</f>
        <v>0</v>
      </c>
      <c r="Y217" s="696">
        <f t="shared" ref="Y217" si="58">H217*S217</f>
        <v>0</v>
      </c>
      <c r="Z217" s="696">
        <f t="shared" ref="Z217" si="59">I217*S217</f>
        <v>0</v>
      </c>
      <c r="AA217" s="696">
        <f t="shared" ref="AA217" si="60">J217*S217</f>
        <v>0</v>
      </c>
      <c r="AB217" s="696">
        <f t="shared" ref="AB217" si="61">K217*S217</f>
        <v>0</v>
      </c>
      <c r="AC217" s="696">
        <f t="shared" ref="AC217" si="62">L217*S217</f>
        <v>0</v>
      </c>
      <c r="AD217" s="696">
        <f t="shared" ref="AD217" si="63">M217*S217</f>
        <v>0</v>
      </c>
      <c r="AE217" s="699"/>
    </row>
    <row r="218" spans="1:31" ht="25.15" customHeight="1">
      <c r="A218" s="711">
        <v>35</v>
      </c>
      <c r="B218" s="712" t="s">
        <v>1582</v>
      </c>
      <c r="C218" s="541"/>
      <c r="D218" s="710"/>
      <c r="E218" s="710"/>
      <c r="F218" s="710"/>
      <c r="G218" s="710"/>
      <c r="H218" s="710"/>
      <c r="I218" s="710"/>
      <c r="J218" s="710"/>
      <c r="K218" s="710"/>
      <c r="L218" s="710"/>
      <c r="M218" s="710"/>
      <c r="N218" s="717">
        <f t="shared" si="39"/>
        <v>0</v>
      </c>
      <c r="O218" s="718">
        <f t="shared" si="38"/>
        <v>0</v>
      </c>
      <c r="P218" s="720">
        <f>(O218/O240)*100</f>
        <v>0</v>
      </c>
      <c r="Q218" s="731"/>
      <c r="R218" s="729">
        <f t="shared" si="40"/>
        <v>0</v>
      </c>
      <c r="S218" s="710"/>
      <c r="U218" s="696">
        <f t="shared" si="41"/>
        <v>0</v>
      </c>
      <c r="V218" s="696">
        <f t="shared" si="42"/>
        <v>0</v>
      </c>
      <c r="W218" s="696">
        <f t="shared" si="43"/>
        <v>0</v>
      </c>
      <c r="X218" s="696">
        <f t="shared" si="44"/>
        <v>0</v>
      </c>
      <c r="Y218" s="696">
        <f t="shared" si="45"/>
        <v>0</v>
      </c>
      <c r="Z218" s="696">
        <f t="shared" si="46"/>
        <v>0</v>
      </c>
      <c r="AA218" s="696">
        <f t="shared" si="47"/>
        <v>0</v>
      </c>
      <c r="AB218" s="696">
        <f t="shared" si="48"/>
        <v>0</v>
      </c>
      <c r="AC218" s="696">
        <f t="shared" si="49"/>
        <v>0</v>
      </c>
      <c r="AD218" s="696">
        <f t="shared" si="50"/>
        <v>0</v>
      </c>
      <c r="AE218" s="699"/>
    </row>
    <row r="219" spans="1:31" ht="25.15" customHeight="1">
      <c r="A219" s="711">
        <v>36</v>
      </c>
      <c r="B219" s="712" t="s">
        <v>1494</v>
      </c>
      <c r="C219" s="541" t="str">
        <f>'LAP. PENJUALAN '!C251</f>
        <v>Thai Green Tea</v>
      </c>
      <c r="D219" s="710"/>
      <c r="E219" s="710"/>
      <c r="F219" s="710"/>
      <c r="G219" s="710"/>
      <c r="H219" s="710"/>
      <c r="I219" s="710"/>
      <c r="J219" s="710"/>
      <c r="K219" s="710"/>
      <c r="L219" s="710"/>
      <c r="M219" s="710"/>
      <c r="N219" s="717">
        <f t="shared" si="39"/>
        <v>0</v>
      </c>
      <c r="O219" s="718">
        <f t="shared" si="38"/>
        <v>0</v>
      </c>
      <c r="P219" s="720">
        <f>(O219/O240)*100</f>
        <v>0</v>
      </c>
      <c r="Q219" s="731"/>
      <c r="R219" s="729">
        <f t="shared" si="40"/>
        <v>0</v>
      </c>
      <c r="S219" s="760">
        <v>13200</v>
      </c>
      <c r="U219" s="696">
        <f t="shared" si="41"/>
        <v>0</v>
      </c>
      <c r="V219" s="696">
        <f t="shared" si="42"/>
        <v>0</v>
      </c>
      <c r="W219" s="696">
        <f t="shared" si="43"/>
        <v>0</v>
      </c>
      <c r="X219" s="696">
        <f t="shared" si="44"/>
        <v>0</v>
      </c>
      <c r="Y219" s="696">
        <f t="shared" si="45"/>
        <v>0</v>
      </c>
      <c r="Z219" s="696">
        <f t="shared" si="46"/>
        <v>0</v>
      </c>
      <c r="AA219" s="696">
        <f t="shared" si="47"/>
        <v>0</v>
      </c>
      <c r="AB219" s="696">
        <f t="shared" si="48"/>
        <v>0</v>
      </c>
      <c r="AC219" s="696">
        <f t="shared" si="49"/>
        <v>0</v>
      </c>
      <c r="AD219" s="696">
        <f t="shared" si="50"/>
        <v>0</v>
      </c>
      <c r="AE219" s="699"/>
    </row>
    <row r="220" spans="1:31" ht="25.15" customHeight="1">
      <c r="A220" s="711">
        <v>37</v>
      </c>
      <c r="B220" s="712"/>
      <c r="C220" s="541" t="str">
        <f>'LAP. PENJUALAN '!C252</f>
        <v>Milky Mango</v>
      </c>
      <c r="D220" s="710"/>
      <c r="E220" s="710"/>
      <c r="F220" s="710"/>
      <c r="G220" s="710"/>
      <c r="H220" s="710"/>
      <c r="I220" s="710"/>
      <c r="J220" s="710"/>
      <c r="K220" s="710"/>
      <c r="L220" s="710"/>
      <c r="M220" s="710"/>
      <c r="N220" s="717">
        <f t="shared" si="39"/>
        <v>0</v>
      </c>
      <c r="O220" s="718">
        <f t="shared" si="38"/>
        <v>0</v>
      </c>
      <c r="P220" s="720">
        <f>(O220/O240)*100</f>
        <v>0</v>
      </c>
      <c r="Q220" s="731"/>
      <c r="R220" s="729">
        <f t="shared" si="40"/>
        <v>0</v>
      </c>
      <c r="S220" s="760">
        <v>13200</v>
      </c>
      <c r="U220" s="696">
        <f t="shared" si="41"/>
        <v>0</v>
      </c>
      <c r="V220" s="696">
        <f t="shared" si="42"/>
        <v>0</v>
      </c>
      <c r="W220" s="696">
        <f t="shared" si="43"/>
        <v>0</v>
      </c>
      <c r="X220" s="696">
        <f t="shared" si="44"/>
        <v>0</v>
      </c>
      <c r="Y220" s="696">
        <f t="shared" si="45"/>
        <v>0</v>
      </c>
      <c r="Z220" s="696">
        <f t="shared" si="46"/>
        <v>0</v>
      </c>
      <c r="AA220" s="696">
        <f t="shared" si="47"/>
        <v>0</v>
      </c>
      <c r="AB220" s="696">
        <f t="shared" si="48"/>
        <v>0</v>
      </c>
      <c r="AC220" s="696">
        <f t="shared" si="49"/>
        <v>0</v>
      </c>
      <c r="AD220" s="696">
        <f t="shared" si="50"/>
        <v>0</v>
      </c>
      <c r="AE220" s="699"/>
    </row>
    <row r="221" spans="1:31" ht="25.15" customHeight="1">
      <c r="A221" s="711">
        <v>38</v>
      </c>
      <c r="B221" s="712" t="s">
        <v>1495</v>
      </c>
      <c r="C221" s="541" t="str">
        <f>'LAP. PENJUALAN '!C253</f>
        <v>Red Velvet</v>
      </c>
      <c r="D221" s="710"/>
      <c r="E221" s="710"/>
      <c r="F221" s="710"/>
      <c r="G221" s="710"/>
      <c r="H221" s="710"/>
      <c r="I221" s="710"/>
      <c r="J221" s="710"/>
      <c r="K221" s="710"/>
      <c r="L221" s="710"/>
      <c r="M221" s="710"/>
      <c r="N221" s="717">
        <f t="shared" si="39"/>
        <v>0</v>
      </c>
      <c r="O221" s="718">
        <f t="shared" si="38"/>
        <v>0</v>
      </c>
      <c r="P221" s="720">
        <f>O221/O240*100</f>
        <v>0</v>
      </c>
      <c r="Q221" s="731"/>
      <c r="R221" s="729">
        <f t="shared" si="40"/>
        <v>0</v>
      </c>
      <c r="S221" s="761">
        <v>13200</v>
      </c>
      <c r="U221" s="696">
        <f t="shared" si="41"/>
        <v>0</v>
      </c>
      <c r="V221" s="696">
        <f t="shared" si="42"/>
        <v>0</v>
      </c>
      <c r="W221" s="696">
        <f t="shared" si="43"/>
        <v>0</v>
      </c>
      <c r="X221" s="696">
        <f t="shared" si="44"/>
        <v>0</v>
      </c>
      <c r="Y221" s="696">
        <f t="shared" si="45"/>
        <v>0</v>
      </c>
      <c r="Z221" s="696">
        <f t="shared" si="46"/>
        <v>0</v>
      </c>
      <c r="AA221" s="696">
        <f t="shared" si="47"/>
        <v>0</v>
      </c>
      <c r="AB221" s="696">
        <f t="shared" si="48"/>
        <v>0</v>
      </c>
      <c r="AC221" s="696">
        <f t="shared" si="49"/>
        <v>0</v>
      </c>
      <c r="AD221" s="696">
        <f t="shared" si="50"/>
        <v>0</v>
      </c>
      <c r="AE221" s="699"/>
    </row>
    <row r="222" spans="1:31" ht="25.15" customHeight="1">
      <c r="A222" s="711">
        <v>39</v>
      </c>
      <c r="B222" s="712"/>
      <c r="C222" s="541"/>
      <c r="D222" s="710"/>
      <c r="E222" s="710"/>
      <c r="F222" s="710"/>
      <c r="G222" s="710"/>
      <c r="H222" s="710"/>
      <c r="I222" s="710"/>
      <c r="J222" s="710"/>
      <c r="K222" s="710"/>
      <c r="L222" s="710"/>
      <c r="M222" s="710"/>
      <c r="N222" s="717">
        <f t="shared" si="39"/>
        <v>0</v>
      </c>
      <c r="O222" s="718">
        <f t="shared" si="38"/>
        <v>0</v>
      </c>
      <c r="P222" s="720">
        <f>O222/O240*100</f>
        <v>0</v>
      </c>
      <c r="Q222" s="731"/>
      <c r="R222" s="729">
        <f t="shared" si="40"/>
        <v>0</v>
      </c>
      <c r="S222" s="710"/>
      <c r="U222" s="696">
        <f t="shared" si="41"/>
        <v>0</v>
      </c>
      <c r="V222" s="696">
        <f t="shared" si="42"/>
        <v>0</v>
      </c>
      <c r="W222" s="696">
        <f t="shared" si="43"/>
        <v>0</v>
      </c>
      <c r="X222" s="696">
        <f t="shared" si="44"/>
        <v>0</v>
      </c>
      <c r="Y222" s="696">
        <f t="shared" si="45"/>
        <v>0</v>
      </c>
      <c r="Z222" s="696">
        <f t="shared" si="46"/>
        <v>0</v>
      </c>
      <c r="AA222" s="696">
        <f t="shared" si="47"/>
        <v>0</v>
      </c>
      <c r="AB222" s="696">
        <f t="shared" si="48"/>
        <v>0</v>
      </c>
      <c r="AC222" s="696">
        <f t="shared" si="49"/>
        <v>0</v>
      </c>
      <c r="AD222" s="696">
        <f t="shared" si="50"/>
        <v>0</v>
      </c>
      <c r="AE222" s="699"/>
    </row>
    <row r="223" spans="1:31" ht="25.15" customHeight="1">
      <c r="A223" s="711">
        <v>40</v>
      </c>
      <c r="B223" s="712"/>
      <c r="C223" s="541" t="str">
        <f>'LAP. PENJUALAN '!C255</f>
        <v>Es Teh Paket Harga Nol</v>
      </c>
      <c r="D223" s="710"/>
      <c r="E223" s="710"/>
      <c r="F223" s="710"/>
      <c r="G223" s="710"/>
      <c r="H223" s="710"/>
      <c r="I223" s="710"/>
      <c r="J223" s="710"/>
      <c r="K223" s="710"/>
      <c r="L223" s="710"/>
      <c r="M223" s="710"/>
      <c r="N223" s="717">
        <f t="shared" si="39"/>
        <v>0</v>
      </c>
      <c r="O223" s="718">
        <f t="shared" si="38"/>
        <v>0</v>
      </c>
      <c r="P223" s="720">
        <f>O223/O240*100</f>
        <v>0</v>
      </c>
      <c r="Q223" s="731"/>
      <c r="R223" s="729">
        <f t="shared" si="40"/>
        <v>0</v>
      </c>
      <c r="S223" s="710"/>
      <c r="U223" s="696">
        <f t="shared" si="41"/>
        <v>0</v>
      </c>
      <c r="V223" s="696">
        <f t="shared" si="42"/>
        <v>0</v>
      </c>
      <c r="W223" s="696">
        <f t="shared" si="43"/>
        <v>0</v>
      </c>
      <c r="X223" s="696">
        <f t="shared" si="44"/>
        <v>0</v>
      </c>
      <c r="Y223" s="696">
        <f t="shared" si="45"/>
        <v>0</v>
      </c>
      <c r="Z223" s="696">
        <f t="shared" si="46"/>
        <v>0</v>
      </c>
      <c r="AA223" s="696">
        <f t="shared" si="47"/>
        <v>0</v>
      </c>
      <c r="AB223" s="696">
        <f t="shared" si="48"/>
        <v>0</v>
      </c>
      <c r="AC223" s="696">
        <f t="shared" si="49"/>
        <v>0</v>
      </c>
      <c r="AD223" s="696">
        <f t="shared" si="50"/>
        <v>0</v>
      </c>
      <c r="AE223" s="699"/>
    </row>
    <row r="224" spans="1:31" ht="25.15" customHeight="1">
      <c r="A224" s="711">
        <v>41</v>
      </c>
      <c r="B224" s="712"/>
      <c r="C224" s="541" t="str">
        <f>'LAP. PENJUALAN '!C256</f>
        <v>S-tee Paket Harga Nol</v>
      </c>
      <c r="D224" s="710"/>
      <c r="E224" s="710"/>
      <c r="F224" s="710"/>
      <c r="G224" s="710"/>
      <c r="H224" s="710"/>
      <c r="I224" s="710"/>
      <c r="J224" s="710"/>
      <c r="K224" s="710"/>
      <c r="L224" s="710"/>
      <c r="M224" s="710"/>
      <c r="N224" s="717">
        <f t="shared" si="39"/>
        <v>0</v>
      </c>
      <c r="O224" s="718">
        <f t="shared" si="38"/>
        <v>0</v>
      </c>
      <c r="P224" s="720">
        <f>O224/O240*100</f>
        <v>0</v>
      </c>
      <c r="Q224" s="731"/>
      <c r="R224" s="729">
        <f t="shared" si="40"/>
        <v>0</v>
      </c>
      <c r="S224" s="710"/>
      <c r="U224" s="696">
        <f t="shared" si="41"/>
        <v>0</v>
      </c>
      <c r="V224" s="696">
        <f t="shared" si="42"/>
        <v>0</v>
      </c>
      <c r="W224" s="696">
        <f t="shared" si="43"/>
        <v>0</v>
      </c>
      <c r="X224" s="696">
        <f t="shared" si="44"/>
        <v>0</v>
      </c>
      <c r="Y224" s="696">
        <f t="shared" si="45"/>
        <v>0</v>
      </c>
      <c r="Z224" s="696">
        <f t="shared" si="46"/>
        <v>0</v>
      </c>
      <c r="AA224" s="696">
        <f t="shared" si="47"/>
        <v>0</v>
      </c>
      <c r="AB224" s="696">
        <f t="shared" si="48"/>
        <v>0</v>
      </c>
      <c r="AC224" s="696">
        <f t="shared" si="49"/>
        <v>0</v>
      </c>
      <c r="AD224" s="696">
        <f t="shared" si="50"/>
        <v>0</v>
      </c>
      <c r="AE224" s="699"/>
    </row>
    <row r="225" spans="1:31" ht="25.15" customHeight="1">
      <c r="A225" s="711">
        <v>42</v>
      </c>
      <c r="B225" s="712"/>
      <c r="C225" s="541" t="str">
        <f>'LAP. PENJUALAN '!C257</f>
        <v>Nestea Paket Harga Nol</v>
      </c>
      <c r="D225" s="710"/>
      <c r="E225" s="710"/>
      <c r="F225" s="710"/>
      <c r="G225" s="710"/>
      <c r="H225" s="710"/>
      <c r="I225" s="710"/>
      <c r="J225" s="710"/>
      <c r="K225" s="710"/>
      <c r="L225" s="710"/>
      <c r="M225" s="710"/>
      <c r="N225" s="717">
        <f t="shared" si="39"/>
        <v>0</v>
      </c>
      <c r="O225" s="718">
        <f t="shared" si="38"/>
        <v>0</v>
      </c>
      <c r="P225" s="720">
        <f>O225/O240*100</f>
        <v>0</v>
      </c>
      <c r="Q225" s="731"/>
      <c r="R225" s="729">
        <f t="shared" si="40"/>
        <v>0</v>
      </c>
      <c r="S225" s="710"/>
      <c r="U225" s="696">
        <f t="shared" si="41"/>
        <v>0</v>
      </c>
      <c r="V225" s="696">
        <f t="shared" si="42"/>
        <v>0</v>
      </c>
      <c r="W225" s="696">
        <f t="shared" si="43"/>
        <v>0</v>
      </c>
      <c r="X225" s="696">
        <f t="shared" si="44"/>
        <v>0</v>
      </c>
      <c r="Y225" s="696">
        <f t="shared" si="45"/>
        <v>0</v>
      </c>
      <c r="Z225" s="696">
        <f t="shared" si="46"/>
        <v>0</v>
      </c>
      <c r="AA225" s="696">
        <f t="shared" si="47"/>
        <v>0</v>
      </c>
      <c r="AB225" s="696">
        <f t="shared" si="48"/>
        <v>0</v>
      </c>
      <c r="AC225" s="696">
        <f t="shared" si="49"/>
        <v>0</v>
      </c>
      <c r="AD225" s="696">
        <f t="shared" si="50"/>
        <v>0</v>
      </c>
      <c r="AE225" s="699"/>
    </row>
    <row r="226" spans="1:31" ht="25.15" customHeight="1">
      <c r="A226" s="711">
        <v>43</v>
      </c>
      <c r="B226" s="712"/>
      <c r="C226" s="589"/>
      <c r="D226" s="710"/>
      <c r="E226" s="710"/>
      <c r="F226" s="710"/>
      <c r="G226" s="710"/>
      <c r="H226" s="710"/>
      <c r="I226" s="710"/>
      <c r="J226" s="710"/>
      <c r="K226" s="710"/>
      <c r="L226" s="710"/>
      <c r="M226" s="710"/>
      <c r="N226" s="717">
        <f t="shared" si="39"/>
        <v>0</v>
      </c>
      <c r="O226" s="718">
        <f t="shared" si="38"/>
        <v>0</v>
      </c>
      <c r="P226" s="720">
        <f>O226/O240*100</f>
        <v>0</v>
      </c>
      <c r="Q226" s="731"/>
      <c r="R226" s="729">
        <f t="shared" si="40"/>
        <v>0</v>
      </c>
      <c r="S226" s="710"/>
      <c r="U226" s="696">
        <f t="shared" si="41"/>
        <v>0</v>
      </c>
      <c r="V226" s="696">
        <f t="shared" si="42"/>
        <v>0</v>
      </c>
      <c r="W226" s="696">
        <f t="shared" si="43"/>
        <v>0</v>
      </c>
      <c r="X226" s="696">
        <f t="shared" si="44"/>
        <v>0</v>
      </c>
      <c r="Y226" s="696">
        <f t="shared" si="45"/>
        <v>0</v>
      </c>
      <c r="Z226" s="696">
        <f t="shared" si="46"/>
        <v>0</v>
      </c>
      <c r="AA226" s="696">
        <f t="shared" si="47"/>
        <v>0</v>
      </c>
      <c r="AB226" s="696">
        <f t="shared" si="48"/>
        <v>0</v>
      </c>
      <c r="AC226" s="696">
        <f t="shared" si="49"/>
        <v>0</v>
      </c>
      <c r="AD226" s="696">
        <f t="shared" si="50"/>
        <v>0</v>
      </c>
      <c r="AE226" s="699"/>
    </row>
    <row r="227" spans="1:31" ht="25.15" customHeight="1">
      <c r="A227" s="711">
        <v>44</v>
      </c>
      <c r="B227" s="712"/>
      <c r="C227" s="589"/>
      <c r="D227" s="710"/>
      <c r="E227" s="710"/>
      <c r="F227" s="710"/>
      <c r="G227" s="710"/>
      <c r="H227" s="710"/>
      <c r="I227" s="710"/>
      <c r="J227" s="710"/>
      <c r="K227" s="710"/>
      <c r="L227" s="710"/>
      <c r="M227" s="710"/>
      <c r="N227" s="717">
        <f t="shared" si="39"/>
        <v>0</v>
      </c>
      <c r="O227" s="718">
        <f t="shared" si="38"/>
        <v>0</v>
      </c>
      <c r="P227" s="720">
        <f>O227/O240*100</f>
        <v>0</v>
      </c>
      <c r="Q227" s="731"/>
      <c r="R227" s="729">
        <f t="shared" si="40"/>
        <v>0</v>
      </c>
      <c r="S227" s="710"/>
      <c r="U227" s="696">
        <f t="shared" si="41"/>
        <v>0</v>
      </c>
      <c r="V227" s="696">
        <f t="shared" si="42"/>
        <v>0</v>
      </c>
      <c r="W227" s="696">
        <f t="shared" si="43"/>
        <v>0</v>
      </c>
      <c r="X227" s="696">
        <f t="shared" si="44"/>
        <v>0</v>
      </c>
      <c r="Y227" s="696">
        <f t="shared" si="45"/>
        <v>0</v>
      </c>
      <c r="Z227" s="696">
        <f t="shared" si="46"/>
        <v>0</v>
      </c>
      <c r="AA227" s="696">
        <f t="shared" si="47"/>
        <v>0</v>
      </c>
      <c r="AB227" s="696">
        <f t="shared" si="48"/>
        <v>0</v>
      </c>
      <c r="AC227" s="696">
        <f t="shared" si="49"/>
        <v>0</v>
      </c>
      <c r="AD227" s="696">
        <f t="shared" si="50"/>
        <v>0</v>
      </c>
      <c r="AE227" s="699"/>
    </row>
    <row r="228" spans="1:31" ht="25.15" customHeight="1">
      <c r="A228" s="711">
        <v>45</v>
      </c>
      <c r="B228" s="712"/>
      <c r="C228" s="589"/>
      <c r="D228" s="710"/>
      <c r="E228" s="710"/>
      <c r="F228" s="710"/>
      <c r="G228" s="710"/>
      <c r="H228" s="710"/>
      <c r="I228" s="710"/>
      <c r="J228" s="710"/>
      <c r="K228" s="710"/>
      <c r="L228" s="710"/>
      <c r="M228" s="710"/>
      <c r="N228" s="717">
        <f t="shared" si="39"/>
        <v>0</v>
      </c>
      <c r="O228" s="718">
        <f t="shared" si="38"/>
        <v>0</v>
      </c>
      <c r="P228" s="720">
        <f>O228/O240*100</f>
        <v>0</v>
      </c>
      <c r="Q228" s="731"/>
      <c r="R228" s="729">
        <f t="shared" si="40"/>
        <v>0</v>
      </c>
      <c r="S228" s="710"/>
      <c r="U228" s="696">
        <f t="shared" si="41"/>
        <v>0</v>
      </c>
      <c r="V228" s="696">
        <f t="shared" si="42"/>
        <v>0</v>
      </c>
      <c r="W228" s="696">
        <f t="shared" si="43"/>
        <v>0</v>
      </c>
      <c r="X228" s="696">
        <f t="shared" si="44"/>
        <v>0</v>
      </c>
      <c r="Y228" s="696">
        <f t="shared" si="45"/>
        <v>0</v>
      </c>
      <c r="Z228" s="696">
        <f t="shared" si="46"/>
        <v>0</v>
      </c>
      <c r="AA228" s="696">
        <f t="shared" si="47"/>
        <v>0</v>
      </c>
      <c r="AB228" s="696">
        <f t="shared" si="48"/>
        <v>0</v>
      </c>
      <c r="AC228" s="696">
        <f t="shared" si="49"/>
        <v>0</v>
      </c>
      <c r="AD228" s="696">
        <f t="shared" si="50"/>
        <v>0</v>
      </c>
      <c r="AE228" s="699"/>
    </row>
    <row r="229" spans="1:31" ht="25.15" customHeight="1">
      <c r="A229" s="711">
        <v>46</v>
      </c>
      <c r="B229" s="712"/>
      <c r="C229" s="589"/>
      <c r="D229" s="710"/>
      <c r="E229" s="710"/>
      <c r="F229" s="710"/>
      <c r="G229" s="710"/>
      <c r="H229" s="710"/>
      <c r="I229" s="710"/>
      <c r="J229" s="710"/>
      <c r="K229" s="710"/>
      <c r="L229" s="710"/>
      <c r="M229" s="710"/>
      <c r="N229" s="717">
        <f t="shared" si="39"/>
        <v>0</v>
      </c>
      <c r="O229" s="718">
        <f t="shared" si="38"/>
        <v>0</v>
      </c>
      <c r="P229" s="720">
        <f>O229/O240*100</f>
        <v>0</v>
      </c>
      <c r="Q229" s="731"/>
      <c r="R229" s="729">
        <f t="shared" si="40"/>
        <v>0</v>
      </c>
      <c r="S229" s="710"/>
      <c r="U229" s="696">
        <f t="shared" si="41"/>
        <v>0</v>
      </c>
      <c r="V229" s="696">
        <f t="shared" si="42"/>
        <v>0</v>
      </c>
      <c r="W229" s="696">
        <f t="shared" si="43"/>
        <v>0</v>
      </c>
      <c r="X229" s="696">
        <f t="shared" si="44"/>
        <v>0</v>
      </c>
      <c r="Y229" s="696">
        <f t="shared" si="45"/>
        <v>0</v>
      </c>
      <c r="Z229" s="696">
        <f t="shared" si="46"/>
        <v>0</v>
      </c>
      <c r="AA229" s="696">
        <f t="shared" si="47"/>
        <v>0</v>
      </c>
      <c r="AB229" s="696">
        <f t="shared" si="48"/>
        <v>0</v>
      </c>
      <c r="AC229" s="696">
        <f t="shared" si="49"/>
        <v>0</v>
      </c>
      <c r="AD229" s="696">
        <f t="shared" si="50"/>
        <v>0</v>
      </c>
      <c r="AE229" s="699"/>
    </row>
    <row r="230" spans="1:31" ht="25.15" customHeight="1">
      <c r="A230" s="711">
        <v>47</v>
      </c>
      <c r="B230" s="712"/>
      <c r="C230" s="589"/>
      <c r="D230" s="710"/>
      <c r="E230" s="710"/>
      <c r="F230" s="710"/>
      <c r="G230" s="710"/>
      <c r="H230" s="710"/>
      <c r="I230" s="710"/>
      <c r="J230" s="710"/>
      <c r="K230" s="710"/>
      <c r="L230" s="710"/>
      <c r="M230" s="710"/>
      <c r="N230" s="717">
        <f t="shared" si="39"/>
        <v>0</v>
      </c>
      <c r="O230" s="718">
        <f t="shared" si="38"/>
        <v>0</v>
      </c>
      <c r="P230" s="720">
        <f>O230/O240*100</f>
        <v>0</v>
      </c>
      <c r="Q230" s="731"/>
      <c r="R230" s="729">
        <f t="shared" si="40"/>
        <v>0</v>
      </c>
      <c r="S230" s="710"/>
      <c r="U230" s="696">
        <f t="shared" si="41"/>
        <v>0</v>
      </c>
      <c r="V230" s="696">
        <f t="shared" si="42"/>
        <v>0</v>
      </c>
      <c r="W230" s="696">
        <f t="shared" si="43"/>
        <v>0</v>
      </c>
      <c r="X230" s="696">
        <f t="shared" si="44"/>
        <v>0</v>
      </c>
      <c r="Y230" s="696">
        <f t="shared" si="45"/>
        <v>0</v>
      </c>
      <c r="Z230" s="696">
        <f t="shared" si="46"/>
        <v>0</v>
      </c>
      <c r="AA230" s="696">
        <f t="shared" si="47"/>
        <v>0</v>
      </c>
      <c r="AB230" s="696">
        <f t="shared" si="48"/>
        <v>0</v>
      </c>
      <c r="AC230" s="696">
        <f t="shared" si="49"/>
        <v>0</v>
      </c>
      <c r="AD230" s="696">
        <f t="shared" si="50"/>
        <v>0</v>
      </c>
      <c r="AE230" s="699"/>
    </row>
    <row r="231" spans="1:31" ht="25.15" customHeight="1">
      <c r="A231" s="711">
        <v>48</v>
      </c>
      <c r="B231" s="712"/>
      <c r="C231" s="589"/>
      <c r="D231" s="710"/>
      <c r="E231" s="710"/>
      <c r="F231" s="710"/>
      <c r="G231" s="710"/>
      <c r="H231" s="710"/>
      <c r="I231" s="710"/>
      <c r="J231" s="710"/>
      <c r="K231" s="710"/>
      <c r="L231" s="710"/>
      <c r="M231" s="710"/>
      <c r="N231" s="717">
        <f t="shared" si="39"/>
        <v>0</v>
      </c>
      <c r="O231" s="718">
        <f t="shared" si="38"/>
        <v>0</v>
      </c>
      <c r="P231" s="720">
        <f>O231/O240*100</f>
        <v>0</v>
      </c>
      <c r="Q231" s="731"/>
      <c r="R231" s="729">
        <f t="shared" si="40"/>
        <v>0</v>
      </c>
      <c r="S231" s="710"/>
      <c r="U231" s="696">
        <f t="shared" si="41"/>
        <v>0</v>
      </c>
      <c r="V231" s="696">
        <f t="shared" si="42"/>
        <v>0</v>
      </c>
      <c r="W231" s="696">
        <f t="shared" si="43"/>
        <v>0</v>
      </c>
      <c r="X231" s="696">
        <f t="shared" si="44"/>
        <v>0</v>
      </c>
      <c r="Y231" s="696">
        <f t="shared" si="45"/>
        <v>0</v>
      </c>
      <c r="Z231" s="696">
        <f t="shared" si="46"/>
        <v>0</v>
      </c>
      <c r="AA231" s="696">
        <f t="shared" si="47"/>
        <v>0</v>
      </c>
      <c r="AB231" s="696">
        <f t="shared" si="48"/>
        <v>0</v>
      </c>
      <c r="AC231" s="696">
        <f t="shared" si="49"/>
        <v>0</v>
      </c>
      <c r="AD231" s="696">
        <f t="shared" si="50"/>
        <v>0</v>
      </c>
      <c r="AE231" s="699"/>
    </row>
    <row r="232" spans="1:31" ht="25.15" customHeight="1">
      <c r="A232" s="711">
        <v>49</v>
      </c>
      <c r="B232" s="712"/>
      <c r="C232" s="589"/>
      <c r="D232" s="710"/>
      <c r="E232" s="710"/>
      <c r="F232" s="710"/>
      <c r="G232" s="710"/>
      <c r="H232" s="710"/>
      <c r="I232" s="710"/>
      <c r="J232" s="710"/>
      <c r="K232" s="710"/>
      <c r="L232" s="710"/>
      <c r="M232" s="710"/>
      <c r="N232" s="717">
        <f t="shared" si="39"/>
        <v>0</v>
      </c>
      <c r="O232" s="718">
        <f t="shared" si="38"/>
        <v>0</v>
      </c>
      <c r="P232" s="720">
        <f>O232/O240*100</f>
        <v>0</v>
      </c>
      <c r="Q232" s="731"/>
      <c r="R232" s="729">
        <f t="shared" si="40"/>
        <v>0</v>
      </c>
      <c r="S232" s="710"/>
      <c r="U232" s="696">
        <f t="shared" si="41"/>
        <v>0</v>
      </c>
      <c r="V232" s="696">
        <f t="shared" si="42"/>
        <v>0</v>
      </c>
      <c r="W232" s="696">
        <f t="shared" si="43"/>
        <v>0</v>
      </c>
      <c r="X232" s="696">
        <f t="shared" si="44"/>
        <v>0</v>
      </c>
      <c r="Y232" s="696">
        <f t="shared" si="45"/>
        <v>0</v>
      </c>
      <c r="Z232" s="696">
        <f t="shared" si="46"/>
        <v>0</v>
      </c>
      <c r="AA232" s="696">
        <f t="shared" si="47"/>
        <v>0</v>
      </c>
      <c r="AB232" s="696">
        <f t="shared" si="48"/>
        <v>0</v>
      </c>
      <c r="AC232" s="696">
        <f t="shared" si="49"/>
        <v>0</v>
      </c>
      <c r="AD232" s="696">
        <f t="shared" si="50"/>
        <v>0</v>
      </c>
      <c r="AE232" s="699"/>
    </row>
    <row r="233" spans="1:31" ht="25.15" customHeight="1">
      <c r="A233" s="711">
        <v>50</v>
      </c>
      <c r="B233" s="712"/>
      <c r="C233" s="589"/>
      <c r="D233" s="710"/>
      <c r="E233" s="710"/>
      <c r="F233" s="710"/>
      <c r="G233" s="710"/>
      <c r="H233" s="710"/>
      <c r="I233" s="710"/>
      <c r="J233" s="710"/>
      <c r="K233" s="710"/>
      <c r="L233" s="710"/>
      <c r="M233" s="710"/>
      <c r="N233" s="717">
        <f t="shared" si="39"/>
        <v>0</v>
      </c>
      <c r="O233" s="718">
        <f t="shared" si="38"/>
        <v>0</v>
      </c>
      <c r="P233" s="720">
        <f>(O233/O240)*100</f>
        <v>0</v>
      </c>
      <c r="Q233" s="731"/>
      <c r="R233" s="729">
        <f t="shared" si="40"/>
        <v>0</v>
      </c>
      <c r="S233" s="710"/>
      <c r="U233" s="696">
        <f t="shared" si="41"/>
        <v>0</v>
      </c>
      <c r="V233" s="696">
        <f t="shared" si="42"/>
        <v>0</v>
      </c>
      <c r="W233" s="696">
        <f t="shared" si="43"/>
        <v>0</v>
      </c>
      <c r="X233" s="696">
        <f t="shared" si="44"/>
        <v>0</v>
      </c>
      <c r="Y233" s="696">
        <f t="shared" si="45"/>
        <v>0</v>
      </c>
      <c r="Z233" s="696">
        <f t="shared" si="46"/>
        <v>0</v>
      </c>
      <c r="AA233" s="696">
        <f t="shared" si="47"/>
        <v>0</v>
      </c>
      <c r="AB233" s="696">
        <f t="shared" si="48"/>
        <v>0</v>
      </c>
      <c r="AC233" s="696">
        <f t="shared" si="49"/>
        <v>0</v>
      </c>
      <c r="AD233" s="696">
        <f t="shared" si="50"/>
        <v>0</v>
      </c>
      <c r="AE233" s="699"/>
    </row>
    <row r="234" spans="1:31" ht="25.15" customHeight="1">
      <c r="A234" s="711">
        <v>51</v>
      </c>
      <c r="B234" s="712"/>
      <c r="C234" s="589"/>
      <c r="D234" s="710"/>
      <c r="E234" s="710"/>
      <c r="F234" s="710"/>
      <c r="G234" s="710"/>
      <c r="H234" s="710"/>
      <c r="I234" s="710"/>
      <c r="J234" s="710"/>
      <c r="K234" s="710"/>
      <c r="L234" s="710"/>
      <c r="M234" s="710"/>
      <c r="N234" s="717">
        <f t="shared" si="39"/>
        <v>0</v>
      </c>
      <c r="O234" s="718">
        <f t="shared" si="38"/>
        <v>0</v>
      </c>
      <c r="P234" s="720">
        <f>(O234/O240)*100</f>
        <v>0</v>
      </c>
      <c r="Q234" s="731"/>
      <c r="R234" s="729">
        <f t="shared" si="40"/>
        <v>0</v>
      </c>
      <c r="S234" s="710"/>
      <c r="U234" s="696">
        <f t="shared" si="41"/>
        <v>0</v>
      </c>
      <c r="V234" s="696">
        <f t="shared" si="42"/>
        <v>0</v>
      </c>
      <c r="W234" s="696">
        <f t="shared" si="43"/>
        <v>0</v>
      </c>
      <c r="X234" s="696">
        <f t="shared" si="44"/>
        <v>0</v>
      </c>
      <c r="Y234" s="696">
        <f t="shared" si="45"/>
        <v>0</v>
      </c>
      <c r="Z234" s="696">
        <f t="shared" si="46"/>
        <v>0</v>
      </c>
      <c r="AA234" s="696">
        <f t="shared" si="47"/>
        <v>0</v>
      </c>
      <c r="AB234" s="696">
        <f t="shared" si="48"/>
        <v>0</v>
      </c>
      <c r="AC234" s="696">
        <f t="shared" si="49"/>
        <v>0</v>
      </c>
      <c r="AD234" s="696">
        <f t="shared" si="50"/>
        <v>0</v>
      </c>
      <c r="AE234" s="699"/>
    </row>
    <row r="235" spans="1:31" ht="25.15" customHeight="1">
      <c r="A235" s="711">
        <v>52</v>
      </c>
      <c r="B235" s="733"/>
      <c r="C235" s="589"/>
      <c r="D235" s="710"/>
      <c r="E235" s="710"/>
      <c r="F235" s="710"/>
      <c r="G235" s="710"/>
      <c r="H235" s="710"/>
      <c r="I235" s="710"/>
      <c r="J235" s="710"/>
      <c r="K235" s="710"/>
      <c r="L235" s="710"/>
      <c r="M235" s="710"/>
      <c r="N235" s="717">
        <f t="shared" si="39"/>
        <v>0</v>
      </c>
      <c r="O235" s="718">
        <f t="shared" si="38"/>
        <v>0</v>
      </c>
      <c r="P235" s="747">
        <f>(O235/O240)*100</f>
        <v>0</v>
      </c>
      <c r="Q235" s="763"/>
      <c r="R235" s="729">
        <f t="shared" si="40"/>
        <v>0</v>
      </c>
      <c r="S235" s="710"/>
      <c r="U235" s="696">
        <f t="shared" si="41"/>
        <v>0</v>
      </c>
      <c r="V235" s="696">
        <f t="shared" si="42"/>
        <v>0</v>
      </c>
      <c r="W235" s="696">
        <f t="shared" si="43"/>
        <v>0</v>
      </c>
      <c r="X235" s="696">
        <f t="shared" si="44"/>
        <v>0</v>
      </c>
      <c r="Y235" s="696">
        <f t="shared" si="45"/>
        <v>0</v>
      </c>
      <c r="Z235" s="696">
        <f t="shared" si="46"/>
        <v>0</v>
      </c>
      <c r="AA235" s="696">
        <f t="shared" si="47"/>
        <v>0</v>
      </c>
      <c r="AB235" s="696">
        <f t="shared" si="48"/>
        <v>0</v>
      </c>
      <c r="AC235" s="696">
        <f t="shared" si="49"/>
        <v>0</v>
      </c>
      <c r="AD235" s="696">
        <f t="shared" si="50"/>
        <v>0</v>
      </c>
      <c r="AE235" s="699"/>
    </row>
    <row r="236" spans="1:31" ht="25.15" customHeight="1">
      <c r="A236" s="711">
        <v>53</v>
      </c>
      <c r="B236" s="734"/>
      <c r="C236" s="589"/>
      <c r="D236" s="710"/>
      <c r="E236" s="710"/>
      <c r="F236" s="710"/>
      <c r="G236" s="710"/>
      <c r="H236" s="710"/>
      <c r="I236" s="710"/>
      <c r="J236" s="710"/>
      <c r="K236" s="710"/>
      <c r="L236" s="710"/>
      <c r="M236" s="710"/>
      <c r="N236" s="717">
        <f t="shared" si="39"/>
        <v>0</v>
      </c>
      <c r="O236" s="718">
        <f t="shared" si="38"/>
        <v>0</v>
      </c>
      <c r="P236" s="720">
        <f>(O236/O240)*100</f>
        <v>0</v>
      </c>
      <c r="Q236" s="731"/>
      <c r="R236" s="729">
        <f t="shared" si="40"/>
        <v>0</v>
      </c>
      <c r="S236" s="710"/>
      <c r="U236" s="696">
        <f t="shared" si="41"/>
        <v>0</v>
      </c>
      <c r="V236" s="696">
        <f t="shared" si="42"/>
        <v>0</v>
      </c>
      <c r="W236" s="696">
        <f t="shared" si="43"/>
        <v>0</v>
      </c>
      <c r="X236" s="696">
        <f t="shared" si="44"/>
        <v>0</v>
      </c>
      <c r="Y236" s="696">
        <f t="shared" si="45"/>
        <v>0</v>
      </c>
      <c r="Z236" s="696">
        <f t="shared" si="46"/>
        <v>0</v>
      </c>
      <c r="AA236" s="696">
        <f t="shared" si="47"/>
        <v>0</v>
      </c>
      <c r="AB236" s="696">
        <f t="shared" si="48"/>
        <v>0</v>
      </c>
      <c r="AC236" s="696">
        <f t="shared" si="49"/>
        <v>0</v>
      </c>
      <c r="AD236" s="696">
        <f t="shared" si="50"/>
        <v>0</v>
      </c>
      <c r="AE236" s="699"/>
    </row>
    <row r="237" spans="1:31" ht="25.15" customHeight="1">
      <c r="A237" s="711">
        <v>54</v>
      </c>
      <c r="B237" s="734"/>
      <c r="C237" s="589"/>
      <c r="D237" s="710"/>
      <c r="E237" s="710"/>
      <c r="F237" s="710"/>
      <c r="G237" s="710"/>
      <c r="H237" s="710"/>
      <c r="I237" s="710"/>
      <c r="J237" s="710"/>
      <c r="K237" s="710"/>
      <c r="L237" s="710"/>
      <c r="M237" s="710"/>
      <c r="N237" s="717">
        <f t="shared" si="39"/>
        <v>0</v>
      </c>
      <c r="O237" s="718">
        <f t="shared" si="38"/>
        <v>0</v>
      </c>
      <c r="P237" s="720">
        <f>(O237/O240)*100</f>
        <v>0</v>
      </c>
      <c r="Q237" s="731"/>
      <c r="R237" s="729">
        <f t="shared" si="40"/>
        <v>0</v>
      </c>
      <c r="S237" s="710"/>
      <c r="U237" s="696">
        <f t="shared" si="41"/>
        <v>0</v>
      </c>
      <c r="V237" s="696">
        <f t="shared" si="42"/>
        <v>0</v>
      </c>
      <c r="W237" s="696">
        <f t="shared" si="43"/>
        <v>0</v>
      </c>
      <c r="X237" s="696">
        <f t="shared" si="44"/>
        <v>0</v>
      </c>
      <c r="Y237" s="696">
        <f t="shared" si="45"/>
        <v>0</v>
      </c>
      <c r="Z237" s="696">
        <f t="shared" si="46"/>
        <v>0</v>
      </c>
      <c r="AA237" s="696">
        <f t="shared" si="47"/>
        <v>0</v>
      </c>
      <c r="AB237" s="696">
        <f t="shared" si="48"/>
        <v>0</v>
      </c>
      <c r="AC237" s="696">
        <f t="shared" si="49"/>
        <v>0</v>
      </c>
      <c r="AD237" s="696">
        <f t="shared" si="50"/>
        <v>0</v>
      </c>
      <c r="AE237" s="699"/>
    </row>
    <row r="238" spans="1:31" ht="25.15" customHeight="1">
      <c r="A238" s="711">
        <v>55</v>
      </c>
      <c r="B238" s="735"/>
      <c r="C238" s="589"/>
      <c r="D238" s="710"/>
      <c r="E238" s="710"/>
      <c r="F238" s="710"/>
      <c r="G238" s="710"/>
      <c r="H238" s="710"/>
      <c r="I238" s="710"/>
      <c r="J238" s="710"/>
      <c r="K238" s="710"/>
      <c r="L238" s="710"/>
      <c r="M238" s="710"/>
      <c r="N238" s="717">
        <f t="shared" si="39"/>
        <v>0</v>
      </c>
      <c r="O238" s="718">
        <f t="shared" si="38"/>
        <v>0</v>
      </c>
      <c r="P238" s="747">
        <f>(O238/O240)*100</f>
        <v>0</v>
      </c>
      <c r="Q238" s="763"/>
      <c r="R238" s="729">
        <f t="shared" si="40"/>
        <v>0</v>
      </c>
      <c r="S238" s="710"/>
      <c r="U238" s="696">
        <f t="shared" si="41"/>
        <v>0</v>
      </c>
      <c r="V238" s="696">
        <f t="shared" si="42"/>
        <v>0</v>
      </c>
      <c r="W238" s="696">
        <f t="shared" si="43"/>
        <v>0</v>
      </c>
      <c r="X238" s="696">
        <f t="shared" si="44"/>
        <v>0</v>
      </c>
      <c r="Y238" s="696">
        <f t="shared" si="45"/>
        <v>0</v>
      </c>
      <c r="Z238" s="696">
        <f t="shared" si="46"/>
        <v>0</v>
      </c>
      <c r="AA238" s="696">
        <f t="shared" si="47"/>
        <v>0</v>
      </c>
      <c r="AB238" s="696">
        <f t="shared" si="48"/>
        <v>0</v>
      </c>
      <c r="AC238" s="696">
        <f t="shared" si="49"/>
        <v>0</v>
      </c>
      <c r="AD238" s="696">
        <f t="shared" si="50"/>
        <v>0</v>
      </c>
      <c r="AE238" s="699"/>
    </row>
    <row r="239" spans="1:31" ht="100.15" customHeight="1">
      <c r="A239" s="2561" t="s">
        <v>1508</v>
      </c>
      <c r="B239" s="2562"/>
      <c r="C239" s="2563"/>
      <c r="D239" s="736">
        <f t="shared" ref="D239:M239" si="64">U239</f>
        <v>18300</v>
      </c>
      <c r="E239" s="737">
        <f t="shared" si="64"/>
        <v>0</v>
      </c>
      <c r="F239" s="738">
        <f t="shared" si="64"/>
        <v>0</v>
      </c>
      <c r="G239" s="739">
        <f t="shared" si="64"/>
        <v>0</v>
      </c>
      <c r="H239" s="738">
        <f t="shared" si="64"/>
        <v>7200</v>
      </c>
      <c r="I239" s="739">
        <f t="shared" si="64"/>
        <v>0</v>
      </c>
      <c r="J239" s="738">
        <f t="shared" si="64"/>
        <v>0</v>
      </c>
      <c r="K239" s="739">
        <f t="shared" si="64"/>
        <v>0</v>
      </c>
      <c r="L239" s="738">
        <f t="shared" si="64"/>
        <v>0</v>
      </c>
      <c r="M239" s="739">
        <f t="shared" si="64"/>
        <v>0</v>
      </c>
      <c r="N239" s="748"/>
      <c r="O239" s="643">
        <f>SUM(D239:M239)</f>
        <v>25500</v>
      </c>
      <c r="P239" s="749">
        <f>SUM(P184:P238)/100</f>
        <v>1.8011654600035301E-2</v>
      </c>
      <c r="Q239" s="764"/>
      <c r="R239" s="770">
        <f>SUM(R184:R238)/100</f>
        <v>0</v>
      </c>
      <c r="S239" s="766"/>
      <c r="U239" s="696">
        <f t="shared" ref="U239:AD239" si="65">SUM(U184:U238)</f>
        <v>18300</v>
      </c>
      <c r="V239" s="696">
        <f t="shared" si="65"/>
        <v>0</v>
      </c>
      <c r="W239" s="696">
        <f t="shared" si="65"/>
        <v>0</v>
      </c>
      <c r="X239" s="696">
        <f t="shared" si="65"/>
        <v>0</v>
      </c>
      <c r="Y239" s="696">
        <f t="shared" si="65"/>
        <v>7200</v>
      </c>
      <c r="Z239" s="696">
        <f t="shared" si="65"/>
        <v>0</v>
      </c>
      <c r="AA239" s="696">
        <f t="shared" si="65"/>
        <v>0</v>
      </c>
      <c r="AB239" s="696">
        <f t="shared" si="65"/>
        <v>0</v>
      </c>
      <c r="AC239" s="696">
        <f t="shared" si="65"/>
        <v>0</v>
      </c>
      <c r="AD239" s="696">
        <f t="shared" si="65"/>
        <v>0</v>
      </c>
      <c r="AE239" s="699"/>
    </row>
    <row r="240" spans="1:31" ht="100.15" customHeight="1">
      <c r="A240" s="2561" t="s">
        <v>1509</v>
      </c>
      <c r="B240" s="2562"/>
      <c r="C240" s="2563"/>
      <c r="D240" s="740">
        <f>D181+D239</f>
        <v>273800</v>
      </c>
      <c r="E240" s="740">
        <f t="shared" ref="E240:P240" si="66">E181+E239</f>
        <v>281000</v>
      </c>
      <c r="F240" s="741">
        <f t="shared" si="66"/>
        <v>101700</v>
      </c>
      <c r="G240" s="741">
        <f t="shared" si="66"/>
        <v>206300</v>
      </c>
      <c r="H240" s="740">
        <f t="shared" si="66"/>
        <v>240100</v>
      </c>
      <c r="I240" s="740">
        <f t="shared" si="66"/>
        <v>172800</v>
      </c>
      <c r="J240" s="740">
        <f t="shared" si="66"/>
        <v>140050</v>
      </c>
      <c r="K240" s="740">
        <f t="shared" si="66"/>
        <v>0</v>
      </c>
      <c r="L240" s="740">
        <f t="shared" si="66"/>
        <v>0</v>
      </c>
      <c r="M240" s="740">
        <f t="shared" si="66"/>
        <v>0</v>
      </c>
      <c r="N240" s="740"/>
      <c r="O240" s="645">
        <f t="shared" si="66"/>
        <v>1415750</v>
      </c>
      <c r="P240" s="749">
        <f t="shared" si="66"/>
        <v>1</v>
      </c>
      <c r="Q240" s="764"/>
      <c r="R240" s="765">
        <f>R181+R239</f>
        <v>0</v>
      </c>
      <c r="S240" s="766"/>
      <c r="U240" s="699"/>
      <c r="V240" s="699"/>
      <c r="W240" s="699"/>
      <c r="X240" s="699"/>
      <c r="Y240" s="699"/>
      <c r="Z240" s="699"/>
      <c r="AA240" s="699"/>
      <c r="AB240" s="699"/>
      <c r="AC240" s="699"/>
      <c r="AD240" s="699"/>
      <c r="AE240" s="699"/>
    </row>
    <row r="241" spans="1:35" ht="25.15" customHeight="1">
      <c r="A241" s="2561" t="s">
        <v>1510</v>
      </c>
      <c r="B241" s="2562"/>
      <c r="C241" s="2563"/>
      <c r="D241" s="742"/>
      <c r="E241" s="742"/>
      <c r="F241" s="742"/>
      <c r="G241" s="742"/>
      <c r="H241" s="742"/>
      <c r="I241" s="742"/>
      <c r="J241" s="742"/>
      <c r="K241" s="742"/>
      <c r="L241" s="742"/>
      <c r="M241" s="742"/>
      <c r="N241" s="750">
        <f>SUM(D241:M241)</f>
        <v>0</v>
      </c>
      <c r="O241" s="751"/>
      <c r="P241" s="752"/>
      <c r="Q241" s="767"/>
      <c r="R241" s="752"/>
      <c r="S241" s="751"/>
      <c r="U241" s="699"/>
      <c r="V241" s="699"/>
      <c r="W241" s="699"/>
      <c r="X241" s="699"/>
      <c r="Y241" s="699"/>
      <c r="Z241" s="699"/>
      <c r="AA241" s="699"/>
      <c r="AB241" s="699"/>
      <c r="AC241" s="699"/>
      <c r="AD241" s="699"/>
      <c r="AE241" s="699"/>
    </row>
    <row r="242" spans="1:35" ht="18" customHeight="1"/>
    <row r="243" spans="1:35" ht="18" customHeight="1">
      <c r="A243" s="743" t="s">
        <v>1511</v>
      </c>
      <c r="N243" s="2599" t="s">
        <v>391</v>
      </c>
      <c r="O243" s="2599"/>
      <c r="Q243" s="768"/>
    </row>
    <row r="244" spans="1:35" ht="32.25" customHeight="1">
      <c r="A244" s="2600" t="s">
        <v>1512</v>
      </c>
      <c r="B244" s="2601"/>
      <c r="C244" s="2601"/>
      <c r="D244" s="2601"/>
      <c r="E244" s="2601"/>
      <c r="F244" s="2601"/>
      <c r="G244" s="2601"/>
      <c r="H244" s="2601"/>
      <c r="I244" s="2601"/>
      <c r="J244" s="744"/>
      <c r="K244" s="744"/>
      <c r="L244" s="744"/>
      <c r="M244" s="744"/>
      <c r="Q244" s="768"/>
    </row>
    <row r="245" spans="1:35" ht="18" customHeight="1">
      <c r="A245" s="2600" t="s">
        <v>1513</v>
      </c>
      <c r="B245" s="2601"/>
      <c r="C245" s="2601"/>
      <c r="D245" s="2601"/>
      <c r="E245" s="2601"/>
      <c r="F245" s="2601"/>
      <c r="G245" s="2601"/>
      <c r="H245" s="2601"/>
      <c r="I245" s="2601"/>
      <c r="J245" s="744"/>
      <c r="K245" s="744"/>
      <c r="L245" s="744"/>
      <c r="M245" s="744"/>
      <c r="Q245" s="768"/>
    </row>
    <row r="246" spans="1:35" ht="18" customHeight="1">
      <c r="A246" s="2585" t="s">
        <v>1514</v>
      </c>
      <c r="B246" s="2585"/>
      <c r="C246" s="2585"/>
      <c r="D246" s="2585"/>
      <c r="E246" s="2585"/>
      <c r="F246" s="2585"/>
      <c r="G246" s="2585"/>
      <c r="H246" s="2585"/>
      <c r="I246" s="2585"/>
      <c r="J246" s="744"/>
      <c r="K246" s="744"/>
      <c r="L246" s="744"/>
      <c r="M246" s="744"/>
      <c r="Q246" s="768"/>
    </row>
    <row r="247" spans="1:35" ht="18" customHeight="1">
      <c r="A247" s="2586" t="s">
        <v>1515</v>
      </c>
      <c r="B247" s="2586"/>
      <c r="C247" s="2586"/>
      <c r="D247" s="2586"/>
      <c r="E247" s="2586"/>
      <c r="F247" s="2586"/>
      <c r="G247" s="2586"/>
      <c r="H247" s="2586"/>
      <c r="I247" s="2586"/>
      <c r="J247" s="744"/>
      <c r="K247" s="744"/>
      <c r="L247" s="744"/>
      <c r="M247" s="744"/>
      <c r="P247" s="753"/>
      <c r="Q247" s="768"/>
    </row>
    <row r="248" spans="1:35" ht="18" customHeight="1">
      <c r="A248" s="2505"/>
      <c r="B248" s="2505"/>
      <c r="C248" s="2505"/>
      <c r="D248" s="2505"/>
      <c r="E248" s="2505"/>
      <c r="F248" s="2505"/>
      <c r="G248" s="2505"/>
      <c r="H248" s="2505"/>
      <c r="I248" s="2505"/>
      <c r="J248" s="744"/>
      <c r="K248" s="744"/>
      <c r="L248" s="744"/>
      <c r="M248" s="744"/>
      <c r="N248" s="2499" t="s">
        <v>1516</v>
      </c>
      <c r="O248" s="2499"/>
      <c r="P248" s="755"/>
      <c r="Q248" s="768"/>
    </row>
    <row r="249" spans="1:35" ht="18" customHeight="1">
      <c r="B249" s="744"/>
      <c r="C249" s="744"/>
      <c r="D249" s="744"/>
      <c r="E249" s="744"/>
      <c r="F249" s="744"/>
      <c r="G249" s="744"/>
      <c r="H249" s="744"/>
      <c r="I249" s="744"/>
      <c r="J249" s="744"/>
      <c r="K249" s="744"/>
      <c r="L249" s="744"/>
      <c r="M249" s="744"/>
      <c r="N249" s="756"/>
      <c r="O249" s="756"/>
      <c r="P249" s="755"/>
      <c r="Q249" s="768"/>
    </row>
    <row r="250" spans="1:35" s="691" customFormat="1" ht="18" customHeight="1">
      <c r="A250" s="637" t="s">
        <v>343</v>
      </c>
      <c r="B250" s="637"/>
      <c r="C250" s="637"/>
      <c r="D250" s="692"/>
      <c r="E250" s="692"/>
      <c r="F250" s="692"/>
      <c r="G250" s="692"/>
      <c r="H250" s="692"/>
      <c r="I250" s="692"/>
      <c r="J250" s="692"/>
      <c r="K250" s="692"/>
      <c r="L250" s="692"/>
      <c r="M250" s="692"/>
      <c r="N250" s="692"/>
      <c r="O250" s="692"/>
      <c r="Q250" s="768"/>
      <c r="S250" s="692"/>
      <c r="T250" s="692"/>
      <c r="U250" s="692"/>
      <c r="V250" s="692"/>
      <c r="W250" s="692"/>
      <c r="X250" s="692"/>
      <c r="Y250" s="692"/>
      <c r="Z250" s="692"/>
      <c r="AA250" s="692"/>
      <c r="AB250" s="692"/>
      <c r="AC250" s="692"/>
      <c r="AD250" s="692"/>
      <c r="AE250" s="692"/>
      <c r="AF250" s="692"/>
      <c r="AG250" s="692"/>
      <c r="AH250" s="692"/>
      <c r="AI250" s="692"/>
    </row>
    <row r="251" spans="1:35" s="691" customFormat="1" ht="18" customHeight="1">
      <c r="A251" s="532" t="s">
        <v>344</v>
      </c>
      <c r="B251" s="532"/>
      <c r="C251" s="532"/>
      <c r="D251" s="692"/>
      <c r="E251" s="692"/>
      <c r="F251" s="692"/>
      <c r="G251" s="692"/>
      <c r="H251" s="692"/>
      <c r="I251" s="692"/>
      <c r="J251" s="692"/>
      <c r="K251" s="692"/>
      <c r="L251" s="692"/>
      <c r="M251" s="692"/>
      <c r="N251" s="692"/>
      <c r="O251" s="692"/>
      <c r="Q251" s="768"/>
      <c r="S251" s="692"/>
      <c r="T251" s="692"/>
      <c r="U251" s="692"/>
      <c r="V251" s="692"/>
      <c r="W251" s="692"/>
      <c r="X251" s="692"/>
      <c r="Y251" s="692"/>
      <c r="Z251" s="692"/>
      <c r="AA251" s="692"/>
      <c r="AB251" s="692"/>
      <c r="AC251" s="692"/>
      <c r="AD251" s="692"/>
      <c r="AE251" s="692"/>
      <c r="AF251" s="692"/>
      <c r="AG251" s="692"/>
      <c r="AH251" s="692"/>
      <c r="AI251" s="692"/>
    </row>
    <row r="252" spans="1:35" s="691" customFormat="1" ht="58.15" customHeight="1">
      <c r="A252" s="532" t="s">
        <v>345</v>
      </c>
      <c r="B252" s="532"/>
      <c r="C252" s="532"/>
      <c r="D252" s="638" t="s">
        <v>1517</v>
      </c>
      <c r="E252" s="638" t="s">
        <v>1518</v>
      </c>
      <c r="F252" s="639"/>
      <c r="G252" s="639"/>
      <c r="H252" s="639"/>
      <c r="I252" s="639"/>
      <c r="J252" s="639"/>
      <c r="K252" s="639"/>
      <c r="L252" s="757"/>
      <c r="M252" s="757"/>
      <c r="N252" s="757"/>
      <c r="O252" s="757"/>
      <c r="Q252" s="768"/>
      <c r="S252" s="692"/>
      <c r="T252" s="692"/>
      <c r="U252" s="692"/>
      <c r="V252" s="692"/>
      <c r="W252" s="692"/>
      <c r="X252" s="692"/>
      <c r="Y252" s="692"/>
      <c r="Z252" s="692"/>
      <c r="AA252" s="692"/>
      <c r="AB252" s="692"/>
      <c r="AC252" s="692"/>
      <c r="AD252" s="692"/>
      <c r="AE252" s="692"/>
      <c r="AF252" s="692"/>
      <c r="AG252" s="692"/>
      <c r="AH252" s="692"/>
      <c r="AI252" s="692"/>
    </row>
    <row r="253" spans="1:35" s="691" customFormat="1" ht="26">
      <c r="A253" s="532" t="s">
        <v>346</v>
      </c>
      <c r="B253" s="532"/>
      <c r="C253" s="532"/>
      <c r="D253" s="692"/>
      <c r="E253" s="745" t="s">
        <v>1519</v>
      </c>
      <c r="F253" s="692"/>
      <c r="G253" s="692"/>
      <c r="H253" s="692"/>
      <c r="I253" s="692"/>
      <c r="J253" s="692"/>
      <c r="K253" s="692"/>
      <c r="L253" s="692"/>
      <c r="M253" s="692"/>
      <c r="N253" s="692"/>
      <c r="O253" s="692"/>
      <c r="Q253" s="768"/>
      <c r="S253" s="692"/>
      <c r="T253" s="692"/>
      <c r="U253" s="692"/>
      <c r="V253" s="692"/>
      <c r="W253" s="692"/>
      <c r="X253" s="692"/>
      <c r="Y253" s="692"/>
      <c r="Z253" s="692"/>
      <c r="AA253" s="692"/>
      <c r="AB253" s="692"/>
      <c r="AC253" s="692"/>
      <c r="AD253" s="692"/>
      <c r="AE253" s="692"/>
      <c r="AF253" s="692"/>
      <c r="AG253" s="692"/>
      <c r="AH253" s="692"/>
      <c r="AI253" s="692"/>
    </row>
    <row r="254" spans="1:35" s="691" customFormat="1" ht="18" customHeight="1">
      <c r="A254" s="532" t="s">
        <v>347</v>
      </c>
      <c r="B254" s="532"/>
      <c r="C254" s="532"/>
      <c r="D254" s="692"/>
      <c r="E254" s="692"/>
      <c r="F254" s="692"/>
      <c r="G254" s="692"/>
      <c r="H254" s="692"/>
      <c r="I254" s="692"/>
      <c r="J254" s="692"/>
      <c r="K254" s="692"/>
      <c r="L254" s="692"/>
      <c r="M254" s="692"/>
      <c r="N254" s="692"/>
      <c r="O254" s="692"/>
      <c r="Q254" s="768"/>
      <c r="S254" s="692"/>
      <c r="T254" s="692"/>
      <c r="U254" s="692"/>
      <c r="V254" s="692"/>
      <c r="W254" s="692"/>
      <c r="X254" s="692"/>
      <c r="Y254" s="692"/>
      <c r="Z254" s="692"/>
      <c r="AA254" s="692"/>
      <c r="AB254" s="692"/>
      <c r="AC254" s="692"/>
      <c r="AD254" s="692"/>
      <c r="AE254" s="692"/>
      <c r="AF254" s="692"/>
      <c r="AG254" s="692"/>
      <c r="AH254" s="692"/>
      <c r="AI254" s="692"/>
    </row>
    <row r="255" spans="1:35" s="691" customFormat="1" ht="18" customHeight="1">
      <c r="A255" s="532" t="s">
        <v>348</v>
      </c>
      <c r="B255" s="532"/>
      <c r="C255" s="532"/>
      <c r="D255" s="692"/>
      <c r="E255" s="692"/>
      <c r="F255" s="692"/>
      <c r="G255" s="692"/>
      <c r="H255" s="692"/>
      <c r="I255" s="692"/>
      <c r="J255" s="692"/>
      <c r="K255" s="692"/>
      <c r="L255" s="692"/>
      <c r="M255" s="692"/>
      <c r="N255" s="692"/>
      <c r="O255" s="692"/>
      <c r="Q255" s="768"/>
      <c r="S255" s="692"/>
      <c r="T255" s="692"/>
      <c r="U255" s="692"/>
      <c r="V255" s="692"/>
      <c r="W255" s="692"/>
      <c r="X255" s="692"/>
      <c r="Y255" s="692"/>
      <c r="Z255" s="692"/>
      <c r="AA255" s="692"/>
      <c r="AB255" s="692"/>
      <c r="AC255" s="692"/>
      <c r="AD255" s="692"/>
      <c r="AE255" s="692"/>
      <c r="AF255" s="692"/>
      <c r="AG255" s="692"/>
      <c r="AH255" s="692"/>
      <c r="AI255" s="692"/>
    </row>
    <row r="256" spans="1:35" s="691" customFormat="1" ht="18" customHeight="1">
      <c r="A256" s="532" t="s">
        <v>349</v>
      </c>
      <c r="B256" s="532"/>
      <c r="C256" s="532"/>
      <c r="D256" s="692"/>
      <c r="E256" s="692"/>
      <c r="F256" s="692"/>
      <c r="G256" s="692"/>
      <c r="H256" s="692"/>
      <c r="I256" s="692"/>
      <c r="J256" s="692"/>
      <c r="K256" s="692"/>
      <c r="L256" s="692"/>
      <c r="M256" s="692"/>
      <c r="N256" s="692"/>
      <c r="O256" s="692"/>
      <c r="Q256" s="768"/>
      <c r="S256" s="692"/>
      <c r="T256" s="692"/>
      <c r="U256" s="692"/>
      <c r="V256" s="692"/>
      <c r="W256" s="692"/>
      <c r="X256" s="692"/>
      <c r="Y256" s="692"/>
      <c r="Z256" s="692"/>
      <c r="AA256" s="692"/>
      <c r="AB256" s="692"/>
      <c r="AC256" s="692"/>
      <c r="AD256" s="692"/>
      <c r="AE256" s="692"/>
      <c r="AF256" s="692"/>
      <c r="AG256" s="692"/>
      <c r="AH256" s="692"/>
      <c r="AI256" s="692"/>
    </row>
    <row r="257" spans="1:35" s="691" customFormat="1" ht="18" customHeight="1">
      <c r="A257" s="532" t="s">
        <v>350</v>
      </c>
      <c r="B257" s="532"/>
      <c r="C257" s="532"/>
      <c r="D257" s="692"/>
      <c r="E257" s="692"/>
      <c r="F257" s="692"/>
      <c r="G257" s="692"/>
      <c r="H257" s="692"/>
      <c r="I257" s="692"/>
      <c r="J257" s="692"/>
      <c r="K257" s="692"/>
      <c r="L257" s="692"/>
      <c r="M257" s="692"/>
      <c r="N257" s="692"/>
      <c r="O257" s="692"/>
      <c r="Q257" s="768"/>
      <c r="S257" s="692"/>
      <c r="T257" s="692"/>
      <c r="U257" s="692"/>
      <c r="V257" s="692"/>
      <c r="W257" s="692"/>
      <c r="X257" s="692"/>
      <c r="Y257" s="692"/>
      <c r="Z257" s="692"/>
      <c r="AA257" s="692"/>
      <c r="AB257" s="692"/>
      <c r="AC257" s="692"/>
      <c r="AD257" s="692"/>
      <c r="AE257" s="692"/>
      <c r="AF257" s="692"/>
      <c r="AG257" s="692"/>
      <c r="AH257" s="692"/>
      <c r="AI257" s="692"/>
    </row>
    <row r="258" spans="1:35" s="691" customFormat="1" ht="18" customHeight="1">
      <c r="A258" s="641" t="s">
        <v>351</v>
      </c>
      <c r="B258" s="641"/>
      <c r="C258" s="641"/>
      <c r="D258" s="692"/>
      <c r="E258" s="692"/>
      <c r="F258" s="692"/>
      <c r="G258" s="692"/>
      <c r="H258" s="692"/>
      <c r="I258" s="692" t="s">
        <v>1520</v>
      </c>
      <c r="J258" s="758">
        <f>N8+N9+N40+N53+N56+N61+N64+N69+N72+N77+N80+N119+N124+N127</f>
        <v>31</v>
      </c>
      <c r="K258" s="692"/>
      <c r="L258" s="692"/>
      <c r="M258" s="692"/>
      <c r="N258" s="692"/>
      <c r="O258" s="692"/>
      <c r="Q258" s="768"/>
      <c r="S258" s="692"/>
      <c r="T258" s="692"/>
      <c r="U258" s="692"/>
      <c r="V258" s="692"/>
      <c r="W258" s="692"/>
      <c r="X258" s="692"/>
      <c r="Y258" s="692"/>
      <c r="Z258" s="692"/>
      <c r="AA258" s="692"/>
      <c r="AB258" s="692"/>
      <c r="AC258" s="692"/>
      <c r="AD258" s="692"/>
      <c r="AE258" s="692"/>
      <c r="AF258" s="692"/>
      <c r="AG258" s="692"/>
      <c r="AH258" s="692"/>
      <c r="AI258" s="692"/>
    </row>
    <row r="259" spans="1:35" s="691" customFormat="1" ht="18" customHeight="1">
      <c r="A259" s="641" t="s">
        <v>352</v>
      </c>
      <c r="B259" s="641"/>
      <c r="C259" s="641"/>
      <c r="D259" s="692"/>
      <c r="E259" s="692"/>
      <c r="F259" s="692"/>
      <c r="G259" s="692"/>
      <c r="H259" s="692"/>
      <c r="I259" s="692" t="s">
        <v>1521</v>
      </c>
      <c r="J259" s="758">
        <f>N10+N37+N41+N52+N55+N60+N63+N68+N71+N76+N79+N120+N126</f>
        <v>8</v>
      </c>
      <c r="K259" s="692"/>
      <c r="L259" s="692"/>
      <c r="M259" s="692"/>
      <c r="N259" s="692"/>
      <c r="O259" s="692"/>
      <c r="Q259" s="768"/>
      <c r="S259" s="692"/>
      <c r="T259" s="692"/>
      <c r="U259" s="692"/>
      <c r="V259" s="692"/>
      <c r="W259" s="692"/>
      <c r="X259" s="692"/>
      <c r="Y259" s="692"/>
      <c r="Z259" s="692"/>
      <c r="AA259" s="692"/>
      <c r="AB259" s="692"/>
      <c r="AC259" s="692"/>
      <c r="AD259" s="692"/>
      <c r="AE259" s="692"/>
      <c r="AF259" s="692"/>
      <c r="AG259" s="692"/>
      <c r="AH259" s="692"/>
      <c r="AI259" s="692"/>
    </row>
    <row r="260" spans="1:35" s="691" customFormat="1" ht="18" customHeight="1">
      <c r="A260" s="641" t="s">
        <v>353</v>
      </c>
      <c r="B260" s="641"/>
      <c r="C260" s="641"/>
      <c r="D260" s="692"/>
      <c r="E260" s="692"/>
      <c r="F260" s="692"/>
      <c r="G260" s="692"/>
      <c r="H260" s="692"/>
      <c r="I260" s="692" t="s">
        <v>1522</v>
      </c>
      <c r="J260" s="758">
        <f>N11+N34+N54+N51+N59+N62+N67+N70+N75+N78+N121+N125</f>
        <v>10</v>
      </c>
      <c r="K260" s="692"/>
      <c r="L260" s="692"/>
      <c r="M260" s="692"/>
      <c r="N260" s="692"/>
      <c r="O260" s="692"/>
      <c r="Q260" s="768"/>
      <c r="S260" s="692"/>
      <c r="T260" s="692"/>
      <c r="U260" s="692"/>
      <c r="V260" s="692"/>
      <c r="W260" s="692"/>
      <c r="X260" s="692"/>
      <c r="Y260" s="692"/>
      <c r="Z260" s="692"/>
      <c r="AA260" s="692"/>
      <c r="AB260" s="692"/>
      <c r="AC260" s="692"/>
      <c r="AD260" s="692"/>
      <c r="AE260" s="692"/>
      <c r="AF260" s="692"/>
      <c r="AG260" s="692"/>
      <c r="AH260" s="692"/>
      <c r="AI260" s="692"/>
    </row>
    <row r="261" spans="1:35" s="691" customFormat="1" ht="18" customHeight="1">
      <c r="A261" s="641" t="s">
        <v>354</v>
      </c>
      <c r="B261" s="641"/>
      <c r="C261" s="641"/>
      <c r="D261" s="692"/>
      <c r="E261" s="692"/>
      <c r="F261" s="692"/>
      <c r="G261" s="692"/>
      <c r="H261" s="692"/>
      <c r="I261" s="692"/>
      <c r="J261" s="692"/>
      <c r="K261" s="692"/>
      <c r="L261" s="692"/>
      <c r="M261" s="692"/>
      <c r="N261" s="692"/>
      <c r="O261" s="692"/>
      <c r="Q261" s="768"/>
      <c r="S261" s="692"/>
      <c r="T261" s="692"/>
      <c r="U261" s="692"/>
      <c r="V261" s="692"/>
      <c r="W261" s="692"/>
      <c r="X261" s="692"/>
      <c r="Y261" s="692"/>
      <c r="Z261" s="692"/>
      <c r="AA261" s="692"/>
      <c r="AB261" s="692"/>
      <c r="AC261" s="692"/>
      <c r="AD261" s="692"/>
      <c r="AE261" s="692"/>
      <c r="AF261" s="692"/>
      <c r="AG261" s="692"/>
      <c r="AH261" s="692"/>
      <c r="AI261" s="692"/>
    </row>
    <row r="262" spans="1:35" s="691" customFormat="1" ht="18" customHeight="1">
      <c r="A262" s="532" t="s">
        <v>355</v>
      </c>
      <c r="B262" s="532"/>
      <c r="C262" s="532"/>
      <c r="D262" s="692"/>
      <c r="E262" s="692"/>
      <c r="F262" s="692"/>
      <c r="G262" s="692"/>
      <c r="H262" s="692"/>
      <c r="I262" s="692"/>
      <c r="J262" s="692"/>
      <c r="K262" s="692"/>
      <c r="L262" s="692"/>
      <c r="M262" s="692"/>
      <c r="N262" s="692"/>
      <c r="O262" s="692"/>
      <c r="Q262" s="768"/>
      <c r="S262" s="692"/>
      <c r="T262" s="692"/>
      <c r="U262" s="692"/>
      <c r="V262" s="692"/>
      <c r="W262" s="692"/>
      <c r="X262" s="692"/>
      <c r="Y262" s="692"/>
      <c r="Z262" s="692"/>
      <c r="AA262" s="692"/>
      <c r="AB262" s="692"/>
      <c r="AC262" s="692"/>
      <c r="AD262" s="692"/>
      <c r="AE262" s="692"/>
      <c r="AF262" s="692"/>
      <c r="AG262" s="692"/>
      <c r="AH262" s="692"/>
      <c r="AI262" s="692"/>
    </row>
    <row r="263" spans="1:35" s="691" customFormat="1" ht="18" customHeight="1">
      <c r="A263" s="532"/>
      <c r="B263" s="532"/>
      <c r="C263" s="532"/>
      <c r="D263" s="692"/>
      <c r="E263" s="692"/>
      <c r="F263" s="692"/>
      <c r="G263" s="692"/>
      <c r="H263" s="692"/>
      <c r="I263" s="692"/>
      <c r="J263" s="692"/>
      <c r="K263" s="692"/>
      <c r="L263" s="692"/>
      <c r="M263" s="692"/>
      <c r="N263" s="692"/>
      <c r="O263" s="692"/>
      <c r="Q263" s="768"/>
      <c r="S263" s="692"/>
      <c r="T263" s="692"/>
      <c r="U263" s="692"/>
      <c r="V263" s="692"/>
      <c r="W263" s="692"/>
      <c r="X263" s="692"/>
      <c r="Y263" s="692"/>
      <c r="Z263" s="692"/>
      <c r="AA263" s="692"/>
      <c r="AB263" s="692"/>
      <c r="AC263" s="692"/>
      <c r="AD263" s="692"/>
      <c r="AE263" s="692"/>
      <c r="AF263" s="692"/>
      <c r="AG263" s="692"/>
      <c r="AH263" s="692"/>
      <c r="AI263" s="692"/>
    </row>
    <row r="264" spans="1:35" s="691" customFormat="1" ht="18" customHeight="1">
      <c r="A264" s="532"/>
      <c r="B264" s="532"/>
      <c r="C264" s="532"/>
      <c r="D264" s="692"/>
      <c r="E264" s="692"/>
      <c r="F264" s="692"/>
      <c r="G264" s="692"/>
      <c r="H264" s="692"/>
      <c r="I264" s="692"/>
      <c r="J264" s="692"/>
      <c r="K264" s="692"/>
      <c r="L264" s="692"/>
      <c r="M264" s="692"/>
      <c r="N264" s="692"/>
      <c r="O264" s="692"/>
      <c r="Q264" s="768"/>
      <c r="S264" s="692"/>
      <c r="T264" s="692"/>
      <c r="U264" s="692"/>
      <c r="V264" s="692"/>
      <c r="W264" s="692"/>
      <c r="X264" s="692"/>
      <c r="Y264" s="692"/>
      <c r="Z264" s="692"/>
      <c r="AA264" s="692"/>
      <c r="AB264" s="692"/>
      <c r="AC264" s="692"/>
      <c r="AD264" s="692"/>
      <c r="AE264" s="692"/>
      <c r="AF264" s="692"/>
      <c r="AG264" s="692"/>
      <c r="AH264" s="692"/>
      <c r="AI264" s="692"/>
    </row>
    <row r="265" spans="1:35" s="691" customFormat="1" ht="18" customHeight="1">
      <c r="A265" s="532"/>
      <c r="B265" s="532"/>
      <c r="C265" s="532"/>
      <c r="D265" s="692"/>
      <c r="E265" s="692"/>
      <c r="F265" s="692"/>
      <c r="G265" s="692"/>
      <c r="H265" s="692"/>
      <c r="I265" s="692"/>
      <c r="J265" s="692"/>
      <c r="K265" s="692"/>
      <c r="L265" s="692"/>
      <c r="M265" s="692"/>
      <c r="N265" s="692"/>
      <c r="O265" s="692"/>
      <c r="Q265" s="768"/>
      <c r="S265" s="692"/>
      <c r="T265" s="692"/>
      <c r="U265" s="692"/>
      <c r="V265" s="692"/>
      <c r="W265" s="692"/>
      <c r="X265" s="692"/>
      <c r="Y265" s="692"/>
      <c r="Z265" s="692"/>
      <c r="AA265" s="692"/>
      <c r="AB265" s="692"/>
      <c r="AC265" s="692"/>
      <c r="AD265" s="692"/>
      <c r="AE265" s="692"/>
      <c r="AF265" s="692"/>
      <c r="AG265" s="692"/>
      <c r="AH265" s="692"/>
      <c r="AI265" s="692"/>
    </row>
    <row r="266" spans="1:35" ht="18" customHeight="1">
      <c r="A266" s="532"/>
      <c r="B266" s="532"/>
      <c r="C266" s="532"/>
      <c r="Q266" s="768"/>
    </row>
    <row r="267" spans="1:35" ht="18" customHeight="1">
      <c r="A267" s="532"/>
      <c r="B267" s="532"/>
      <c r="C267" s="532"/>
      <c r="Q267" s="768"/>
    </row>
    <row r="268" spans="1:35" ht="18" customHeight="1">
      <c r="A268" s="532"/>
      <c r="B268" s="532"/>
      <c r="C268" s="532"/>
      <c r="Q268" s="768"/>
    </row>
    <row r="269" spans="1:35" ht="18" customHeight="1">
      <c r="A269" s="532"/>
      <c r="B269" s="532"/>
      <c r="C269" s="532"/>
      <c r="Q269" s="768"/>
    </row>
    <row r="270" spans="1:35" ht="18" customHeight="1">
      <c r="A270" s="532"/>
      <c r="B270" s="532"/>
      <c r="C270" s="532"/>
      <c r="Q270" s="768"/>
    </row>
    <row r="271" spans="1:35" ht="18" customHeight="1">
      <c r="A271" s="532"/>
      <c r="B271" s="532"/>
      <c r="C271" s="532"/>
      <c r="Q271" s="768"/>
    </row>
    <row r="272" spans="1:35" ht="18" customHeight="1">
      <c r="A272" s="532"/>
      <c r="B272" s="532"/>
      <c r="C272" s="532"/>
      <c r="Q272" s="768"/>
    </row>
    <row r="273" spans="1:17" ht="18" customHeight="1">
      <c r="A273" s="532"/>
      <c r="B273" s="532"/>
      <c r="C273" s="532"/>
      <c r="Q273" s="768"/>
    </row>
    <row r="274" spans="1:17" ht="18" customHeight="1">
      <c r="A274" s="532"/>
      <c r="B274" s="532"/>
      <c r="C274" s="532"/>
      <c r="Q274" s="768"/>
    </row>
    <row r="275" spans="1:17" ht="18" customHeight="1">
      <c r="A275" s="532"/>
      <c r="B275" s="532"/>
      <c r="C275" s="532"/>
      <c r="Q275" s="768"/>
    </row>
    <row r="276" spans="1:17" ht="18" customHeight="1">
      <c r="A276" s="532"/>
      <c r="B276" s="532"/>
      <c r="C276" s="532"/>
      <c r="Q276" s="768"/>
    </row>
    <row r="277" spans="1:17" ht="18" customHeight="1">
      <c r="A277" s="532"/>
      <c r="B277" s="532"/>
      <c r="C277" s="532"/>
      <c r="Q277" s="768"/>
    </row>
    <row r="278" spans="1:17" ht="18" customHeight="1">
      <c r="A278" s="532"/>
      <c r="B278" s="532"/>
      <c r="C278" s="532"/>
      <c r="Q278" s="768"/>
    </row>
    <row r="279" spans="1:17" ht="18" customHeight="1">
      <c r="A279" s="532"/>
      <c r="B279" s="532"/>
      <c r="C279" s="532"/>
      <c r="Q279" s="768"/>
    </row>
    <row r="280" spans="1:17" ht="18" customHeight="1">
      <c r="A280" s="532"/>
      <c r="B280" s="532"/>
      <c r="C280" s="532"/>
      <c r="Q280" s="768"/>
    </row>
    <row r="281" spans="1:17" ht="18" customHeight="1">
      <c r="A281" s="532"/>
      <c r="B281" s="532"/>
      <c r="C281" s="532"/>
      <c r="Q281" s="768"/>
    </row>
    <row r="282" spans="1:17" ht="18" customHeight="1">
      <c r="A282" s="532"/>
      <c r="B282" s="532"/>
      <c r="C282" s="532"/>
      <c r="Q282" s="768"/>
    </row>
    <row r="283" spans="1:17" ht="32.25" customHeight="1">
      <c r="A283" s="642"/>
      <c r="B283" s="532"/>
      <c r="C283" s="532"/>
      <c r="Q283" s="768"/>
    </row>
    <row r="284" spans="1:17" ht="18" customHeight="1">
      <c r="A284" s="532"/>
      <c r="B284" s="532"/>
      <c r="C284" s="532"/>
      <c r="Q284" s="768"/>
    </row>
    <row r="285" spans="1:17" ht="18" customHeight="1">
      <c r="A285" s="532"/>
      <c r="B285" s="532"/>
      <c r="C285" s="532"/>
      <c r="Q285" s="768"/>
    </row>
    <row r="286" spans="1:17" ht="18" customHeight="1">
      <c r="A286" s="532"/>
      <c r="B286" s="532"/>
      <c r="C286" s="532"/>
      <c r="Q286" s="768"/>
    </row>
    <row r="287" spans="1:17" ht="18" customHeight="1">
      <c r="A287" s="532"/>
      <c r="B287" s="532"/>
      <c r="C287" s="532"/>
      <c r="Q287" s="768"/>
    </row>
    <row r="288" spans="1:17" ht="18" customHeight="1">
      <c r="A288" s="532"/>
      <c r="B288" s="532"/>
      <c r="C288" s="532"/>
      <c r="Q288" s="768"/>
    </row>
    <row r="289" spans="1:17" ht="18" customHeight="1">
      <c r="A289" s="532"/>
      <c r="B289" s="532"/>
      <c r="C289" s="532"/>
      <c r="Q289" s="768"/>
    </row>
    <row r="290" spans="1:17" ht="18" customHeight="1">
      <c r="Q290" s="768"/>
    </row>
    <row r="291" spans="1:17" ht="18" customHeight="1">
      <c r="Q291" s="768"/>
    </row>
    <row r="292" spans="1:17" ht="18" customHeight="1">
      <c r="Q292" s="768"/>
    </row>
    <row r="293" spans="1:17" ht="18" customHeight="1">
      <c r="Q293" s="768"/>
    </row>
    <row r="294" spans="1:17" ht="18" customHeight="1">
      <c r="Q294" s="768"/>
    </row>
    <row r="295" spans="1:17" ht="18" customHeight="1">
      <c r="Q295" s="768"/>
    </row>
    <row r="296" spans="1:17" ht="18" customHeight="1">
      <c r="Q296" s="768"/>
    </row>
    <row r="297" spans="1:17" ht="18" customHeight="1">
      <c r="Q297" s="768"/>
    </row>
    <row r="298" spans="1:17" ht="18" customHeight="1">
      <c r="Q298" s="768"/>
    </row>
    <row r="299" spans="1:17" ht="18" customHeight="1">
      <c r="Q299" s="768"/>
    </row>
    <row r="300" spans="1:17" ht="18" customHeight="1">
      <c r="Q300" s="768"/>
    </row>
    <row r="301" spans="1:17" ht="18" customHeight="1">
      <c r="Q301" s="768"/>
    </row>
    <row r="302" spans="1:17" ht="18" customHeight="1">
      <c r="Q302" s="768"/>
    </row>
    <row r="303" spans="1:17" ht="18" customHeight="1">
      <c r="Q303" s="768"/>
    </row>
    <row r="304" spans="1:17" ht="18" customHeight="1">
      <c r="Q304" s="768"/>
    </row>
    <row r="305" spans="17:17" ht="18" customHeight="1">
      <c r="Q305" s="768"/>
    </row>
    <row r="306" spans="17:17" ht="18" customHeight="1">
      <c r="Q306" s="768"/>
    </row>
    <row r="307" spans="17:17" ht="18" customHeight="1">
      <c r="Q307" s="768"/>
    </row>
    <row r="308" spans="17:17" ht="18" customHeight="1">
      <c r="Q308" s="768"/>
    </row>
    <row r="309" spans="17:17" ht="18" customHeight="1">
      <c r="Q309" s="768"/>
    </row>
    <row r="310" spans="17:17" ht="18" customHeight="1">
      <c r="Q310" s="768"/>
    </row>
    <row r="311" spans="17:17" ht="18" customHeight="1">
      <c r="Q311" s="768"/>
    </row>
    <row r="312" spans="17:17" ht="18" customHeight="1">
      <c r="Q312" s="768"/>
    </row>
    <row r="313" spans="17:17" ht="18" customHeight="1">
      <c r="Q313" s="768"/>
    </row>
    <row r="314" spans="17:17" ht="18" customHeight="1">
      <c r="Q314" s="768"/>
    </row>
    <row r="315" spans="17:17" ht="18" customHeight="1">
      <c r="Q315" s="768"/>
    </row>
    <row r="316" spans="17:17" ht="18" customHeight="1">
      <c r="Q316" s="768"/>
    </row>
    <row r="317" spans="17:17" ht="18" customHeight="1">
      <c r="Q317" s="768"/>
    </row>
    <row r="318" spans="17:17" ht="18" customHeight="1">
      <c r="Q318" s="768"/>
    </row>
    <row r="319" spans="17:17" ht="18" customHeight="1">
      <c r="Q319" s="768"/>
    </row>
    <row r="320" spans="17:17" ht="18" customHeight="1">
      <c r="Q320" s="768"/>
    </row>
    <row r="321" spans="17:17" ht="18" customHeight="1">
      <c r="Q321" s="768"/>
    </row>
    <row r="322" spans="17:17" ht="18" customHeight="1">
      <c r="Q322" s="768"/>
    </row>
    <row r="323" spans="17:17" ht="18" customHeight="1">
      <c r="Q323" s="768"/>
    </row>
    <row r="324" spans="17:17" ht="18" customHeight="1">
      <c r="Q324" s="768"/>
    </row>
    <row r="325" spans="17:17" ht="18" customHeight="1">
      <c r="Q325" s="768"/>
    </row>
    <row r="326" spans="17:17" ht="18" customHeight="1">
      <c r="Q326" s="768"/>
    </row>
    <row r="327" spans="17:17" ht="18" customHeight="1">
      <c r="Q327" s="768"/>
    </row>
    <row r="328" spans="17:17" ht="18" customHeight="1">
      <c r="Q328" s="768"/>
    </row>
    <row r="329" spans="17:17" ht="18" customHeight="1">
      <c r="Q329" s="768"/>
    </row>
    <row r="330" spans="17:17" ht="18" customHeight="1">
      <c r="Q330" s="768"/>
    </row>
    <row r="331" spans="17:17" ht="18" customHeight="1">
      <c r="Q331" s="768"/>
    </row>
    <row r="332" spans="17:17" ht="18" customHeight="1">
      <c r="Q332" s="768"/>
    </row>
    <row r="333" spans="17:17" ht="18" customHeight="1">
      <c r="Q333" s="768"/>
    </row>
    <row r="334" spans="17:17" ht="18" customHeight="1"/>
    <row r="335" spans="17:17" ht="18" customHeight="1"/>
    <row r="336" spans="17:17"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row r="520" ht="18" customHeight="1"/>
    <row r="521" ht="18" customHeight="1"/>
    <row r="522" ht="18" customHeight="1"/>
    <row r="523" ht="18" customHeight="1"/>
    <row r="524" ht="18" customHeight="1"/>
    <row r="525" ht="18" customHeight="1"/>
    <row r="526" ht="18" customHeight="1"/>
    <row r="527" ht="18" customHeight="1"/>
    <row r="528" ht="18" customHeight="1"/>
    <row r="529" ht="18" customHeight="1"/>
    <row r="530" ht="18" customHeight="1"/>
    <row r="531" ht="18" customHeight="1"/>
    <row r="532" ht="18" customHeight="1"/>
    <row r="533" ht="18" customHeight="1"/>
    <row r="534" ht="18" customHeight="1"/>
    <row r="535" ht="18" customHeight="1"/>
    <row r="536" ht="18" customHeight="1"/>
    <row r="537" ht="18" customHeight="1"/>
    <row r="538" ht="18" customHeight="1"/>
    <row r="539" ht="18" customHeight="1"/>
    <row r="540" ht="18" customHeight="1"/>
    <row r="541" ht="18" customHeight="1"/>
    <row r="542" ht="18" customHeight="1"/>
    <row r="543" ht="18" customHeight="1"/>
    <row r="544" ht="18" customHeight="1"/>
    <row r="545" ht="18" customHeight="1"/>
    <row r="546" ht="18" customHeight="1"/>
    <row r="547" ht="18" customHeight="1"/>
    <row r="548" ht="18" customHeight="1"/>
    <row r="549" ht="18" customHeight="1"/>
    <row r="550" ht="18" customHeight="1"/>
    <row r="551" ht="18" customHeight="1"/>
    <row r="552" ht="18" customHeight="1"/>
    <row r="553" ht="18" customHeight="1"/>
    <row r="554" ht="18" customHeight="1"/>
    <row r="555" ht="18" customHeight="1"/>
    <row r="556" ht="18" customHeight="1"/>
    <row r="557" ht="18" customHeight="1"/>
    <row r="558" ht="18" customHeight="1"/>
    <row r="559" ht="18" customHeight="1"/>
    <row r="560" ht="18" customHeight="1"/>
    <row r="561" ht="18" customHeight="1"/>
    <row r="562" ht="18" customHeight="1"/>
    <row r="563" ht="18" customHeight="1"/>
    <row r="564" ht="18" customHeight="1"/>
    <row r="565" ht="18" customHeight="1"/>
    <row r="566" ht="18" customHeight="1"/>
    <row r="567" ht="18" customHeight="1"/>
    <row r="568" ht="18" customHeight="1"/>
    <row r="569" ht="18" customHeight="1"/>
    <row r="570" ht="18" customHeight="1"/>
    <row r="571" ht="18" customHeight="1"/>
    <row r="572" ht="18"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row r="1001" ht="18" customHeight="1"/>
    <row r="1002" ht="18" customHeight="1"/>
    <row r="1003" ht="18" customHeight="1"/>
    <row r="1004" ht="18" customHeight="1"/>
    <row r="1005" ht="18" customHeight="1"/>
    <row r="1006" ht="18" customHeight="1"/>
    <row r="1007" ht="18" customHeight="1"/>
    <row r="1008" ht="18" customHeight="1"/>
    <row r="1009" ht="18" customHeight="1"/>
    <row r="1010" ht="18" customHeight="1"/>
    <row r="1011" ht="18" customHeight="1"/>
    <row r="1012" ht="18" customHeight="1"/>
    <row r="1013" ht="18" customHeight="1"/>
    <row r="1014" ht="18" customHeight="1"/>
    <row r="1015" ht="18" customHeight="1"/>
    <row r="1016" ht="18" customHeight="1"/>
    <row r="1017" ht="18" customHeight="1"/>
    <row r="1018" ht="18" customHeight="1"/>
    <row r="1019" ht="18" customHeight="1"/>
    <row r="1020" ht="18" customHeight="1"/>
    <row r="1021" ht="18" customHeight="1"/>
    <row r="1022" ht="18" customHeight="1"/>
    <row r="1023" ht="18" customHeight="1"/>
    <row r="1024" ht="18" customHeight="1"/>
    <row r="1025" ht="18" customHeight="1"/>
    <row r="1026" ht="18" customHeight="1"/>
    <row r="1027" ht="18" customHeight="1"/>
    <row r="1028" ht="18" customHeight="1"/>
    <row r="1029" ht="18" customHeight="1"/>
    <row r="1030" ht="18" customHeight="1"/>
    <row r="1031" ht="18" customHeight="1"/>
    <row r="1032" ht="18" customHeight="1"/>
    <row r="1033" ht="18" customHeight="1"/>
    <row r="1034" ht="18" customHeight="1"/>
    <row r="1035" ht="18" customHeight="1"/>
    <row r="1036" ht="18" customHeight="1"/>
    <row r="1037" ht="18" customHeight="1"/>
    <row r="1038" ht="18" customHeight="1"/>
    <row r="1039" ht="18" customHeight="1"/>
    <row r="1040" ht="18" customHeight="1"/>
    <row r="1041" ht="18" customHeight="1"/>
    <row r="1042" ht="18" customHeight="1"/>
    <row r="1043" ht="18" customHeight="1"/>
    <row r="1044" ht="18" customHeight="1"/>
    <row r="1045" ht="18" customHeight="1"/>
    <row r="1046" ht="18" customHeight="1"/>
    <row r="1047" ht="18" customHeight="1"/>
    <row r="1048" ht="18" customHeight="1"/>
    <row r="1049" ht="18" customHeight="1"/>
    <row r="1050" ht="18" customHeight="1"/>
    <row r="1051" ht="18" customHeight="1"/>
    <row r="1052" ht="18" customHeight="1"/>
    <row r="1053" ht="18" customHeight="1"/>
    <row r="1054" ht="18" customHeight="1"/>
    <row r="1055" ht="18" customHeight="1"/>
    <row r="1056" ht="18" customHeight="1"/>
    <row r="1057" ht="18" customHeight="1"/>
    <row r="1058" ht="18" customHeight="1"/>
    <row r="1059" ht="18" customHeight="1"/>
    <row r="1060" ht="18" customHeight="1"/>
    <row r="1061" ht="18" customHeight="1"/>
    <row r="1062" ht="18" customHeight="1"/>
    <row r="1063" ht="18" customHeight="1"/>
    <row r="1064" ht="18" customHeight="1"/>
    <row r="1065" ht="18" customHeight="1"/>
    <row r="1066" ht="18" customHeight="1"/>
    <row r="1067" ht="18" customHeight="1"/>
    <row r="1068" ht="18" customHeight="1"/>
    <row r="1069" ht="18" customHeight="1"/>
    <row r="1070" ht="18" customHeight="1"/>
    <row r="1071" ht="18" customHeight="1"/>
    <row r="1072" ht="18" customHeight="1"/>
    <row r="1073" ht="18" customHeight="1"/>
    <row r="1074" ht="18" customHeight="1"/>
    <row r="1075" ht="18" customHeight="1"/>
    <row r="1076" ht="18" customHeight="1"/>
    <row r="1077" ht="18" customHeight="1"/>
    <row r="1078" ht="18" customHeight="1"/>
    <row r="1079" ht="18" customHeight="1"/>
    <row r="1080" ht="18" customHeight="1"/>
    <row r="1081" ht="18" customHeight="1"/>
    <row r="1082" ht="18" customHeight="1"/>
    <row r="1083" ht="18" customHeight="1"/>
    <row r="1084" ht="18" customHeight="1"/>
    <row r="1085" ht="18" customHeight="1"/>
    <row r="1086" ht="18" customHeight="1"/>
    <row r="1087" ht="18" customHeight="1"/>
    <row r="1088" ht="18" customHeight="1"/>
    <row r="1089" ht="18" customHeight="1"/>
    <row r="1090" ht="18" customHeight="1"/>
    <row r="1091" ht="18" customHeight="1"/>
    <row r="1092" ht="18" customHeight="1"/>
    <row r="1093" ht="18" customHeight="1"/>
    <row r="1094" ht="18" customHeight="1"/>
    <row r="1095" ht="18" customHeight="1"/>
    <row r="1096" ht="18" customHeight="1"/>
    <row r="1097" ht="18" customHeight="1"/>
    <row r="1098" ht="18" customHeight="1"/>
    <row r="1099" ht="18" customHeight="1"/>
    <row r="1100" ht="18" customHeight="1"/>
    <row r="1101" ht="18" customHeight="1"/>
    <row r="1102" ht="18" customHeight="1"/>
    <row r="1103" ht="18" customHeight="1"/>
    <row r="1104" ht="18" customHeight="1"/>
    <row r="1105" ht="18" customHeight="1"/>
    <row r="1106" ht="18" customHeight="1"/>
    <row r="1107" ht="18" customHeight="1"/>
    <row r="1108" ht="18" customHeight="1"/>
    <row r="1109" ht="18" customHeight="1"/>
    <row r="1110" ht="18" customHeight="1"/>
    <row r="1111" ht="18" customHeight="1"/>
    <row r="1112" ht="18" customHeight="1"/>
    <row r="1113" ht="18" customHeight="1"/>
    <row r="1114" ht="18" customHeight="1"/>
    <row r="1115" ht="18" customHeight="1"/>
    <row r="1116" ht="18" customHeight="1"/>
    <row r="1117" ht="18" customHeight="1"/>
    <row r="1118" ht="18" customHeight="1"/>
    <row r="1119" ht="18" customHeight="1"/>
    <row r="1120" ht="18" customHeight="1"/>
    <row r="1121" ht="18" customHeight="1"/>
    <row r="1122" ht="18" customHeight="1"/>
    <row r="1123" ht="18" customHeight="1"/>
    <row r="1124" ht="18" customHeight="1"/>
    <row r="1125" ht="18" customHeight="1"/>
    <row r="1126" ht="18" customHeight="1"/>
    <row r="1127" ht="18" customHeight="1"/>
    <row r="1128" ht="18" customHeight="1"/>
    <row r="1129" ht="18" customHeight="1"/>
    <row r="1130" ht="18" customHeight="1"/>
    <row r="1131" ht="18" customHeight="1"/>
    <row r="1132" ht="18" customHeight="1"/>
    <row r="1133" ht="18" customHeight="1"/>
    <row r="1134" ht="18" customHeight="1"/>
    <row r="1135" ht="18" customHeight="1"/>
    <row r="1136" ht="18" customHeight="1"/>
    <row r="1137" ht="18" customHeight="1"/>
    <row r="1138" ht="18" customHeight="1"/>
    <row r="1139" ht="18" customHeight="1"/>
    <row r="1140" ht="18" customHeight="1"/>
    <row r="1141" ht="18" customHeight="1"/>
    <row r="1142" ht="18" customHeight="1"/>
    <row r="1143" ht="18" customHeight="1"/>
    <row r="1144" ht="18" customHeight="1"/>
    <row r="1145" ht="18" customHeight="1"/>
    <row r="1146" ht="18" customHeight="1"/>
    <row r="1147" ht="18" customHeight="1"/>
    <row r="1148" ht="18" customHeight="1"/>
    <row r="1149" ht="18" customHeight="1"/>
    <row r="1150" ht="18" customHeight="1"/>
    <row r="1151" ht="18" customHeight="1"/>
    <row r="1152" ht="18" customHeight="1"/>
    <row r="1153" ht="18" customHeight="1"/>
    <row r="1154" ht="18" customHeight="1"/>
    <row r="1155" ht="18" customHeight="1"/>
    <row r="1156" ht="18" customHeight="1"/>
    <row r="1157" ht="18" customHeight="1"/>
    <row r="1158" ht="18" customHeight="1"/>
    <row r="1159" ht="18" customHeight="1"/>
    <row r="1160" ht="18" customHeight="1"/>
    <row r="1161" ht="18" customHeight="1"/>
    <row r="1162" ht="18" customHeight="1"/>
    <row r="1163" ht="18" customHeight="1"/>
    <row r="1164" ht="18" customHeight="1"/>
    <row r="1165" ht="18" customHeight="1"/>
    <row r="1166" ht="18" customHeight="1"/>
    <row r="1167" ht="18" customHeight="1"/>
    <row r="1168" ht="18" customHeight="1"/>
    <row r="1169" ht="18" customHeight="1"/>
    <row r="1170" ht="18" customHeight="1"/>
    <row r="1171" ht="18" customHeight="1"/>
    <row r="1172" ht="18" customHeight="1"/>
    <row r="1173" ht="18" customHeight="1"/>
    <row r="1174" ht="18" customHeight="1"/>
    <row r="1175" ht="18" customHeight="1"/>
    <row r="1176" ht="18" customHeight="1"/>
    <row r="1177" ht="18" customHeight="1"/>
    <row r="1178" ht="18" customHeight="1"/>
    <row r="1179" ht="18" customHeight="1"/>
    <row r="1180" ht="18" customHeight="1"/>
    <row r="1181" ht="18" customHeight="1"/>
    <row r="1182" ht="18" customHeight="1"/>
    <row r="1183" ht="18" customHeight="1"/>
    <row r="1184" ht="18" customHeight="1"/>
    <row r="1185" spans="1:19" ht="18" customHeight="1"/>
    <row r="1186" spans="1:19" ht="18" customHeight="1">
      <c r="A1186" s="2605" t="s">
        <v>1276</v>
      </c>
      <c r="B1186" s="2605"/>
      <c r="C1186" s="2605"/>
      <c r="D1186" s="2605"/>
      <c r="E1186" s="2605"/>
      <c r="F1186" s="2605"/>
      <c r="G1186" s="2605"/>
      <c r="H1186" s="2605"/>
      <c r="I1186" s="2605"/>
      <c r="J1186" s="2605"/>
      <c r="K1186" s="2605"/>
      <c r="L1186" s="2605"/>
      <c r="M1186" s="2605"/>
      <c r="N1186" s="2605"/>
      <c r="O1186" s="2605"/>
      <c r="P1186" s="2605"/>
      <c r="Q1186" s="2605"/>
      <c r="R1186" s="2605"/>
      <c r="S1186" s="2605"/>
    </row>
    <row r="1187" spans="1:19" ht="18" customHeight="1"/>
    <row r="1188" spans="1:19" ht="18" customHeight="1"/>
    <row r="1189" spans="1:19" ht="18" customHeight="1"/>
    <row r="1190" spans="1:19" ht="18" customHeight="1"/>
  </sheetData>
  <sheetProtection algorithmName="SHA-512" hashValue="RKZzOx72wLKl9Nd0rf2dFcOR0Y9fWhTf2OH3PxTn8ayZ3/5IUX+90CgL7a3zanNGyo9jmxOWxqKxPFSOlAY+2Q==" saltValue="NBmgKF2YIkNKZOoeZKOP5Q==" spinCount="100000" sheet="1" objects="1" scenarios="1"/>
  <mergeCells count="20">
    <mergeCell ref="A247:I247"/>
    <mergeCell ref="A248:I248"/>
    <mergeCell ref="N248:O248"/>
    <mergeCell ref="A1186:S1186"/>
    <mergeCell ref="A6:A7"/>
    <mergeCell ref="B6:B7"/>
    <mergeCell ref="C6:C7"/>
    <mergeCell ref="P6:P7"/>
    <mergeCell ref="Q6:Q7"/>
    <mergeCell ref="R6:R7"/>
    <mergeCell ref="A241:C241"/>
    <mergeCell ref="N243:O243"/>
    <mergeCell ref="A244:I244"/>
    <mergeCell ref="A245:I245"/>
    <mergeCell ref="A246:I246"/>
    <mergeCell ref="A2:S2"/>
    <mergeCell ref="N6:O6"/>
    <mergeCell ref="A181:C181"/>
    <mergeCell ref="A239:C239"/>
    <mergeCell ref="A240:C240"/>
  </mergeCells>
  <pageMargins left="0.12" right="0.12" top="0.2" bottom="0.12" header="0.31" footer="0.31"/>
  <pageSetup paperSize="10000" scale="24" orientation="portrait"/>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92D050"/>
    <pageSetUpPr fitToPage="1"/>
  </sheetPr>
  <dimension ref="A2:AI1133"/>
  <sheetViews>
    <sheetView topLeftCell="A36" zoomScale="64" zoomScaleNormal="64" workbookViewId="0">
      <selection activeCell="G72" sqref="A1:S115"/>
    </sheetView>
  </sheetViews>
  <sheetFormatPr defaultColWidth="9.26953125" defaultRowHeight="13"/>
  <cols>
    <col min="1" max="1" width="8.7265625" style="692" customWidth="1"/>
    <col min="2" max="2" width="40.7265625" style="692" hidden="1" customWidth="1"/>
    <col min="3" max="3" width="80.1796875" style="692" customWidth="1"/>
    <col min="4" max="13" width="11.1796875" style="692" customWidth="1"/>
    <col min="14" max="14" width="12.54296875" style="692" customWidth="1"/>
    <col min="15" max="15" width="25.7265625" style="692" customWidth="1"/>
    <col min="16" max="16" width="10.54296875" style="691" customWidth="1"/>
    <col min="17" max="17" width="10.54296875" style="693" customWidth="1"/>
    <col min="18" max="18" width="10.54296875" style="691" customWidth="1"/>
    <col min="19" max="19" width="12.54296875" style="692" customWidth="1"/>
    <col min="20" max="20" width="4.26953125" style="692" customWidth="1"/>
    <col min="21" max="31" width="20.7265625" style="692" customWidth="1"/>
    <col min="32" max="16384" width="9.26953125" style="692"/>
  </cols>
  <sheetData>
    <row r="2" spans="1:31" ht="40.15" customHeight="1">
      <c r="A2" s="2564" t="s">
        <v>1590</v>
      </c>
      <c r="B2" s="2564"/>
      <c r="C2" s="2564"/>
      <c r="D2" s="2564"/>
      <c r="E2" s="2564"/>
      <c r="F2" s="2564"/>
      <c r="G2" s="2564"/>
      <c r="H2" s="2564"/>
      <c r="I2" s="2564"/>
      <c r="J2" s="2564"/>
      <c r="K2" s="2564"/>
      <c r="L2" s="2564"/>
      <c r="M2" s="2564"/>
      <c r="N2" s="2564"/>
      <c r="O2" s="2564"/>
      <c r="P2" s="2564"/>
      <c r="Q2" s="2564"/>
      <c r="R2" s="2564"/>
      <c r="S2" s="2564"/>
    </row>
    <row r="3" spans="1:31" ht="25.15" customHeight="1">
      <c r="A3" s="532"/>
      <c r="B3" s="532"/>
      <c r="C3" s="532"/>
      <c r="D3" s="532"/>
      <c r="E3" s="532"/>
      <c r="F3" s="532"/>
      <c r="G3" s="532"/>
      <c r="H3" s="532"/>
      <c r="I3" s="532"/>
      <c r="J3" s="532"/>
      <c r="K3" s="532"/>
      <c r="L3" s="532"/>
      <c r="M3" s="535"/>
      <c r="N3" s="547" t="s">
        <v>1277</v>
      </c>
      <c r="O3" s="548" t="str">
        <f>'LAP TAMBAHAN '!O3:P3</f>
        <v>RC SAMATA GOWA</v>
      </c>
      <c r="P3" s="531"/>
      <c r="Q3" s="665"/>
      <c r="R3" s="531"/>
      <c r="S3" s="532"/>
    </row>
    <row r="4" spans="1:31" ht="25.15" customHeight="1">
      <c r="A4" s="532"/>
      <c r="B4" s="532"/>
      <c r="C4" s="532"/>
      <c r="D4" s="532"/>
      <c r="E4" s="532"/>
      <c r="F4" s="532"/>
      <c r="G4" s="532"/>
      <c r="H4" s="532"/>
      <c r="I4" s="532"/>
      <c r="J4" s="532"/>
      <c r="K4" s="532"/>
      <c r="L4" s="532"/>
      <c r="M4" s="535"/>
      <c r="N4" s="547" t="s">
        <v>1278</v>
      </c>
      <c r="O4" s="549" t="str">
        <f>'LAP TAMBAHAN '!O4:P4</f>
        <v>8-14 JANUARI 2025</v>
      </c>
      <c r="P4" s="531"/>
      <c r="Q4" s="665"/>
      <c r="R4" s="531"/>
      <c r="S4" s="532"/>
    </row>
    <row r="5" spans="1:31" ht="25.15" customHeight="1">
      <c r="A5" s="535"/>
      <c r="B5" s="532"/>
      <c r="C5" s="532"/>
      <c r="D5" s="532"/>
      <c r="E5" s="532"/>
      <c r="F5" s="532"/>
      <c r="G5" s="532"/>
      <c r="H5" s="532"/>
      <c r="I5" s="532"/>
      <c r="J5" s="532"/>
      <c r="K5" s="532"/>
      <c r="L5" s="532"/>
      <c r="M5" s="535"/>
      <c r="N5" s="532"/>
      <c r="O5" s="532"/>
      <c r="P5" s="531"/>
      <c r="Q5" s="665"/>
      <c r="R5" s="531"/>
      <c r="S5" s="532"/>
    </row>
    <row r="6" spans="1:31" ht="25.15" customHeight="1">
      <c r="A6" s="2571" t="s">
        <v>65</v>
      </c>
      <c r="B6" s="2594" t="s">
        <v>1279</v>
      </c>
      <c r="C6" s="2575" t="str">
        <f>B6</f>
        <v>PRODUCT</v>
      </c>
      <c r="D6" s="536">
        <f>'LAP. PENJUALAN '!D6</f>
        <v>46030</v>
      </c>
      <c r="E6" s="536">
        <f>'LAP. PENJUALAN '!E6</f>
        <v>46031</v>
      </c>
      <c r="F6" s="536">
        <f>'LAP. PENJUALAN '!F6</f>
        <v>46032</v>
      </c>
      <c r="G6" s="536">
        <f>'LAP. PENJUALAN '!G6</f>
        <v>46033</v>
      </c>
      <c r="H6" s="536">
        <f>'LAP. PENJUALAN '!H6</f>
        <v>46034</v>
      </c>
      <c r="I6" s="536">
        <f>'LAP. PENJUALAN '!I6</f>
        <v>46035</v>
      </c>
      <c r="J6" s="536">
        <f>'LAP. PENJUALAN '!J6</f>
        <v>46036</v>
      </c>
      <c r="K6" s="536">
        <f>'LAP. PENJUALAN '!K6</f>
        <v>0</v>
      </c>
      <c r="L6" s="536">
        <f>'LAP. PENJUALAN '!L6</f>
        <v>0</v>
      </c>
      <c r="M6" s="536">
        <f>'LAP. PENJUALAN '!M6</f>
        <v>0</v>
      </c>
      <c r="N6" s="2568" t="s">
        <v>310</v>
      </c>
      <c r="O6" s="2568"/>
      <c r="P6" s="2577" t="s">
        <v>1154</v>
      </c>
      <c r="Q6" s="2597" t="s">
        <v>1280</v>
      </c>
      <c r="R6" s="2581" t="s">
        <v>1281</v>
      </c>
      <c r="S6" s="558" t="s">
        <v>365</v>
      </c>
    </row>
    <row r="7" spans="1:31" ht="25.15" customHeight="1">
      <c r="A7" s="2572"/>
      <c r="B7" s="2595"/>
      <c r="C7" s="2596"/>
      <c r="D7" s="537" t="str">
        <f>'LAP. PENJUALAN '!D7</f>
        <v>KAMIS</v>
      </c>
      <c r="E7" s="538" t="str">
        <f>'LAP. PENJUALAN '!E7</f>
        <v>JUMAT</v>
      </c>
      <c r="F7" s="538" t="str">
        <f>'LAP. PENJUALAN '!F7</f>
        <v>SABTU</v>
      </c>
      <c r="G7" s="538" t="str">
        <f>'LAP. PENJUALAN '!G7</f>
        <v>MINGGU</v>
      </c>
      <c r="H7" s="538" t="str">
        <f>'LAP. PENJUALAN '!H7</f>
        <v>SENIN</v>
      </c>
      <c r="I7" s="538" t="str">
        <f>'LAP. PENJUALAN '!I7</f>
        <v>SELASA</v>
      </c>
      <c r="J7" s="538" t="str">
        <f>'LAP. PENJUALAN '!J7</f>
        <v>RABU</v>
      </c>
      <c r="K7" s="538">
        <f>'LAP. PENJUALAN '!K7</f>
        <v>0</v>
      </c>
      <c r="L7" s="538">
        <f>'LAP. PENJUALAN '!L7</f>
        <v>0</v>
      </c>
      <c r="M7" s="538">
        <f>'LAP. PENJUALAN '!M7</f>
        <v>0</v>
      </c>
      <c r="N7" s="551" t="s">
        <v>67</v>
      </c>
      <c r="O7" s="551" t="s">
        <v>415</v>
      </c>
      <c r="P7" s="2578"/>
      <c r="Q7" s="2598"/>
      <c r="R7" s="2582"/>
      <c r="S7" s="560" t="s">
        <v>368</v>
      </c>
    </row>
    <row r="8" spans="1:31" ht="25.15" customHeight="1">
      <c r="A8" s="539">
        <v>1</v>
      </c>
      <c r="B8" s="540" t="s">
        <v>1282</v>
      </c>
      <c r="C8" s="541" t="str">
        <f>'LAP. PENJUALAN '!C8</f>
        <v>Dada</v>
      </c>
      <c r="D8" s="694"/>
      <c r="E8" s="694">
        <v>1</v>
      </c>
      <c r="F8" s="694"/>
      <c r="G8" s="694"/>
      <c r="H8" s="694">
        <v>2</v>
      </c>
      <c r="I8" s="694"/>
      <c r="J8" s="694"/>
      <c r="K8" s="694"/>
      <c r="L8" s="694"/>
      <c r="M8" s="694"/>
      <c r="N8" s="552">
        <f>SUM(D8:M8)</f>
        <v>3</v>
      </c>
      <c r="O8" s="552">
        <f>N8*S8</f>
        <v>55860</v>
      </c>
      <c r="P8" s="553">
        <f>(O8/O237)*100</f>
        <v>4.2369506697886301</v>
      </c>
      <c r="Q8" s="562"/>
      <c r="R8" s="553">
        <f>P8*Q8</f>
        <v>0</v>
      </c>
      <c r="S8" s="695">
        <v>18620</v>
      </c>
      <c r="U8" s="696">
        <f>D8*S8</f>
        <v>0</v>
      </c>
      <c r="V8" s="696">
        <f>E8*S8</f>
        <v>18620</v>
      </c>
      <c r="W8" s="696">
        <f>F8*S8</f>
        <v>0</v>
      </c>
      <c r="X8" s="696">
        <f>G8*S8</f>
        <v>0</v>
      </c>
      <c r="Y8" s="696">
        <f>H8*S8</f>
        <v>37240</v>
      </c>
      <c r="Z8" s="696">
        <f>I8*S8</f>
        <v>0</v>
      </c>
      <c r="AA8" s="696">
        <f>J8*S8</f>
        <v>0</v>
      </c>
      <c r="AB8" s="696">
        <f>K8*S8</f>
        <v>0</v>
      </c>
      <c r="AC8" s="696">
        <f>L8*S8</f>
        <v>0</v>
      </c>
      <c r="AD8" s="696">
        <f>M8*S8</f>
        <v>0</v>
      </c>
      <c r="AE8" s="699"/>
    </row>
    <row r="9" spans="1:31" ht="25.15" customHeight="1">
      <c r="A9" s="543">
        <v>2</v>
      </c>
      <c r="B9" s="544" t="s">
        <v>1283</v>
      </c>
      <c r="C9" s="541" t="str">
        <f>'LAP. PENJUALAN '!C9</f>
        <v>Paha Atas</v>
      </c>
      <c r="D9" s="694"/>
      <c r="E9" s="694"/>
      <c r="F9" s="694">
        <v>1</v>
      </c>
      <c r="G9" s="694">
        <v>1</v>
      </c>
      <c r="H9" s="694">
        <v>1</v>
      </c>
      <c r="I9" s="694"/>
      <c r="J9" s="694">
        <v>1</v>
      </c>
      <c r="K9" s="694"/>
      <c r="L9" s="694"/>
      <c r="M9" s="694"/>
      <c r="N9" s="554">
        <f t="shared" ref="N9:N81" si="0">SUM(D9:M9)</f>
        <v>4</v>
      </c>
      <c r="O9" s="554">
        <f t="shared" ref="O9:O81" si="1">N9*S9</f>
        <v>74480</v>
      </c>
      <c r="P9" s="555">
        <f>(O9/O237)*100</f>
        <v>5.6492675597181696</v>
      </c>
      <c r="Q9" s="567"/>
      <c r="R9" s="555">
        <f t="shared" ref="R9:R81" si="2">P9*Q9</f>
        <v>0</v>
      </c>
      <c r="S9" s="697">
        <v>18620</v>
      </c>
      <c r="U9" s="696">
        <f t="shared" ref="U9:U81" si="3">D9*S9</f>
        <v>0</v>
      </c>
      <c r="V9" s="696">
        <f t="shared" ref="V9:V81" si="4">E9*S9</f>
        <v>0</v>
      </c>
      <c r="W9" s="696">
        <f t="shared" ref="W9:W81" si="5">F9*S9</f>
        <v>18620</v>
      </c>
      <c r="X9" s="696">
        <f t="shared" ref="X9:X81" si="6">G9*S9</f>
        <v>18620</v>
      </c>
      <c r="Y9" s="696">
        <f t="shared" ref="Y9:Y81" si="7">H9*S9</f>
        <v>18620</v>
      </c>
      <c r="Z9" s="696">
        <f t="shared" ref="Z9:Z81" si="8">I9*S9</f>
        <v>0</v>
      </c>
      <c r="AA9" s="696">
        <f t="shared" ref="AA9:AA81" si="9">J9*S9</f>
        <v>18620</v>
      </c>
      <c r="AB9" s="696">
        <f t="shared" ref="AB9:AB81" si="10">K9*S9</f>
        <v>0</v>
      </c>
      <c r="AC9" s="696">
        <f t="shared" ref="AC9:AC81" si="11">L9*S9</f>
        <v>0</v>
      </c>
      <c r="AD9" s="696">
        <f t="shared" ref="AD9:AD81" si="12">M9*S9</f>
        <v>0</v>
      </c>
      <c r="AE9" s="699"/>
    </row>
    <row r="10" spans="1:31" ht="25.15" customHeight="1">
      <c r="A10" s="543">
        <v>3</v>
      </c>
      <c r="B10" s="544" t="s">
        <v>1284</v>
      </c>
      <c r="C10" s="541" t="str">
        <f>'LAP. PENJUALAN '!C10</f>
        <v>Paha Bawah</v>
      </c>
      <c r="D10" s="694">
        <v>2</v>
      </c>
      <c r="E10" s="694"/>
      <c r="F10" s="694">
        <v>1</v>
      </c>
      <c r="G10" s="694"/>
      <c r="H10" s="694"/>
      <c r="I10" s="694"/>
      <c r="J10" s="694"/>
      <c r="K10" s="694"/>
      <c r="L10" s="694"/>
      <c r="M10" s="694"/>
      <c r="N10" s="554">
        <f t="shared" si="0"/>
        <v>3</v>
      </c>
      <c r="O10" s="554">
        <f t="shared" si="1"/>
        <v>47880</v>
      </c>
      <c r="P10" s="555">
        <f>(O10/O237)*100</f>
        <v>3.6316720026759701</v>
      </c>
      <c r="Q10" s="567"/>
      <c r="R10" s="555">
        <f t="shared" si="2"/>
        <v>0</v>
      </c>
      <c r="S10" s="697">
        <v>15960</v>
      </c>
      <c r="U10" s="696">
        <f t="shared" si="3"/>
        <v>31920</v>
      </c>
      <c r="V10" s="696">
        <f t="shared" si="4"/>
        <v>0</v>
      </c>
      <c r="W10" s="696">
        <f t="shared" si="5"/>
        <v>15960</v>
      </c>
      <c r="X10" s="696">
        <f t="shared" si="6"/>
        <v>0</v>
      </c>
      <c r="Y10" s="696">
        <f t="shared" si="7"/>
        <v>0</v>
      </c>
      <c r="Z10" s="696">
        <f t="shared" si="8"/>
        <v>0</v>
      </c>
      <c r="AA10" s="696">
        <f t="shared" si="9"/>
        <v>0</v>
      </c>
      <c r="AB10" s="696">
        <f t="shared" si="10"/>
        <v>0</v>
      </c>
      <c r="AC10" s="696">
        <f t="shared" si="11"/>
        <v>0</v>
      </c>
      <c r="AD10" s="696">
        <f t="shared" si="12"/>
        <v>0</v>
      </c>
      <c r="AE10" s="699"/>
    </row>
    <row r="11" spans="1:31" ht="25.15" customHeight="1">
      <c r="A11" s="543">
        <v>4</v>
      </c>
      <c r="B11" s="544" t="s">
        <v>1285</v>
      </c>
      <c r="C11" s="541" t="str">
        <f>'LAP. PENJUALAN '!C11</f>
        <v>Sayap</v>
      </c>
      <c r="D11" s="694"/>
      <c r="E11" s="694">
        <v>1</v>
      </c>
      <c r="F11" s="694"/>
      <c r="G11" s="694"/>
      <c r="H11" s="694"/>
      <c r="I11" s="694"/>
      <c r="J11" s="694"/>
      <c r="K11" s="694"/>
      <c r="L11" s="694"/>
      <c r="M11" s="694"/>
      <c r="N11" s="554">
        <f t="shared" si="0"/>
        <v>1</v>
      </c>
      <c r="O11" s="554">
        <f t="shared" si="1"/>
        <v>14630</v>
      </c>
      <c r="P11" s="555">
        <f>(O11/O237)*100</f>
        <v>1.10967755637321</v>
      </c>
      <c r="Q11" s="567"/>
      <c r="R11" s="555">
        <f t="shared" si="2"/>
        <v>0</v>
      </c>
      <c r="S11" s="697">
        <v>14630</v>
      </c>
      <c r="U11" s="696">
        <f t="shared" si="3"/>
        <v>0</v>
      </c>
      <c r="V11" s="696">
        <f t="shared" si="4"/>
        <v>14630</v>
      </c>
      <c r="W11" s="696">
        <f t="shared" si="5"/>
        <v>0</v>
      </c>
      <c r="X11" s="696">
        <f t="shared" si="6"/>
        <v>0</v>
      </c>
      <c r="Y11" s="696">
        <f t="shared" si="7"/>
        <v>0</v>
      </c>
      <c r="Z11" s="696">
        <f t="shared" si="8"/>
        <v>0</v>
      </c>
      <c r="AA11" s="696">
        <f t="shared" si="9"/>
        <v>0</v>
      </c>
      <c r="AB11" s="696">
        <f t="shared" si="10"/>
        <v>0</v>
      </c>
      <c r="AC11" s="696">
        <f t="shared" si="11"/>
        <v>0</v>
      </c>
      <c r="AD11" s="696">
        <f t="shared" si="12"/>
        <v>0</v>
      </c>
      <c r="AE11" s="699"/>
    </row>
    <row r="12" spans="1:31" ht="25.15" customHeight="1">
      <c r="A12" s="543">
        <v>5</v>
      </c>
      <c r="B12" s="544" t="s">
        <v>1286</v>
      </c>
      <c r="C12" s="541" t="str">
        <f>'LAP. PENJUALAN '!C12</f>
        <v>Chicken Strips</v>
      </c>
      <c r="D12" s="694"/>
      <c r="E12" s="694"/>
      <c r="F12" s="694"/>
      <c r="G12" s="694"/>
      <c r="H12" s="694"/>
      <c r="I12" s="694"/>
      <c r="J12" s="694"/>
      <c r="K12" s="694"/>
      <c r="L12" s="694"/>
      <c r="M12" s="694"/>
      <c r="N12" s="554">
        <f t="shared" si="0"/>
        <v>0</v>
      </c>
      <c r="O12" s="554">
        <f t="shared" si="1"/>
        <v>0</v>
      </c>
      <c r="P12" s="555">
        <f>(O12/O237)*100</f>
        <v>0</v>
      </c>
      <c r="Q12" s="567"/>
      <c r="R12" s="555">
        <f t="shared" si="2"/>
        <v>0</v>
      </c>
      <c r="S12" s="697">
        <v>18620</v>
      </c>
      <c r="U12" s="696">
        <f t="shared" si="3"/>
        <v>0</v>
      </c>
      <c r="V12" s="696">
        <f t="shared" si="4"/>
        <v>0</v>
      </c>
      <c r="W12" s="696">
        <f t="shared" si="5"/>
        <v>0</v>
      </c>
      <c r="X12" s="696">
        <f t="shared" si="6"/>
        <v>0</v>
      </c>
      <c r="Y12" s="696">
        <f t="shared" si="7"/>
        <v>0</v>
      </c>
      <c r="Z12" s="696">
        <f t="shared" si="8"/>
        <v>0</v>
      </c>
      <c r="AA12" s="696">
        <f t="shared" si="9"/>
        <v>0</v>
      </c>
      <c r="AB12" s="696">
        <f t="shared" si="10"/>
        <v>0</v>
      </c>
      <c r="AC12" s="696">
        <f t="shared" si="11"/>
        <v>0</v>
      </c>
      <c r="AD12" s="696">
        <f t="shared" si="12"/>
        <v>0</v>
      </c>
      <c r="AE12" s="699"/>
    </row>
    <row r="13" spans="1:31" ht="25.15" customHeight="1">
      <c r="A13" s="543">
        <v>6</v>
      </c>
      <c r="B13" s="544" t="s">
        <v>1287</v>
      </c>
      <c r="C13" s="541" t="str">
        <f>'LAP. PENJUALAN '!C13</f>
        <v>Chicken Steak</v>
      </c>
      <c r="D13" s="694">
        <v>1</v>
      </c>
      <c r="E13" s="694"/>
      <c r="F13" s="694"/>
      <c r="G13" s="694"/>
      <c r="H13" s="694"/>
      <c r="I13" s="694"/>
      <c r="J13" s="694"/>
      <c r="K13" s="694"/>
      <c r="L13" s="694"/>
      <c r="M13" s="694"/>
      <c r="N13" s="554">
        <f t="shared" si="0"/>
        <v>1</v>
      </c>
      <c r="O13" s="554">
        <f t="shared" si="1"/>
        <v>19950</v>
      </c>
      <c r="P13" s="555">
        <f>(O13/O237)*100</f>
        <v>1.51319666778165</v>
      </c>
      <c r="Q13" s="567"/>
      <c r="R13" s="555">
        <f t="shared" si="2"/>
        <v>0</v>
      </c>
      <c r="S13" s="697">
        <v>19950</v>
      </c>
      <c r="U13" s="696">
        <f t="shared" si="3"/>
        <v>19950</v>
      </c>
      <c r="V13" s="696">
        <f t="shared" si="4"/>
        <v>0</v>
      </c>
      <c r="W13" s="696">
        <f t="shared" si="5"/>
        <v>0</v>
      </c>
      <c r="X13" s="696">
        <f t="shared" si="6"/>
        <v>0</v>
      </c>
      <c r="Y13" s="696">
        <f t="shared" si="7"/>
        <v>0</v>
      </c>
      <c r="Z13" s="696">
        <f t="shared" si="8"/>
        <v>0</v>
      </c>
      <c r="AA13" s="696">
        <f t="shared" si="9"/>
        <v>0</v>
      </c>
      <c r="AB13" s="696">
        <f t="shared" si="10"/>
        <v>0</v>
      </c>
      <c r="AC13" s="696">
        <f t="shared" si="11"/>
        <v>0</v>
      </c>
      <c r="AD13" s="696">
        <f t="shared" si="12"/>
        <v>0</v>
      </c>
      <c r="AE13" s="699"/>
    </row>
    <row r="14" spans="1:31" ht="25.15" customHeight="1">
      <c r="A14" s="543"/>
      <c r="B14" s="544"/>
      <c r="C14" s="541"/>
      <c r="D14" s="694"/>
      <c r="E14" s="694"/>
      <c r="F14" s="694"/>
      <c r="G14" s="694"/>
      <c r="H14" s="694"/>
      <c r="I14" s="694"/>
      <c r="J14" s="694"/>
      <c r="K14" s="694"/>
      <c r="L14" s="694"/>
      <c r="M14" s="694"/>
      <c r="N14" s="554">
        <f t="shared" si="0"/>
        <v>0</v>
      </c>
      <c r="O14" s="554">
        <f t="shared" si="1"/>
        <v>0</v>
      </c>
      <c r="P14" s="555">
        <f>(O14/O237)*100</f>
        <v>0</v>
      </c>
      <c r="Q14" s="567"/>
      <c r="R14" s="555">
        <f t="shared" si="2"/>
        <v>0</v>
      </c>
      <c r="S14" s="697"/>
      <c r="U14" s="696">
        <f t="shared" si="3"/>
        <v>0</v>
      </c>
      <c r="V14" s="696">
        <f t="shared" si="4"/>
        <v>0</v>
      </c>
      <c r="W14" s="696">
        <f t="shared" si="5"/>
        <v>0</v>
      </c>
      <c r="X14" s="696">
        <f t="shared" si="6"/>
        <v>0</v>
      </c>
      <c r="Y14" s="696">
        <f t="shared" si="7"/>
        <v>0</v>
      </c>
      <c r="Z14" s="696">
        <f t="shared" si="8"/>
        <v>0</v>
      </c>
      <c r="AA14" s="696">
        <f t="shared" si="9"/>
        <v>0</v>
      </c>
      <c r="AB14" s="696">
        <f t="shared" si="10"/>
        <v>0</v>
      </c>
      <c r="AC14" s="696">
        <f t="shared" si="11"/>
        <v>0</v>
      </c>
      <c r="AD14" s="696">
        <f t="shared" si="12"/>
        <v>0</v>
      </c>
      <c r="AE14" s="699"/>
    </row>
    <row r="15" spans="1:31" ht="25.15" customHeight="1">
      <c r="A15" s="543">
        <v>7</v>
      </c>
      <c r="B15" s="544" t="s">
        <v>1288</v>
      </c>
      <c r="C15" s="541" t="str">
        <f>'LAP. PENJUALAN '!C15</f>
        <v>French Fries</v>
      </c>
      <c r="D15" s="694"/>
      <c r="E15" s="694"/>
      <c r="F15" s="694"/>
      <c r="G15" s="694">
        <v>1</v>
      </c>
      <c r="H15" s="694">
        <v>2</v>
      </c>
      <c r="I15" s="694"/>
      <c r="J15" s="694"/>
      <c r="K15" s="694"/>
      <c r="L15" s="694"/>
      <c r="M15" s="694"/>
      <c r="N15" s="554">
        <f t="shared" si="0"/>
        <v>3</v>
      </c>
      <c r="O15" s="554">
        <f t="shared" si="1"/>
        <v>39900</v>
      </c>
      <c r="P15" s="555">
        <f>(O15/O237)*100</f>
        <v>3.0263933355633101</v>
      </c>
      <c r="Q15" s="567"/>
      <c r="R15" s="555">
        <f t="shared" si="2"/>
        <v>0</v>
      </c>
      <c r="S15" s="697">
        <v>13300</v>
      </c>
      <c r="U15" s="696">
        <f t="shared" si="3"/>
        <v>0</v>
      </c>
      <c r="V15" s="696">
        <f t="shared" si="4"/>
        <v>0</v>
      </c>
      <c r="W15" s="696">
        <f t="shared" si="5"/>
        <v>0</v>
      </c>
      <c r="X15" s="696">
        <f t="shared" si="6"/>
        <v>13300</v>
      </c>
      <c r="Y15" s="696">
        <f t="shared" si="7"/>
        <v>26600</v>
      </c>
      <c r="Z15" s="696">
        <f t="shared" si="8"/>
        <v>0</v>
      </c>
      <c r="AA15" s="696">
        <f t="shared" si="9"/>
        <v>0</v>
      </c>
      <c r="AB15" s="696">
        <f t="shared" si="10"/>
        <v>0</v>
      </c>
      <c r="AC15" s="696">
        <f t="shared" si="11"/>
        <v>0</v>
      </c>
      <c r="AD15" s="696">
        <f t="shared" si="12"/>
        <v>0</v>
      </c>
      <c r="AE15" s="699"/>
    </row>
    <row r="16" spans="1:31" ht="25.15" customHeight="1">
      <c r="A16" s="543">
        <v>8</v>
      </c>
      <c r="B16" s="544" t="s">
        <v>1289</v>
      </c>
      <c r="C16" s="541" t="str">
        <f>'LAP. PENJUALAN '!C16</f>
        <v>Nasi</v>
      </c>
      <c r="D16" s="694"/>
      <c r="E16" s="694"/>
      <c r="F16" s="694"/>
      <c r="G16" s="694"/>
      <c r="H16" s="694"/>
      <c r="I16" s="694"/>
      <c r="J16" s="694">
        <v>1</v>
      </c>
      <c r="K16" s="694"/>
      <c r="L16" s="694"/>
      <c r="M16" s="694"/>
      <c r="N16" s="554">
        <f t="shared" si="0"/>
        <v>1</v>
      </c>
      <c r="O16" s="554">
        <f t="shared" si="1"/>
        <v>6000</v>
      </c>
      <c r="P16" s="555">
        <f>(O16/O237)*100</f>
        <v>0.45509674218997098</v>
      </c>
      <c r="Q16" s="567"/>
      <c r="R16" s="555">
        <f t="shared" si="2"/>
        <v>0</v>
      </c>
      <c r="S16" s="697">
        <v>6000</v>
      </c>
      <c r="U16" s="696">
        <f t="shared" si="3"/>
        <v>0</v>
      </c>
      <c r="V16" s="696">
        <f t="shared" si="4"/>
        <v>0</v>
      </c>
      <c r="W16" s="696">
        <f t="shared" si="5"/>
        <v>0</v>
      </c>
      <c r="X16" s="696">
        <f t="shared" si="6"/>
        <v>0</v>
      </c>
      <c r="Y16" s="696">
        <f t="shared" si="7"/>
        <v>0</v>
      </c>
      <c r="Z16" s="696">
        <f t="shared" si="8"/>
        <v>0</v>
      </c>
      <c r="AA16" s="696">
        <f t="shared" si="9"/>
        <v>6000</v>
      </c>
      <c r="AB16" s="696">
        <f t="shared" si="10"/>
        <v>0</v>
      </c>
      <c r="AC16" s="696">
        <f t="shared" si="11"/>
        <v>0</v>
      </c>
      <c r="AD16" s="696">
        <f t="shared" si="12"/>
        <v>0</v>
      </c>
      <c r="AE16" s="699"/>
    </row>
    <row r="17" spans="1:31" ht="25.15" customHeight="1">
      <c r="A17" s="543">
        <v>9</v>
      </c>
      <c r="B17" s="544" t="s">
        <v>1290</v>
      </c>
      <c r="C17" s="541" t="str">
        <f>'LAP. PENJUALAN '!C17</f>
        <v>Perkedel</v>
      </c>
      <c r="D17" s="694"/>
      <c r="E17" s="694">
        <v>1</v>
      </c>
      <c r="F17" s="694">
        <v>1</v>
      </c>
      <c r="G17" s="694">
        <v>1</v>
      </c>
      <c r="H17" s="694"/>
      <c r="I17" s="694">
        <v>2</v>
      </c>
      <c r="J17" s="694"/>
      <c r="K17" s="694"/>
      <c r="L17" s="694"/>
      <c r="M17" s="694"/>
      <c r="N17" s="554">
        <f t="shared" si="0"/>
        <v>5</v>
      </c>
      <c r="O17" s="554">
        <f t="shared" si="1"/>
        <v>33250</v>
      </c>
      <c r="P17" s="555">
        <f>(O17/O237)*100</f>
        <v>2.5219944463027599</v>
      </c>
      <c r="Q17" s="567"/>
      <c r="R17" s="555">
        <f t="shared" si="2"/>
        <v>0</v>
      </c>
      <c r="S17" s="697">
        <v>6650</v>
      </c>
      <c r="U17" s="696">
        <f t="shared" si="3"/>
        <v>0</v>
      </c>
      <c r="V17" s="696">
        <f t="shared" si="4"/>
        <v>6650</v>
      </c>
      <c r="W17" s="696">
        <f t="shared" si="5"/>
        <v>6650</v>
      </c>
      <c r="X17" s="696">
        <f t="shared" si="6"/>
        <v>6650</v>
      </c>
      <c r="Y17" s="696">
        <f t="shared" si="7"/>
        <v>0</v>
      </c>
      <c r="Z17" s="696">
        <f t="shared" si="8"/>
        <v>13300</v>
      </c>
      <c r="AA17" s="696">
        <f t="shared" si="9"/>
        <v>0</v>
      </c>
      <c r="AB17" s="696">
        <f t="shared" si="10"/>
        <v>0</v>
      </c>
      <c r="AC17" s="696">
        <f t="shared" si="11"/>
        <v>0</v>
      </c>
      <c r="AD17" s="696">
        <f t="shared" si="12"/>
        <v>0</v>
      </c>
      <c r="AE17" s="699"/>
    </row>
    <row r="18" spans="1:31" ht="25.15" customHeight="1">
      <c r="A18" s="543">
        <v>10</v>
      </c>
      <c r="B18" s="544" t="s">
        <v>1291</v>
      </c>
      <c r="C18" s="541" t="str">
        <f>'LAP. PENJUALAN '!C18</f>
        <v>Chicken Burger</v>
      </c>
      <c r="D18" s="694"/>
      <c r="E18" s="694"/>
      <c r="F18" s="694">
        <v>1</v>
      </c>
      <c r="G18" s="694"/>
      <c r="H18" s="694"/>
      <c r="I18" s="694"/>
      <c r="J18" s="694">
        <v>1</v>
      </c>
      <c r="K18" s="694"/>
      <c r="L18" s="694"/>
      <c r="M18" s="694"/>
      <c r="N18" s="554">
        <f t="shared" si="0"/>
        <v>2</v>
      </c>
      <c r="O18" s="554">
        <f t="shared" si="1"/>
        <v>39900</v>
      </c>
      <c r="P18" s="555">
        <f>(O18/O237)*100</f>
        <v>3.0263933355633101</v>
      </c>
      <c r="Q18" s="567"/>
      <c r="R18" s="555">
        <f t="shared" si="2"/>
        <v>0</v>
      </c>
      <c r="S18" s="697">
        <v>19950</v>
      </c>
      <c r="U18" s="696">
        <f t="shared" si="3"/>
        <v>0</v>
      </c>
      <c r="V18" s="696">
        <f t="shared" si="4"/>
        <v>0</v>
      </c>
      <c r="W18" s="696">
        <f t="shared" si="5"/>
        <v>19950</v>
      </c>
      <c r="X18" s="696">
        <f t="shared" si="6"/>
        <v>0</v>
      </c>
      <c r="Y18" s="696">
        <f t="shared" si="7"/>
        <v>0</v>
      </c>
      <c r="Z18" s="696">
        <f t="shared" si="8"/>
        <v>0</v>
      </c>
      <c r="AA18" s="696">
        <f t="shared" si="9"/>
        <v>19950</v>
      </c>
      <c r="AB18" s="696">
        <f t="shared" si="10"/>
        <v>0</v>
      </c>
      <c r="AC18" s="696">
        <f t="shared" si="11"/>
        <v>0</v>
      </c>
      <c r="AD18" s="696">
        <f t="shared" si="12"/>
        <v>0</v>
      </c>
      <c r="AE18" s="699"/>
    </row>
    <row r="19" spans="1:31" ht="25.15" customHeight="1">
      <c r="A19" s="543">
        <v>11</v>
      </c>
      <c r="B19" s="544" t="s">
        <v>1292</v>
      </c>
      <c r="C19" s="541" t="str">
        <f>'LAP. PENJUALAN '!C19</f>
        <v>Cheese Burger</v>
      </c>
      <c r="D19" s="694"/>
      <c r="E19" s="694"/>
      <c r="F19" s="694"/>
      <c r="G19" s="694"/>
      <c r="H19" s="694"/>
      <c r="I19" s="694"/>
      <c r="J19" s="694"/>
      <c r="K19" s="694"/>
      <c r="L19" s="694"/>
      <c r="M19" s="694"/>
      <c r="N19" s="554">
        <f t="shared" si="0"/>
        <v>0</v>
      </c>
      <c r="O19" s="554">
        <f t="shared" si="1"/>
        <v>0</v>
      </c>
      <c r="P19" s="555">
        <f>(O19/O237)*100</f>
        <v>0</v>
      </c>
      <c r="Q19" s="567"/>
      <c r="R19" s="555">
        <f t="shared" si="2"/>
        <v>0</v>
      </c>
      <c r="S19" s="697">
        <v>22610</v>
      </c>
      <c r="U19" s="696">
        <f t="shared" si="3"/>
        <v>0</v>
      </c>
      <c r="V19" s="696">
        <f t="shared" si="4"/>
        <v>0</v>
      </c>
      <c r="W19" s="696">
        <f t="shared" si="5"/>
        <v>0</v>
      </c>
      <c r="X19" s="696">
        <f t="shared" si="6"/>
        <v>0</v>
      </c>
      <c r="Y19" s="696">
        <f t="shared" si="7"/>
        <v>0</v>
      </c>
      <c r="Z19" s="696">
        <f t="shared" si="8"/>
        <v>0</v>
      </c>
      <c r="AA19" s="696">
        <f t="shared" si="9"/>
        <v>0</v>
      </c>
      <c r="AB19" s="696">
        <f t="shared" si="10"/>
        <v>0</v>
      </c>
      <c r="AC19" s="696">
        <f t="shared" si="11"/>
        <v>0</v>
      </c>
      <c r="AD19" s="696">
        <f t="shared" si="12"/>
        <v>0</v>
      </c>
      <c r="AE19" s="699"/>
    </row>
    <row r="20" spans="1:31" ht="25.15" customHeight="1">
      <c r="A20" s="543">
        <v>12</v>
      </c>
      <c r="B20" s="544" t="s">
        <v>1293</v>
      </c>
      <c r="C20" s="541" t="str">
        <f>'LAP. PENJUALAN '!C20</f>
        <v>Mix Platter</v>
      </c>
      <c r="D20" s="694"/>
      <c r="E20" s="694"/>
      <c r="F20" s="694"/>
      <c r="G20" s="694"/>
      <c r="H20" s="694"/>
      <c r="I20" s="694"/>
      <c r="J20" s="694"/>
      <c r="K20" s="694"/>
      <c r="L20" s="694"/>
      <c r="M20" s="694"/>
      <c r="N20" s="554">
        <f t="shared" si="0"/>
        <v>0</v>
      </c>
      <c r="O20" s="554">
        <f t="shared" si="1"/>
        <v>0</v>
      </c>
      <c r="P20" s="555">
        <f>(O20/O237)*100</f>
        <v>0</v>
      </c>
      <c r="Q20" s="567"/>
      <c r="R20" s="555">
        <f t="shared" si="2"/>
        <v>0</v>
      </c>
      <c r="S20" s="698"/>
      <c r="U20" s="696">
        <f t="shared" si="3"/>
        <v>0</v>
      </c>
      <c r="V20" s="696">
        <f t="shared" si="4"/>
        <v>0</v>
      </c>
      <c r="W20" s="696">
        <f t="shared" si="5"/>
        <v>0</v>
      </c>
      <c r="X20" s="696">
        <f t="shared" si="6"/>
        <v>0</v>
      </c>
      <c r="Y20" s="696">
        <f t="shared" si="7"/>
        <v>0</v>
      </c>
      <c r="Z20" s="696">
        <f t="shared" si="8"/>
        <v>0</v>
      </c>
      <c r="AA20" s="696">
        <f t="shared" si="9"/>
        <v>0</v>
      </c>
      <c r="AB20" s="696">
        <f t="shared" si="10"/>
        <v>0</v>
      </c>
      <c r="AC20" s="696">
        <f t="shared" si="11"/>
        <v>0</v>
      </c>
      <c r="AD20" s="696">
        <f t="shared" si="12"/>
        <v>0</v>
      </c>
      <c r="AE20" s="699"/>
    </row>
    <row r="21" spans="1:31" ht="25.15" customHeight="1">
      <c r="A21" s="543">
        <v>13</v>
      </c>
      <c r="B21" s="544" t="s">
        <v>1524</v>
      </c>
      <c r="C21" s="541" t="str">
        <f>'LAP. PENJUALAN '!C21</f>
        <v>Telur Ceplok</v>
      </c>
      <c r="D21" s="694"/>
      <c r="E21" s="694"/>
      <c r="F21" s="694"/>
      <c r="G21" s="694"/>
      <c r="H21" s="694"/>
      <c r="I21" s="694"/>
      <c r="J21" s="694"/>
      <c r="K21" s="694"/>
      <c r="L21" s="694"/>
      <c r="M21" s="694"/>
      <c r="N21" s="554">
        <f t="shared" si="0"/>
        <v>0</v>
      </c>
      <c r="O21" s="554">
        <f t="shared" si="1"/>
        <v>0</v>
      </c>
      <c r="P21" s="555">
        <f>(O21/O237)*100</f>
        <v>0</v>
      </c>
      <c r="Q21" s="567"/>
      <c r="R21" s="555">
        <f t="shared" si="2"/>
        <v>0</v>
      </c>
      <c r="S21" s="698"/>
      <c r="U21" s="696">
        <f t="shared" si="3"/>
        <v>0</v>
      </c>
      <c r="V21" s="696">
        <f t="shared" si="4"/>
        <v>0</v>
      </c>
      <c r="W21" s="696">
        <f t="shared" si="5"/>
        <v>0</v>
      </c>
      <c r="X21" s="696">
        <f t="shared" si="6"/>
        <v>0</v>
      </c>
      <c r="Y21" s="696">
        <f t="shared" si="7"/>
        <v>0</v>
      </c>
      <c r="Z21" s="696">
        <f t="shared" si="8"/>
        <v>0</v>
      </c>
      <c r="AA21" s="696">
        <f t="shared" si="9"/>
        <v>0</v>
      </c>
      <c r="AB21" s="696">
        <f t="shared" si="10"/>
        <v>0</v>
      </c>
      <c r="AC21" s="696">
        <f t="shared" si="11"/>
        <v>0</v>
      </c>
      <c r="AD21" s="696">
        <f t="shared" si="12"/>
        <v>0</v>
      </c>
      <c r="AE21" s="699"/>
    </row>
    <row r="22" spans="1:31" ht="25.15" customHeight="1">
      <c r="A22" s="543">
        <v>14</v>
      </c>
      <c r="B22" s="544" t="s">
        <v>1525</v>
      </c>
      <c r="C22" s="541" t="str">
        <f>'LAP. PENJUALAN '!C22</f>
        <v>Nasi Goreng Telur Ceplok</v>
      </c>
      <c r="D22" s="694"/>
      <c r="E22" s="694"/>
      <c r="F22" s="694"/>
      <c r="G22" s="694">
        <v>1</v>
      </c>
      <c r="H22" s="694"/>
      <c r="I22" s="694"/>
      <c r="J22" s="694">
        <v>1</v>
      </c>
      <c r="K22" s="694"/>
      <c r="L22" s="694"/>
      <c r="M22" s="694"/>
      <c r="N22" s="554">
        <f t="shared" si="0"/>
        <v>2</v>
      </c>
      <c r="O22" s="554">
        <f t="shared" si="1"/>
        <v>42560</v>
      </c>
      <c r="P22" s="555">
        <f>(O22/O237)*100</f>
        <v>3.2281528912675301</v>
      </c>
      <c r="Q22" s="567"/>
      <c r="R22" s="555">
        <f t="shared" si="2"/>
        <v>0</v>
      </c>
      <c r="S22" s="698">
        <v>21280</v>
      </c>
      <c r="U22" s="696">
        <f t="shared" si="3"/>
        <v>0</v>
      </c>
      <c r="V22" s="696">
        <f t="shared" si="4"/>
        <v>0</v>
      </c>
      <c r="W22" s="696">
        <f t="shared" si="5"/>
        <v>0</v>
      </c>
      <c r="X22" s="696">
        <f t="shared" si="6"/>
        <v>21280</v>
      </c>
      <c r="Y22" s="696">
        <f t="shared" si="7"/>
        <v>0</v>
      </c>
      <c r="Z22" s="696">
        <f t="shared" si="8"/>
        <v>0</v>
      </c>
      <c r="AA22" s="696">
        <f t="shared" si="9"/>
        <v>21280</v>
      </c>
      <c r="AB22" s="696">
        <f t="shared" si="10"/>
        <v>0</v>
      </c>
      <c r="AC22" s="696">
        <f t="shared" si="11"/>
        <v>0</v>
      </c>
      <c r="AD22" s="696">
        <f t="shared" si="12"/>
        <v>0</v>
      </c>
      <c r="AE22" s="699"/>
    </row>
    <row r="23" spans="1:31" ht="25.15" customHeight="1">
      <c r="A23" s="543"/>
      <c r="B23" s="544"/>
      <c r="C23" s="541"/>
      <c r="D23" s="694"/>
      <c r="E23" s="694"/>
      <c r="F23" s="694"/>
      <c r="G23" s="694"/>
      <c r="H23" s="694"/>
      <c r="I23" s="694"/>
      <c r="J23" s="694"/>
      <c r="K23" s="694"/>
      <c r="L23" s="694"/>
      <c r="M23" s="694"/>
      <c r="N23" s="554">
        <f t="shared" si="0"/>
        <v>0</v>
      </c>
      <c r="O23" s="554">
        <f t="shared" si="1"/>
        <v>0</v>
      </c>
      <c r="P23" s="555">
        <f>(O23/O237)*100</f>
        <v>0</v>
      </c>
      <c r="Q23" s="567"/>
      <c r="R23" s="555">
        <f t="shared" si="2"/>
        <v>0</v>
      </c>
      <c r="S23" s="698"/>
      <c r="U23" s="696">
        <f t="shared" si="3"/>
        <v>0</v>
      </c>
      <c r="V23" s="696">
        <f t="shared" si="4"/>
        <v>0</v>
      </c>
      <c r="W23" s="696">
        <f t="shared" si="5"/>
        <v>0</v>
      </c>
      <c r="X23" s="696">
        <f t="shared" si="6"/>
        <v>0</v>
      </c>
      <c r="Y23" s="696">
        <f t="shared" si="7"/>
        <v>0</v>
      </c>
      <c r="Z23" s="696">
        <f t="shared" si="8"/>
        <v>0</v>
      </c>
      <c r="AA23" s="696">
        <f t="shared" si="9"/>
        <v>0</v>
      </c>
      <c r="AB23" s="696">
        <f t="shared" si="10"/>
        <v>0</v>
      </c>
      <c r="AC23" s="696">
        <f t="shared" si="11"/>
        <v>0</v>
      </c>
      <c r="AD23" s="696">
        <f t="shared" si="12"/>
        <v>0</v>
      </c>
      <c r="AE23" s="699"/>
    </row>
    <row r="24" spans="1:31" ht="25.15" customHeight="1">
      <c r="A24" s="543">
        <v>15</v>
      </c>
      <c r="B24" s="544" t="s">
        <v>1526</v>
      </c>
      <c r="C24" s="541" t="str">
        <f>'LAP. PENJUALAN '!C24</f>
        <v>Paket Segar 1 Dine In (Es Teh / S-tee)</v>
      </c>
      <c r="D24" s="694"/>
      <c r="E24" s="694"/>
      <c r="F24" s="694"/>
      <c r="G24" s="694"/>
      <c r="H24" s="694"/>
      <c r="I24" s="694"/>
      <c r="J24" s="694"/>
      <c r="K24" s="694"/>
      <c r="L24" s="694"/>
      <c r="M24" s="694"/>
      <c r="N24" s="554">
        <f t="shared" si="0"/>
        <v>0</v>
      </c>
      <c r="O24" s="554">
        <f t="shared" si="1"/>
        <v>0</v>
      </c>
      <c r="P24" s="555">
        <f>(O24/O237)*100</f>
        <v>0</v>
      </c>
      <c r="Q24" s="567"/>
      <c r="R24" s="555">
        <f t="shared" si="2"/>
        <v>0</v>
      </c>
      <c r="S24" s="698"/>
      <c r="U24" s="696">
        <f t="shared" si="3"/>
        <v>0</v>
      </c>
      <c r="V24" s="696">
        <f t="shared" si="4"/>
        <v>0</v>
      </c>
      <c r="W24" s="696">
        <f t="shared" si="5"/>
        <v>0</v>
      </c>
      <c r="X24" s="696">
        <f t="shared" si="6"/>
        <v>0</v>
      </c>
      <c r="Y24" s="696">
        <f t="shared" si="7"/>
        <v>0</v>
      </c>
      <c r="Z24" s="696">
        <f t="shared" si="8"/>
        <v>0</v>
      </c>
      <c r="AA24" s="696">
        <f t="shared" si="9"/>
        <v>0</v>
      </c>
      <c r="AB24" s="696">
        <f t="shared" ref="AB24:AB29" si="13">K24*S24</f>
        <v>0</v>
      </c>
      <c r="AC24" s="696">
        <f t="shared" ref="AC24:AC29" si="14">L24*S24</f>
        <v>0</v>
      </c>
      <c r="AD24" s="696">
        <f t="shared" ref="AD24:AD29" si="15">M24*S24</f>
        <v>0</v>
      </c>
      <c r="AE24" s="699"/>
    </row>
    <row r="25" spans="1:31" ht="25.15" customHeight="1">
      <c r="A25" s="543">
        <v>16</v>
      </c>
      <c r="B25" s="544" t="s">
        <v>1527</v>
      </c>
      <c r="C25" s="541" t="str">
        <f>'LAP. PENJUALAN '!C25</f>
        <v>Paket Segar 1 Take Away (Es Teh / S-tee)</v>
      </c>
      <c r="D25" s="694"/>
      <c r="E25" s="694"/>
      <c r="F25" s="694"/>
      <c r="G25" s="694"/>
      <c r="H25" s="694"/>
      <c r="I25" s="694"/>
      <c r="J25" s="694"/>
      <c r="K25" s="694"/>
      <c r="L25" s="694"/>
      <c r="M25" s="694"/>
      <c r="N25" s="554">
        <f t="shared" si="0"/>
        <v>0</v>
      </c>
      <c r="O25" s="554">
        <f t="shared" si="1"/>
        <v>0</v>
      </c>
      <c r="P25" s="555">
        <f>(O25/O237)*100</f>
        <v>0</v>
      </c>
      <c r="Q25" s="567"/>
      <c r="R25" s="555">
        <f t="shared" si="2"/>
        <v>0</v>
      </c>
      <c r="S25" s="698"/>
      <c r="U25" s="696">
        <f t="shared" si="3"/>
        <v>0</v>
      </c>
      <c r="V25" s="696">
        <f t="shared" si="4"/>
        <v>0</v>
      </c>
      <c r="W25" s="696">
        <f t="shared" si="5"/>
        <v>0</v>
      </c>
      <c r="X25" s="696">
        <f t="shared" si="6"/>
        <v>0</v>
      </c>
      <c r="Y25" s="696">
        <f t="shared" si="7"/>
        <v>0</v>
      </c>
      <c r="Z25" s="696">
        <f t="shared" si="8"/>
        <v>0</v>
      </c>
      <c r="AA25" s="696">
        <f t="shared" si="9"/>
        <v>0</v>
      </c>
      <c r="AB25" s="696">
        <f t="shared" si="13"/>
        <v>0</v>
      </c>
      <c r="AC25" s="696">
        <f t="shared" si="14"/>
        <v>0</v>
      </c>
      <c r="AD25" s="696">
        <f t="shared" si="15"/>
        <v>0</v>
      </c>
      <c r="AE25" s="699"/>
    </row>
    <row r="26" spans="1:31" ht="25.15" customHeight="1">
      <c r="A26" s="543">
        <v>17</v>
      </c>
      <c r="B26" s="544" t="s">
        <v>1528</v>
      </c>
      <c r="C26" s="541" t="str">
        <f>'LAP. PENJUALAN '!C26</f>
        <v>Paket Segar 2 (Es Teh / S-tee)</v>
      </c>
      <c r="D26" s="694"/>
      <c r="E26" s="694"/>
      <c r="F26" s="694"/>
      <c r="G26" s="694"/>
      <c r="H26" s="694"/>
      <c r="I26" s="694"/>
      <c r="J26" s="694"/>
      <c r="K26" s="694"/>
      <c r="L26" s="694"/>
      <c r="M26" s="694"/>
      <c r="N26" s="554">
        <f t="shared" si="0"/>
        <v>0</v>
      </c>
      <c r="O26" s="554">
        <f t="shared" si="1"/>
        <v>0</v>
      </c>
      <c r="P26" s="555">
        <f>(O26/O237)*100</f>
        <v>0</v>
      </c>
      <c r="Q26" s="567"/>
      <c r="R26" s="555">
        <f t="shared" si="2"/>
        <v>0</v>
      </c>
      <c r="S26" s="698"/>
      <c r="U26" s="696">
        <f t="shared" si="3"/>
        <v>0</v>
      </c>
      <c r="V26" s="696">
        <f t="shared" si="4"/>
        <v>0</v>
      </c>
      <c r="W26" s="696">
        <f t="shared" si="5"/>
        <v>0</v>
      </c>
      <c r="X26" s="696">
        <f t="shared" si="6"/>
        <v>0</v>
      </c>
      <c r="Y26" s="696">
        <f t="shared" si="7"/>
        <v>0</v>
      </c>
      <c r="Z26" s="696">
        <f t="shared" si="8"/>
        <v>0</v>
      </c>
      <c r="AA26" s="696">
        <f t="shared" si="9"/>
        <v>0</v>
      </c>
      <c r="AB26" s="696">
        <f t="shared" si="13"/>
        <v>0</v>
      </c>
      <c r="AC26" s="696">
        <f t="shared" si="14"/>
        <v>0</v>
      </c>
      <c r="AD26" s="696">
        <f t="shared" si="15"/>
        <v>0</v>
      </c>
      <c r="AE26" s="699"/>
    </row>
    <row r="27" spans="1:31" ht="25.15" customHeight="1">
      <c r="A27" s="543">
        <v>18</v>
      </c>
      <c r="B27" s="544" t="s">
        <v>1529</v>
      </c>
      <c r="C27" s="541" t="str">
        <f>'LAP. PENJUALAN '!C27</f>
        <v>Paket Segar 3 (Es Teh / S-tee)</v>
      </c>
      <c r="D27" s="694"/>
      <c r="E27" s="694"/>
      <c r="F27" s="694"/>
      <c r="G27" s="694"/>
      <c r="H27" s="694"/>
      <c r="I27" s="694"/>
      <c r="J27" s="694"/>
      <c r="K27" s="694"/>
      <c r="L27" s="694"/>
      <c r="M27" s="694"/>
      <c r="N27" s="554">
        <f t="shared" si="0"/>
        <v>0</v>
      </c>
      <c r="O27" s="554">
        <f t="shared" si="1"/>
        <v>0</v>
      </c>
      <c r="P27" s="555">
        <f>(O27/O237)*100</f>
        <v>0</v>
      </c>
      <c r="Q27" s="567"/>
      <c r="R27" s="555">
        <f t="shared" si="2"/>
        <v>0</v>
      </c>
      <c r="S27" s="698"/>
      <c r="U27" s="696">
        <f t="shared" si="3"/>
        <v>0</v>
      </c>
      <c r="V27" s="696">
        <f t="shared" si="4"/>
        <v>0</v>
      </c>
      <c r="W27" s="696">
        <f t="shared" si="5"/>
        <v>0</v>
      </c>
      <c r="X27" s="696">
        <f t="shared" si="6"/>
        <v>0</v>
      </c>
      <c r="Y27" s="696">
        <f t="shared" si="7"/>
        <v>0</v>
      </c>
      <c r="Z27" s="696">
        <f t="shared" si="8"/>
        <v>0</v>
      </c>
      <c r="AA27" s="696">
        <f t="shared" si="9"/>
        <v>0</v>
      </c>
      <c r="AB27" s="696">
        <f t="shared" si="13"/>
        <v>0</v>
      </c>
      <c r="AC27" s="696">
        <f t="shared" si="14"/>
        <v>0</v>
      </c>
      <c r="AD27" s="696">
        <f t="shared" si="15"/>
        <v>0</v>
      </c>
      <c r="AE27" s="699"/>
    </row>
    <row r="28" spans="1:31" ht="25.15" customHeight="1">
      <c r="A28" s="543">
        <v>19</v>
      </c>
      <c r="B28" s="544" t="s">
        <v>1530</v>
      </c>
      <c r="C28" s="541" t="str">
        <f>'LAP. PENJUALAN '!C28</f>
        <v>Paket Segar 4 (Es Teh / S-tee)</v>
      </c>
      <c r="D28" s="694"/>
      <c r="E28" s="694"/>
      <c r="F28" s="694"/>
      <c r="G28" s="694"/>
      <c r="H28" s="694"/>
      <c r="I28" s="694"/>
      <c r="J28" s="694"/>
      <c r="K28" s="694"/>
      <c r="L28" s="694"/>
      <c r="M28" s="694"/>
      <c r="N28" s="554">
        <f t="shared" si="0"/>
        <v>0</v>
      </c>
      <c r="O28" s="554">
        <f t="shared" si="1"/>
        <v>0</v>
      </c>
      <c r="P28" s="555">
        <f>(O28/O237)*100</f>
        <v>0</v>
      </c>
      <c r="Q28" s="567"/>
      <c r="R28" s="555">
        <f t="shared" si="2"/>
        <v>0</v>
      </c>
      <c r="S28" s="698"/>
      <c r="U28" s="696">
        <f t="shared" si="3"/>
        <v>0</v>
      </c>
      <c r="V28" s="696">
        <f t="shared" si="4"/>
        <v>0</v>
      </c>
      <c r="W28" s="696">
        <f t="shared" si="5"/>
        <v>0</v>
      </c>
      <c r="X28" s="696">
        <f t="shared" si="6"/>
        <v>0</v>
      </c>
      <c r="Y28" s="696">
        <f t="shared" si="7"/>
        <v>0</v>
      </c>
      <c r="Z28" s="696">
        <f t="shared" si="8"/>
        <v>0</v>
      </c>
      <c r="AA28" s="696">
        <f t="shared" si="9"/>
        <v>0</v>
      </c>
      <c r="AB28" s="696">
        <f t="shared" si="13"/>
        <v>0</v>
      </c>
      <c r="AC28" s="696">
        <f t="shared" si="14"/>
        <v>0</v>
      </c>
      <c r="AD28" s="696">
        <f t="shared" si="15"/>
        <v>0</v>
      </c>
      <c r="AE28" s="699"/>
    </row>
    <row r="29" spans="1:31" ht="25.15" customHeight="1">
      <c r="A29" s="543">
        <v>20</v>
      </c>
      <c r="B29" s="544" t="s">
        <v>1531</v>
      </c>
      <c r="C29" s="541" t="str">
        <f>'LAP. PENJUALAN '!C29</f>
        <v>Paket Segar 5 (Es Teh / S-tee)</v>
      </c>
      <c r="D29" s="694"/>
      <c r="E29" s="694"/>
      <c r="F29" s="694"/>
      <c r="G29" s="694"/>
      <c r="H29" s="694"/>
      <c r="I29" s="694"/>
      <c r="J29" s="694"/>
      <c r="K29" s="694"/>
      <c r="L29" s="694"/>
      <c r="M29" s="694"/>
      <c r="N29" s="554">
        <f t="shared" si="0"/>
        <v>0</v>
      </c>
      <c r="O29" s="554">
        <f t="shared" si="1"/>
        <v>0</v>
      </c>
      <c r="P29" s="555">
        <f>(O29/O237)*100</f>
        <v>0</v>
      </c>
      <c r="Q29" s="567"/>
      <c r="R29" s="555">
        <f t="shared" si="2"/>
        <v>0</v>
      </c>
      <c r="S29" s="698"/>
      <c r="U29" s="696">
        <f t="shared" si="3"/>
        <v>0</v>
      </c>
      <c r="V29" s="696">
        <f t="shared" si="4"/>
        <v>0</v>
      </c>
      <c r="W29" s="696">
        <f t="shared" si="5"/>
        <v>0</v>
      </c>
      <c r="X29" s="696">
        <f t="shared" si="6"/>
        <v>0</v>
      </c>
      <c r="Y29" s="696">
        <f t="shared" si="7"/>
        <v>0</v>
      </c>
      <c r="Z29" s="696">
        <f t="shared" si="8"/>
        <v>0</v>
      </c>
      <c r="AA29" s="696">
        <f t="shared" si="9"/>
        <v>0</v>
      </c>
      <c r="AB29" s="696">
        <f t="shared" si="13"/>
        <v>0</v>
      </c>
      <c r="AC29" s="696">
        <f t="shared" si="14"/>
        <v>0</v>
      </c>
      <c r="AD29" s="696">
        <f t="shared" si="15"/>
        <v>0</v>
      </c>
      <c r="AE29" s="699"/>
    </row>
    <row r="30" spans="1:31" ht="25.15" customHeight="1">
      <c r="A30" s="543">
        <v>21</v>
      </c>
      <c r="B30" s="544" t="s">
        <v>1532</v>
      </c>
      <c r="C30" s="541" t="str">
        <f>'LAP. PENJUALAN '!C30</f>
        <v>Paket Segar 6 (Es Teh / S-tee)</v>
      </c>
      <c r="D30" s="694"/>
      <c r="E30" s="694"/>
      <c r="F30" s="694"/>
      <c r="G30" s="694"/>
      <c r="H30" s="694"/>
      <c r="I30" s="694"/>
      <c r="J30" s="694"/>
      <c r="K30" s="694"/>
      <c r="L30" s="694"/>
      <c r="M30" s="694"/>
      <c r="N30" s="554">
        <f t="shared" si="0"/>
        <v>0</v>
      </c>
      <c r="O30" s="554">
        <f t="shared" si="1"/>
        <v>0</v>
      </c>
      <c r="P30" s="555">
        <f>(O30/O237)*100</f>
        <v>0</v>
      </c>
      <c r="Q30" s="567"/>
      <c r="R30" s="555">
        <f t="shared" si="2"/>
        <v>0</v>
      </c>
      <c r="S30" s="698"/>
      <c r="U30" s="696">
        <f t="shared" si="3"/>
        <v>0</v>
      </c>
      <c r="V30" s="696">
        <f t="shared" si="4"/>
        <v>0</v>
      </c>
      <c r="W30" s="696">
        <f t="shared" si="5"/>
        <v>0</v>
      </c>
      <c r="X30" s="696">
        <f t="shared" si="6"/>
        <v>0</v>
      </c>
      <c r="Y30" s="696">
        <f t="shared" si="7"/>
        <v>0</v>
      </c>
      <c r="Z30" s="696">
        <f t="shared" si="8"/>
        <v>0</v>
      </c>
      <c r="AA30" s="696">
        <f t="shared" si="9"/>
        <v>0</v>
      </c>
      <c r="AB30" s="696">
        <f t="shared" si="10"/>
        <v>0</v>
      </c>
      <c r="AC30" s="696">
        <f t="shared" si="11"/>
        <v>0</v>
      </c>
      <c r="AD30" s="696">
        <f t="shared" si="12"/>
        <v>0</v>
      </c>
      <c r="AE30" s="699"/>
    </row>
    <row r="31" spans="1:31" ht="25.15" customHeight="1">
      <c r="A31" s="543">
        <v>22</v>
      </c>
      <c r="B31" s="544"/>
      <c r="C31" s="541" t="str">
        <f>'LAP. PENJUALAN '!C31</f>
        <v>Paket Segar 7 (Es Teh / S-tee)</v>
      </c>
      <c r="D31" s="694"/>
      <c r="E31" s="694"/>
      <c r="F31" s="694"/>
      <c r="G31" s="694"/>
      <c r="H31" s="694"/>
      <c r="I31" s="694"/>
      <c r="J31" s="694"/>
      <c r="K31" s="694"/>
      <c r="L31" s="694"/>
      <c r="M31" s="694"/>
      <c r="N31" s="554">
        <f t="shared" si="0"/>
        <v>0</v>
      </c>
      <c r="O31" s="554">
        <f t="shared" si="1"/>
        <v>0</v>
      </c>
      <c r="P31" s="555">
        <f>(O31/O237)*100</f>
        <v>0</v>
      </c>
      <c r="Q31" s="567"/>
      <c r="R31" s="555">
        <f t="shared" si="2"/>
        <v>0</v>
      </c>
      <c r="S31" s="698"/>
      <c r="U31" s="696">
        <f t="shared" si="3"/>
        <v>0</v>
      </c>
      <c r="V31" s="696">
        <f t="shared" si="4"/>
        <v>0</v>
      </c>
      <c r="W31" s="696">
        <f t="shared" si="5"/>
        <v>0</v>
      </c>
      <c r="X31" s="696">
        <f t="shared" si="6"/>
        <v>0</v>
      </c>
      <c r="Y31" s="696">
        <f t="shared" si="7"/>
        <v>0</v>
      </c>
      <c r="Z31" s="696">
        <f t="shared" si="8"/>
        <v>0</v>
      </c>
      <c r="AA31" s="696">
        <f t="shared" si="9"/>
        <v>0</v>
      </c>
      <c r="AB31" s="696">
        <f t="shared" si="10"/>
        <v>0</v>
      </c>
      <c r="AC31" s="696">
        <f t="shared" si="11"/>
        <v>0</v>
      </c>
      <c r="AD31" s="696">
        <f t="shared" si="12"/>
        <v>0</v>
      </c>
      <c r="AE31" s="699"/>
    </row>
    <row r="32" spans="1:31" ht="27" hidden="1" customHeight="1">
      <c r="A32" s="543"/>
      <c r="B32" s="544"/>
      <c r="C32" s="541">
        <f>'LAP. PENJUALAN '!C32</f>
        <v>0</v>
      </c>
      <c r="D32" s="694"/>
      <c r="E32" s="694"/>
      <c r="F32" s="694"/>
      <c r="G32" s="694"/>
      <c r="H32" s="694"/>
      <c r="I32" s="694"/>
      <c r="J32" s="694"/>
      <c r="K32" s="694"/>
      <c r="L32" s="694"/>
      <c r="M32" s="694"/>
      <c r="N32" s="554">
        <f t="shared" si="0"/>
        <v>0</v>
      </c>
      <c r="O32" s="554">
        <f t="shared" si="1"/>
        <v>0</v>
      </c>
      <c r="P32" s="555">
        <f>(O32/O237)*100</f>
        <v>0</v>
      </c>
      <c r="Q32" s="567"/>
      <c r="R32" s="555">
        <f t="shared" si="2"/>
        <v>0</v>
      </c>
      <c r="S32" s="698"/>
      <c r="U32" s="696">
        <f t="shared" si="3"/>
        <v>0</v>
      </c>
      <c r="V32" s="696">
        <f t="shared" si="4"/>
        <v>0</v>
      </c>
      <c r="W32" s="696">
        <f t="shared" si="5"/>
        <v>0</v>
      </c>
      <c r="X32" s="696">
        <f t="shared" si="6"/>
        <v>0</v>
      </c>
      <c r="Y32" s="696">
        <f t="shared" si="7"/>
        <v>0</v>
      </c>
      <c r="Z32" s="696">
        <f t="shared" si="8"/>
        <v>0</v>
      </c>
      <c r="AA32" s="696">
        <f t="shared" si="9"/>
        <v>0</v>
      </c>
      <c r="AB32" s="696">
        <f t="shared" si="10"/>
        <v>0</v>
      </c>
      <c r="AC32" s="696">
        <f t="shared" si="11"/>
        <v>0</v>
      </c>
      <c r="AD32" s="696">
        <f t="shared" si="12"/>
        <v>0</v>
      </c>
      <c r="AE32" s="699"/>
    </row>
    <row r="33" spans="1:31" ht="25.15" customHeight="1">
      <c r="A33" s="543">
        <v>23</v>
      </c>
      <c r="B33" s="544" t="s">
        <v>1533</v>
      </c>
      <c r="C33" s="541" t="str">
        <f>'LAP. PENJUALAN '!C33</f>
        <v>Paket Rocket 1 Dine In</v>
      </c>
      <c r="D33" s="694"/>
      <c r="E33" s="694"/>
      <c r="F33" s="694"/>
      <c r="G33" s="694"/>
      <c r="H33" s="694"/>
      <c r="I33" s="694"/>
      <c r="J33" s="694"/>
      <c r="K33" s="694"/>
      <c r="L33" s="694"/>
      <c r="M33" s="694"/>
      <c r="N33" s="554">
        <f t="shared" si="0"/>
        <v>0</v>
      </c>
      <c r="O33" s="554">
        <f t="shared" si="1"/>
        <v>0</v>
      </c>
      <c r="P33" s="555">
        <f>(O33/O237)*100</f>
        <v>0</v>
      </c>
      <c r="Q33" s="567"/>
      <c r="R33" s="555">
        <f t="shared" si="2"/>
        <v>0</v>
      </c>
      <c r="S33" s="698">
        <v>16046</v>
      </c>
      <c r="U33" s="696">
        <f t="shared" si="3"/>
        <v>0</v>
      </c>
      <c r="V33" s="696">
        <f t="shared" si="4"/>
        <v>0</v>
      </c>
      <c r="W33" s="696">
        <f t="shared" si="5"/>
        <v>0</v>
      </c>
      <c r="X33" s="696">
        <f t="shared" si="6"/>
        <v>0</v>
      </c>
      <c r="Y33" s="696">
        <f t="shared" si="7"/>
        <v>0</v>
      </c>
      <c r="Z33" s="696">
        <f t="shared" si="8"/>
        <v>0</v>
      </c>
      <c r="AA33" s="696">
        <f t="shared" si="9"/>
        <v>0</v>
      </c>
      <c r="AB33" s="696">
        <f t="shared" si="10"/>
        <v>0</v>
      </c>
      <c r="AC33" s="696">
        <f t="shared" si="11"/>
        <v>0</v>
      </c>
      <c r="AD33" s="696">
        <f t="shared" si="12"/>
        <v>0</v>
      </c>
      <c r="AE33" s="699"/>
    </row>
    <row r="34" spans="1:31" ht="25.15" customHeight="1">
      <c r="A34" s="543">
        <v>24</v>
      </c>
      <c r="B34" s="544" t="s">
        <v>1307</v>
      </c>
      <c r="C34" s="541" t="str">
        <f>'LAP. PENJUALAN '!C34</f>
        <v>Paket Rocket 1 Take Away</v>
      </c>
      <c r="D34" s="694">
        <v>1</v>
      </c>
      <c r="E34" s="694">
        <v>2</v>
      </c>
      <c r="F34" s="694">
        <v>1</v>
      </c>
      <c r="G34" s="694">
        <v>3</v>
      </c>
      <c r="H34" s="694"/>
      <c r="I34" s="694">
        <v>1</v>
      </c>
      <c r="J34" s="694">
        <v>1</v>
      </c>
      <c r="K34" s="694"/>
      <c r="L34" s="694"/>
      <c r="M34" s="694"/>
      <c r="N34" s="554">
        <f t="shared" si="0"/>
        <v>9</v>
      </c>
      <c r="O34" s="554">
        <f t="shared" si="1"/>
        <v>167580</v>
      </c>
      <c r="P34" s="555">
        <f>(O34/O237)*100</f>
        <v>12.710852009365899</v>
      </c>
      <c r="Q34" s="567"/>
      <c r="R34" s="555">
        <f t="shared" si="2"/>
        <v>0</v>
      </c>
      <c r="S34" s="697">
        <v>18620</v>
      </c>
      <c r="U34" s="696">
        <f t="shared" si="3"/>
        <v>18620</v>
      </c>
      <c r="V34" s="696">
        <f t="shared" si="4"/>
        <v>37240</v>
      </c>
      <c r="W34" s="696">
        <f t="shared" si="5"/>
        <v>18620</v>
      </c>
      <c r="X34" s="696">
        <f t="shared" si="6"/>
        <v>55860</v>
      </c>
      <c r="Y34" s="696">
        <f t="shared" si="7"/>
        <v>0</v>
      </c>
      <c r="Z34" s="696">
        <f t="shared" si="8"/>
        <v>18620</v>
      </c>
      <c r="AA34" s="696">
        <f t="shared" si="9"/>
        <v>18620</v>
      </c>
      <c r="AB34" s="696">
        <f t="shared" si="10"/>
        <v>0</v>
      </c>
      <c r="AC34" s="696">
        <f t="shared" si="11"/>
        <v>0</v>
      </c>
      <c r="AD34" s="696">
        <f t="shared" si="12"/>
        <v>0</v>
      </c>
      <c r="AE34" s="699"/>
    </row>
    <row r="35" spans="1:31" ht="25.15" customHeight="1">
      <c r="A35" s="543">
        <v>25</v>
      </c>
      <c r="B35" s="544" t="s">
        <v>1308</v>
      </c>
      <c r="C35" s="541" t="str">
        <f>'LAP. PENJUALAN '!C35</f>
        <v>Paket Rocket 2</v>
      </c>
      <c r="D35" s="694"/>
      <c r="E35" s="694"/>
      <c r="F35" s="694">
        <v>1</v>
      </c>
      <c r="G35" s="694"/>
      <c r="H35" s="694"/>
      <c r="I35" s="694"/>
      <c r="J35" s="694"/>
      <c r="K35" s="694"/>
      <c r="L35" s="694"/>
      <c r="M35" s="694"/>
      <c r="N35" s="554">
        <f t="shared" si="0"/>
        <v>1</v>
      </c>
      <c r="O35" s="554">
        <f t="shared" si="1"/>
        <v>27930</v>
      </c>
      <c r="P35" s="555">
        <f>(O35/O237)*100</f>
        <v>2.1184753348943102</v>
      </c>
      <c r="Q35" s="567"/>
      <c r="R35" s="555">
        <f t="shared" si="2"/>
        <v>0</v>
      </c>
      <c r="S35" s="697">
        <v>27930</v>
      </c>
      <c r="U35" s="696">
        <f t="shared" si="3"/>
        <v>0</v>
      </c>
      <c r="V35" s="696">
        <f t="shared" si="4"/>
        <v>0</v>
      </c>
      <c r="W35" s="696">
        <f t="shared" si="5"/>
        <v>27930</v>
      </c>
      <c r="X35" s="696">
        <f t="shared" si="6"/>
        <v>0</v>
      </c>
      <c r="Y35" s="696">
        <f t="shared" si="7"/>
        <v>0</v>
      </c>
      <c r="Z35" s="696">
        <f t="shared" si="8"/>
        <v>0</v>
      </c>
      <c r="AA35" s="696">
        <f t="shared" si="9"/>
        <v>0</v>
      </c>
      <c r="AB35" s="696">
        <f t="shared" si="10"/>
        <v>0</v>
      </c>
      <c r="AC35" s="696">
        <f t="shared" si="11"/>
        <v>0</v>
      </c>
      <c r="AD35" s="696">
        <f t="shared" si="12"/>
        <v>0</v>
      </c>
      <c r="AE35" s="699"/>
    </row>
    <row r="36" spans="1:31" ht="25.15" customHeight="1">
      <c r="A36" s="543">
        <v>26</v>
      </c>
      <c r="B36" s="544" t="s">
        <v>1309</v>
      </c>
      <c r="C36" s="541" t="str">
        <f>'LAP. PENJUALAN '!C36</f>
        <v>Paket Rocket 3</v>
      </c>
      <c r="D36" s="694"/>
      <c r="E36" s="694"/>
      <c r="F36" s="694"/>
      <c r="G36" s="694"/>
      <c r="H36" s="694"/>
      <c r="I36" s="694">
        <v>3</v>
      </c>
      <c r="J36" s="694"/>
      <c r="K36" s="694"/>
      <c r="L36" s="694"/>
      <c r="M36" s="694"/>
      <c r="N36" s="554">
        <f t="shared" si="0"/>
        <v>3</v>
      </c>
      <c r="O36" s="554">
        <f t="shared" si="1"/>
        <v>79800</v>
      </c>
      <c r="P36" s="555">
        <f>(O36/O237)*100</f>
        <v>6.0527866711266096</v>
      </c>
      <c r="Q36" s="567"/>
      <c r="R36" s="555">
        <f t="shared" si="2"/>
        <v>0</v>
      </c>
      <c r="S36" s="697">
        <v>26600</v>
      </c>
      <c r="U36" s="696">
        <f t="shared" si="3"/>
        <v>0</v>
      </c>
      <c r="V36" s="696">
        <f t="shared" si="4"/>
        <v>0</v>
      </c>
      <c r="W36" s="696">
        <f t="shared" si="5"/>
        <v>0</v>
      </c>
      <c r="X36" s="696">
        <f t="shared" si="6"/>
        <v>0</v>
      </c>
      <c r="Y36" s="696">
        <f t="shared" si="7"/>
        <v>0</v>
      </c>
      <c r="Z36" s="696">
        <f t="shared" si="8"/>
        <v>79800</v>
      </c>
      <c r="AA36" s="696">
        <f t="shared" si="9"/>
        <v>0</v>
      </c>
      <c r="AB36" s="696">
        <f t="shared" si="10"/>
        <v>0</v>
      </c>
      <c r="AC36" s="696">
        <f t="shared" si="11"/>
        <v>0</v>
      </c>
      <c r="AD36" s="696">
        <f t="shared" si="12"/>
        <v>0</v>
      </c>
      <c r="AE36" s="699"/>
    </row>
    <row r="37" spans="1:31" ht="25.15" customHeight="1">
      <c r="A37" s="543">
        <v>27</v>
      </c>
      <c r="B37" s="544" t="s">
        <v>1310</v>
      </c>
      <c r="C37" s="541" t="str">
        <f>'LAP. PENJUALAN '!C37</f>
        <v>Paket Rocket 4</v>
      </c>
      <c r="D37" s="694">
        <v>1</v>
      </c>
      <c r="E37" s="694"/>
      <c r="F37" s="694"/>
      <c r="G37" s="694"/>
      <c r="H37" s="694"/>
      <c r="I37" s="694">
        <v>2</v>
      </c>
      <c r="J37" s="694">
        <v>3</v>
      </c>
      <c r="K37" s="694"/>
      <c r="L37" s="694"/>
      <c r="M37" s="694"/>
      <c r="N37" s="554">
        <f t="shared" si="0"/>
        <v>6</v>
      </c>
      <c r="O37" s="554">
        <f t="shared" si="1"/>
        <v>120000</v>
      </c>
      <c r="P37" s="555">
        <f>(O37/O237)*100</f>
        <v>9.1019348437994196</v>
      </c>
      <c r="Q37" s="567"/>
      <c r="R37" s="555">
        <f t="shared" si="2"/>
        <v>0</v>
      </c>
      <c r="S37" s="697">
        <v>20000</v>
      </c>
      <c r="U37" s="696">
        <f t="shared" si="3"/>
        <v>20000</v>
      </c>
      <c r="V37" s="696">
        <f t="shared" si="4"/>
        <v>0</v>
      </c>
      <c r="W37" s="696">
        <f t="shared" si="5"/>
        <v>0</v>
      </c>
      <c r="X37" s="696">
        <f t="shared" si="6"/>
        <v>0</v>
      </c>
      <c r="Y37" s="696">
        <f t="shared" si="7"/>
        <v>0</v>
      </c>
      <c r="Z37" s="696">
        <f t="shared" si="8"/>
        <v>40000</v>
      </c>
      <c r="AA37" s="696">
        <f t="shared" si="9"/>
        <v>60000</v>
      </c>
      <c r="AB37" s="696">
        <f t="shared" si="10"/>
        <v>0</v>
      </c>
      <c r="AC37" s="696">
        <f t="shared" si="11"/>
        <v>0</v>
      </c>
      <c r="AD37" s="696">
        <f t="shared" si="12"/>
        <v>0</v>
      </c>
      <c r="AE37" s="699"/>
    </row>
    <row r="38" spans="1:31" ht="25.15" customHeight="1">
      <c r="A38" s="543">
        <v>28</v>
      </c>
      <c r="B38" s="544" t="s">
        <v>1311</v>
      </c>
      <c r="C38" s="541" t="str">
        <f>'LAP. PENJUALAN '!C38</f>
        <v>Paket Rocket 5</v>
      </c>
      <c r="D38" s="694"/>
      <c r="E38" s="694">
        <v>1</v>
      </c>
      <c r="F38" s="694"/>
      <c r="G38" s="694"/>
      <c r="H38" s="694"/>
      <c r="I38" s="694"/>
      <c r="J38" s="694"/>
      <c r="K38" s="694"/>
      <c r="L38" s="694"/>
      <c r="M38" s="694"/>
      <c r="N38" s="554">
        <f t="shared" si="0"/>
        <v>1</v>
      </c>
      <c r="O38" s="554">
        <f t="shared" si="1"/>
        <v>26666</v>
      </c>
      <c r="P38" s="555">
        <f>(O38/O237)*100</f>
        <v>2.0226016212062898</v>
      </c>
      <c r="Q38" s="567"/>
      <c r="R38" s="555">
        <f t="shared" si="2"/>
        <v>0</v>
      </c>
      <c r="S38" s="697">
        <v>26666</v>
      </c>
      <c r="U38" s="696">
        <f t="shared" si="3"/>
        <v>0</v>
      </c>
      <c r="V38" s="696">
        <f t="shared" si="4"/>
        <v>26666</v>
      </c>
      <c r="W38" s="696">
        <f t="shared" si="5"/>
        <v>0</v>
      </c>
      <c r="X38" s="696">
        <f t="shared" si="6"/>
        <v>0</v>
      </c>
      <c r="Y38" s="696">
        <f t="shared" si="7"/>
        <v>0</v>
      </c>
      <c r="Z38" s="696">
        <f t="shared" si="8"/>
        <v>0</v>
      </c>
      <c r="AA38" s="696">
        <f t="shared" si="9"/>
        <v>0</v>
      </c>
      <c r="AB38" s="696">
        <f t="shared" si="10"/>
        <v>0</v>
      </c>
      <c r="AC38" s="696">
        <f t="shared" si="11"/>
        <v>0</v>
      </c>
      <c r="AD38" s="696">
        <f t="shared" si="12"/>
        <v>0</v>
      </c>
      <c r="AE38" s="699"/>
    </row>
    <row r="39" spans="1:31" ht="25.15" customHeight="1">
      <c r="A39" s="543">
        <v>29</v>
      </c>
      <c r="B39" s="544" t="s">
        <v>1312</v>
      </c>
      <c r="C39" s="541" t="str">
        <f>'LAP. PENJUALAN '!C39</f>
        <v>Paket Rocket 6</v>
      </c>
      <c r="D39" s="694"/>
      <c r="E39" s="694"/>
      <c r="F39" s="694"/>
      <c r="G39" s="694"/>
      <c r="H39" s="694"/>
      <c r="I39" s="694"/>
      <c r="J39" s="694"/>
      <c r="K39" s="694"/>
      <c r="L39" s="694"/>
      <c r="M39" s="694"/>
      <c r="N39" s="554">
        <f t="shared" si="0"/>
        <v>0</v>
      </c>
      <c r="O39" s="554">
        <f t="shared" si="1"/>
        <v>0</v>
      </c>
      <c r="P39" s="555">
        <f>(O39/O237)*100</f>
        <v>0</v>
      </c>
      <c r="Q39" s="567"/>
      <c r="R39" s="555">
        <f t="shared" si="2"/>
        <v>0</v>
      </c>
      <c r="S39" s="697">
        <v>26666</v>
      </c>
      <c r="U39" s="696">
        <f t="shared" si="3"/>
        <v>0</v>
      </c>
      <c r="V39" s="696">
        <f t="shared" si="4"/>
        <v>0</v>
      </c>
      <c r="W39" s="696">
        <f t="shared" si="5"/>
        <v>0</v>
      </c>
      <c r="X39" s="696">
        <f t="shared" si="6"/>
        <v>0</v>
      </c>
      <c r="Y39" s="696">
        <f t="shared" si="7"/>
        <v>0</v>
      </c>
      <c r="Z39" s="696">
        <f t="shared" si="8"/>
        <v>0</v>
      </c>
      <c r="AA39" s="696">
        <f t="shared" si="9"/>
        <v>0</v>
      </c>
      <c r="AB39" s="696">
        <f t="shared" si="10"/>
        <v>0</v>
      </c>
      <c r="AC39" s="696">
        <f t="shared" si="11"/>
        <v>0</v>
      </c>
      <c r="AD39" s="696">
        <f t="shared" si="12"/>
        <v>0</v>
      </c>
      <c r="AE39" s="699"/>
    </row>
    <row r="40" spans="1:31" ht="25.15" customHeight="1">
      <c r="A40" s="543">
        <v>30</v>
      </c>
      <c r="B40" s="544" t="s">
        <v>1313</v>
      </c>
      <c r="C40" s="541" t="str">
        <f>'LAP. PENJUALAN '!C40</f>
        <v>Paket Rocket 7</v>
      </c>
      <c r="D40" s="694">
        <v>1</v>
      </c>
      <c r="E40" s="694"/>
      <c r="F40" s="694">
        <v>2</v>
      </c>
      <c r="G40" s="694"/>
      <c r="H40" s="694"/>
      <c r="I40" s="694"/>
      <c r="J40" s="694"/>
      <c r="K40" s="694"/>
      <c r="L40" s="694"/>
      <c r="M40" s="694"/>
      <c r="N40" s="554">
        <f t="shared" si="0"/>
        <v>3</v>
      </c>
      <c r="O40" s="554">
        <f t="shared" si="1"/>
        <v>84000</v>
      </c>
      <c r="P40" s="555">
        <f>(O40/O237)*100</f>
        <v>6.3713543906595902</v>
      </c>
      <c r="Q40" s="567"/>
      <c r="R40" s="555">
        <f t="shared" si="2"/>
        <v>0</v>
      </c>
      <c r="S40" s="697">
        <v>28000</v>
      </c>
      <c r="U40" s="696">
        <f t="shared" ref="U40:U42" si="16">D40*S40</f>
        <v>28000</v>
      </c>
      <c r="V40" s="696">
        <f t="shared" ref="V40:V42" si="17">E40*S40</f>
        <v>0</v>
      </c>
      <c r="W40" s="696">
        <f t="shared" ref="W40:W42" si="18">F40*S40</f>
        <v>56000</v>
      </c>
      <c r="X40" s="696">
        <f t="shared" ref="X40:X42" si="19">G40*S40</f>
        <v>0</v>
      </c>
      <c r="Y40" s="696">
        <f t="shared" ref="Y40:Y42" si="20">H40*S40</f>
        <v>0</v>
      </c>
      <c r="Z40" s="696">
        <f t="shared" ref="Z40:Z42" si="21">I40*S40</f>
        <v>0</v>
      </c>
      <c r="AA40" s="696">
        <f t="shared" ref="AA40:AA42" si="22">J40*S40</f>
        <v>0</v>
      </c>
      <c r="AB40" s="696">
        <f t="shared" ref="AB40:AB42" si="23">K40*S40</f>
        <v>0</v>
      </c>
      <c r="AC40" s="696">
        <f t="shared" ref="AC40:AC42" si="24">L40*S40</f>
        <v>0</v>
      </c>
      <c r="AD40" s="696">
        <f t="shared" ref="AD40:AD42" si="25">M40*S40</f>
        <v>0</v>
      </c>
      <c r="AE40" s="699"/>
    </row>
    <row r="41" spans="1:31" ht="25.15" customHeight="1">
      <c r="A41" s="543">
        <v>31</v>
      </c>
      <c r="B41" s="544" t="s">
        <v>1314</v>
      </c>
      <c r="C41" s="541" t="str">
        <f>'LAP. PENJUALAN '!C41</f>
        <v>Paket Rocket 8</v>
      </c>
      <c r="D41" s="694"/>
      <c r="E41" s="694"/>
      <c r="F41" s="694"/>
      <c r="G41" s="694"/>
      <c r="H41" s="694">
        <v>1</v>
      </c>
      <c r="I41" s="694"/>
      <c r="J41" s="694"/>
      <c r="K41" s="694"/>
      <c r="L41" s="694"/>
      <c r="M41" s="694"/>
      <c r="N41" s="554">
        <f t="shared" si="0"/>
        <v>1</v>
      </c>
      <c r="O41" s="554">
        <f t="shared" si="1"/>
        <v>26666</v>
      </c>
      <c r="P41" s="555">
        <f>(O41/O237)*100</f>
        <v>2.0226016212062898</v>
      </c>
      <c r="Q41" s="567"/>
      <c r="R41" s="555">
        <f t="shared" si="2"/>
        <v>0</v>
      </c>
      <c r="S41" s="697">
        <v>26666</v>
      </c>
      <c r="U41" s="696">
        <f t="shared" si="16"/>
        <v>0</v>
      </c>
      <c r="V41" s="696">
        <f t="shared" si="17"/>
        <v>0</v>
      </c>
      <c r="W41" s="696">
        <f t="shared" si="18"/>
        <v>0</v>
      </c>
      <c r="X41" s="696">
        <f t="shared" si="19"/>
        <v>0</v>
      </c>
      <c r="Y41" s="696">
        <f t="shared" si="20"/>
        <v>26666</v>
      </c>
      <c r="Z41" s="696">
        <f t="shared" si="21"/>
        <v>0</v>
      </c>
      <c r="AA41" s="696">
        <f t="shared" si="22"/>
        <v>0</v>
      </c>
      <c r="AB41" s="696">
        <f t="shared" si="23"/>
        <v>0</v>
      </c>
      <c r="AC41" s="696">
        <f t="shared" si="24"/>
        <v>0</v>
      </c>
      <c r="AD41" s="696">
        <f t="shared" si="25"/>
        <v>0</v>
      </c>
      <c r="AE41" s="699"/>
    </row>
    <row r="42" spans="1:31" ht="25.15" customHeight="1">
      <c r="A42" s="543">
        <v>32</v>
      </c>
      <c r="B42" s="544" t="s">
        <v>1315</v>
      </c>
      <c r="C42" s="541" t="str">
        <f>'LAP. PENJUALAN '!C42</f>
        <v>Paket Rocket 9</v>
      </c>
      <c r="D42" s="694">
        <v>1</v>
      </c>
      <c r="E42" s="694"/>
      <c r="F42" s="694"/>
      <c r="G42" s="694"/>
      <c r="H42" s="694"/>
      <c r="I42" s="694"/>
      <c r="J42" s="694"/>
      <c r="K42" s="694"/>
      <c r="L42" s="694"/>
      <c r="M42" s="694"/>
      <c r="N42" s="554">
        <f t="shared" si="0"/>
        <v>1</v>
      </c>
      <c r="O42" s="554">
        <f t="shared" si="1"/>
        <v>29260</v>
      </c>
      <c r="P42" s="555">
        <f>(O42/O237)*100</f>
        <v>2.2193551127464302</v>
      </c>
      <c r="Q42" s="567"/>
      <c r="R42" s="555">
        <f t="shared" si="2"/>
        <v>0</v>
      </c>
      <c r="S42" s="697">
        <v>29260</v>
      </c>
      <c r="U42" s="696">
        <f t="shared" si="16"/>
        <v>29260</v>
      </c>
      <c r="V42" s="696">
        <f t="shared" si="17"/>
        <v>0</v>
      </c>
      <c r="W42" s="696">
        <f t="shared" si="18"/>
        <v>0</v>
      </c>
      <c r="X42" s="696">
        <f t="shared" si="19"/>
        <v>0</v>
      </c>
      <c r="Y42" s="696">
        <f t="shared" si="20"/>
        <v>0</v>
      </c>
      <c r="Z42" s="696">
        <f t="shared" si="21"/>
        <v>0</v>
      </c>
      <c r="AA42" s="696">
        <f t="shared" si="22"/>
        <v>0</v>
      </c>
      <c r="AB42" s="696">
        <f t="shared" si="23"/>
        <v>0</v>
      </c>
      <c r="AC42" s="696">
        <f t="shared" si="24"/>
        <v>0</v>
      </c>
      <c r="AD42" s="696">
        <f t="shared" si="25"/>
        <v>0</v>
      </c>
      <c r="AE42" s="699"/>
    </row>
    <row r="43" spans="1:31" ht="25.15" customHeight="1">
      <c r="A43" s="543">
        <v>33</v>
      </c>
      <c r="B43" s="544"/>
      <c r="C43" s="541" t="str">
        <f>'LAP. PENJUALAN '!C43</f>
        <v>Paket Rocket 10</v>
      </c>
      <c r="D43" s="694"/>
      <c r="E43" s="694"/>
      <c r="F43" s="694"/>
      <c r="G43" s="694"/>
      <c r="H43" s="694"/>
      <c r="I43" s="694"/>
      <c r="J43" s="694"/>
      <c r="K43" s="694"/>
      <c r="L43" s="694"/>
      <c r="M43" s="694"/>
      <c r="N43" s="554">
        <f t="shared" si="0"/>
        <v>0</v>
      </c>
      <c r="O43" s="554">
        <f t="shared" si="1"/>
        <v>0</v>
      </c>
      <c r="P43" s="555">
        <f>(O43/O237)*100</f>
        <v>0</v>
      </c>
      <c r="Q43" s="567"/>
      <c r="R43" s="555">
        <f t="shared" si="2"/>
        <v>0</v>
      </c>
      <c r="S43" s="697">
        <v>28000</v>
      </c>
      <c r="U43" s="696">
        <f t="shared" si="3"/>
        <v>0</v>
      </c>
      <c r="V43" s="696">
        <f t="shared" si="4"/>
        <v>0</v>
      </c>
      <c r="W43" s="696">
        <f t="shared" si="5"/>
        <v>0</v>
      </c>
      <c r="X43" s="696">
        <f t="shared" si="6"/>
        <v>0</v>
      </c>
      <c r="Y43" s="696">
        <f t="shared" si="7"/>
        <v>0</v>
      </c>
      <c r="Z43" s="696">
        <f t="shared" si="8"/>
        <v>0</v>
      </c>
      <c r="AA43" s="696">
        <f t="shared" si="9"/>
        <v>0</v>
      </c>
      <c r="AB43" s="696">
        <f t="shared" si="10"/>
        <v>0</v>
      </c>
      <c r="AC43" s="696">
        <f t="shared" si="11"/>
        <v>0</v>
      </c>
      <c r="AD43" s="696">
        <f t="shared" si="12"/>
        <v>0</v>
      </c>
      <c r="AE43" s="699"/>
    </row>
    <row r="44" spans="1:31" ht="25.15" customHeight="1">
      <c r="A44" s="543"/>
      <c r="B44" s="545" t="s">
        <v>1316</v>
      </c>
      <c r="C44" s="541"/>
      <c r="D44" s="694"/>
      <c r="E44" s="694"/>
      <c r="F44" s="694"/>
      <c r="G44" s="694"/>
      <c r="H44" s="694"/>
      <c r="I44" s="694"/>
      <c r="J44" s="694"/>
      <c r="K44" s="694"/>
      <c r="L44" s="694"/>
      <c r="M44" s="694"/>
      <c r="N44" s="554">
        <f t="shared" si="0"/>
        <v>0</v>
      </c>
      <c r="O44" s="554">
        <f t="shared" si="1"/>
        <v>0</v>
      </c>
      <c r="P44" s="555">
        <f>(O44/O237)*100</f>
        <v>0</v>
      </c>
      <c r="Q44" s="567"/>
      <c r="R44" s="555">
        <f t="shared" si="2"/>
        <v>0</v>
      </c>
      <c r="S44" s="697"/>
      <c r="U44" s="696">
        <f t="shared" si="3"/>
        <v>0</v>
      </c>
      <c r="V44" s="696">
        <f t="shared" si="4"/>
        <v>0</v>
      </c>
      <c r="W44" s="696">
        <f t="shared" si="5"/>
        <v>0</v>
      </c>
      <c r="X44" s="696">
        <f t="shared" si="6"/>
        <v>0</v>
      </c>
      <c r="Y44" s="696">
        <f t="shared" si="7"/>
        <v>0</v>
      </c>
      <c r="Z44" s="696">
        <f t="shared" si="8"/>
        <v>0</v>
      </c>
      <c r="AA44" s="696">
        <f t="shared" si="9"/>
        <v>0</v>
      </c>
      <c r="AB44" s="696">
        <f t="shared" si="10"/>
        <v>0</v>
      </c>
      <c r="AC44" s="696">
        <f t="shared" si="11"/>
        <v>0</v>
      </c>
      <c r="AD44" s="696">
        <f t="shared" si="12"/>
        <v>0</v>
      </c>
      <c r="AE44" s="699"/>
    </row>
    <row r="45" spans="1:31" ht="25.15" customHeight="1">
      <c r="A45" s="543">
        <v>34</v>
      </c>
      <c r="B45" s="546" t="s">
        <v>1317</v>
      </c>
      <c r="C45" s="541" t="str">
        <f>'LAP. PENJUALAN '!C45</f>
        <v>Paket Roma 1</v>
      </c>
      <c r="D45" s="694"/>
      <c r="E45" s="694"/>
      <c r="F45" s="694"/>
      <c r="G45" s="694"/>
      <c r="H45" s="694"/>
      <c r="I45" s="694"/>
      <c r="J45" s="694"/>
      <c r="K45" s="694"/>
      <c r="L45" s="694"/>
      <c r="M45" s="694"/>
      <c r="N45" s="554">
        <f t="shared" si="0"/>
        <v>0</v>
      </c>
      <c r="O45" s="554">
        <f t="shared" si="1"/>
        <v>0</v>
      </c>
      <c r="P45" s="555">
        <f>(O45/O237)*100</f>
        <v>0</v>
      </c>
      <c r="Q45" s="567"/>
      <c r="R45" s="555">
        <f t="shared" si="2"/>
        <v>0</v>
      </c>
      <c r="S45" s="697">
        <v>26666</v>
      </c>
      <c r="U45" s="696">
        <f t="shared" si="3"/>
        <v>0</v>
      </c>
      <c r="V45" s="696">
        <f t="shared" si="4"/>
        <v>0</v>
      </c>
      <c r="W45" s="696">
        <f t="shared" si="5"/>
        <v>0</v>
      </c>
      <c r="X45" s="696">
        <f t="shared" si="6"/>
        <v>0</v>
      </c>
      <c r="Y45" s="696">
        <f t="shared" si="7"/>
        <v>0</v>
      </c>
      <c r="Z45" s="696">
        <f t="shared" si="8"/>
        <v>0</v>
      </c>
      <c r="AA45" s="696">
        <f t="shared" si="9"/>
        <v>0</v>
      </c>
      <c r="AB45" s="696">
        <f t="shared" si="10"/>
        <v>0</v>
      </c>
      <c r="AC45" s="696">
        <f t="shared" si="11"/>
        <v>0</v>
      </c>
      <c r="AD45" s="696">
        <f t="shared" si="12"/>
        <v>0</v>
      </c>
      <c r="AE45" s="699"/>
    </row>
    <row r="46" spans="1:31" ht="25.15" customHeight="1">
      <c r="A46" s="543">
        <v>35</v>
      </c>
      <c r="B46" s="546" t="s">
        <v>1318</v>
      </c>
      <c r="C46" s="541" t="str">
        <f>'LAP. PENJUALAN '!C46</f>
        <v>Paket Roma 2</v>
      </c>
      <c r="D46" s="694"/>
      <c r="E46" s="694"/>
      <c r="F46" s="694"/>
      <c r="G46" s="694"/>
      <c r="H46" s="694"/>
      <c r="I46" s="694"/>
      <c r="J46" s="694"/>
      <c r="K46" s="694"/>
      <c r="L46" s="694"/>
      <c r="M46" s="694"/>
      <c r="N46" s="554">
        <f t="shared" si="0"/>
        <v>0</v>
      </c>
      <c r="O46" s="554">
        <f t="shared" si="1"/>
        <v>0</v>
      </c>
      <c r="P46" s="555">
        <f>(O46/O237)*100</f>
        <v>0</v>
      </c>
      <c r="Q46" s="567"/>
      <c r="R46" s="555">
        <f t="shared" si="2"/>
        <v>0</v>
      </c>
      <c r="S46" s="697">
        <v>28000</v>
      </c>
      <c r="U46" s="696">
        <f t="shared" si="3"/>
        <v>0</v>
      </c>
      <c r="V46" s="696">
        <f t="shared" si="4"/>
        <v>0</v>
      </c>
      <c r="W46" s="696">
        <f t="shared" si="5"/>
        <v>0</v>
      </c>
      <c r="X46" s="696">
        <f t="shared" si="6"/>
        <v>0</v>
      </c>
      <c r="Y46" s="696">
        <f t="shared" si="7"/>
        <v>0</v>
      </c>
      <c r="Z46" s="696">
        <f t="shared" si="8"/>
        <v>0</v>
      </c>
      <c r="AA46" s="696">
        <f t="shared" si="9"/>
        <v>0</v>
      </c>
      <c r="AB46" s="696">
        <f t="shared" si="10"/>
        <v>0</v>
      </c>
      <c r="AC46" s="696">
        <f t="shared" si="11"/>
        <v>0</v>
      </c>
      <c r="AD46" s="696">
        <f t="shared" si="12"/>
        <v>0</v>
      </c>
      <c r="AE46" s="699"/>
    </row>
    <row r="47" spans="1:31" ht="25.15" customHeight="1">
      <c r="A47" s="543">
        <v>36</v>
      </c>
      <c r="B47" s="546" t="s">
        <v>1319</v>
      </c>
      <c r="C47" s="541" t="str">
        <f>'LAP. PENJUALAN '!C47</f>
        <v>Paket Roma 3</v>
      </c>
      <c r="D47" s="694"/>
      <c r="E47" s="694"/>
      <c r="F47" s="694"/>
      <c r="G47" s="694"/>
      <c r="H47" s="694"/>
      <c r="I47" s="694"/>
      <c r="J47" s="694"/>
      <c r="K47" s="694"/>
      <c r="L47" s="694"/>
      <c r="M47" s="694"/>
      <c r="N47" s="554">
        <f t="shared" si="0"/>
        <v>0</v>
      </c>
      <c r="O47" s="554">
        <f t="shared" si="1"/>
        <v>0</v>
      </c>
      <c r="P47" s="555">
        <f>(O47/O237)*100</f>
        <v>0</v>
      </c>
      <c r="Q47" s="567"/>
      <c r="R47" s="555">
        <f t="shared" si="2"/>
        <v>0</v>
      </c>
      <c r="S47" s="697">
        <v>29333</v>
      </c>
      <c r="U47" s="696">
        <f t="shared" si="3"/>
        <v>0</v>
      </c>
      <c r="V47" s="696">
        <f t="shared" si="4"/>
        <v>0</v>
      </c>
      <c r="W47" s="696">
        <f t="shared" si="5"/>
        <v>0</v>
      </c>
      <c r="X47" s="696">
        <f t="shared" si="6"/>
        <v>0</v>
      </c>
      <c r="Y47" s="696">
        <f t="shared" si="7"/>
        <v>0</v>
      </c>
      <c r="Z47" s="696">
        <f t="shared" si="8"/>
        <v>0</v>
      </c>
      <c r="AA47" s="696">
        <f t="shared" si="9"/>
        <v>0</v>
      </c>
      <c r="AB47" s="696">
        <f t="shared" si="10"/>
        <v>0</v>
      </c>
      <c r="AC47" s="696">
        <f t="shared" si="11"/>
        <v>0</v>
      </c>
      <c r="AD47" s="696">
        <f t="shared" si="12"/>
        <v>0</v>
      </c>
      <c r="AE47" s="699"/>
    </row>
    <row r="48" spans="1:31" ht="25.15" customHeight="1">
      <c r="A48" s="543">
        <v>37</v>
      </c>
      <c r="B48" s="546" t="s">
        <v>1320</v>
      </c>
      <c r="C48" s="541" t="str">
        <f>'LAP. PENJUALAN '!C48</f>
        <v>Paket Roma 4</v>
      </c>
      <c r="D48" s="694"/>
      <c r="E48" s="694"/>
      <c r="F48" s="694"/>
      <c r="G48" s="694"/>
      <c r="H48" s="694"/>
      <c r="I48" s="694"/>
      <c r="J48" s="694"/>
      <c r="K48" s="694"/>
      <c r="L48" s="694"/>
      <c r="M48" s="694"/>
      <c r="N48" s="554">
        <f t="shared" si="0"/>
        <v>0</v>
      </c>
      <c r="O48" s="554">
        <f t="shared" si="1"/>
        <v>0</v>
      </c>
      <c r="P48" s="555">
        <f>(O48/O237)*100</f>
        <v>0</v>
      </c>
      <c r="Q48" s="567"/>
      <c r="R48" s="555">
        <f t="shared" si="2"/>
        <v>0</v>
      </c>
      <c r="S48" s="697">
        <v>30666</v>
      </c>
      <c r="U48" s="696">
        <f t="shared" si="3"/>
        <v>0</v>
      </c>
      <c r="V48" s="696">
        <f t="shared" si="4"/>
        <v>0</v>
      </c>
      <c r="W48" s="696">
        <f t="shared" si="5"/>
        <v>0</v>
      </c>
      <c r="X48" s="696">
        <f t="shared" si="6"/>
        <v>0</v>
      </c>
      <c r="Y48" s="696">
        <f t="shared" si="7"/>
        <v>0</v>
      </c>
      <c r="Z48" s="696">
        <f t="shared" si="8"/>
        <v>0</v>
      </c>
      <c r="AA48" s="696">
        <f t="shared" si="9"/>
        <v>0</v>
      </c>
      <c r="AB48" s="696">
        <f t="shared" si="10"/>
        <v>0</v>
      </c>
      <c r="AC48" s="696">
        <f t="shared" si="11"/>
        <v>0</v>
      </c>
      <c r="AD48" s="696">
        <f t="shared" si="12"/>
        <v>0</v>
      </c>
      <c r="AE48" s="699"/>
    </row>
    <row r="49" spans="1:31" ht="25.15" customHeight="1">
      <c r="A49" s="543">
        <v>38</v>
      </c>
      <c r="B49" s="546"/>
      <c r="C49" s="541" t="str">
        <f>'LAP. PENJUALAN '!C49</f>
        <v>Paket Roma 5</v>
      </c>
      <c r="D49" s="694"/>
      <c r="E49" s="694"/>
      <c r="F49" s="694"/>
      <c r="G49" s="694"/>
      <c r="H49" s="694"/>
      <c r="I49" s="694"/>
      <c r="J49" s="694"/>
      <c r="K49" s="694"/>
      <c r="L49" s="694"/>
      <c r="M49" s="694"/>
      <c r="N49" s="554">
        <f t="shared" si="0"/>
        <v>0</v>
      </c>
      <c r="O49" s="554">
        <f t="shared" si="1"/>
        <v>0</v>
      </c>
      <c r="P49" s="555">
        <f>(O49/O237)*100</f>
        <v>0</v>
      </c>
      <c r="Q49" s="567"/>
      <c r="R49" s="555">
        <f t="shared" si="2"/>
        <v>0</v>
      </c>
      <c r="S49" s="697">
        <v>29333</v>
      </c>
      <c r="U49" s="696">
        <f t="shared" si="3"/>
        <v>0</v>
      </c>
      <c r="V49" s="696">
        <f t="shared" si="4"/>
        <v>0</v>
      </c>
      <c r="W49" s="696">
        <f t="shared" si="5"/>
        <v>0</v>
      </c>
      <c r="X49" s="696">
        <f t="shared" si="6"/>
        <v>0</v>
      </c>
      <c r="Y49" s="696">
        <f t="shared" si="7"/>
        <v>0</v>
      </c>
      <c r="Z49" s="696">
        <f t="shared" si="8"/>
        <v>0</v>
      </c>
      <c r="AA49" s="696">
        <f t="shared" si="9"/>
        <v>0</v>
      </c>
      <c r="AB49" s="696">
        <f t="shared" si="10"/>
        <v>0</v>
      </c>
      <c r="AC49" s="696">
        <f t="shared" si="11"/>
        <v>0</v>
      </c>
      <c r="AD49" s="696">
        <f t="shared" si="12"/>
        <v>0</v>
      </c>
      <c r="AE49" s="699"/>
    </row>
    <row r="50" spans="1:31" ht="25.15" customHeight="1">
      <c r="A50" s="543"/>
      <c r="B50" s="546" t="s">
        <v>1534</v>
      </c>
      <c r="C50" s="541"/>
      <c r="D50" s="694"/>
      <c r="E50" s="694"/>
      <c r="F50" s="694"/>
      <c r="G50" s="694"/>
      <c r="H50" s="694"/>
      <c r="I50" s="694"/>
      <c r="J50" s="694"/>
      <c r="K50" s="694"/>
      <c r="L50" s="694"/>
      <c r="M50" s="694"/>
      <c r="N50" s="554">
        <f t="shared" si="0"/>
        <v>0</v>
      </c>
      <c r="O50" s="554">
        <f t="shared" si="1"/>
        <v>0</v>
      </c>
      <c r="P50" s="555">
        <f>(O50/O237)*100</f>
        <v>0</v>
      </c>
      <c r="Q50" s="567"/>
      <c r="R50" s="555">
        <f t="shared" si="2"/>
        <v>0</v>
      </c>
      <c r="S50" s="697"/>
      <c r="U50" s="696">
        <f t="shared" si="3"/>
        <v>0</v>
      </c>
      <c r="V50" s="696">
        <f t="shared" si="4"/>
        <v>0</v>
      </c>
      <c r="W50" s="696">
        <f t="shared" si="5"/>
        <v>0</v>
      </c>
      <c r="X50" s="696">
        <f t="shared" si="6"/>
        <v>0</v>
      </c>
      <c r="Y50" s="696">
        <f t="shared" si="7"/>
        <v>0</v>
      </c>
      <c r="Z50" s="696">
        <f t="shared" si="8"/>
        <v>0</v>
      </c>
      <c r="AA50" s="696">
        <f t="shared" si="9"/>
        <v>0</v>
      </c>
      <c r="AB50" s="696">
        <f t="shared" si="10"/>
        <v>0</v>
      </c>
      <c r="AC50" s="696">
        <f t="shared" si="11"/>
        <v>0</v>
      </c>
      <c r="AD50" s="696">
        <f t="shared" si="12"/>
        <v>0</v>
      </c>
      <c r="AE50" s="699"/>
    </row>
    <row r="51" spans="1:31" ht="25.15" customHeight="1">
      <c r="A51" s="543">
        <v>39</v>
      </c>
      <c r="B51" s="546" t="s">
        <v>1535</v>
      </c>
      <c r="C51" s="541" t="str">
        <f>'LAP. PENJUALAN '!C51</f>
        <v>Paket Geprek Bawang 1 (Es Teh / S-tee / Lemon Tea)</v>
      </c>
      <c r="D51" s="694"/>
      <c r="E51" s="694"/>
      <c r="F51" s="694"/>
      <c r="G51" s="694"/>
      <c r="H51" s="694"/>
      <c r="I51" s="694"/>
      <c r="J51" s="694"/>
      <c r="K51" s="694"/>
      <c r="L51" s="694"/>
      <c r="M51" s="694"/>
      <c r="N51" s="554">
        <f t="shared" si="0"/>
        <v>0</v>
      </c>
      <c r="O51" s="554">
        <f t="shared" si="1"/>
        <v>0</v>
      </c>
      <c r="P51" s="555">
        <f>(O51/O237)*100</f>
        <v>0</v>
      </c>
      <c r="Q51" s="567"/>
      <c r="R51" s="555">
        <f t="shared" si="2"/>
        <v>0</v>
      </c>
      <c r="S51" s="697">
        <v>27930</v>
      </c>
      <c r="U51" s="696">
        <f t="shared" si="3"/>
        <v>0</v>
      </c>
      <c r="V51" s="696">
        <f t="shared" si="4"/>
        <v>0</v>
      </c>
      <c r="W51" s="696">
        <f t="shared" si="5"/>
        <v>0</v>
      </c>
      <c r="X51" s="696">
        <f t="shared" si="6"/>
        <v>0</v>
      </c>
      <c r="Y51" s="696">
        <f t="shared" si="7"/>
        <v>0</v>
      </c>
      <c r="Z51" s="696">
        <f t="shared" si="8"/>
        <v>0</v>
      </c>
      <c r="AA51" s="696">
        <f t="shared" si="9"/>
        <v>0</v>
      </c>
      <c r="AB51" s="696">
        <f t="shared" si="10"/>
        <v>0</v>
      </c>
      <c r="AC51" s="696">
        <f t="shared" si="11"/>
        <v>0</v>
      </c>
      <c r="AD51" s="696">
        <f t="shared" si="12"/>
        <v>0</v>
      </c>
      <c r="AE51" s="699"/>
    </row>
    <row r="52" spans="1:31" ht="25.15" customHeight="1">
      <c r="A52" s="543">
        <v>40</v>
      </c>
      <c r="B52" s="546" t="s">
        <v>1536</v>
      </c>
      <c r="C52" s="541" t="str">
        <f>'LAP. PENJUALAN '!C52</f>
        <v>Paket Geprek Bawang 2 (Es Teh / S-tee / Lemon Tea)</v>
      </c>
      <c r="D52" s="694"/>
      <c r="E52" s="694"/>
      <c r="F52" s="694"/>
      <c r="G52" s="694"/>
      <c r="H52" s="694"/>
      <c r="I52" s="694"/>
      <c r="J52" s="694"/>
      <c r="K52" s="694"/>
      <c r="L52" s="694"/>
      <c r="M52" s="694"/>
      <c r="N52" s="554">
        <f t="shared" si="0"/>
        <v>0</v>
      </c>
      <c r="O52" s="554">
        <f t="shared" si="1"/>
        <v>0</v>
      </c>
      <c r="P52" s="555">
        <f>(O52/O237)*100</f>
        <v>0</v>
      </c>
      <c r="Q52" s="567"/>
      <c r="R52" s="555">
        <f t="shared" si="2"/>
        <v>0</v>
      </c>
      <c r="S52" s="697">
        <v>30666</v>
      </c>
      <c r="U52" s="696">
        <f t="shared" si="3"/>
        <v>0</v>
      </c>
      <c r="V52" s="696">
        <f t="shared" si="4"/>
        <v>0</v>
      </c>
      <c r="W52" s="696">
        <f t="shared" si="5"/>
        <v>0</v>
      </c>
      <c r="X52" s="696">
        <f t="shared" si="6"/>
        <v>0</v>
      </c>
      <c r="Y52" s="696">
        <f t="shared" si="7"/>
        <v>0</v>
      </c>
      <c r="Z52" s="696">
        <f t="shared" si="8"/>
        <v>0</v>
      </c>
      <c r="AA52" s="696">
        <f t="shared" si="9"/>
        <v>0</v>
      </c>
      <c r="AB52" s="696">
        <f t="shared" si="10"/>
        <v>0</v>
      </c>
      <c r="AC52" s="696">
        <f t="shared" si="11"/>
        <v>0</v>
      </c>
      <c r="AD52" s="696">
        <f t="shared" si="12"/>
        <v>0</v>
      </c>
      <c r="AE52" s="699"/>
    </row>
    <row r="53" spans="1:31" ht="25.15" customHeight="1">
      <c r="A53" s="543">
        <v>41</v>
      </c>
      <c r="B53" s="546" t="s">
        <v>1537</v>
      </c>
      <c r="C53" s="541" t="str">
        <f>'LAP. PENJUALAN '!C53</f>
        <v>Paket Geprek Bawang 3 (Es Teh / S-tee / Lemon Tea)</v>
      </c>
      <c r="D53" s="694"/>
      <c r="E53" s="694"/>
      <c r="F53" s="694"/>
      <c r="G53" s="694"/>
      <c r="H53" s="694"/>
      <c r="I53" s="694"/>
      <c r="J53" s="694"/>
      <c r="K53" s="694"/>
      <c r="L53" s="694"/>
      <c r="M53" s="694"/>
      <c r="N53" s="554">
        <f t="shared" si="0"/>
        <v>0</v>
      </c>
      <c r="O53" s="554">
        <f t="shared" si="1"/>
        <v>0</v>
      </c>
      <c r="P53" s="555">
        <f>(O53/O237)*100</f>
        <v>0</v>
      </c>
      <c r="Q53" s="567"/>
      <c r="R53" s="555">
        <f t="shared" si="2"/>
        <v>0</v>
      </c>
      <c r="S53" s="697">
        <v>31920</v>
      </c>
      <c r="U53" s="696">
        <f t="shared" si="3"/>
        <v>0</v>
      </c>
      <c r="V53" s="696">
        <f t="shared" si="4"/>
        <v>0</v>
      </c>
      <c r="W53" s="696">
        <f t="shared" si="5"/>
        <v>0</v>
      </c>
      <c r="X53" s="696">
        <f t="shared" si="6"/>
        <v>0</v>
      </c>
      <c r="Y53" s="696">
        <f t="shared" si="7"/>
        <v>0</v>
      </c>
      <c r="Z53" s="696">
        <f t="shared" si="8"/>
        <v>0</v>
      </c>
      <c r="AA53" s="696">
        <f t="shared" si="9"/>
        <v>0</v>
      </c>
      <c r="AB53" s="696">
        <f t="shared" si="10"/>
        <v>0</v>
      </c>
      <c r="AC53" s="696">
        <f t="shared" si="11"/>
        <v>0</v>
      </c>
      <c r="AD53" s="696">
        <f t="shared" si="12"/>
        <v>0</v>
      </c>
      <c r="AE53" s="699"/>
    </row>
    <row r="54" spans="1:31" ht="25.15" customHeight="1">
      <c r="A54" s="543">
        <v>42</v>
      </c>
      <c r="B54" s="546" t="s">
        <v>1538</v>
      </c>
      <c r="C54" s="541" t="str">
        <f>'LAP. PENJUALAN '!C54</f>
        <v>Sayap Geprek Bawang</v>
      </c>
      <c r="D54" s="694"/>
      <c r="E54" s="694"/>
      <c r="F54" s="694"/>
      <c r="G54" s="694"/>
      <c r="H54" s="694"/>
      <c r="I54" s="694"/>
      <c r="J54" s="694">
        <v>1</v>
      </c>
      <c r="K54" s="694"/>
      <c r="L54" s="694"/>
      <c r="M54" s="694"/>
      <c r="N54" s="554">
        <f t="shared" si="0"/>
        <v>1</v>
      </c>
      <c r="O54" s="554">
        <f t="shared" si="1"/>
        <v>18620</v>
      </c>
      <c r="P54" s="555">
        <f>(O54/O237)*100</f>
        <v>1.41231688992954</v>
      </c>
      <c r="Q54" s="567"/>
      <c r="R54" s="555">
        <f t="shared" si="2"/>
        <v>0</v>
      </c>
      <c r="S54" s="697">
        <v>18620</v>
      </c>
      <c r="U54" s="696">
        <f t="shared" si="3"/>
        <v>0</v>
      </c>
      <c r="V54" s="696">
        <f t="shared" si="4"/>
        <v>0</v>
      </c>
      <c r="W54" s="696">
        <f t="shared" si="5"/>
        <v>0</v>
      </c>
      <c r="X54" s="696">
        <f t="shared" si="6"/>
        <v>0</v>
      </c>
      <c r="Y54" s="696">
        <f t="shared" si="7"/>
        <v>0</v>
      </c>
      <c r="Z54" s="696">
        <f t="shared" si="8"/>
        <v>0</v>
      </c>
      <c r="AA54" s="696">
        <f t="shared" si="9"/>
        <v>18620</v>
      </c>
      <c r="AB54" s="696">
        <f t="shared" si="10"/>
        <v>0</v>
      </c>
      <c r="AC54" s="696">
        <f t="shared" si="11"/>
        <v>0</v>
      </c>
      <c r="AD54" s="696">
        <f t="shared" si="12"/>
        <v>0</v>
      </c>
      <c r="AE54" s="699"/>
    </row>
    <row r="55" spans="1:31" ht="25.15" customHeight="1">
      <c r="A55" s="543">
        <v>43</v>
      </c>
      <c r="B55" s="546" t="s">
        <v>1539</v>
      </c>
      <c r="C55" s="541" t="str">
        <f>'LAP. PENJUALAN '!C55</f>
        <v>Paha Bawah Geprek Bawang</v>
      </c>
      <c r="D55" s="694"/>
      <c r="E55" s="694"/>
      <c r="F55" s="694"/>
      <c r="G55" s="694"/>
      <c r="H55" s="694"/>
      <c r="I55" s="694"/>
      <c r="J55" s="694"/>
      <c r="K55" s="694"/>
      <c r="L55" s="694"/>
      <c r="M55" s="694"/>
      <c r="N55" s="554">
        <f t="shared" si="0"/>
        <v>0</v>
      </c>
      <c r="O55" s="554">
        <f t="shared" si="1"/>
        <v>0</v>
      </c>
      <c r="P55" s="555">
        <f>(O55/O237)*100</f>
        <v>0</v>
      </c>
      <c r="Q55" s="567"/>
      <c r="R55" s="555">
        <f t="shared" si="2"/>
        <v>0</v>
      </c>
      <c r="S55" s="697">
        <v>20000</v>
      </c>
      <c r="U55" s="696">
        <f t="shared" si="3"/>
        <v>0</v>
      </c>
      <c r="V55" s="696">
        <f t="shared" si="4"/>
        <v>0</v>
      </c>
      <c r="W55" s="696">
        <f t="shared" si="5"/>
        <v>0</v>
      </c>
      <c r="X55" s="696">
        <f t="shared" si="6"/>
        <v>0</v>
      </c>
      <c r="Y55" s="696">
        <f t="shared" si="7"/>
        <v>0</v>
      </c>
      <c r="Z55" s="696">
        <f t="shared" si="8"/>
        <v>0</v>
      </c>
      <c r="AA55" s="696">
        <f t="shared" si="9"/>
        <v>0</v>
      </c>
      <c r="AB55" s="696">
        <f t="shared" si="10"/>
        <v>0</v>
      </c>
      <c r="AC55" s="696">
        <f t="shared" si="11"/>
        <v>0</v>
      </c>
      <c r="AD55" s="696">
        <f t="shared" si="12"/>
        <v>0</v>
      </c>
      <c r="AE55" s="699"/>
    </row>
    <row r="56" spans="1:31" ht="25.15" customHeight="1">
      <c r="A56" s="543">
        <v>44</v>
      </c>
      <c r="B56" s="546" t="s">
        <v>1540</v>
      </c>
      <c r="C56" s="541" t="str">
        <f>'LAP. PENJUALAN '!C56</f>
        <v>Paha Atas / Dada Geprek Bawang</v>
      </c>
      <c r="D56" s="694"/>
      <c r="E56" s="694"/>
      <c r="F56" s="694"/>
      <c r="G56" s="694"/>
      <c r="H56" s="694">
        <v>2</v>
      </c>
      <c r="I56" s="694"/>
      <c r="J56" s="694"/>
      <c r="K56" s="694"/>
      <c r="L56" s="694"/>
      <c r="M56" s="694"/>
      <c r="N56" s="554">
        <f t="shared" si="0"/>
        <v>2</v>
      </c>
      <c r="O56" s="554">
        <f t="shared" si="1"/>
        <v>45220</v>
      </c>
      <c r="P56" s="555">
        <f>(O56/O237)*100</f>
        <v>3.4299124469717501</v>
      </c>
      <c r="Q56" s="567"/>
      <c r="R56" s="555">
        <f t="shared" si="2"/>
        <v>0</v>
      </c>
      <c r="S56" s="697">
        <v>22610</v>
      </c>
      <c r="U56" s="696">
        <f t="shared" si="3"/>
        <v>0</v>
      </c>
      <c r="V56" s="696">
        <f t="shared" si="4"/>
        <v>0</v>
      </c>
      <c r="W56" s="696">
        <f t="shared" si="5"/>
        <v>0</v>
      </c>
      <c r="X56" s="696">
        <f t="shared" si="6"/>
        <v>0</v>
      </c>
      <c r="Y56" s="696">
        <f t="shared" si="7"/>
        <v>45220</v>
      </c>
      <c r="Z56" s="696">
        <f t="shared" si="8"/>
        <v>0</v>
      </c>
      <c r="AA56" s="696">
        <f t="shared" si="9"/>
        <v>0</v>
      </c>
      <c r="AB56" s="696">
        <f t="shared" si="10"/>
        <v>0</v>
      </c>
      <c r="AC56" s="696">
        <f t="shared" si="11"/>
        <v>0</v>
      </c>
      <c r="AD56" s="696">
        <f t="shared" si="12"/>
        <v>0</v>
      </c>
      <c r="AE56" s="699"/>
    </row>
    <row r="57" spans="1:31" ht="25.15" customHeight="1">
      <c r="A57" s="543">
        <v>45</v>
      </c>
      <c r="B57" s="546"/>
      <c r="C57" s="541" t="str">
        <f>'LAP. PENJUALAN '!C57</f>
        <v>Sambal Geprek Bawang</v>
      </c>
      <c r="D57" s="694"/>
      <c r="E57" s="694"/>
      <c r="F57" s="694"/>
      <c r="G57" s="694"/>
      <c r="H57" s="694"/>
      <c r="I57" s="694"/>
      <c r="J57" s="694"/>
      <c r="K57" s="694"/>
      <c r="L57" s="694"/>
      <c r="M57" s="694"/>
      <c r="N57" s="554">
        <f t="shared" si="0"/>
        <v>0</v>
      </c>
      <c r="O57" s="554">
        <f t="shared" si="1"/>
        <v>0</v>
      </c>
      <c r="P57" s="555">
        <f>(O57/O237)*100</f>
        <v>0</v>
      </c>
      <c r="Q57" s="567"/>
      <c r="R57" s="555">
        <f t="shared" si="2"/>
        <v>0</v>
      </c>
      <c r="S57" s="697">
        <v>6000</v>
      </c>
      <c r="U57" s="696">
        <f t="shared" si="3"/>
        <v>0</v>
      </c>
      <c r="V57" s="696">
        <f t="shared" si="4"/>
        <v>0</v>
      </c>
      <c r="W57" s="696">
        <f t="shared" si="5"/>
        <v>0</v>
      </c>
      <c r="X57" s="696">
        <f t="shared" si="6"/>
        <v>0</v>
      </c>
      <c r="Y57" s="696">
        <f t="shared" si="7"/>
        <v>0</v>
      </c>
      <c r="Z57" s="696">
        <f t="shared" si="8"/>
        <v>0</v>
      </c>
      <c r="AA57" s="696">
        <f t="shared" si="9"/>
        <v>0</v>
      </c>
      <c r="AB57" s="696">
        <f t="shared" si="10"/>
        <v>0</v>
      </c>
      <c r="AC57" s="696">
        <f t="shared" si="11"/>
        <v>0</v>
      </c>
      <c r="AD57" s="696">
        <f t="shared" si="12"/>
        <v>0</v>
      </c>
      <c r="AE57" s="699"/>
    </row>
    <row r="58" spans="1:31" ht="25.15" customHeight="1">
      <c r="A58" s="543"/>
      <c r="B58" s="546" t="s">
        <v>1541</v>
      </c>
      <c r="C58" s="541"/>
      <c r="D58" s="694"/>
      <c r="E58" s="694"/>
      <c r="F58" s="694"/>
      <c r="G58" s="694"/>
      <c r="H58" s="694"/>
      <c r="I58" s="694"/>
      <c r="J58" s="694"/>
      <c r="K58" s="694"/>
      <c r="L58" s="694"/>
      <c r="M58" s="694"/>
      <c r="N58" s="554">
        <f t="shared" si="0"/>
        <v>0</v>
      </c>
      <c r="O58" s="554">
        <f t="shared" si="1"/>
        <v>0</v>
      </c>
      <c r="P58" s="555">
        <f>(O58/O237)*100</f>
        <v>0</v>
      </c>
      <c r="Q58" s="567"/>
      <c r="R58" s="555">
        <f t="shared" si="2"/>
        <v>0</v>
      </c>
      <c r="S58" s="697"/>
      <c r="U58" s="696">
        <f t="shared" si="3"/>
        <v>0</v>
      </c>
      <c r="V58" s="696">
        <f t="shared" si="4"/>
        <v>0</v>
      </c>
      <c r="W58" s="696">
        <f t="shared" si="5"/>
        <v>0</v>
      </c>
      <c r="X58" s="696">
        <f t="shared" si="6"/>
        <v>0</v>
      </c>
      <c r="Y58" s="696">
        <f t="shared" si="7"/>
        <v>0</v>
      </c>
      <c r="Z58" s="696">
        <f t="shared" si="8"/>
        <v>0</v>
      </c>
      <c r="AA58" s="696">
        <f t="shared" si="9"/>
        <v>0</v>
      </c>
      <c r="AB58" s="696">
        <f t="shared" si="10"/>
        <v>0</v>
      </c>
      <c r="AC58" s="696">
        <f t="shared" si="11"/>
        <v>0</v>
      </c>
      <c r="AD58" s="696">
        <f t="shared" si="12"/>
        <v>0</v>
      </c>
      <c r="AE58" s="699"/>
    </row>
    <row r="59" spans="1:31" ht="25.15" customHeight="1">
      <c r="A59" s="543">
        <v>46</v>
      </c>
      <c r="B59" s="546" t="s">
        <v>1542</v>
      </c>
      <c r="C59" s="541" t="str">
        <f>'LAP. PENJUALAN '!C59</f>
        <v>Paket Matah 1 (Es Teh / S-tee / Lemon Tea)</v>
      </c>
      <c r="D59" s="694"/>
      <c r="E59" s="694"/>
      <c r="F59" s="694"/>
      <c r="G59" s="694"/>
      <c r="H59" s="694"/>
      <c r="I59" s="694"/>
      <c r="J59" s="694"/>
      <c r="K59" s="694"/>
      <c r="L59" s="694"/>
      <c r="M59" s="694"/>
      <c r="N59" s="554">
        <f t="shared" si="0"/>
        <v>0</v>
      </c>
      <c r="O59" s="554">
        <f t="shared" si="1"/>
        <v>0</v>
      </c>
      <c r="P59" s="555">
        <f>(O59/O237)*100</f>
        <v>0</v>
      </c>
      <c r="Q59" s="567"/>
      <c r="R59" s="555">
        <f t="shared" si="2"/>
        <v>0</v>
      </c>
      <c r="S59" s="697">
        <v>28000</v>
      </c>
      <c r="U59" s="696">
        <f t="shared" si="3"/>
        <v>0</v>
      </c>
      <c r="V59" s="696">
        <f t="shared" si="4"/>
        <v>0</v>
      </c>
      <c r="W59" s="696">
        <f t="shared" si="5"/>
        <v>0</v>
      </c>
      <c r="X59" s="696">
        <f t="shared" si="6"/>
        <v>0</v>
      </c>
      <c r="Y59" s="696">
        <f t="shared" si="7"/>
        <v>0</v>
      </c>
      <c r="Z59" s="696">
        <f t="shared" si="8"/>
        <v>0</v>
      </c>
      <c r="AA59" s="696">
        <f t="shared" si="9"/>
        <v>0</v>
      </c>
      <c r="AB59" s="696">
        <f t="shared" si="10"/>
        <v>0</v>
      </c>
      <c r="AC59" s="696">
        <f t="shared" si="11"/>
        <v>0</v>
      </c>
      <c r="AD59" s="696">
        <f t="shared" si="12"/>
        <v>0</v>
      </c>
      <c r="AE59" s="699"/>
    </row>
    <row r="60" spans="1:31" ht="25.15" customHeight="1">
      <c r="A60" s="543">
        <v>47</v>
      </c>
      <c r="B60" s="546" t="s">
        <v>1543</v>
      </c>
      <c r="C60" s="541" t="str">
        <f>'LAP. PENJUALAN '!C60</f>
        <v>Paket Matah 2 (Es Teh / S-tee / Lemon Tea)</v>
      </c>
      <c r="D60" s="694"/>
      <c r="E60" s="694"/>
      <c r="F60" s="694"/>
      <c r="G60" s="694"/>
      <c r="H60" s="694"/>
      <c r="I60" s="694"/>
      <c r="J60" s="694"/>
      <c r="K60" s="694"/>
      <c r="L60" s="694"/>
      <c r="M60" s="694"/>
      <c r="N60" s="554">
        <f t="shared" si="0"/>
        <v>0</v>
      </c>
      <c r="O60" s="554">
        <f t="shared" si="1"/>
        <v>0</v>
      </c>
      <c r="P60" s="555">
        <f>(O60/O237)*100</f>
        <v>0</v>
      </c>
      <c r="Q60" s="567"/>
      <c r="R60" s="555">
        <f t="shared" si="2"/>
        <v>0</v>
      </c>
      <c r="S60" s="697">
        <v>30666</v>
      </c>
      <c r="U60" s="696">
        <f t="shared" si="3"/>
        <v>0</v>
      </c>
      <c r="V60" s="696">
        <f t="shared" si="4"/>
        <v>0</v>
      </c>
      <c r="W60" s="696">
        <f t="shared" si="5"/>
        <v>0</v>
      </c>
      <c r="X60" s="696">
        <f t="shared" si="6"/>
        <v>0</v>
      </c>
      <c r="Y60" s="696">
        <f t="shared" si="7"/>
        <v>0</v>
      </c>
      <c r="Z60" s="696">
        <f t="shared" si="8"/>
        <v>0</v>
      </c>
      <c r="AA60" s="696">
        <f t="shared" si="9"/>
        <v>0</v>
      </c>
      <c r="AB60" s="696">
        <f t="shared" si="10"/>
        <v>0</v>
      </c>
      <c r="AC60" s="696">
        <f t="shared" si="11"/>
        <v>0</v>
      </c>
      <c r="AD60" s="696">
        <f t="shared" si="12"/>
        <v>0</v>
      </c>
      <c r="AE60" s="699"/>
    </row>
    <row r="61" spans="1:31" ht="25.15" customHeight="1">
      <c r="A61" s="543">
        <v>48</v>
      </c>
      <c r="B61" s="546" t="s">
        <v>1544</v>
      </c>
      <c r="C61" s="541" t="str">
        <f>'LAP. PENJUALAN '!C61</f>
        <v>Paket Matah 3 (Es Teh / S-tee / Lemon Tea)</v>
      </c>
      <c r="D61" s="694"/>
      <c r="E61" s="694"/>
      <c r="F61" s="694"/>
      <c r="G61" s="694"/>
      <c r="H61" s="694"/>
      <c r="I61" s="694"/>
      <c r="J61" s="694"/>
      <c r="K61" s="694"/>
      <c r="L61" s="694"/>
      <c r="M61" s="694"/>
      <c r="N61" s="554">
        <f t="shared" si="0"/>
        <v>0</v>
      </c>
      <c r="O61" s="554">
        <f t="shared" si="1"/>
        <v>0</v>
      </c>
      <c r="P61" s="555">
        <f>(O61/O237)*100</f>
        <v>0</v>
      </c>
      <c r="Q61" s="567"/>
      <c r="R61" s="555">
        <f t="shared" si="2"/>
        <v>0</v>
      </c>
      <c r="S61" s="697">
        <v>32000</v>
      </c>
      <c r="U61" s="696">
        <f t="shared" si="3"/>
        <v>0</v>
      </c>
      <c r="V61" s="696">
        <f t="shared" si="4"/>
        <v>0</v>
      </c>
      <c r="W61" s="696">
        <f t="shared" si="5"/>
        <v>0</v>
      </c>
      <c r="X61" s="696">
        <f t="shared" si="6"/>
        <v>0</v>
      </c>
      <c r="Y61" s="696">
        <f t="shared" si="7"/>
        <v>0</v>
      </c>
      <c r="Z61" s="696">
        <f t="shared" si="8"/>
        <v>0</v>
      </c>
      <c r="AA61" s="696">
        <f t="shared" si="9"/>
        <v>0</v>
      </c>
      <c r="AB61" s="696">
        <f t="shared" si="10"/>
        <v>0</v>
      </c>
      <c r="AC61" s="696">
        <f t="shared" si="11"/>
        <v>0</v>
      </c>
      <c r="AD61" s="696">
        <f t="shared" si="12"/>
        <v>0</v>
      </c>
      <c r="AE61" s="699"/>
    </row>
    <row r="62" spans="1:31" ht="25.15" customHeight="1">
      <c r="A62" s="543">
        <v>49</v>
      </c>
      <c r="B62" s="546" t="s">
        <v>1545</v>
      </c>
      <c r="C62" s="541" t="str">
        <f>'LAP. PENJUALAN '!C62</f>
        <v>Sayap Matah</v>
      </c>
      <c r="D62" s="694"/>
      <c r="E62" s="694"/>
      <c r="F62" s="694"/>
      <c r="G62" s="694"/>
      <c r="H62" s="694"/>
      <c r="I62" s="694"/>
      <c r="J62" s="694"/>
      <c r="K62" s="694"/>
      <c r="L62" s="694"/>
      <c r="M62" s="694"/>
      <c r="N62" s="554">
        <f t="shared" si="0"/>
        <v>0</v>
      </c>
      <c r="O62" s="554">
        <f t="shared" si="1"/>
        <v>0</v>
      </c>
      <c r="P62" s="555">
        <f>(O62/O237)*100</f>
        <v>0</v>
      </c>
      <c r="Q62" s="567"/>
      <c r="R62" s="555">
        <f t="shared" si="2"/>
        <v>0</v>
      </c>
      <c r="S62" s="697">
        <v>18620</v>
      </c>
      <c r="U62" s="696">
        <f t="shared" si="3"/>
        <v>0</v>
      </c>
      <c r="V62" s="696">
        <f t="shared" si="4"/>
        <v>0</v>
      </c>
      <c r="W62" s="696">
        <f t="shared" si="5"/>
        <v>0</v>
      </c>
      <c r="X62" s="696">
        <f t="shared" si="6"/>
        <v>0</v>
      </c>
      <c r="Y62" s="696">
        <f t="shared" si="7"/>
        <v>0</v>
      </c>
      <c r="Z62" s="696">
        <f t="shared" si="8"/>
        <v>0</v>
      </c>
      <c r="AA62" s="696">
        <f t="shared" si="9"/>
        <v>0</v>
      </c>
      <c r="AB62" s="696">
        <f t="shared" si="10"/>
        <v>0</v>
      </c>
      <c r="AC62" s="696">
        <f t="shared" si="11"/>
        <v>0</v>
      </c>
      <c r="AD62" s="696">
        <f t="shared" si="12"/>
        <v>0</v>
      </c>
      <c r="AE62" s="699"/>
    </row>
    <row r="63" spans="1:31" ht="25.15" customHeight="1">
      <c r="A63" s="543">
        <v>50</v>
      </c>
      <c r="B63" s="546" t="s">
        <v>1546</v>
      </c>
      <c r="C63" s="541" t="str">
        <f>'LAP. PENJUALAN '!C63</f>
        <v>Paha Bawah Matah</v>
      </c>
      <c r="D63" s="694"/>
      <c r="E63" s="694"/>
      <c r="F63" s="694"/>
      <c r="G63" s="694"/>
      <c r="H63" s="694"/>
      <c r="I63" s="694"/>
      <c r="J63" s="694"/>
      <c r="K63" s="694"/>
      <c r="L63" s="694"/>
      <c r="M63" s="694"/>
      <c r="N63" s="554">
        <f t="shared" si="0"/>
        <v>0</v>
      </c>
      <c r="O63" s="554">
        <f t="shared" si="1"/>
        <v>0</v>
      </c>
      <c r="P63" s="555">
        <f>(O63/O237)*100</f>
        <v>0</v>
      </c>
      <c r="Q63" s="567"/>
      <c r="R63" s="555">
        <f t="shared" si="2"/>
        <v>0</v>
      </c>
      <c r="S63" s="697">
        <v>20000</v>
      </c>
      <c r="U63" s="696">
        <f t="shared" si="3"/>
        <v>0</v>
      </c>
      <c r="V63" s="696">
        <f t="shared" si="4"/>
        <v>0</v>
      </c>
      <c r="W63" s="696">
        <f t="shared" si="5"/>
        <v>0</v>
      </c>
      <c r="X63" s="696">
        <f t="shared" si="6"/>
        <v>0</v>
      </c>
      <c r="Y63" s="696">
        <f t="shared" si="7"/>
        <v>0</v>
      </c>
      <c r="Z63" s="696">
        <f t="shared" si="8"/>
        <v>0</v>
      </c>
      <c r="AA63" s="696">
        <f t="shared" si="9"/>
        <v>0</v>
      </c>
      <c r="AB63" s="696">
        <f t="shared" si="10"/>
        <v>0</v>
      </c>
      <c r="AC63" s="696">
        <f t="shared" si="11"/>
        <v>0</v>
      </c>
      <c r="AD63" s="696">
        <f t="shared" si="12"/>
        <v>0</v>
      </c>
      <c r="AE63" s="699"/>
    </row>
    <row r="64" spans="1:31" ht="25.15" customHeight="1">
      <c r="A64" s="543">
        <v>51</v>
      </c>
      <c r="B64" s="546" t="s">
        <v>1547</v>
      </c>
      <c r="C64" s="541" t="str">
        <f>'LAP. PENJUALAN '!C64</f>
        <v>Paha Atas / Dada  Matah</v>
      </c>
      <c r="D64" s="694"/>
      <c r="E64" s="694"/>
      <c r="F64" s="694"/>
      <c r="G64" s="694"/>
      <c r="H64" s="694"/>
      <c r="I64" s="694"/>
      <c r="J64" s="694"/>
      <c r="K64" s="694"/>
      <c r="L64" s="694"/>
      <c r="M64" s="694"/>
      <c r="N64" s="554">
        <f t="shared" si="0"/>
        <v>0</v>
      </c>
      <c r="O64" s="554">
        <f t="shared" si="1"/>
        <v>0</v>
      </c>
      <c r="P64" s="555">
        <f>(O64/O237)*100</f>
        <v>0</v>
      </c>
      <c r="Q64" s="567"/>
      <c r="R64" s="555">
        <f t="shared" si="2"/>
        <v>0</v>
      </c>
      <c r="S64" s="697">
        <v>22610</v>
      </c>
      <c r="U64" s="696">
        <f t="shared" si="3"/>
        <v>0</v>
      </c>
      <c r="V64" s="696">
        <f t="shared" si="4"/>
        <v>0</v>
      </c>
      <c r="W64" s="696">
        <f t="shared" si="5"/>
        <v>0</v>
      </c>
      <c r="X64" s="696">
        <f t="shared" si="6"/>
        <v>0</v>
      </c>
      <c r="Y64" s="696">
        <f t="shared" si="7"/>
        <v>0</v>
      </c>
      <c r="Z64" s="696">
        <f t="shared" si="8"/>
        <v>0</v>
      </c>
      <c r="AA64" s="696">
        <f t="shared" si="9"/>
        <v>0</v>
      </c>
      <c r="AB64" s="696">
        <f t="shared" si="10"/>
        <v>0</v>
      </c>
      <c r="AC64" s="696">
        <f t="shared" si="11"/>
        <v>0</v>
      </c>
      <c r="AD64" s="696">
        <f t="shared" si="12"/>
        <v>0</v>
      </c>
      <c r="AE64" s="699"/>
    </row>
    <row r="65" spans="1:31" ht="25.15" customHeight="1">
      <c r="A65" s="543">
        <v>52</v>
      </c>
      <c r="B65" s="546"/>
      <c r="C65" s="541" t="str">
        <f>'LAP. PENJUALAN '!C65</f>
        <v>Sambal Matah</v>
      </c>
      <c r="D65" s="694"/>
      <c r="E65" s="694"/>
      <c r="F65" s="694"/>
      <c r="G65" s="694"/>
      <c r="H65" s="694"/>
      <c r="I65" s="694"/>
      <c r="J65" s="694"/>
      <c r="K65" s="694"/>
      <c r="L65" s="694"/>
      <c r="M65" s="694"/>
      <c r="N65" s="554">
        <f t="shared" si="0"/>
        <v>0</v>
      </c>
      <c r="O65" s="554">
        <f t="shared" si="1"/>
        <v>0</v>
      </c>
      <c r="P65" s="555">
        <f>(O65/O237)*100</f>
        <v>0</v>
      </c>
      <c r="Q65" s="567"/>
      <c r="R65" s="555">
        <f t="shared" si="2"/>
        <v>0</v>
      </c>
      <c r="S65" s="697">
        <v>6000</v>
      </c>
      <c r="U65" s="696">
        <f t="shared" si="3"/>
        <v>0</v>
      </c>
      <c r="V65" s="696">
        <f t="shared" si="4"/>
        <v>0</v>
      </c>
      <c r="W65" s="696">
        <f t="shared" si="5"/>
        <v>0</v>
      </c>
      <c r="X65" s="696">
        <f t="shared" si="6"/>
        <v>0</v>
      </c>
      <c r="Y65" s="696">
        <f t="shared" si="7"/>
        <v>0</v>
      </c>
      <c r="Z65" s="696">
        <f t="shared" si="8"/>
        <v>0</v>
      </c>
      <c r="AA65" s="696">
        <f t="shared" si="9"/>
        <v>0</v>
      </c>
      <c r="AB65" s="696">
        <f t="shared" si="10"/>
        <v>0</v>
      </c>
      <c r="AC65" s="696">
        <f t="shared" si="11"/>
        <v>0</v>
      </c>
      <c r="AD65" s="696">
        <f t="shared" si="12"/>
        <v>0</v>
      </c>
      <c r="AE65" s="699"/>
    </row>
    <row r="66" spans="1:31" ht="25.15" customHeight="1">
      <c r="A66" s="543"/>
      <c r="B66" s="546" t="s">
        <v>1548</v>
      </c>
      <c r="C66" s="541"/>
      <c r="D66" s="694"/>
      <c r="E66" s="694"/>
      <c r="F66" s="694"/>
      <c r="G66" s="694"/>
      <c r="H66" s="694"/>
      <c r="I66" s="694"/>
      <c r="J66" s="694"/>
      <c r="K66" s="694"/>
      <c r="L66" s="694"/>
      <c r="M66" s="694"/>
      <c r="N66" s="554">
        <f t="shared" si="0"/>
        <v>0</v>
      </c>
      <c r="O66" s="554">
        <f t="shared" si="1"/>
        <v>0</v>
      </c>
      <c r="P66" s="555">
        <f>(O66/O237)*100</f>
        <v>0</v>
      </c>
      <c r="Q66" s="567"/>
      <c r="R66" s="555">
        <f t="shared" si="2"/>
        <v>0</v>
      </c>
      <c r="S66" s="697"/>
      <c r="U66" s="696">
        <f t="shared" si="3"/>
        <v>0</v>
      </c>
      <c r="V66" s="696">
        <f t="shared" si="4"/>
        <v>0</v>
      </c>
      <c r="W66" s="696">
        <f t="shared" si="5"/>
        <v>0</v>
      </c>
      <c r="X66" s="696">
        <f t="shared" si="6"/>
        <v>0</v>
      </c>
      <c r="Y66" s="696">
        <f t="shared" si="7"/>
        <v>0</v>
      </c>
      <c r="Z66" s="696">
        <f t="shared" si="8"/>
        <v>0</v>
      </c>
      <c r="AA66" s="696">
        <f t="shared" si="9"/>
        <v>0</v>
      </c>
      <c r="AB66" s="696">
        <f t="shared" si="10"/>
        <v>0</v>
      </c>
      <c r="AC66" s="696">
        <f t="shared" si="11"/>
        <v>0</v>
      </c>
      <c r="AD66" s="696">
        <f t="shared" si="12"/>
        <v>0</v>
      </c>
      <c r="AE66" s="699"/>
    </row>
    <row r="67" spans="1:31" ht="25.15" customHeight="1">
      <c r="A67" s="543">
        <v>53</v>
      </c>
      <c r="B67" s="546" t="s">
        <v>1549</v>
      </c>
      <c r="C67" s="541" t="str">
        <f>'LAP. PENJUALAN '!C67</f>
        <v>Paket Terasi 1 (Es Teh / S-tee / Lemon Tea)</v>
      </c>
      <c r="D67" s="694"/>
      <c r="E67" s="694"/>
      <c r="F67" s="694"/>
      <c r="G67" s="694"/>
      <c r="H67" s="694"/>
      <c r="I67" s="694"/>
      <c r="J67" s="694"/>
      <c r="K67" s="694"/>
      <c r="L67" s="694"/>
      <c r="M67" s="694"/>
      <c r="N67" s="554">
        <f t="shared" si="0"/>
        <v>0</v>
      </c>
      <c r="O67" s="554">
        <f t="shared" si="1"/>
        <v>0</v>
      </c>
      <c r="P67" s="555">
        <f>(O67/O237)*100</f>
        <v>0</v>
      </c>
      <c r="Q67" s="567"/>
      <c r="R67" s="555">
        <f t="shared" si="2"/>
        <v>0</v>
      </c>
      <c r="S67" s="697">
        <v>28000</v>
      </c>
      <c r="U67" s="696">
        <f t="shared" si="3"/>
        <v>0</v>
      </c>
      <c r="V67" s="696">
        <f t="shared" si="4"/>
        <v>0</v>
      </c>
      <c r="W67" s="696">
        <f t="shared" si="5"/>
        <v>0</v>
      </c>
      <c r="X67" s="696">
        <f t="shared" si="6"/>
        <v>0</v>
      </c>
      <c r="Y67" s="696">
        <f t="shared" si="7"/>
        <v>0</v>
      </c>
      <c r="Z67" s="696">
        <f t="shared" si="8"/>
        <v>0</v>
      </c>
      <c r="AA67" s="696">
        <f t="shared" si="9"/>
        <v>0</v>
      </c>
      <c r="AB67" s="696">
        <f t="shared" si="10"/>
        <v>0</v>
      </c>
      <c r="AC67" s="696">
        <f t="shared" si="11"/>
        <v>0</v>
      </c>
      <c r="AD67" s="696">
        <f t="shared" si="12"/>
        <v>0</v>
      </c>
      <c r="AE67" s="699"/>
    </row>
    <row r="68" spans="1:31" ht="25.15" customHeight="1">
      <c r="A68" s="543">
        <v>54</v>
      </c>
      <c r="B68" s="546" t="s">
        <v>1550</v>
      </c>
      <c r="C68" s="541" t="str">
        <f>'LAP. PENJUALAN '!C68</f>
        <v>Paket Terasi 2 (Es Teh / S-tee / Lemon Tea)</v>
      </c>
      <c r="D68" s="694"/>
      <c r="E68" s="694"/>
      <c r="F68" s="694"/>
      <c r="G68" s="694"/>
      <c r="H68" s="694"/>
      <c r="I68" s="694"/>
      <c r="J68" s="694"/>
      <c r="K68" s="694"/>
      <c r="L68" s="694"/>
      <c r="M68" s="694"/>
      <c r="N68" s="554">
        <f t="shared" si="0"/>
        <v>0</v>
      </c>
      <c r="O68" s="554">
        <f t="shared" si="1"/>
        <v>0</v>
      </c>
      <c r="P68" s="555">
        <f>(O68/O237)*100</f>
        <v>0</v>
      </c>
      <c r="Q68" s="567"/>
      <c r="R68" s="555">
        <f t="shared" si="2"/>
        <v>0</v>
      </c>
      <c r="S68" s="697">
        <v>30666</v>
      </c>
      <c r="U68" s="696">
        <f t="shared" si="3"/>
        <v>0</v>
      </c>
      <c r="V68" s="696">
        <f t="shared" si="4"/>
        <v>0</v>
      </c>
      <c r="W68" s="696">
        <f t="shared" si="5"/>
        <v>0</v>
      </c>
      <c r="X68" s="696">
        <f t="shared" si="6"/>
        <v>0</v>
      </c>
      <c r="Y68" s="696">
        <f t="shared" si="7"/>
        <v>0</v>
      </c>
      <c r="Z68" s="696">
        <f t="shared" si="8"/>
        <v>0</v>
      </c>
      <c r="AA68" s="696">
        <f t="shared" si="9"/>
        <v>0</v>
      </c>
      <c r="AB68" s="696">
        <f t="shared" si="10"/>
        <v>0</v>
      </c>
      <c r="AC68" s="696">
        <f t="shared" si="11"/>
        <v>0</v>
      </c>
      <c r="AD68" s="696">
        <f t="shared" si="12"/>
        <v>0</v>
      </c>
      <c r="AE68" s="699"/>
    </row>
    <row r="69" spans="1:31" ht="25.15" customHeight="1">
      <c r="A69" s="543">
        <v>55</v>
      </c>
      <c r="B69" s="546" t="s">
        <v>1551</v>
      </c>
      <c r="C69" s="541" t="str">
        <f>'LAP. PENJUALAN '!C69</f>
        <v>Paket Terasi 3 (Es Teh / S-tee / Lemon Tea)</v>
      </c>
      <c r="D69" s="694"/>
      <c r="E69" s="694"/>
      <c r="F69" s="694"/>
      <c r="G69" s="694"/>
      <c r="H69" s="694"/>
      <c r="I69" s="694"/>
      <c r="J69" s="694"/>
      <c r="K69" s="694"/>
      <c r="L69" s="694"/>
      <c r="M69" s="694"/>
      <c r="N69" s="554">
        <f t="shared" si="0"/>
        <v>0</v>
      </c>
      <c r="O69" s="554">
        <f t="shared" si="1"/>
        <v>0</v>
      </c>
      <c r="P69" s="555">
        <f>(O69/O237)*100</f>
        <v>0</v>
      </c>
      <c r="Q69" s="567"/>
      <c r="R69" s="555">
        <f t="shared" si="2"/>
        <v>0</v>
      </c>
      <c r="S69" s="697">
        <v>32000</v>
      </c>
      <c r="U69" s="696">
        <f t="shared" si="3"/>
        <v>0</v>
      </c>
      <c r="V69" s="696">
        <f t="shared" si="4"/>
        <v>0</v>
      </c>
      <c r="W69" s="696">
        <f t="shared" si="5"/>
        <v>0</v>
      </c>
      <c r="X69" s="696">
        <f t="shared" si="6"/>
        <v>0</v>
      </c>
      <c r="Y69" s="696">
        <f t="shared" si="7"/>
        <v>0</v>
      </c>
      <c r="Z69" s="696">
        <f t="shared" si="8"/>
        <v>0</v>
      </c>
      <c r="AA69" s="696">
        <f t="shared" si="9"/>
        <v>0</v>
      </c>
      <c r="AB69" s="696">
        <f t="shared" si="10"/>
        <v>0</v>
      </c>
      <c r="AC69" s="696">
        <f t="shared" si="11"/>
        <v>0</v>
      </c>
      <c r="AD69" s="696">
        <f t="shared" si="12"/>
        <v>0</v>
      </c>
      <c r="AE69" s="699"/>
    </row>
    <row r="70" spans="1:31" ht="25.15" customHeight="1">
      <c r="A70" s="543">
        <v>56</v>
      </c>
      <c r="B70" s="546" t="s">
        <v>1552</v>
      </c>
      <c r="C70" s="541" t="str">
        <f>'LAP. PENJUALAN '!C70</f>
        <v>Sayap Terasi</v>
      </c>
      <c r="D70" s="694"/>
      <c r="E70" s="694"/>
      <c r="F70" s="694"/>
      <c r="G70" s="694"/>
      <c r="H70" s="694"/>
      <c r="I70" s="694"/>
      <c r="J70" s="694"/>
      <c r="K70" s="694"/>
      <c r="L70" s="694"/>
      <c r="M70" s="694"/>
      <c r="N70" s="554">
        <f t="shared" si="0"/>
        <v>0</v>
      </c>
      <c r="O70" s="554">
        <f t="shared" si="1"/>
        <v>0</v>
      </c>
      <c r="P70" s="555">
        <f>(O70/O237)*100</f>
        <v>0</v>
      </c>
      <c r="Q70" s="567"/>
      <c r="R70" s="555">
        <f t="shared" si="2"/>
        <v>0</v>
      </c>
      <c r="S70" s="697">
        <v>18620</v>
      </c>
      <c r="U70" s="696">
        <f t="shared" si="3"/>
        <v>0</v>
      </c>
      <c r="V70" s="696">
        <f t="shared" si="4"/>
        <v>0</v>
      </c>
      <c r="W70" s="696">
        <f t="shared" si="5"/>
        <v>0</v>
      </c>
      <c r="X70" s="696">
        <f t="shared" si="6"/>
        <v>0</v>
      </c>
      <c r="Y70" s="696">
        <f t="shared" si="7"/>
        <v>0</v>
      </c>
      <c r="Z70" s="696">
        <f t="shared" si="8"/>
        <v>0</v>
      </c>
      <c r="AA70" s="696">
        <f t="shared" si="9"/>
        <v>0</v>
      </c>
      <c r="AB70" s="696">
        <f t="shared" si="10"/>
        <v>0</v>
      </c>
      <c r="AC70" s="696">
        <f t="shared" si="11"/>
        <v>0</v>
      </c>
      <c r="AD70" s="696">
        <f t="shared" si="12"/>
        <v>0</v>
      </c>
      <c r="AE70" s="699"/>
    </row>
    <row r="71" spans="1:31" ht="25.15" customHeight="1">
      <c r="A71" s="543">
        <v>57</v>
      </c>
      <c r="B71" s="546" t="s">
        <v>1553</v>
      </c>
      <c r="C71" s="541" t="str">
        <f>'LAP. PENJUALAN '!C71</f>
        <v>Paha Bawah Terasi</v>
      </c>
      <c r="D71" s="694"/>
      <c r="E71" s="694"/>
      <c r="F71" s="694"/>
      <c r="G71" s="694"/>
      <c r="H71" s="694"/>
      <c r="I71" s="694"/>
      <c r="J71" s="694"/>
      <c r="K71" s="694"/>
      <c r="L71" s="694"/>
      <c r="M71" s="694"/>
      <c r="N71" s="554">
        <f t="shared" si="0"/>
        <v>0</v>
      </c>
      <c r="O71" s="554">
        <f t="shared" si="1"/>
        <v>0</v>
      </c>
      <c r="P71" s="555">
        <f>(O71/O237)*100</f>
        <v>0</v>
      </c>
      <c r="Q71" s="567"/>
      <c r="R71" s="555">
        <f t="shared" si="2"/>
        <v>0</v>
      </c>
      <c r="S71" s="697">
        <v>20000</v>
      </c>
      <c r="U71" s="696">
        <f t="shared" si="3"/>
        <v>0</v>
      </c>
      <c r="V71" s="696">
        <f t="shared" si="4"/>
        <v>0</v>
      </c>
      <c r="W71" s="696">
        <f t="shared" si="5"/>
        <v>0</v>
      </c>
      <c r="X71" s="696">
        <f t="shared" si="6"/>
        <v>0</v>
      </c>
      <c r="Y71" s="696">
        <f t="shared" si="7"/>
        <v>0</v>
      </c>
      <c r="Z71" s="696">
        <f t="shared" si="8"/>
        <v>0</v>
      </c>
      <c r="AA71" s="696">
        <f t="shared" si="9"/>
        <v>0</v>
      </c>
      <c r="AB71" s="696">
        <f t="shared" si="10"/>
        <v>0</v>
      </c>
      <c r="AC71" s="696">
        <f t="shared" si="11"/>
        <v>0</v>
      </c>
      <c r="AD71" s="696">
        <f t="shared" si="12"/>
        <v>0</v>
      </c>
      <c r="AE71" s="699"/>
    </row>
    <row r="72" spans="1:31" ht="25.15" customHeight="1">
      <c r="A72" s="543">
        <v>58</v>
      </c>
      <c r="B72" s="546" t="s">
        <v>1554</v>
      </c>
      <c r="C72" s="541" t="str">
        <f>'LAP. PENJUALAN '!C72</f>
        <v>Paha Atas / Dada Terasi</v>
      </c>
      <c r="D72" s="694"/>
      <c r="E72" s="694"/>
      <c r="F72" s="694"/>
      <c r="G72" s="694"/>
      <c r="H72" s="694"/>
      <c r="I72" s="694"/>
      <c r="J72" s="694"/>
      <c r="K72" s="694"/>
      <c r="L72" s="694"/>
      <c r="M72" s="694"/>
      <c r="N72" s="554">
        <f t="shared" si="0"/>
        <v>0</v>
      </c>
      <c r="O72" s="554">
        <f t="shared" si="1"/>
        <v>0</v>
      </c>
      <c r="P72" s="555">
        <f>(O72/O237)*100</f>
        <v>0</v>
      </c>
      <c r="Q72" s="567"/>
      <c r="R72" s="555">
        <f t="shared" si="2"/>
        <v>0</v>
      </c>
      <c r="S72" s="697">
        <v>22610</v>
      </c>
      <c r="U72" s="696">
        <f t="shared" si="3"/>
        <v>0</v>
      </c>
      <c r="V72" s="696">
        <f t="shared" si="4"/>
        <v>0</v>
      </c>
      <c r="W72" s="696">
        <f t="shared" si="5"/>
        <v>0</v>
      </c>
      <c r="X72" s="696">
        <f t="shared" si="6"/>
        <v>0</v>
      </c>
      <c r="Y72" s="696">
        <f t="shared" si="7"/>
        <v>0</v>
      </c>
      <c r="Z72" s="696">
        <f t="shared" si="8"/>
        <v>0</v>
      </c>
      <c r="AA72" s="696">
        <f t="shared" si="9"/>
        <v>0</v>
      </c>
      <c r="AB72" s="696">
        <f t="shared" si="10"/>
        <v>0</v>
      </c>
      <c r="AC72" s="696">
        <f t="shared" si="11"/>
        <v>0</v>
      </c>
      <c r="AD72" s="696">
        <f t="shared" si="12"/>
        <v>0</v>
      </c>
      <c r="AE72" s="699"/>
    </row>
    <row r="73" spans="1:31" ht="25.15" customHeight="1">
      <c r="A73" s="543">
        <v>59</v>
      </c>
      <c r="B73" s="546"/>
      <c r="C73" s="541" t="str">
        <f>'LAP. PENJUALAN '!C73</f>
        <v>Sambal  Terasi</v>
      </c>
      <c r="D73" s="694"/>
      <c r="E73" s="694"/>
      <c r="F73" s="694"/>
      <c r="G73" s="694"/>
      <c r="H73" s="694"/>
      <c r="I73" s="694"/>
      <c r="J73" s="694"/>
      <c r="K73" s="694"/>
      <c r="L73" s="694"/>
      <c r="M73" s="694"/>
      <c r="N73" s="554">
        <f t="shared" si="0"/>
        <v>0</v>
      </c>
      <c r="O73" s="554">
        <f t="shared" si="1"/>
        <v>0</v>
      </c>
      <c r="P73" s="555">
        <f>(O73/O237)*100</f>
        <v>0</v>
      </c>
      <c r="Q73" s="567"/>
      <c r="R73" s="555">
        <f t="shared" si="2"/>
        <v>0</v>
      </c>
      <c r="S73" s="697">
        <v>6000</v>
      </c>
      <c r="U73" s="696">
        <f t="shared" si="3"/>
        <v>0</v>
      </c>
      <c r="V73" s="696">
        <f t="shared" si="4"/>
        <v>0</v>
      </c>
      <c r="W73" s="696">
        <f t="shared" si="5"/>
        <v>0</v>
      </c>
      <c r="X73" s="696">
        <f t="shared" si="6"/>
        <v>0</v>
      </c>
      <c r="Y73" s="696">
        <f t="shared" si="7"/>
        <v>0</v>
      </c>
      <c r="Z73" s="696">
        <f t="shared" si="8"/>
        <v>0</v>
      </c>
      <c r="AA73" s="696">
        <f t="shared" si="9"/>
        <v>0</v>
      </c>
      <c r="AB73" s="696">
        <f t="shared" si="10"/>
        <v>0</v>
      </c>
      <c r="AC73" s="696">
        <f t="shared" si="11"/>
        <v>0</v>
      </c>
      <c r="AD73" s="696">
        <f t="shared" si="12"/>
        <v>0</v>
      </c>
      <c r="AE73" s="699"/>
    </row>
    <row r="74" spans="1:31" ht="25.15" customHeight="1">
      <c r="A74" s="543"/>
      <c r="B74" s="546" t="s">
        <v>1400</v>
      </c>
      <c r="C74" s="541"/>
      <c r="D74" s="694"/>
      <c r="E74" s="694"/>
      <c r="F74" s="694"/>
      <c r="G74" s="694"/>
      <c r="H74" s="694"/>
      <c r="I74" s="694"/>
      <c r="J74" s="694"/>
      <c r="K74" s="694"/>
      <c r="L74" s="694"/>
      <c r="M74" s="694"/>
      <c r="N74" s="554">
        <f t="shared" si="0"/>
        <v>0</v>
      </c>
      <c r="O74" s="554">
        <f t="shared" si="1"/>
        <v>0</v>
      </c>
      <c r="P74" s="555">
        <f>(O74/O237)*100</f>
        <v>0</v>
      </c>
      <c r="Q74" s="567"/>
      <c r="R74" s="555">
        <f t="shared" si="2"/>
        <v>0</v>
      </c>
      <c r="S74" s="697"/>
      <c r="U74" s="696">
        <f t="shared" si="3"/>
        <v>0</v>
      </c>
      <c r="V74" s="696">
        <f t="shared" si="4"/>
        <v>0</v>
      </c>
      <c r="W74" s="696">
        <f t="shared" si="5"/>
        <v>0</v>
      </c>
      <c r="X74" s="696">
        <f t="shared" si="6"/>
        <v>0</v>
      </c>
      <c r="Y74" s="696">
        <f t="shared" si="7"/>
        <v>0</v>
      </c>
      <c r="Z74" s="696">
        <f t="shared" si="8"/>
        <v>0</v>
      </c>
      <c r="AA74" s="696">
        <f t="shared" si="9"/>
        <v>0</v>
      </c>
      <c r="AB74" s="696">
        <f t="shared" si="10"/>
        <v>0</v>
      </c>
      <c r="AC74" s="696">
        <f t="shared" si="11"/>
        <v>0</v>
      </c>
      <c r="AD74" s="696">
        <f t="shared" si="12"/>
        <v>0</v>
      </c>
      <c r="AE74" s="699"/>
    </row>
    <row r="75" spans="1:31" ht="25.15" customHeight="1">
      <c r="A75" s="543">
        <v>60</v>
      </c>
      <c r="B75" s="546" t="s">
        <v>1401</v>
      </c>
      <c r="C75" s="541" t="str">
        <f>'LAP. PENJUALAN '!C75</f>
        <v>Paket 1 Hot Cheesy (Es Teh / S-tee / Lemon Tea)</v>
      </c>
      <c r="D75" s="694"/>
      <c r="E75" s="694"/>
      <c r="F75" s="694"/>
      <c r="G75" s="694"/>
      <c r="H75" s="694"/>
      <c r="I75" s="694"/>
      <c r="J75" s="694"/>
      <c r="K75" s="694"/>
      <c r="L75" s="694"/>
      <c r="M75" s="694"/>
      <c r="N75" s="554">
        <f t="shared" si="0"/>
        <v>0</v>
      </c>
      <c r="O75" s="554">
        <f t="shared" si="1"/>
        <v>0</v>
      </c>
      <c r="P75" s="555">
        <f>(O75/O237)*100</f>
        <v>0</v>
      </c>
      <c r="Q75" s="567"/>
      <c r="R75" s="555">
        <f t="shared" si="2"/>
        <v>0</v>
      </c>
      <c r="S75" s="697">
        <v>28000</v>
      </c>
      <c r="U75" s="696">
        <f t="shared" si="3"/>
        <v>0</v>
      </c>
      <c r="V75" s="696">
        <f t="shared" si="4"/>
        <v>0</v>
      </c>
      <c r="W75" s="696">
        <f t="shared" si="5"/>
        <v>0</v>
      </c>
      <c r="X75" s="696">
        <f t="shared" si="6"/>
        <v>0</v>
      </c>
      <c r="Y75" s="696">
        <f t="shared" si="7"/>
        <v>0</v>
      </c>
      <c r="Z75" s="696">
        <f t="shared" si="8"/>
        <v>0</v>
      </c>
      <c r="AA75" s="696">
        <f t="shared" si="9"/>
        <v>0</v>
      </c>
      <c r="AB75" s="696">
        <f t="shared" si="10"/>
        <v>0</v>
      </c>
      <c r="AC75" s="696">
        <f t="shared" si="11"/>
        <v>0</v>
      </c>
      <c r="AD75" s="696">
        <f t="shared" si="12"/>
        <v>0</v>
      </c>
      <c r="AE75" s="699"/>
    </row>
    <row r="76" spans="1:31" ht="25.15" customHeight="1">
      <c r="A76" s="543">
        <v>61</v>
      </c>
      <c r="B76" s="546"/>
      <c r="C76" s="541" t="str">
        <f>'LAP. PENJUALAN '!C76</f>
        <v>Paket 2 Hot Cheesy (Es Teh / S-tee / Lemon Tea)</v>
      </c>
      <c r="D76" s="694"/>
      <c r="E76" s="694"/>
      <c r="F76" s="694"/>
      <c r="G76" s="694"/>
      <c r="H76" s="694"/>
      <c r="I76" s="694"/>
      <c r="J76" s="694"/>
      <c r="K76" s="694"/>
      <c r="L76" s="694"/>
      <c r="M76" s="694"/>
      <c r="N76" s="554">
        <f t="shared" si="0"/>
        <v>0</v>
      </c>
      <c r="O76" s="554">
        <f t="shared" si="1"/>
        <v>0</v>
      </c>
      <c r="P76" s="555">
        <f>(O76/O237)*100</f>
        <v>0</v>
      </c>
      <c r="Q76" s="567"/>
      <c r="R76" s="555">
        <f t="shared" si="2"/>
        <v>0</v>
      </c>
      <c r="S76" s="697">
        <v>30666</v>
      </c>
      <c r="U76" s="696">
        <f t="shared" si="3"/>
        <v>0</v>
      </c>
      <c r="V76" s="696">
        <f t="shared" si="4"/>
        <v>0</v>
      </c>
      <c r="W76" s="696">
        <f t="shared" si="5"/>
        <v>0</v>
      </c>
      <c r="X76" s="696">
        <f t="shared" si="6"/>
        <v>0</v>
      </c>
      <c r="Y76" s="696">
        <f t="shared" si="7"/>
        <v>0</v>
      </c>
      <c r="Z76" s="696">
        <f t="shared" si="8"/>
        <v>0</v>
      </c>
      <c r="AA76" s="696">
        <f t="shared" si="9"/>
        <v>0</v>
      </c>
      <c r="AB76" s="696">
        <f t="shared" si="10"/>
        <v>0</v>
      </c>
      <c r="AC76" s="696">
        <f t="shared" si="11"/>
        <v>0</v>
      </c>
      <c r="AD76" s="696">
        <f t="shared" si="12"/>
        <v>0</v>
      </c>
      <c r="AE76" s="699"/>
    </row>
    <row r="77" spans="1:31" ht="25.15" customHeight="1">
      <c r="A77" s="543">
        <v>62</v>
      </c>
      <c r="B77" s="546" t="s">
        <v>1555</v>
      </c>
      <c r="C77" s="541" t="str">
        <f>'LAP. PENJUALAN '!C77</f>
        <v>Paket 3 Hot Cheesy (Es Teh / S-tee / Lemon Tea)</v>
      </c>
      <c r="D77" s="694">
        <v>1</v>
      </c>
      <c r="E77" s="694"/>
      <c r="F77" s="694"/>
      <c r="G77" s="694"/>
      <c r="H77" s="694"/>
      <c r="I77" s="694"/>
      <c r="J77" s="694"/>
      <c r="K77" s="694"/>
      <c r="L77" s="694"/>
      <c r="M77" s="694"/>
      <c r="N77" s="554">
        <f t="shared" si="0"/>
        <v>1</v>
      </c>
      <c r="O77" s="554">
        <f t="shared" si="1"/>
        <v>32000</v>
      </c>
      <c r="P77" s="555">
        <f>(O77/O237)*100</f>
        <v>2.4271826250131801</v>
      </c>
      <c r="Q77" s="567"/>
      <c r="R77" s="555">
        <f t="shared" si="2"/>
        <v>0</v>
      </c>
      <c r="S77" s="697">
        <v>32000</v>
      </c>
      <c r="U77" s="696">
        <f t="shared" si="3"/>
        <v>32000</v>
      </c>
      <c r="V77" s="696">
        <f t="shared" si="4"/>
        <v>0</v>
      </c>
      <c r="W77" s="696">
        <f t="shared" si="5"/>
        <v>0</v>
      </c>
      <c r="X77" s="696">
        <f t="shared" si="6"/>
        <v>0</v>
      </c>
      <c r="Y77" s="696">
        <f t="shared" si="7"/>
        <v>0</v>
      </c>
      <c r="Z77" s="696">
        <f t="shared" si="8"/>
        <v>0</v>
      </c>
      <c r="AA77" s="696">
        <f t="shared" si="9"/>
        <v>0</v>
      </c>
      <c r="AB77" s="696">
        <f t="shared" si="10"/>
        <v>0</v>
      </c>
      <c r="AC77" s="696">
        <f t="shared" si="11"/>
        <v>0</v>
      </c>
      <c r="AD77" s="696">
        <f t="shared" si="12"/>
        <v>0</v>
      </c>
      <c r="AE77" s="699"/>
    </row>
    <row r="78" spans="1:31" ht="25.15" customHeight="1">
      <c r="A78" s="543">
        <v>63</v>
      </c>
      <c r="B78" s="546" t="s">
        <v>1556</v>
      </c>
      <c r="C78" s="541" t="str">
        <f>'LAP. PENJUALAN '!C78</f>
        <v>Sayap Hot Cheesy</v>
      </c>
      <c r="D78" s="694"/>
      <c r="E78" s="694"/>
      <c r="F78" s="694"/>
      <c r="G78" s="694"/>
      <c r="H78" s="694"/>
      <c r="I78" s="694"/>
      <c r="J78" s="694"/>
      <c r="K78" s="694"/>
      <c r="L78" s="694"/>
      <c r="M78" s="694"/>
      <c r="N78" s="554">
        <f t="shared" si="0"/>
        <v>0</v>
      </c>
      <c r="O78" s="554">
        <f t="shared" si="1"/>
        <v>0</v>
      </c>
      <c r="P78" s="555">
        <f>(O78/O237)*100</f>
        <v>0</v>
      </c>
      <c r="Q78" s="567"/>
      <c r="R78" s="555">
        <f t="shared" si="2"/>
        <v>0</v>
      </c>
      <c r="S78" s="697">
        <v>18620</v>
      </c>
      <c r="U78" s="696">
        <f t="shared" si="3"/>
        <v>0</v>
      </c>
      <c r="V78" s="696">
        <f t="shared" si="4"/>
        <v>0</v>
      </c>
      <c r="W78" s="696">
        <f t="shared" si="5"/>
        <v>0</v>
      </c>
      <c r="X78" s="696">
        <f t="shared" si="6"/>
        <v>0</v>
      </c>
      <c r="Y78" s="696">
        <f t="shared" si="7"/>
        <v>0</v>
      </c>
      <c r="Z78" s="696">
        <f t="shared" si="8"/>
        <v>0</v>
      </c>
      <c r="AA78" s="696">
        <f t="shared" si="9"/>
        <v>0</v>
      </c>
      <c r="AB78" s="696">
        <f t="shared" si="10"/>
        <v>0</v>
      </c>
      <c r="AC78" s="696">
        <f t="shared" si="11"/>
        <v>0</v>
      </c>
      <c r="AD78" s="696">
        <f t="shared" si="12"/>
        <v>0</v>
      </c>
      <c r="AE78" s="699"/>
    </row>
    <row r="79" spans="1:31" ht="25.15" customHeight="1">
      <c r="A79" s="543">
        <v>64</v>
      </c>
      <c r="B79" s="546" t="s">
        <v>1557</v>
      </c>
      <c r="C79" s="541" t="str">
        <f>'LAP. PENJUALAN '!C79</f>
        <v>Paha Bawah Hot Cheesy</v>
      </c>
      <c r="D79" s="694"/>
      <c r="E79" s="694"/>
      <c r="F79" s="694"/>
      <c r="G79" s="694"/>
      <c r="H79" s="694"/>
      <c r="I79" s="694"/>
      <c r="J79" s="694"/>
      <c r="K79" s="694"/>
      <c r="L79" s="694"/>
      <c r="M79" s="694"/>
      <c r="N79" s="554">
        <f t="shared" si="0"/>
        <v>0</v>
      </c>
      <c r="O79" s="554">
        <f t="shared" si="1"/>
        <v>0</v>
      </c>
      <c r="P79" s="555">
        <f>(O79/O237)*100</f>
        <v>0</v>
      </c>
      <c r="Q79" s="567"/>
      <c r="R79" s="555">
        <f t="shared" si="2"/>
        <v>0</v>
      </c>
      <c r="S79" s="697">
        <v>20000</v>
      </c>
      <c r="U79" s="696">
        <f t="shared" si="3"/>
        <v>0</v>
      </c>
      <c r="V79" s="696">
        <f t="shared" si="4"/>
        <v>0</v>
      </c>
      <c r="W79" s="696">
        <f t="shared" si="5"/>
        <v>0</v>
      </c>
      <c r="X79" s="696">
        <f t="shared" si="6"/>
        <v>0</v>
      </c>
      <c r="Y79" s="696">
        <f t="shared" si="7"/>
        <v>0</v>
      </c>
      <c r="Z79" s="696">
        <f t="shared" si="8"/>
        <v>0</v>
      </c>
      <c r="AA79" s="696">
        <f t="shared" si="9"/>
        <v>0</v>
      </c>
      <c r="AB79" s="696">
        <f t="shared" si="10"/>
        <v>0</v>
      </c>
      <c r="AC79" s="696">
        <f t="shared" si="11"/>
        <v>0</v>
      </c>
      <c r="AD79" s="696">
        <f t="shared" si="12"/>
        <v>0</v>
      </c>
      <c r="AE79" s="699"/>
    </row>
    <row r="80" spans="1:31" ht="25.15" customHeight="1">
      <c r="A80" s="543">
        <v>65</v>
      </c>
      <c r="B80" s="546" t="s">
        <v>1558</v>
      </c>
      <c r="C80" s="541" t="str">
        <f>'LAP. PENJUALAN '!C80</f>
        <v>Paha Atas / Dada Hot Cheesy</v>
      </c>
      <c r="D80" s="694"/>
      <c r="E80" s="694"/>
      <c r="F80" s="694"/>
      <c r="G80" s="694"/>
      <c r="H80" s="694"/>
      <c r="I80" s="694"/>
      <c r="J80" s="694"/>
      <c r="K80" s="694"/>
      <c r="L80" s="694"/>
      <c r="M80" s="694"/>
      <c r="N80" s="554">
        <f t="shared" si="0"/>
        <v>0</v>
      </c>
      <c r="O80" s="554">
        <f t="shared" si="1"/>
        <v>0</v>
      </c>
      <c r="P80" s="555">
        <f>(O80/O237)*100</f>
        <v>0</v>
      </c>
      <c r="Q80" s="567"/>
      <c r="R80" s="555">
        <f t="shared" si="2"/>
        <v>0</v>
      </c>
      <c r="S80" s="697">
        <v>21610</v>
      </c>
      <c r="U80" s="696">
        <f t="shared" si="3"/>
        <v>0</v>
      </c>
      <c r="V80" s="696">
        <f t="shared" si="4"/>
        <v>0</v>
      </c>
      <c r="W80" s="696">
        <f t="shared" si="5"/>
        <v>0</v>
      </c>
      <c r="X80" s="696">
        <f t="shared" si="6"/>
        <v>0</v>
      </c>
      <c r="Y80" s="696">
        <f t="shared" si="7"/>
        <v>0</v>
      </c>
      <c r="Z80" s="696">
        <f t="shared" si="8"/>
        <v>0</v>
      </c>
      <c r="AA80" s="696">
        <f t="shared" si="9"/>
        <v>0</v>
      </c>
      <c r="AB80" s="696">
        <f t="shared" si="10"/>
        <v>0</v>
      </c>
      <c r="AC80" s="696">
        <f t="shared" si="11"/>
        <v>0</v>
      </c>
      <c r="AD80" s="696">
        <f t="shared" si="12"/>
        <v>0</v>
      </c>
      <c r="AE80" s="699"/>
    </row>
    <row r="81" spans="1:31" ht="25.15" customHeight="1">
      <c r="A81" s="543">
        <v>66</v>
      </c>
      <c r="B81" s="546" t="s">
        <v>1559</v>
      </c>
      <c r="C81" s="541" t="str">
        <f>'LAP. PENJUALAN '!C81</f>
        <v>Saos  Hot Cheesy</v>
      </c>
      <c r="D81" s="694">
        <v>1</v>
      </c>
      <c r="E81" s="694"/>
      <c r="F81" s="694"/>
      <c r="G81" s="694"/>
      <c r="H81" s="694"/>
      <c r="I81" s="694"/>
      <c r="J81" s="694"/>
      <c r="K81" s="694"/>
      <c r="L81" s="694"/>
      <c r="M81" s="694"/>
      <c r="N81" s="554">
        <f t="shared" si="0"/>
        <v>1</v>
      </c>
      <c r="O81" s="554">
        <f t="shared" si="1"/>
        <v>6250</v>
      </c>
      <c r="P81" s="555">
        <f>(O81/O237)*100</f>
        <v>0.47405910644788601</v>
      </c>
      <c r="Q81" s="567"/>
      <c r="R81" s="555">
        <f t="shared" si="2"/>
        <v>0</v>
      </c>
      <c r="S81" s="697">
        <v>6250</v>
      </c>
      <c r="U81" s="696">
        <f t="shared" si="3"/>
        <v>6250</v>
      </c>
      <c r="V81" s="696">
        <f t="shared" si="4"/>
        <v>0</v>
      </c>
      <c r="W81" s="696">
        <f t="shared" si="5"/>
        <v>0</v>
      </c>
      <c r="X81" s="696">
        <f t="shared" si="6"/>
        <v>0</v>
      </c>
      <c r="Y81" s="696">
        <f t="shared" si="7"/>
        <v>0</v>
      </c>
      <c r="Z81" s="696">
        <f t="shared" si="8"/>
        <v>0</v>
      </c>
      <c r="AA81" s="696">
        <f t="shared" si="9"/>
        <v>0</v>
      </c>
      <c r="AB81" s="696">
        <f t="shared" si="10"/>
        <v>0</v>
      </c>
      <c r="AC81" s="696">
        <f t="shared" si="11"/>
        <v>0</v>
      </c>
      <c r="AD81" s="696">
        <f t="shared" si="12"/>
        <v>0</v>
      </c>
      <c r="AE81" s="699"/>
    </row>
    <row r="82" spans="1:31" ht="25.15" customHeight="1">
      <c r="A82" s="543"/>
      <c r="B82" s="546" t="s">
        <v>1560</v>
      </c>
      <c r="C82" s="541"/>
      <c r="D82" s="694"/>
      <c r="E82" s="694"/>
      <c r="F82" s="694"/>
      <c r="G82" s="694"/>
      <c r="H82" s="694"/>
      <c r="I82" s="694"/>
      <c r="J82" s="694"/>
      <c r="K82" s="694"/>
      <c r="L82" s="694"/>
      <c r="M82" s="694"/>
      <c r="N82" s="554">
        <f t="shared" ref="N82:N177" si="26">SUM(D82:M82)</f>
        <v>0</v>
      </c>
      <c r="O82" s="554">
        <f t="shared" ref="O82:O177" si="27">N82*S82</f>
        <v>0</v>
      </c>
      <c r="P82" s="555">
        <f>(O82/O237)*100</f>
        <v>0</v>
      </c>
      <c r="Q82" s="567"/>
      <c r="R82" s="555">
        <f t="shared" ref="R82:R177" si="28">P82*Q82</f>
        <v>0</v>
      </c>
      <c r="S82" s="698"/>
      <c r="U82" s="696">
        <f t="shared" ref="U82:U177" si="29">D82*S82</f>
        <v>0</v>
      </c>
      <c r="V82" s="696">
        <f t="shared" ref="V82:V177" si="30">E82*S82</f>
        <v>0</v>
      </c>
      <c r="W82" s="696">
        <f t="shared" ref="W82:W177" si="31">F82*S82</f>
        <v>0</v>
      </c>
      <c r="X82" s="696">
        <f t="shared" ref="X82:X177" si="32">G82*S82</f>
        <v>0</v>
      </c>
      <c r="Y82" s="696">
        <f t="shared" ref="Y82:Y177" si="33">H82*S82</f>
        <v>0</v>
      </c>
      <c r="Z82" s="696">
        <f t="shared" ref="Z82:Z177" si="34">I82*S82</f>
        <v>0</v>
      </c>
      <c r="AA82" s="696">
        <f t="shared" ref="AA82:AA177" si="35">J82*S82</f>
        <v>0</v>
      </c>
      <c r="AB82" s="696">
        <f t="shared" ref="AB82:AB177" si="36">K82*S82</f>
        <v>0</v>
      </c>
      <c r="AC82" s="696">
        <f t="shared" ref="AC82:AC177" si="37">L82*S82</f>
        <v>0</v>
      </c>
      <c r="AD82" s="696">
        <f t="shared" ref="AD82:AD177" si="38">M82*S82</f>
        <v>0</v>
      </c>
      <c r="AE82" s="699"/>
    </row>
    <row r="83" spans="1:31" ht="25.15" customHeight="1">
      <c r="A83" s="543">
        <v>67</v>
      </c>
      <c r="B83" s="546"/>
      <c r="C83" s="541" t="str">
        <f>'LAP. PENJUALAN '!C83</f>
        <v>Paket Sehat 1</v>
      </c>
      <c r="D83" s="694"/>
      <c r="E83" s="694"/>
      <c r="F83" s="694"/>
      <c r="G83" s="694"/>
      <c r="H83" s="694"/>
      <c r="I83" s="694"/>
      <c r="J83" s="694"/>
      <c r="K83" s="694"/>
      <c r="L83" s="694"/>
      <c r="M83" s="694"/>
      <c r="N83" s="554">
        <f t="shared" si="26"/>
        <v>0</v>
      </c>
      <c r="O83" s="554">
        <f t="shared" si="27"/>
        <v>0</v>
      </c>
      <c r="P83" s="555">
        <f>(O83/O237)*100</f>
        <v>0</v>
      </c>
      <c r="Q83" s="567"/>
      <c r="R83" s="555">
        <f t="shared" si="28"/>
        <v>0</v>
      </c>
      <c r="S83" s="697">
        <v>26666</v>
      </c>
      <c r="U83" s="696">
        <f t="shared" si="29"/>
        <v>0</v>
      </c>
      <c r="V83" s="696">
        <f t="shared" si="30"/>
        <v>0</v>
      </c>
      <c r="W83" s="696">
        <f t="shared" si="31"/>
        <v>0</v>
      </c>
      <c r="X83" s="696">
        <f t="shared" si="32"/>
        <v>0</v>
      </c>
      <c r="Y83" s="696">
        <f t="shared" si="33"/>
        <v>0</v>
      </c>
      <c r="Z83" s="696">
        <f t="shared" si="34"/>
        <v>0</v>
      </c>
      <c r="AA83" s="696">
        <f t="shared" si="35"/>
        <v>0</v>
      </c>
      <c r="AB83" s="696">
        <f t="shared" si="36"/>
        <v>0</v>
      </c>
      <c r="AC83" s="696">
        <f t="shared" si="37"/>
        <v>0</v>
      </c>
      <c r="AD83" s="696">
        <f t="shared" si="38"/>
        <v>0</v>
      </c>
      <c r="AE83" s="699"/>
    </row>
    <row r="84" spans="1:31" ht="25.15" customHeight="1">
      <c r="A84" s="543">
        <v>68</v>
      </c>
      <c r="B84" s="546" t="s">
        <v>1561</v>
      </c>
      <c r="C84" s="541" t="str">
        <f>'LAP. PENJUALAN '!C84</f>
        <v>Paket Sehat 2</v>
      </c>
      <c r="D84" s="694"/>
      <c r="E84" s="694"/>
      <c r="F84" s="694"/>
      <c r="G84" s="694"/>
      <c r="H84" s="694"/>
      <c r="I84" s="694"/>
      <c r="J84" s="694"/>
      <c r="K84" s="694"/>
      <c r="L84" s="694"/>
      <c r="M84" s="694"/>
      <c r="N84" s="554">
        <f t="shared" si="26"/>
        <v>0</v>
      </c>
      <c r="O84" s="554">
        <f t="shared" si="27"/>
        <v>0</v>
      </c>
      <c r="P84" s="555">
        <f>(O84/O237)*100</f>
        <v>0</v>
      </c>
      <c r="Q84" s="567"/>
      <c r="R84" s="555">
        <f t="shared" si="28"/>
        <v>0</v>
      </c>
      <c r="S84" s="697">
        <v>29333</v>
      </c>
      <c r="U84" s="696">
        <f t="shared" si="29"/>
        <v>0</v>
      </c>
      <c r="V84" s="696">
        <f t="shared" si="30"/>
        <v>0</v>
      </c>
      <c r="W84" s="696">
        <f t="shared" si="31"/>
        <v>0</v>
      </c>
      <c r="X84" s="696">
        <f t="shared" si="32"/>
        <v>0</v>
      </c>
      <c r="Y84" s="696">
        <f t="shared" si="33"/>
        <v>0</v>
      </c>
      <c r="Z84" s="696">
        <f t="shared" si="34"/>
        <v>0</v>
      </c>
      <c r="AA84" s="696">
        <f t="shared" si="35"/>
        <v>0</v>
      </c>
      <c r="AB84" s="696">
        <f t="shared" si="36"/>
        <v>0</v>
      </c>
      <c r="AC84" s="696">
        <f t="shared" si="37"/>
        <v>0</v>
      </c>
      <c r="AD84" s="696">
        <f t="shared" si="38"/>
        <v>0</v>
      </c>
      <c r="AE84" s="699"/>
    </row>
    <row r="85" spans="1:31" ht="25.15" customHeight="1">
      <c r="A85" s="543">
        <v>69</v>
      </c>
      <c r="B85" s="546" t="s">
        <v>1562</v>
      </c>
      <c r="C85" s="541" t="str">
        <f>'LAP. PENJUALAN '!C85</f>
        <v>Paket Sehat 3</v>
      </c>
      <c r="D85" s="694"/>
      <c r="E85" s="694"/>
      <c r="F85" s="694"/>
      <c r="G85" s="694"/>
      <c r="H85" s="694"/>
      <c r="I85" s="694"/>
      <c r="J85" s="694"/>
      <c r="K85" s="694"/>
      <c r="L85" s="694"/>
      <c r="M85" s="694"/>
      <c r="N85" s="554">
        <f t="shared" si="26"/>
        <v>0</v>
      </c>
      <c r="O85" s="554">
        <f t="shared" si="27"/>
        <v>0</v>
      </c>
      <c r="P85" s="555">
        <f>(O85/O237)*100</f>
        <v>0</v>
      </c>
      <c r="Q85" s="567"/>
      <c r="R85" s="555">
        <f t="shared" si="28"/>
        <v>0</v>
      </c>
      <c r="S85" s="697">
        <v>32000</v>
      </c>
      <c r="U85" s="696">
        <f t="shared" si="29"/>
        <v>0</v>
      </c>
      <c r="V85" s="696">
        <f t="shared" si="30"/>
        <v>0</v>
      </c>
      <c r="W85" s="696">
        <f t="shared" si="31"/>
        <v>0</v>
      </c>
      <c r="X85" s="696">
        <f t="shared" si="32"/>
        <v>0</v>
      </c>
      <c r="Y85" s="696">
        <f t="shared" si="33"/>
        <v>0</v>
      </c>
      <c r="Z85" s="696">
        <f t="shared" si="34"/>
        <v>0</v>
      </c>
      <c r="AA85" s="696">
        <f t="shared" si="35"/>
        <v>0</v>
      </c>
      <c r="AB85" s="696">
        <f t="shared" si="36"/>
        <v>0</v>
      </c>
      <c r="AC85" s="696">
        <f t="shared" si="37"/>
        <v>0</v>
      </c>
      <c r="AD85" s="696">
        <f t="shared" si="38"/>
        <v>0</v>
      </c>
      <c r="AE85" s="699"/>
    </row>
    <row r="86" spans="1:31" ht="25.15" customHeight="1">
      <c r="A86" s="543">
        <v>70</v>
      </c>
      <c r="B86" s="546" t="s">
        <v>1563</v>
      </c>
      <c r="C86" s="541" t="str">
        <f>'LAP. PENJUALAN '!C86</f>
        <v>Paket Sehat 4</v>
      </c>
      <c r="D86" s="694"/>
      <c r="E86" s="694"/>
      <c r="F86" s="694"/>
      <c r="G86" s="694"/>
      <c r="H86" s="694"/>
      <c r="I86" s="694"/>
      <c r="J86" s="694"/>
      <c r="K86" s="694"/>
      <c r="L86" s="694"/>
      <c r="M86" s="694"/>
      <c r="N86" s="554">
        <f t="shared" si="26"/>
        <v>0</v>
      </c>
      <c r="O86" s="554">
        <f t="shared" si="27"/>
        <v>0</v>
      </c>
      <c r="P86" s="555">
        <f>(O86/O237)*100</f>
        <v>0</v>
      </c>
      <c r="Q86" s="567"/>
      <c r="R86" s="555">
        <f t="shared" si="28"/>
        <v>0</v>
      </c>
      <c r="S86" s="697">
        <v>30666</v>
      </c>
      <c r="U86" s="696">
        <f t="shared" si="29"/>
        <v>0</v>
      </c>
      <c r="V86" s="696">
        <f t="shared" si="30"/>
        <v>0</v>
      </c>
      <c r="W86" s="696">
        <f t="shared" si="31"/>
        <v>0</v>
      </c>
      <c r="X86" s="696">
        <f t="shared" si="32"/>
        <v>0</v>
      </c>
      <c r="Y86" s="696">
        <f t="shared" si="33"/>
        <v>0</v>
      </c>
      <c r="Z86" s="696">
        <f t="shared" si="34"/>
        <v>0</v>
      </c>
      <c r="AA86" s="696">
        <f t="shared" si="35"/>
        <v>0</v>
      </c>
      <c r="AB86" s="696">
        <f t="shared" si="36"/>
        <v>0</v>
      </c>
      <c r="AC86" s="696">
        <f t="shared" si="37"/>
        <v>0</v>
      </c>
      <c r="AD86" s="696">
        <f t="shared" si="38"/>
        <v>0</v>
      </c>
      <c r="AE86" s="699"/>
    </row>
    <row r="87" spans="1:31" ht="25.15" customHeight="1">
      <c r="A87" s="543"/>
      <c r="B87" s="546" t="s">
        <v>1564</v>
      </c>
      <c r="C87" s="541"/>
      <c r="D87" s="694"/>
      <c r="E87" s="694"/>
      <c r="F87" s="694"/>
      <c r="G87" s="694"/>
      <c r="H87" s="694"/>
      <c r="I87" s="694"/>
      <c r="J87" s="694"/>
      <c r="K87" s="694"/>
      <c r="L87" s="694"/>
      <c r="M87" s="694"/>
      <c r="N87" s="554">
        <f t="shared" si="26"/>
        <v>0</v>
      </c>
      <c r="O87" s="554">
        <f t="shared" si="27"/>
        <v>0</v>
      </c>
      <c r="P87" s="555">
        <f>(O87/O237)*100</f>
        <v>0</v>
      </c>
      <c r="Q87" s="567"/>
      <c r="R87" s="555">
        <f t="shared" si="28"/>
        <v>0</v>
      </c>
      <c r="S87" s="698"/>
      <c r="U87" s="696">
        <f t="shared" si="29"/>
        <v>0</v>
      </c>
      <c r="V87" s="696">
        <f t="shared" si="30"/>
        <v>0</v>
      </c>
      <c r="W87" s="696">
        <f t="shared" si="31"/>
        <v>0</v>
      </c>
      <c r="X87" s="696">
        <f t="shared" si="32"/>
        <v>0</v>
      </c>
      <c r="Y87" s="696">
        <f t="shared" si="33"/>
        <v>0</v>
      </c>
      <c r="Z87" s="696">
        <f t="shared" si="34"/>
        <v>0</v>
      </c>
      <c r="AA87" s="696">
        <f t="shared" si="35"/>
        <v>0</v>
      </c>
      <c r="AB87" s="696">
        <f t="shared" si="36"/>
        <v>0</v>
      </c>
      <c r="AC87" s="696">
        <f t="shared" si="37"/>
        <v>0</v>
      </c>
      <c r="AD87" s="696">
        <f t="shared" si="38"/>
        <v>0</v>
      </c>
      <c r="AE87" s="699"/>
    </row>
    <row r="88" spans="1:31" ht="25.15" customHeight="1">
      <c r="A88" s="543">
        <v>71</v>
      </c>
      <c r="B88" s="546" t="s">
        <v>1565</v>
      </c>
      <c r="C88" s="541" t="str">
        <f>'LAP. PENJUALAN '!C88</f>
        <v>Paket Catering 1</v>
      </c>
      <c r="D88" s="694"/>
      <c r="E88" s="694"/>
      <c r="F88" s="694"/>
      <c r="G88" s="694"/>
      <c r="H88" s="694"/>
      <c r="I88" s="694"/>
      <c r="J88" s="694"/>
      <c r="K88" s="694"/>
      <c r="L88" s="694"/>
      <c r="M88" s="694"/>
      <c r="N88" s="554">
        <f t="shared" si="26"/>
        <v>0</v>
      </c>
      <c r="O88" s="554">
        <f t="shared" si="27"/>
        <v>0</v>
      </c>
      <c r="P88" s="555">
        <f>(O88/O237)*100</f>
        <v>0</v>
      </c>
      <c r="Q88" s="567"/>
      <c r="R88" s="555">
        <f t="shared" si="28"/>
        <v>0</v>
      </c>
      <c r="S88" s="698"/>
      <c r="U88" s="696">
        <f t="shared" si="29"/>
        <v>0</v>
      </c>
      <c r="V88" s="696">
        <f t="shared" si="30"/>
        <v>0</v>
      </c>
      <c r="W88" s="696">
        <f t="shared" si="31"/>
        <v>0</v>
      </c>
      <c r="X88" s="696">
        <f t="shared" si="32"/>
        <v>0</v>
      </c>
      <c r="Y88" s="696">
        <f t="shared" si="33"/>
        <v>0</v>
      </c>
      <c r="Z88" s="696">
        <f t="shared" si="34"/>
        <v>0</v>
      </c>
      <c r="AA88" s="696">
        <f t="shared" si="35"/>
        <v>0</v>
      </c>
      <c r="AB88" s="696">
        <f t="shared" si="36"/>
        <v>0</v>
      </c>
      <c r="AC88" s="696">
        <f t="shared" si="37"/>
        <v>0</v>
      </c>
      <c r="AD88" s="696">
        <f t="shared" si="38"/>
        <v>0</v>
      </c>
      <c r="AE88" s="699"/>
    </row>
    <row r="89" spans="1:31" ht="25.15" customHeight="1">
      <c r="A89" s="543">
        <v>72</v>
      </c>
      <c r="B89" s="546" t="s">
        <v>1566</v>
      </c>
      <c r="C89" s="541" t="str">
        <f>'LAP. PENJUALAN '!C89</f>
        <v>Paket Catering 2</v>
      </c>
      <c r="D89" s="694"/>
      <c r="E89" s="694"/>
      <c r="F89" s="694"/>
      <c r="G89" s="694"/>
      <c r="H89" s="694"/>
      <c r="I89" s="694"/>
      <c r="J89" s="694"/>
      <c r="K89" s="694"/>
      <c r="L89" s="694"/>
      <c r="M89" s="694"/>
      <c r="N89" s="554">
        <f t="shared" si="26"/>
        <v>0</v>
      </c>
      <c r="O89" s="554">
        <f t="shared" si="27"/>
        <v>0</v>
      </c>
      <c r="P89" s="555">
        <f>(O89/O237)*100</f>
        <v>0</v>
      </c>
      <c r="Q89" s="567"/>
      <c r="R89" s="555">
        <f t="shared" si="28"/>
        <v>0</v>
      </c>
      <c r="S89" s="698"/>
      <c r="U89" s="696">
        <f t="shared" si="29"/>
        <v>0</v>
      </c>
      <c r="V89" s="696">
        <f t="shared" si="30"/>
        <v>0</v>
      </c>
      <c r="W89" s="696">
        <f t="shared" si="31"/>
        <v>0</v>
      </c>
      <c r="X89" s="696">
        <f t="shared" si="32"/>
        <v>0</v>
      </c>
      <c r="Y89" s="696">
        <f t="shared" si="33"/>
        <v>0</v>
      </c>
      <c r="Z89" s="696">
        <f t="shared" si="34"/>
        <v>0</v>
      </c>
      <c r="AA89" s="696">
        <f t="shared" si="35"/>
        <v>0</v>
      </c>
      <c r="AB89" s="696">
        <f t="shared" si="36"/>
        <v>0</v>
      </c>
      <c r="AC89" s="696">
        <f t="shared" si="37"/>
        <v>0</v>
      </c>
      <c r="AD89" s="696">
        <f t="shared" si="38"/>
        <v>0</v>
      </c>
      <c r="AE89" s="699"/>
    </row>
    <row r="90" spans="1:31" ht="25.15" customHeight="1">
      <c r="A90" s="543">
        <v>73</v>
      </c>
      <c r="B90" s="546"/>
      <c r="C90" s="541" t="str">
        <f>'LAP. PENJUALAN '!C90</f>
        <v>Paket Catering 3</v>
      </c>
      <c r="D90" s="694"/>
      <c r="E90" s="694"/>
      <c r="F90" s="694"/>
      <c r="G90" s="694"/>
      <c r="H90" s="694"/>
      <c r="I90" s="694"/>
      <c r="J90" s="694"/>
      <c r="K90" s="694"/>
      <c r="L90" s="694"/>
      <c r="M90" s="694"/>
      <c r="N90" s="554">
        <f t="shared" si="26"/>
        <v>0</v>
      </c>
      <c r="O90" s="554">
        <f t="shared" si="27"/>
        <v>0</v>
      </c>
      <c r="P90" s="555">
        <f>(O90/O237)*100</f>
        <v>0</v>
      </c>
      <c r="Q90" s="567"/>
      <c r="R90" s="555">
        <f t="shared" si="28"/>
        <v>0</v>
      </c>
      <c r="S90" s="698"/>
      <c r="U90" s="696">
        <f t="shared" si="29"/>
        <v>0</v>
      </c>
      <c r="V90" s="696">
        <f t="shared" si="30"/>
        <v>0</v>
      </c>
      <c r="W90" s="696">
        <f t="shared" si="31"/>
        <v>0</v>
      </c>
      <c r="X90" s="696">
        <f t="shared" si="32"/>
        <v>0</v>
      </c>
      <c r="Y90" s="696">
        <f t="shared" si="33"/>
        <v>0</v>
      </c>
      <c r="Z90" s="696">
        <f t="shared" si="34"/>
        <v>0</v>
      </c>
      <c r="AA90" s="696">
        <f t="shared" si="35"/>
        <v>0</v>
      </c>
      <c r="AB90" s="696">
        <f t="shared" si="36"/>
        <v>0</v>
      </c>
      <c r="AC90" s="696">
        <f t="shared" si="37"/>
        <v>0</v>
      </c>
      <c r="AD90" s="696">
        <f t="shared" si="38"/>
        <v>0</v>
      </c>
      <c r="AE90" s="699"/>
    </row>
    <row r="91" spans="1:31" ht="25.15" customHeight="1">
      <c r="A91" s="543">
        <v>74</v>
      </c>
      <c r="B91" s="546" t="s">
        <v>1567</v>
      </c>
      <c r="C91" s="541" t="str">
        <f>'LAP. PENJUALAN '!C91</f>
        <v>Paket Catering 4</v>
      </c>
      <c r="D91" s="694"/>
      <c r="E91" s="694"/>
      <c r="F91" s="694"/>
      <c r="G91" s="694"/>
      <c r="H91" s="694"/>
      <c r="I91" s="694"/>
      <c r="J91" s="694"/>
      <c r="K91" s="694"/>
      <c r="L91" s="694"/>
      <c r="M91" s="694"/>
      <c r="N91" s="554">
        <f t="shared" si="26"/>
        <v>0</v>
      </c>
      <c r="O91" s="554">
        <f t="shared" si="27"/>
        <v>0</v>
      </c>
      <c r="P91" s="555">
        <f>(O91/O237)*100</f>
        <v>0</v>
      </c>
      <c r="Q91" s="567"/>
      <c r="R91" s="555">
        <f t="shared" si="28"/>
        <v>0</v>
      </c>
      <c r="S91" s="698"/>
      <c r="U91" s="696">
        <f t="shared" si="29"/>
        <v>0</v>
      </c>
      <c r="V91" s="696">
        <f t="shared" si="30"/>
        <v>0</v>
      </c>
      <c r="W91" s="696">
        <f t="shared" si="31"/>
        <v>0</v>
      </c>
      <c r="X91" s="696">
        <f t="shared" si="32"/>
        <v>0</v>
      </c>
      <c r="Y91" s="696">
        <f t="shared" si="33"/>
        <v>0</v>
      </c>
      <c r="Z91" s="696">
        <f t="shared" si="34"/>
        <v>0</v>
      </c>
      <c r="AA91" s="696">
        <f t="shared" si="35"/>
        <v>0</v>
      </c>
      <c r="AB91" s="696">
        <f t="shared" si="36"/>
        <v>0</v>
      </c>
      <c r="AC91" s="696">
        <f t="shared" si="37"/>
        <v>0</v>
      </c>
      <c r="AD91" s="696">
        <f t="shared" si="38"/>
        <v>0</v>
      </c>
      <c r="AE91" s="699"/>
    </row>
    <row r="92" spans="1:31" ht="25.15" customHeight="1">
      <c r="A92" s="543"/>
      <c r="B92" s="546" t="s">
        <v>1568</v>
      </c>
      <c r="C92" s="541"/>
      <c r="D92" s="694"/>
      <c r="E92" s="694"/>
      <c r="F92" s="694"/>
      <c r="G92" s="694"/>
      <c r="H92" s="694"/>
      <c r="I92" s="694"/>
      <c r="J92" s="694"/>
      <c r="K92" s="694"/>
      <c r="L92" s="694"/>
      <c r="M92" s="694"/>
      <c r="N92" s="554">
        <f t="shared" si="26"/>
        <v>0</v>
      </c>
      <c r="O92" s="554">
        <f t="shared" si="27"/>
        <v>0</v>
      </c>
      <c r="P92" s="555">
        <f>(O92/O237)*100</f>
        <v>0</v>
      </c>
      <c r="Q92" s="567"/>
      <c r="R92" s="555">
        <f t="shared" si="28"/>
        <v>0</v>
      </c>
      <c r="S92" s="698"/>
      <c r="U92" s="696">
        <f t="shared" si="29"/>
        <v>0</v>
      </c>
      <c r="V92" s="696">
        <f t="shared" si="30"/>
        <v>0</v>
      </c>
      <c r="W92" s="696">
        <f t="shared" si="31"/>
        <v>0</v>
      </c>
      <c r="X92" s="696">
        <f t="shared" si="32"/>
        <v>0</v>
      </c>
      <c r="Y92" s="696">
        <f t="shared" si="33"/>
        <v>0</v>
      </c>
      <c r="Z92" s="696">
        <f t="shared" si="34"/>
        <v>0</v>
      </c>
      <c r="AA92" s="696">
        <f t="shared" si="35"/>
        <v>0</v>
      </c>
      <c r="AB92" s="696">
        <f t="shared" si="36"/>
        <v>0</v>
      </c>
      <c r="AC92" s="696">
        <f t="shared" si="37"/>
        <v>0</v>
      </c>
      <c r="AD92" s="696">
        <f t="shared" si="38"/>
        <v>0</v>
      </c>
      <c r="AE92" s="699"/>
    </row>
    <row r="93" spans="1:31" ht="25.15" customHeight="1">
      <c r="A93" s="543">
        <v>73</v>
      </c>
      <c r="B93" s="546" t="s">
        <v>1569</v>
      </c>
      <c r="C93" s="541" t="str">
        <f>'LAP. PENJUALAN '!C93</f>
        <v>Paket Takjil 1</v>
      </c>
      <c r="D93" s="694"/>
      <c r="E93" s="694"/>
      <c r="F93" s="694"/>
      <c r="G93" s="694"/>
      <c r="H93" s="694"/>
      <c r="I93" s="694"/>
      <c r="J93" s="694"/>
      <c r="K93" s="694"/>
      <c r="L93" s="694"/>
      <c r="M93" s="694"/>
      <c r="N93" s="554">
        <f t="shared" si="26"/>
        <v>0</v>
      </c>
      <c r="O93" s="554">
        <f t="shared" si="27"/>
        <v>0</v>
      </c>
      <c r="P93" s="555">
        <f>(O93/O237)*100</f>
        <v>0</v>
      </c>
      <c r="Q93" s="567"/>
      <c r="R93" s="555">
        <f t="shared" si="28"/>
        <v>0</v>
      </c>
      <c r="S93" s="698"/>
      <c r="U93" s="696">
        <f t="shared" si="29"/>
        <v>0</v>
      </c>
      <c r="V93" s="696">
        <f t="shared" si="30"/>
        <v>0</v>
      </c>
      <c r="W93" s="696">
        <f t="shared" si="31"/>
        <v>0</v>
      </c>
      <c r="X93" s="696">
        <f t="shared" si="32"/>
        <v>0</v>
      </c>
      <c r="Y93" s="696">
        <f t="shared" si="33"/>
        <v>0</v>
      </c>
      <c r="Z93" s="696">
        <f t="shared" si="34"/>
        <v>0</v>
      </c>
      <c r="AA93" s="696">
        <f t="shared" si="35"/>
        <v>0</v>
      </c>
      <c r="AB93" s="696">
        <f t="shared" si="36"/>
        <v>0</v>
      </c>
      <c r="AC93" s="696">
        <f t="shared" si="37"/>
        <v>0</v>
      </c>
      <c r="AD93" s="696">
        <f t="shared" si="38"/>
        <v>0</v>
      </c>
      <c r="AE93" s="699"/>
    </row>
    <row r="94" spans="1:31" ht="25.15" customHeight="1">
      <c r="A94" s="543">
        <v>74</v>
      </c>
      <c r="B94" s="546"/>
      <c r="C94" s="541" t="str">
        <f>'LAP. PENJUALAN '!C94</f>
        <v>Paket Takjil 2</v>
      </c>
      <c r="D94" s="694"/>
      <c r="E94" s="694"/>
      <c r="F94" s="694"/>
      <c r="G94" s="694"/>
      <c r="H94" s="694"/>
      <c r="I94" s="694"/>
      <c r="J94" s="694"/>
      <c r="K94" s="694"/>
      <c r="L94" s="694"/>
      <c r="M94" s="694"/>
      <c r="N94" s="554">
        <f t="shared" si="26"/>
        <v>0</v>
      </c>
      <c r="O94" s="554">
        <f t="shared" si="27"/>
        <v>0</v>
      </c>
      <c r="P94" s="555">
        <f>(O94/O237)*100</f>
        <v>0</v>
      </c>
      <c r="Q94" s="567"/>
      <c r="R94" s="555">
        <f t="shared" si="28"/>
        <v>0</v>
      </c>
      <c r="S94" s="698"/>
      <c r="U94" s="696">
        <f t="shared" si="29"/>
        <v>0</v>
      </c>
      <c r="V94" s="696">
        <f t="shared" si="30"/>
        <v>0</v>
      </c>
      <c r="W94" s="696">
        <f t="shared" si="31"/>
        <v>0</v>
      </c>
      <c r="X94" s="696">
        <f t="shared" si="32"/>
        <v>0</v>
      </c>
      <c r="Y94" s="696">
        <f t="shared" si="33"/>
        <v>0</v>
      </c>
      <c r="Z94" s="696">
        <f t="shared" si="34"/>
        <v>0</v>
      </c>
      <c r="AA94" s="696">
        <f t="shared" si="35"/>
        <v>0</v>
      </c>
      <c r="AB94" s="696">
        <f t="shared" si="36"/>
        <v>0</v>
      </c>
      <c r="AC94" s="696">
        <f t="shared" si="37"/>
        <v>0</v>
      </c>
      <c r="AD94" s="696">
        <f t="shared" si="38"/>
        <v>0</v>
      </c>
      <c r="AE94" s="699"/>
    </row>
    <row r="95" spans="1:31" ht="25.15" customHeight="1">
      <c r="A95" s="543">
        <v>75</v>
      </c>
      <c r="B95" s="546" t="s">
        <v>1398</v>
      </c>
      <c r="C95" s="541" t="str">
        <f>'LAP. PENJUALAN '!C95</f>
        <v>Paket Takjil 3</v>
      </c>
      <c r="D95" s="694"/>
      <c r="E95" s="694"/>
      <c r="F95" s="694"/>
      <c r="G95" s="694"/>
      <c r="H95" s="694"/>
      <c r="I95" s="694"/>
      <c r="J95" s="694"/>
      <c r="K95" s="694"/>
      <c r="L95" s="694"/>
      <c r="M95" s="694"/>
      <c r="N95" s="554">
        <f t="shared" si="26"/>
        <v>0</v>
      </c>
      <c r="O95" s="554">
        <f t="shared" si="27"/>
        <v>0</v>
      </c>
      <c r="P95" s="555">
        <f>(O95/O237)*100</f>
        <v>0</v>
      </c>
      <c r="Q95" s="567"/>
      <c r="R95" s="555">
        <f t="shared" si="28"/>
        <v>0</v>
      </c>
      <c r="S95" s="698"/>
      <c r="U95" s="696">
        <f t="shared" si="29"/>
        <v>0</v>
      </c>
      <c r="V95" s="696">
        <f t="shared" si="30"/>
        <v>0</v>
      </c>
      <c r="W95" s="696">
        <f t="shared" si="31"/>
        <v>0</v>
      </c>
      <c r="X95" s="696">
        <f t="shared" si="32"/>
        <v>0</v>
      </c>
      <c r="Y95" s="696">
        <f t="shared" si="33"/>
        <v>0</v>
      </c>
      <c r="Z95" s="696">
        <f t="shared" si="34"/>
        <v>0</v>
      </c>
      <c r="AA95" s="696">
        <f t="shared" si="35"/>
        <v>0</v>
      </c>
      <c r="AB95" s="696">
        <f t="shared" si="36"/>
        <v>0</v>
      </c>
      <c r="AC95" s="696">
        <f t="shared" si="37"/>
        <v>0</v>
      </c>
      <c r="AD95" s="696">
        <f t="shared" si="38"/>
        <v>0</v>
      </c>
      <c r="AE95" s="699"/>
    </row>
    <row r="96" spans="1:31" ht="25.15" customHeight="1">
      <c r="A96" s="543">
        <v>76</v>
      </c>
      <c r="B96" s="546" t="s">
        <v>1399</v>
      </c>
      <c r="C96" s="541" t="str">
        <f>'LAP. PENJUALAN '!C96</f>
        <v>Paket Takjil 4</v>
      </c>
      <c r="D96" s="694"/>
      <c r="E96" s="694"/>
      <c r="F96" s="694"/>
      <c r="G96" s="694"/>
      <c r="H96" s="694"/>
      <c r="I96" s="694"/>
      <c r="J96" s="694"/>
      <c r="K96" s="694"/>
      <c r="L96" s="694"/>
      <c r="M96" s="694"/>
      <c r="N96" s="554">
        <f t="shared" si="26"/>
        <v>0</v>
      </c>
      <c r="O96" s="554">
        <f t="shared" si="27"/>
        <v>0</v>
      </c>
      <c r="P96" s="555">
        <f>(O96/O237)*100</f>
        <v>0</v>
      </c>
      <c r="Q96" s="567"/>
      <c r="R96" s="555">
        <f t="shared" si="28"/>
        <v>0</v>
      </c>
      <c r="S96" s="698"/>
      <c r="U96" s="696">
        <f t="shared" si="29"/>
        <v>0</v>
      </c>
      <c r="V96" s="696">
        <f t="shared" si="30"/>
        <v>0</v>
      </c>
      <c r="W96" s="696">
        <f t="shared" si="31"/>
        <v>0</v>
      </c>
      <c r="X96" s="696">
        <f t="shared" si="32"/>
        <v>0</v>
      </c>
      <c r="Y96" s="696">
        <f t="shared" si="33"/>
        <v>0</v>
      </c>
      <c r="Z96" s="696">
        <f t="shared" si="34"/>
        <v>0</v>
      </c>
      <c r="AA96" s="696">
        <f t="shared" si="35"/>
        <v>0</v>
      </c>
      <c r="AB96" s="696">
        <f t="shared" si="36"/>
        <v>0</v>
      </c>
      <c r="AC96" s="696">
        <f t="shared" si="37"/>
        <v>0</v>
      </c>
      <c r="AD96" s="696">
        <f t="shared" si="38"/>
        <v>0</v>
      </c>
      <c r="AE96" s="699"/>
    </row>
    <row r="97" spans="1:31" ht="25.15" customHeight="1">
      <c r="A97" s="543">
        <v>77</v>
      </c>
      <c r="B97" s="546"/>
      <c r="C97" s="541" t="str">
        <f>'LAP. PENJUALAN '!C97</f>
        <v>Paket Takjil 5</v>
      </c>
      <c r="D97" s="694"/>
      <c r="E97" s="694"/>
      <c r="F97" s="694"/>
      <c r="G97" s="694"/>
      <c r="H97" s="694"/>
      <c r="I97" s="694"/>
      <c r="J97" s="694"/>
      <c r="K97" s="694"/>
      <c r="L97" s="694"/>
      <c r="M97" s="694"/>
      <c r="N97" s="554">
        <f t="shared" si="26"/>
        <v>0</v>
      </c>
      <c r="O97" s="554">
        <f t="shared" si="27"/>
        <v>0</v>
      </c>
      <c r="P97" s="555">
        <f>(O97/O237)*100</f>
        <v>0</v>
      </c>
      <c r="Q97" s="567"/>
      <c r="R97" s="555">
        <f t="shared" si="28"/>
        <v>0</v>
      </c>
      <c r="S97" s="698"/>
      <c r="U97" s="696">
        <f t="shared" si="29"/>
        <v>0</v>
      </c>
      <c r="V97" s="696">
        <f t="shared" si="30"/>
        <v>0</v>
      </c>
      <c r="W97" s="696">
        <f t="shared" si="31"/>
        <v>0</v>
      </c>
      <c r="X97" s="696">
        <f t="shared" si="32"/>
        <v>0</v>
      </c>
      <c r="Y97" s="696">
        <f t="shared" si="33"/>
        <v>0</v>
      </c>
      <c r="Z97" s="696">
        <f t="shared" si="34"/>
        <v>0</v>
      </c>
      <c r="AA97" s="696">
        <f t="shared" si="35"/>
        <v>0</v>
      </c>
      <c r="AB97" s="696">
        <f t="shared" si="36"/>
        <v>0</v>
      </c>
      <c r="AC97" s="696">
        <f t="shared" si="37"/>
        <v>0</v>
      </c>
      <c r="AD97" s="696">
        <f t="shared" si="38"/>
        <v>0</v>
      </c>
      <c r="AE97" s="699"/>
    </row>
    <row r="98" spans="1:31" ht="25.15" customHeight="1">
      <c r="A98" s="543">
        <v>78</v>
      </c>
      <c r="B98" s="546" t="s">
        <v>1349</v>
      </c>
      <c r="C98" s="541" t="str">
        <f>'LAP. PENJUALAN '!C98</f>
        <v>Paket Takjil 6</v>
      </c>
      <c r="D98" s="694"/>
      <c r="E98" s="694"/>
      <c r="F98" s="694"/>
      <c r="G98" s="694"/>
      <c r="H98" s="694"/>
      <c r="I98" s="694"/>
      <c r="J98" s="694"/>
      <c r="K98" s="694"/>
      <c r="L98" s="694"/>
      <c r="M98" s="694"/>
      <c r="N98" s="554">
        <f t="shared" si="26"/>
        <v>0</v>
      </c>
      <c r="O98" s="554">
        <f t="shared" si="27"/>
        <v>0</v>
      </c>
      <c r="P98" s="555">
        <f>(O98/O237)*100</f>
        <v>0</v>
      </c>
      <c r="Q98" s="567"/>
      <c r="R98" s="555">
        <f t="shared" si="28"/>
        <v>0</v>
      </c>
      <c r="S98" s="698"/>
      <c r="U98" s="696">
        <f t="shared" si="29"/>
        <v>0</v>
      </c>
      <c r="V98" s="696">
        <f t="shared" si="30"/>
        <v>0</v>
      </c>
      <c r="W98" s="696">
        <f t="shared" si="31"/>
        <v>0</v>
      </c>
      <c r="X98" s="696">
        <f t="shared" si="32"/>
        <v>0</v>
      </c>
      <c r="Y98" s="696">
        <f t="shared" si="33"/>
        <v>0</v>
      </c>
      <c r="Z98" s="696">
        <f t="shared" si="34"/>
        <v>0</v>
      </c>
      <c r="AA98" s="696">
        <f t="shared" si="35"/>
        <v>0</v>
      </c>
      <c r="AB98" s="696">
        <f t="shared" si="36"/>
        <v>0</v>
      </c>
      <c r="AC98" s="696">
        <f t="shared" si="37"/>
        <v>0</v>
      </c>
      <c r="AD98" s="696">
        <f t="shared" si="38"/>
        <v>0</v>
      </c>
      <c r="AE98" s="699"/>
    </row>
    <row r="99" spans="1:31" ht="25.15" customHeight="1">
      <c r="A99" s="543">
        <v>79</v>
      </c>
      <c r="B99" s="546" t="s">
        <v>1350</v>
      </c>
      <c r="C99" s="541" t="str">
        <f>'LAP. PENJUALAN '!C99</f>
        <v>Paket Takjil 7</v>
      </c>
      <c r="D99" s="694"/>
      <c r="E99" s="694"/>
      <c r="F99" s="694"/>
      <c r="G99" s="694"/>
      <c r="H99" s="694"/>
      <c r="I99" s="694"/>
      <c r="J99" s="694"/>
      <c r="K99" s="694"/>
      <c r="L99" s="694"/>
      <c r="M99" s="694"/>
      <c r="N99" s="554">
        <f t="shared" si="26"/>
        <v>0</v>
      </c>
      <c r="O99" s="554">
        <f t="shared" si="27"/>
        <v>0</v>
      </c>
      <c r="P99" s="555">
        <f>(O99/O237)*100</f>
        <v>0</v>
      </c>
      <c r="Q99" s="567"/>
      <c r="R99" s="555">
        <f t="shared" si="28"/>
        <v>0</v>
      </c>
      <c r="S99" s="698"/>
      <c r="U99" s="696">
        <f t="shared" si="29"/>
        <v>0</v>
      </c>
      <c r="V99" s="696">
        <f t="shared" si="30"/>
        <v>0</v>
      </c>
      <c r="W99" s="696">
        <f t="shared" si="31"/>
        <v>0</v>
      </c>
      <c r="X99" s="696">
        <f t="shared" si="32"/>
        <v>0</v>
      </c>
      <c r="Y99" s="696">
        <f t="shared" si="33"/>
        <v>0</v>
      </c>
      <c r="Z99" s="696">
        <f t="shared" si="34"/>
        <v>0</v>
      </c>
      <c r="AA99" s="696">
        <f t="shared" si="35"/>
        <v>0</v>
      </c>
      <c r="AB99" s="696">
        <f t="shared" si="36"/>
        <v>0</v>
      </c>
      <c r="AC99" s="696">
        <f t="shared" si="37"/>
        <v>0</v>
      </c>
      <c r="AD99" s="696">
        <f t="shared" si="38"/>
        <v>0</v>
      </c>
      <c r="AE99" s="699"/>
    </row>
    <row r="100" spans="1:31" ht="25.15" customHeight="1">
      <c r="A100" s="543">
        <v>80</v>
      </c>
      <c r="B100" s="546" t="s">
        <v>1351</v>
      </c>
      <c r="C100" s="541" t="str">
        <f>'LAP. PENJUALAN '!C100</f>
        <v>Paket Takjil 8</v>
      </c>
      <c r="D100" s="694"/>
      <c r="E100" s="694"/>
      <c r="F100" s="694"/>
      <c r="G100" s="694"/>
      <c r="H100" s="694"/>
      <c r="I100" s="694"/>
      <c r="J100" s="694"/>
      <c r="K100" s="694"/>
      <c r="L100" s="694"/>
      <c r="M100" s="694"/>
      <c r="N100" s="554">
        <f t="shared" si="26"/>
        <v>0</v>
      </c>
      <c r="O100" s="554">
        <f t="shared" si="27"/>
        <v>0</v>
      </c>
      <c r="P100" s="555">
        <f>(O100/O237)*100</f>
        <v>0</v>
      </c>
      <c r="Q100" s="567"/>
      <c r="R100" s="555">
        <f t="shared" si="28"/>
        <v>0</v>
      </c>
      <c r="S100" s="698"/>
      <c r="U100" s="696">
        <f t="shared" si="29"/>
        <v>0</v>
      </c>
      <c r="V100" s="696">
        <f t="shared" si="30"/>
        <v>0</v>
      </c>
      <c r="W100" s="696">
        <f t="shared" si="31"/>
        <v>0</v>
      </c>
      <c r="X100" s="696">
        <f t="shared" si="32"/>
        <v>0</v>
      </c>
      <c r="Y100" s="696">
        <f t="shared" si="33"/>
        <v>0</v>
      </c>
      <c r="Z100" s="696">
        <f t="shared" si="34"/>
        <v>0</v>
      </c>
      <c r="AA100" s="696">
        <f t="shared" si="35"/>
        <v>0</v>
      </c>
      <c r="AB100" s="696">
        <f t="shared" si="36"/>
        <v>0</v>
      </c>
      <c r="AC100" s="696">
        <f t="shared" si="37"/>
        <v>0</v>
      </c>
      <c r="AD100" s="696">
        <f t="shared" si="38"/>
        <v>0</v>
      </c>
      <c r="AE100" s="699"/>
    </row>
    <row r="101" spans="1:31" ht="25.15" customHeight="1">
      <c r="A101" s="543"/>
      <c r="B101" s="546" t="s">
        <v>1352</v>
      </c>
      <c r="C101" s="541"/>
      <c r="D101" s="694"/>
      <c r="E101" s="694"/>
      <c r="F101" s="694"/>
      <c r="G101" s="694"/>
      <c r="H101" s="694"/>
      <c r="I101" s="694"/>
      <c r="J101" s="694"/>
      <c r="K101" s="694"/>
      <c r="L101" s="694"/>
      <c r="M101" s="694"/>
      <c r="N101" s="554">
        <f t="shared" si="26"/>
        <v>0</v>
      </c>
      <c r="O101" s="554">
        <f t="shared" si="27"/>
        <v>0</v>
      </c>
      <c r="P101" s="555">
        <f>(O101/O237)*100</f>
        <v>0</v>
      </c>
      <c r="Q101" s="567"/>
      <c r="R101" s="555">
        <f t="shared" si="28"/>
        <v>0</v>
      </c>
      <c r="S101" s="698"/>
      <c r="U101" s="696">
        <f t="shared" si="29"/>
        <v>0</v>
      </c>
      <c r="V101" s="696">
        <f t="shared" si="30"/>
        <v>0</v>
      </c>
      <c r="W101" s="696">
        <f t="shared" si="31"/>
        <v>0</v>
      </c>
      <c r="X101" s="696">
        <f t="shared" si="32"/>
        <v>0</v>
      </c>
      <c r="Y101" s="696">
        <f t="shared" si="33"/>
        <v>0</v>
      </c>
      <c r="Z101" s="696">
        <f t="shared" si="34"/>
        <v>0</v>
      </c>
      <c r="AA101" s="696">
        <f t="shared" si="35"/>
        <v>0</v>
      </c>
      <c r="AB101" s="696">
        <f t="shared" si="36"/>
        <v>0</v>
      </c>
      <c r="AC101" s="696">
        <f t="shared" si="37"/>
        <v>0</v>
      </c>
      <c r="AD101" s="696">
        <f t="shared" si="38"/>
        <v>0</v>
      </c>
      <c r="AE101" s="699"/>
    </row>
    <row r="102" spans="1:31" ht="25.15" customHeight="1">
      <c r="A102" s="543">
        <v>81</v>
      </c>
      <c r="B102" s="546"/>
      <c r="C102" s="541" t="str">
        <f>'LAP. PENJUALAN '!C102</f>
        <v>Ayam Utuh Original</v>
      </c>
      <c r="D102" s="694">
        <v>3</v>
      </c>
      <c r="E102" s="694"/>
      <c r="F102" s="694"/>
      <c r="G102" s="694"/>
      <c r="H102" s="694"/>
      <c r="I102" s="694"/>
      <c r="J102" s="694"/>
      <c r="K102" s="694"/>
      <c r="L102" s="694"/>
      <c r="M102" s="694"/>
      <c r="N102" s="554">
        <f t="shared" si="26"/>
        <v>3</v>
      </c>
      <c r="O102" s="554">
        <f t="shared" si="27"/>
        <v>279999</v>
      </c>
      <c r="P102" s="555">
        <f>(O102/O237)*100</f>
        <v>21.237772119408302</v>
      </c>
      <c r="Q102" s="567"/>
      <c r="R102" s="555">
        <f t="shared" si="28"/>
        <v>0</v>
      </c>
      <c r="S102" s="697">
        <v>93333</v>
      </c>
      <c r="U102" s="696">
        <f t="shared" si="29"/>
        <v>279999</v>
      </c>
      <c r="V102" s="696">
        <f t="shared" si="30"/>
        <v>0</v>
      </c>
      <c r="W102" s="696">
        <f t="shared" si="31"/>
        <v>0</v>
      </c>
      <c r="X102" s="696">
        <f t="shared" si="32"/>
        <v>0</v>
      </c>
      <c r="Y102" s="696">
        <f t="shared" si="33"/>
        <v>0</v>
      </c>
      <c r="Z102" s="696">
        <f t="shared" si="34"/>
        <v>0</v>
      </c>
      <c r="AA102" s="696">
        <f t="shared" si="35"/>
        <v>0</v>
      </c>
      <c r="AB102" s="696">
        <f t="shared" si="36"/>
        <v>0</v>
      </c>
      <c r="AC102" s="696">
        <f t="shared" si="37"/>
        <v>0</v>
      </c>
      <c r="AD102" s="696">
        <f t="shared" si="38"/>
        <v>0</v>
      </c>
      <c r="AE102" s="699"/>
    </row>
    <row r="103" spans="1:31" ht="25.15" customHeight="1">
      <c r="A103" s="543">
        <v>82</v>
      </c>
      <c r="B103" s="546" t="s">
        <v>1570</v>
      </c>
      <c r="C103" s="541" t="str">
        <f>'LAP. PENJUALAN '!C103</f>
        <v>Ayam Utuh Hot Cheesy</v>
      </c>
      <c r="D103" s="694"/>
      <c r="E103" s="694"/>
      <c r="F103" s="694"/>
      <c r="G103" s="694"/>
      <c r="H103" s="694"/>
      <c r="I103" s="694"/>
      <c r="J103" s="694"/>
      <c r="K103" s="694"/>
      <c r="L103" s="694"/>
      <c r="M103" s="694"/>
      <c r="N103" s="554">
        <f t="shared" si="26"/>
        <v>0</v>
      </c>
      <c r="O103" s="554">
        <f t="shared" si="27"/>
        <v>0</v>
      </c>
      <c r="P103" s="555">
        <f>(O103/O237)*100</f>
        <v>0</v>
      </c>
      <c r="Q103" s="567"/>
      <c r="R103" s="555">
        <f t="shared" si="28"/>
        <v>0</v>
      </c>
      <c r="S103" s="697">
        <v>106666</v>
      </c>
      <c r="U103" s="696">
        <f t="shared" si="29"/>
        <v>0</v>
      </c>
      <c r="V103" s="696">
        <f t="shared" si="30"/>
        <v>0</v>
      </c>
      <c r="W103" s="696">
        <f t="shared" si="31"/>
        <v>0</v>
      </c>
      <c r="X103" s="696">
        <f t="shared" si="32"/>
        <v>0</v>
      </c>
      <c r="Y103" s="696">
        <f t="shared" si="33"/>
        <v>0</v>
      </c>
      <c r="Z103" s="696">
        <f t="shared" si="34"/>
        <v>0</v>
      </c>
      <c r="AA103" s="696">
        <f t="shared" si="35"/>
        <v>0</v>
      </c>
      <c r="AB103" s="696">
        <f t="shared" si="36"/>
        <v>0</v>
      </c>
      <c r="AC103" s="696">
        <f t="shared" si="37"/>
        <v>0</v>
      </c>
      <c r="AD103" s="696">
        <f t="shared" si="38"/>
        <v>0</v>
      </c>
      <c r="AE103" s="699"/>
    </row>
    <row r="104" spans="1:31" ht="25.15" customHeight="1">
      <c r="A104" s="543">
        <v>83</v>
      </c>
      <c r="B104" s="546"/>
      <c r="C104" s="541" t="str">
        <f>'LAP. PENJUALAN '!C104</f>
        <v>Ayam Utuh Geprek</v>
      </c>
      <c r="D104" s="694"/>
      <c r="E104" s="694"/>
      <c r="F104" s="694"/>
      <c r="G104" s="694"/>
      <c r="H104" s="694"/>
      <c r="I104" s="694"/>
      <c r="J104" s="694"/>
      <c r="K104" s="694"/>
      <c r="L104" s="694"/>
      <c r="M104" s="694"/>
      <c r="N104" s="554">
        <f t="shared" si="26"/>
        <v>0</v>
      </c>
      <c r="O104" s="554">
        <f t="shared" si="27"/>
        <v>0</v>
      </c>
      <c r="P104" s="555">
        <f>(O104/O237)*100</f>
        <v>0</v>
      </c>
      <c r="Q104" s="567"/>
      <c r="R104" s="555">
        <f t="shared" si="28"/>
        <v>0</v>
      </c>
      <c r="S104" s="697">
        <v>106666</v>
      </c>
      <c r="U104" s="696">
        <f t="shared" si="29"/>
        <v>0</v>
      </c>
      <c r="V104" s="696">
        <f t="shared" si="30"/>
        <v>0</v>
      </c>
      <c r="W104" s="696">
        <f t="shared" si="31"/>
        <v>0</v>
      </c>
      <c r="X104" s="696">
        <f t="shared" si="32"/>
        <v>0</v>
      </c>
      <c r="Y104" s="696">
        <f t="shared" si="33"/>
        <v>0</v>
      </c>
      <c r="Z104" s="696">
        <f t="shared" si="34"/>
        <v>0</v>
      </c>
      <c r="AA104" s="696">
        <f t="shared" si="35"/>
        <v>0</v>
      </c>
      <c r="AB104" s="696">
        <f t="shared" si="36"/>
        <v>0</v>
      </c>
      <c r="AC104" s="696">
        <f t="shared" si="37"/>
        <v>0</v>
      </c>
      <c r="AD104" s="696">
        <f t="shared" si="38"/>
        <v>0</v>
      </c>
      <c r="AE104" s="699"/>
    </row>
    <row r="105" spans="1:31" ht="25.15" customHeight="1">
      <c r="A105" s="543">
        <v>84</v>
      </c>
      <c r="B105" s="546"/>
      <c r="C105" s="541" t="str">
        <f>'LAP. PENJUALAN '!C105</f>
        <v>P. Ayam Utuh Original</v>
      </c>
      <c r="D105" s="694"/>
      <c r="E105" s="694"/>
      <c r="F105" s="694"/>
      <c r="G105" s="694"/>
      <c r="H105" s="694"/>
      <c r="I105" s="694"/>
      <c r="J105" s="694"/>
      <c r="K105" s="694"/>
      <c r="L105" s="694"/>
      <c r="M105" s="694"/>
      <c r="N105" s="554">
        <f t="shared" si="26"/>
        <v>0</v>
      </c>
      <c r="O105" s="554">
        <f t="shared" si="27"/>
        <v>0</v>
      </c>
      <c r="P105" s="555">
        <f>(O105/O237)*100</f>
        <v>0</v>
      </c>
      <c r="Q105" s="567"/>
      <c r="R105" s="555">
        <f t="shared" si="28"/>
        <v>0</v>
      </c>
      <c r="S105" s="697">
        <v>126666</v>
      </c>
      <c r="U105" s="696">
        <f t="shared" si="29"/>
        <v>0</v>
      </c>
      <c r="V105" s="696">
        <f t="shared" si="30"/>
        <v>0</v>
      </c>
      <c r="W105" s="696">
        <f t="shared" si="31"/>
        <v>0</v>
      </c>
      <c r="X105" s="696">
        <f t="shared" si="32"/>
        <v>0</v>
      </c>
      <c r="Y105" s="696">
        <f t="shared" si="33"/>
        <v>0</v>
      </c>
      <c r="Z105" s="696">
        <f t="shared" si="34"/>
        <v>0</v>
      </c>
      <c r="AA105" s="696">
        <f t="shared" si="35"/>
        <v>0</v>
      </c>
      <c r="AB105" s="696">
        <f t="shared" si="36"/>
        <v>0</v>
      </c>
      <c r="AC105" s="696">
        <f t="shared" si="37"/>
        <v>0</v>
      </c>
      <c r="AD105" s="696">
        <f t="shared" si="38"/>
        <v>0</v>
      </c>
      <c r="AE105" s="699"/>
    </row>
    <row r="106" spans="1:31" ht="25.15" customHeight="1">
      <c r="A106" s="543">
        <v>85</v>
      </c>
      <c r="B106" s="546"/>
      <c r="C106" s="541" t="str">
        <f>'LAP. PENJUALAN '!C106</f>
        <v>P. Ayam Utuh Hot Cheesy</v>
      </c>
      <c r="D106" s="694"/>
      <c r="E106" s="694"/>
      <c r="F106" s="694"/>
      <c r="G106" s="694"/>
      <c r="H106" s="694"/>
      <c r="I106" s="694"/>
      <c r="J106" s="694"/>
      <c r="K106" s="694"/>
      <c r="L106" s="694"/>
      <c r="M106" s="694"/>
      <c r="N106" s="554">
        <f t="shared" si="26"/>
        <v>0</v>
      </c>
      <c r="O106" s="554">
        <f t="shared" si="27"/>
        <v>0</v>
      </c>
      <c r="P106" s="555">
        <f>(O106/O237)*100</f>
        <v>0</v>
      </c>
      <c r="Q106" s="567"/>
      <c r="R106" s="555">
        <f t="shared" si="28"/>
        <v>0</v>
      </c>
      <c r="S106" s="697">
        <v>140000</v>
      </c>
      <c r="U106" s="696">
        <f t="shared" si="29"/>
        <v>0</v>
      </c>
      <c r="V106" s="696">
        <f t="shared" si="30"/>
        <v>0</v>
      </c>
      <c r="W106" s="696">
        <f t="shared" si="31"/>
        <v>0</v>
      </c>
      <c r="X106" s="696">
        <f t="shared" si="32"/>
        <v>0</v>
      </c>
      <c r="Y106" s="696">
        <f t="shared" si="33"/>
        <v>0</v>
      </c>
      <c r="Z106" s="696">
        <f t="shared" si="34"/>
        <v>0</v>
      </c>
      <c r="AA106" s="696">
        <f t="shared" si="35"/>
        <v>0</v>
      </c>
      <c r="AB106" s="696">
        <f t="shared" si="36"/>
        <v>0</v>
      </c>
      <c r="AC106" s="696">
        <f t="shared" si="37"/>
        <v>0</v>
      </c>
      <c r="AD106" s="696">
        <f t="shared" si="38"/>
        <v>0</v>
      </c>
      <c r="AE106" s="699"/>
    </row>
    <row r="107" spans="1:31" ht="25.15" customHeight="1">
      <c r="A107" s="543">
        <v>86</v>
      </c>
      <c r="B107" s="546"/>
      <c r="C107" s="541" t="str">
        <f>'LAP. PENJUALAN '!C107</f>
        <v>P. Ayam Utuh Geprek</v>
      </c>
      <c r="D107" s="694"/>
      <c r="E107" s="694"/>
      <c r="F107" s="694"/>
      <c r="G107" s="694"/>
      <c r="H107" s="694"/>
      <c r="I107" s="694"/>
      <c r="J107" s="694"/>
      <c r="K107" s="694"/>
      <c r="L107" s="694"/>
      <c r="M107" s="694"/>
      <c r="N107" s="554">
        <f t="shared" si="26"/>
        <v>0</v>
      </c>
      <c r="O107" s="554">
        <f t="shared" si="27"/>
        <v>0</v>
      </c>
      <c r="P107" s="555">
        <f>(O107/O237)*100</f>
        <v>0</v>
      </c>
      <c r="Q107" s="567"/>
      <c r="R107" s="555">
        <f t="shared" si="28"/>
        <v>0</v>
      </c>
      <c r="S107" s="700">
        <v>140000</v>
      </c>
      <c r="U107" s="696">
        <f t="shared" si="29"/>
        <v>0</v>
      </c>
      <c r="V107" s="696">
        <f t="shared" si="30"/>
        <v>0</v>
      </c>
      <c r="W107" s="696">
        <f t="shared" si="31"/>
        <v>0</v>
      </c>
      <c r="X107" s="696">
        <f t="shared" si="32"/>
        <v>0</v>
      </c>
      <c r="Y107" s="696">
        <f t="shared" si="33"/>
        <v>0</v>
      </c>
      <c r="Z107" s="696">
        <f t="shared" si="34"/>
        <v>0</v>
      </c>
      <c r="AA107" s="696">
        <f t="shared" si="35"/>
        <v>0</v>
      </c>
      <c r="AB107" s="696">
        <f t="shared" si="36"/>
        <v>0</v>
      </c>
      <c r="AC107" s="696">
        <f t="shared" si="37"/>
        <v>0</v>
      </c>
      <c r="AD107" s="696">
        <f t="shared" si="38"/>
        <v>0</v>
      </c>
      <c r="AE107" s="699"/>
    </row>
    <row r="108" spans="1:31" ht="25.15" customHeight="1">
      <c r="A108" s="543">
        <v>87</v>
      </c>
      <c r="B108" s="546"/>
      <c r="C108" s="541" t="str">
        <f>'LAP. PENJUALAN '!C108</f>
        <v>Ayam Utuh Hot Spicy</v>
      </c>
      <c r="D108" s="694"/>
      <c r="E108" s="694"/>
      <c r="F108" s="694"/>
      <c r="G108" s="694"/>
      <c r="H108" s="694"/>
      <c r="I108" s="694"/>
      <c r="J108" s="694"/>
      <c r="K108" s="694"/>
      <c r="L108" s="694"/>
      <c r="M108" s="694"/>
      <c r="N108" s="554">
        <f t="shared" si="26"/>
        <v>0</v>
      </c>
      <c r="O108" s="554">
        <f t="shared" si="27"/>
        <v>0</v>
      </c>
      <c r="P108" s="555">
        <f>(O108/O237)*100</f>
        <v>0</v>
      </c>
      <c r="Q108" s="567"/>
      <c r="R108" s="555">
        <f t="shared" si="28"/>
        <v>0</v>
      </c>
      <c r="S108" s="698"/>
      <c r="U108" s="696">
        <f t="shared" si="29"/>
        <v>0</v>
      </c>
      <c r="V108" s="696">
        <f t="shared" si="30"/>
        <v>0</v>
      </c>
      <c r="W108" s="696">
        <f t="shared" si="31"/>
        <v>0</v>
      </c>
      <c r="X108" s="696">
        <f t="shared" si="32"/>
        <v>0</v>
      </c>
      <c r="Y108" s="696">
        <f t="shared" si="33"/>
        <v>0</v>
      </c>
      <c r="Z108" s="696">
        <f t="shared" si="34"/>
        <v>0</v>
      </c>
      <c r="AA108" s="696">
        <f t="shared" si="35"/>
        <v>0</v>
      </c>
      <c r="AB108" s="696">
        <f t="shared" si="36"/>
        <v>0</v>
      </c>
      <c r="AC108" s="696">
        <f t="shared" si="37"/>
        <v>0</v>
      </c>
      <c r="AD108" s="696">
        <f t="shared" si="38"/>
        <v>0</v>
      </c>
      <c r="AE108" s="699"/>
    </row>
    <row r="109" spans="1:31" ht="25.15" customHeight="1">
      <c r="A109" s="543">
        <v>88</v>
      </c>
      <c r="B109" s="546"/>
      <c r="C109" s="541" t="str">
        <f>'LAP. PENJUALAN '!C109</f>
        <v>Paket Ayam Utuh Hot Spicy</v>
      </c>
      <c r="D109" s="694"/>
      <c r="E109" s="694"/>
      <c r="F109" s="694"/>
      <c r="G109" s="694"/>
      <c r="H109" s="694"/>
      <c r="I109" s="694"/>
      <c r="J109" s="694"/>
      <c r="K109" s="694"/>
      <c r="L109" s="694"/>
      <c r="M109" s="694"/>
      <c r="N109" s="554">
        <f t="shared" si="26"/>
        <v>0</v>
      </c>
      <c r="O109" s="554">
        <f t="shared" si="27"/>
        <v>0</v>
      </c>
      <c r="P109" s="555">
        <f>(O109/O237)*100</f>
        <v>0</v>
      </c>
      <c r="Q109" s="567"/>
      <c r="R109" s="555">
        <f t="shared" si="28"/>
        <v>0</v>
      </c>
      <c r="S109" s="698"/>
      <c r="U109" s="696">
        <f t="shared" si="29"/>
        <v>0</v>
      </c>
      <c r="V109" s="696">
        <f t="shared" si="30"/>
        <v>0</v>
      </c>
      <c r="W109" s="696">
        <f t="shared" si="31"/>
        <v>0</v>
      </c>
      <c r="X109" s="696">
        <f t="shared" si="32"/>
        <v>0</v>
      </c>
      <c r="Y109" s="696">
        <f t="shared" si="33"/>
        <v>0</v>
      </c>
      <c r="Z109" s="696">
        <f t="shared" si="34"/>
        <v>0</v>
      </c>
      <c r="AA109" s="696">
        <f t="shared" si="35"/>
        <v>0</v>
      </c>
      <c r="AB109" s="696">
        <f t="shared" si="36"/>
        <v>0</v>
      </c>
      <c r="AC109" s="696">
        <f t="shared" si="37"/>
        <v>0</v>
      </c>
      <c r="AD109" s="696">
        <f t="shared" si="38"/>
        <v>0</v>
      </c>
      <c r="AE109" s="699"/>
    </row>
    <row r="110" spans="1:31" ht="25.15" customHeight="1">
      <c r="A110" s="543"/>
      <c r="B110" s="546"/>
      <c r="C110" s="541"/>
      <c r="D110" s="694"/>
      <c r="E110" s="694"/>
      <c r="F110" s="694"/>
      <c r="G110" s="694"/>
      <c r="H110" s="694"/>
      <c r="I110" s="694"/>
      <c r="J110" s="694"/>
      <c r="K110" s="694"/>
      <c r="L110" s="694"/>
      <c r="M110" s="694"/>
      <c r="N110" s="554">
        <f t="shared" si="26"/>
        <v>0</v>
      </c>
      <c r="O110" s="554">
        <f t="shared" si="27"/>
        <v>0</v>
      </c>
      <c r="P110" s="555">
        <f>(O110/O237)*100</f>
        <v>0</v>
      </c>
      <c r="Q110" s="567"/>
      <c r="R110" s="555">
        <f t="shared" si="28"/>
        <v>0</v>
      </c>
      <c r="S110" s="698"/>
      <c r="U110" s="696">
        <f t="shared" si="29"/>
        <v>0</v>
      </c>
      <c r="V110" s="696">
        <f t="shared" si="30"/>
        <v>0</v>
      </c>
      <c r="W110" s="696">
        <f t="shared" si="31"/>
        <v>0</v>
      </c>
      <c r="X110" s="696">
        <f t="shared" si="32"/>
        <v>0</v>
      </c>
      <c r="Y110" s="696">
        <f t="shared" si="33"/>
        <v>0</v>
      </c>
      <c r="Z110" s="696">
        <f t="shared" si="34"/>
        <v>0</v>
      </c>
      <c r="AA110" s="696">
        <f t="shared" si="35"/>
        <v>0</v>
      </c>
      <c r="AB110" s="696">
        <f t="shared" si="36"/>
        <v>0</v>
      </c>
      <c r="AC110" s="696">
        <f t="shared" si="37"/>
        <v>0</v>
      </c>
      <c r="AD110" s="696">
        <f t="shared" si="38"/>
        <v>0</v>
      </c>
      <c r="AE110" s="699"/>
    </row>
    <row r="111" spans="1:31" ht="25.15" customHeight="1">
      <c r="A111" s="543">
        <v>89</v>
      </c>
      <c r="B111" s="546"/>
      <c r="C111" s="541" t="str">
        <f>'LAP. PENJUALAN '!C111</f>
        <v>Beef Burger</v>
      </c>
      <c r="D111" s="694"/>
      <c r="E111" s="694"/>
      <c r="F111" s="694"/>
      <c r="G111" s="694"/>
      <c r="H111" s="694"/>
      <c r="I111" s="694"/>
      <c r="J111" s="694"/>
      <c r="K111" s="694"/>
      <c r="L111" s="694"/>
      <c r="M111" s="694"/>
      <c r="N111" s="554">
        <f t="shared" si="26"/>
        <v>0</v>
      </c>
      <c r="O111" s="554">
        <f t="shared" si="27"/>
        <v>0</v>
      </c>
      <c r="P111" s="555">
        <f>(O111/O237)*100</f>
        <v>0</v>
      </c>
      <c r="Q111" s="567"/>
      <c r="R111" s="555">
        <f t="shared" si="28"/>
        <v>0</v>
      </c>
      <c r="S111" s="698"/>
      <c r="U111" s="696">
        <f t="shared" si="29"/>
        <v>0</v>
      </c>
      <c r="V111" s="696">
        <f t="shared" si="30"/>
        <v>0</v>
      </c>
      <c r="W111" s="696">
        <f t="shared" si="31"/>
        <v>0</v>
      </c>
      <c r="X111" s="696">
        <f t="shared" si="32"/>
        <v>0</v>
      </c>
      <c r="Y111" s="696">
        <f t="shared" si="33"/>
        <v>0</v>
      </c>
      <c r="Z111" s="696">
        <f t="shared" si="34"/>
        <v>0</v>
      </c>
      <c r="AA111" s="696">
        <f t="shared" si="35"/>
        <v>0</v>
      </c>
      <c r="AB111" s="696">
        <f t="shared" si="36"/>
        <v>0</v>
      </c>
      <c r="AC111" s="696">
        <f t="shared" si="37"/>
        <v>0</v>
      </c>
      <c r="AD111" s="696">
        <f t="shared" si="38"/>
        <v>0</v>
      </c>
      <c r="AE111" s="699"/>
    </row>
    <row r="112" spans="1:31" ht="25.15" customHeight="1">
      <c r="A112" s="543">
        <v>90</v>
      </c>
      <c r="B112" s="546"/>
      <c r="C112" s="541" t="str">
        <f>'LAP. PENJUALAN '!C112</f>
        <v>Beef Burger + Lemon Tea</v>
      </c>
      <c r="D112" s="694"/>
      <c r="E112" s="694"/>
      <c r="F112" s="694"/>
      <c r="G112" s="694"/>
      <c r="H112" s="694"/>
      <c r="I112" s="694"/>
      <c r="J112" s="694"/>
      <c r="K112" s="694"/>
      <c r="L112" s="694"/>
      <c r="M112" s="694"/>
      <c r="N112" s="554">
        <f t="shared" si="26"/>
        <v>0</v>
      </c>
      <c r="O112" s="554">
        <f t="shared" si="27"/>
        <v>0</v>
      </c>
      <c r="P112" s="555">
        <f>(O112/O237)*100</f>
        <v>0</v>
      </c>
      <c r="Q112" s="567"/>
      <c r="R112" s="555">
        <f t="shared" si="28"/>
        <v>0</v>
      </c>
      <c r="S112" s="698"/>
      <c r="U112" s="696">
        <f t="shared" si="29"/>
        <v>0</v>
      </c>
      <c r="V112" s="696">
        <f t="shared" si="30"/>
        <v>0</v>
      </c>
      <c r="W112" s="696">
        <f t="shared" si="31"/>
        <v>0</v>
      </c>
      <c r="X112" s="696">
        <f t="shared" si="32"/>
        <v>0</v>
      </c>
      <c r="Y112" s="696">
        <f t="shared" si="33"/>
        <v>0</v>
      </c>
      <c r="Z112" s="696">
        <f t="shared" si="34"/>
        <v>0</v>
      </c>
      <c r="AA112" s="696">
        <f t="shared" si="35"/>
        <v>0</v>
      </c>
      <c r="AB112" s="696">
        <f t="shared" si="36"/>
        <v>0</v>
      </c>
      <c r="AC112" s="696">
        <f t="shared" si="37"/>
        <v>0</v>
      </c>
      <c r="AD112" s="696">
        <f t="shared" si="38"/>
        <v>0</v>
      </c>
      <c r="AE112" s="699"/>
    </row>
    <row r="113" spans="1:31" ht="25.15" customHeight="1">
      <c r="A113" s="543">
        <v>91</v>
      </c>
      <c r="B113" s="546"/>
      <c r="C113" s="541" t="str">
        <f>'LAP. PENJUALAN '!C113</f>
        <v>Beef cheese Burger</v>
      </c>
      <c r="D113" s="694"/>
      <c r="E113" s="694"/>
      <c r="F113" s="694"/>
      <c r="G113" s="694"/>
      <c r="H113" s="694"/>
      <c r="I113" s="694"/>
      <c r="J113" s="694"/>
      <c r="K113" s="694"/>
      <c r="L113" s="694"/>
      <c r="M113" s="694"/>
      <c r="N113" s="554">
        <f t="shared" si="26"/>
        <v>0</v>
      </c>
      <c r="O113" s="554">
        <f t="shared" si="27"/>
        <v>0</v>
      </c>
      <c r="P113" s="555">
        <f>(O113/O237)*100</f>
        <v>0</v>
      </c>
      <c r="Q113" s="567"/>
      <c r="R113" s="555">
        <f t="shared" si="28"/>
        <v>0</v>
      </c>
      <c r="S113" s="698"/>
      <c r="U113" s="696">
        <f t="shared" si="29"/>
        <v>0</v>
      </c>
      <c r="V113" s="696">
        <f t="shared" si="30"/>
        <v>0</v>
      </c>
      <c r="W113" s="696">
        <f t="shared" si="31"/>
        <v>0</v>
      </c>
      <c r="X113" s="696">
        <f t="shared" si="32"/>
        <v>0</v>
      </c>
      <c r="Y113" s="696">
        <f t="shared" si="33"/>
        <v>0</v>
      </c>
      <c r="Z113" s="696">
        <f t="shared" si="34"/>
        <v>0</v>
      </c>
      <c r="AA113" s="696">
        <f t="shared" si="35"/>
        <v>0</v>
      </c>
      <c r="AB113" s="696">
        <f t="shared" si="36"/>
        <v>0</v>
      </c>
      <c r="AC113" s="696">
        <f t="shared" si="37"/>
        <v>0</v>
      </c>
      <c r="AD113" s="696">
        <f t="shared" si="38"/>
        <v>0</v>
      </c>
      <c r="AE113" s="699"/>
    </row>
    <row r="114" spans="1:31" ht="25.15" customHeight="1">
      <c r="A114" s="543">
        <v>92</v>
      </c>
      <c r="B114" s="546"/>
      <c r="C114" s="541" t="str">
        <f>'LAP. PENJUALAN '!C114</f>
        <v>Beef cheese Burger + Lemon Tea</v>
      </c>
      <c r="D114" s="694"/>
      <c r="E114" s="694"/>
      <c r="F114" s="694"/>
      <c r="G114" s="694"/>
      <c r="H114" s="694"/>
      <c r="I114" s="694"/>
      <c r="J114" s="694"/>
      <c r="K114" s="694"/>
      <c r="L114" s="694"/>
      <c r="M114" s="694"/>
      <c r="N114" s="554">
        <f t="shared" si="26"/>
        <v>0</v>
      </c>
      <c r="O114" s="554">
        <f t="shared" si="27"/>
        <v>0</v>
      </c>
      <c r="P114" s="555">
        <f>(O114/O237)*100</f>
        <v>0</v>
      </c>
      <c r="Q114" s="567"/>
      <c r="R114" s="555">
        <f t="shared" si="28"/>
        <v>0</v>
      </c>
      <c r="S114" s="698"/>
      <c r="U114" s="696">
        <f t="shared" si="29"/>
        <v>0</v>
      </c>
      <c r="V114" s="696">
        <f t="shared" si="30"/>
        <v>0</v>
      </c>
      <c r="W114" s="696">
        <f t="shared" si="31"/>
        <v>0</v>
      </c>
      <c r="X114" s="696">
        <f t="shared" si="32"/>
        <v>0</v>
      </c>
      <c r="Y114" s="696">
        <f t="shared" si="33"/>
        <v>0</v>
      </c>
      <c r="Z114" s="696">
        <f t="shared" si="34"/>
        <v>0</v>
      </c>
      <c r="AA114" s="696">
        <f t="shared" si="35"/>
        <v>0</v>
      </c>
      <c r="AB114" s="696">
        <f t="shared" si="36"/>
        <v>0</v>
      </c>
      <c r="AC114" s="696">
        <f t="shared" si="37"/>
        <v>0</v>
      </c>
      <c r="AD114" s="696">
        <f t="shared" si="38"/>
        <v>0</v>
      </c>
      <c r="AE114" s="699"/>
    </row>
    <row r="115" spans="1:31" ht="25.15" customHeight="1">
      <c r="A115" s="543">
        <v>93</v>
      </c>
      <c r="B115" s="546"/>
      <c r="C115" s="541" t="str">
        <f>'LAP. PENJUALAN '!C115</f>
        <v>Beef Steak</v>
      </c>
      <c r="D115" s="694"/>
      <c r="E115" s="694"/>
      <c r="F115" s="694"/>
      <c r="G115" s="694"/>
      <c r="H115" s="694"/>
      <c r="I115" s="694"/>
      <c r="J115" s="694"/>
      <c r="K115" s="694"/>
      <c r="L115" s="694"/>
      <c r="M115" s="694"/>
      <c r="N115" s="554">
        <f t="shared" si="26"/>
        <v>0</v>
      </c>
      <c r="O115" s="554">
        <f t="shared" si="27"/>
        <v>0</v>
      </c>
      <c r="P115" s="555">
        <f>(O115/O237)*100</f>
        <v>0</v>
      </c>
      <c r="Q115" s="567"/>
      <c r="R115" s="555">
        <f t="shared" si="28"/>
        <v>0</v>
      </c>
      <c r="S115" s="698"/>
      <c r="U115" s="696">
        <f t="shared" si="29"/>
        <v>0</v>
      </c>
      <c r="V115" s="696">
        <f t="shared" si="30"/>
        <v>0</v>
      </c>
      <c r="W115" s="696">
        <f t="shared" si="31"/>
        <v>0</v>
      </c>
      <c r="X115" s="696">
        <f t="shared" si="32"/>
        <v>0</v>
      </c>
      <c r="Y115" s="696">
        <f t="shared" si="33"/>
        <v>0</v>
      </c>
      <c r="Z115" s="696">
        <f t="shared" si="34"/>
        <v>0</v>
      </c>
      <c r="AA115" s="696">
        <f t="shared" si="35"/>
        <v>0</v>
      </c>
      <c r="AB115" s="696">
        <f t="shared" si="36"/>
        <v>0</v>
      </c>
      <c r="AC115" s="696">
        <f t="shared" si="37"/>
        <v>0</v>
      </c>
      <c r="AD115" s="696">
        <f t="shared" si="38"/>
        <v>0</v>
      </c>
      <c r="AE115" s="699"/>
    </row>
    <row r="116" spans="1:31" ht="25.15" customHeight="1">
      <c r="A116" s="543">
        <v>94</v>
      </c>
      <c r="B116" s="546"/>
      <c r="C116" s="541" t="str">
        <f>'LAP. PENJUALAN '!C116</f>
        <v>Beef Steak + Lemon Tea</v>
      </c>
      <c r="D116" s="694"/>
      <c r="E116" s="694"/>
      <c r="F116" s="694"/>
      <c r="G116" s="694"/>
      <c r="H116" s="694"/>
      <c r="I116" s="694"/>
      <c r="J116" s="694"/>
      <c r="K116" s="694"/>
      <c r="L116" s="694"/>
      <c r="M116" s="694"/>
      <c r="N116" s="554">
        <f t="shared" si="26"/>
        <v>0</v>
      </c>
      <c r="O116" s="554">
        <f t="shared" si="27"/>
        <v>0</v>
      </c>
      <c r="P116" s="555">
        <f>(O116/O237)*100</f>
        <v>0</v>
      </c>
      <c r="Q116" s="567"/>
      <c r="R116" s="555">
        <f t="shared" si="28"/>
        <v>0</v>
      </c>
      <c r="S116" s="698"/>
      <c r="U116" s="696">
        <f t="shared" si="29"/>
        <v>0</v>
      </c>
      <c r="V116" s="696">
        <f t="shared" si="30"/>
        <v>0</v>
      </c>
      <c r="W116" s="696">
        <f t="shared" si="31"/>
        <v>0</v>
      </c>
      <c r="X116" s="696">
        <f t="shared" si="32"/>
        <v>0</v>
      </c>
      <c r="Y116" s="696">
        <f t="shared" si="33"/>
        <v>0</v>
      </c>
      <c r="Z116" s="696">
        <f t="shared" si="34"/>
        <v>0</v>
      </c>
      <c r="AA116" s="696">
        <f t="shared" si="35"/>
        <v>0</v>
      </c>
      <c r="AB116" s="696">
        <f t="shared" si="36"/>
        <v>0</v>
      </c>
      <c r="AC116" s="696">
        <f t="shared" si="37"/>
        <v>0</v>
      </c>
      <c r="AD116" s="696">
        <f t="shared" si="38"/>
        <v>0</v>
      </c>
      <c r="AE116" s="699"/>
    </row>
    <row r="117" spans="1:31" ht="25.15" customHeight="1">
      <c r="A117" s="543">
        <v>95</v>
      </c>
      <c r="B117" s="546"/>
      <c r="C117" s="541" t="str">
        <f>'LAP. PENJUALAN '!C117</f>
        <v>Beef Steak + Lemon Tea + Nasi</v>
      </c>
      <c r="D117" s="694"/>
      <c r="E117" s="694"/>
      <c r="F117" s="694"/>
      <c r="G117" s="694"/>
      <c r="H117" s="694"/>
      <c r="I117" s="694"/>
      <c r="J117" s="694"/>
      <c r="K117" s="694"/>
      <c r="L117" s="694"/>
      <c r="M117" s="694"/>
      <c r="N117" s="554">
        <f t="shared" si="26"/>
        <v>0</v>
      </c>
      <c r="O117" s="554">
        <f t="shared" si="27"/>
        <v>0</v>
      </c>
      <c r="P117" s="555">
        <f>(O117/O237)*100</f>
        <v>0</v>
      </c>
      <c r="Q117" s="567"/>
      <c r="R117" s="555">
        <f t="shared" si="28"/>
        <v>0</v>
      </c>
      <c r="S117" s="698"/>
      <c r="U117" s="696">
        <f t="shared" si="29"/>
        <v>0</v>
      </c>
      <c r="V117" s="696">
        <f t="shared" si="30"/>
        <v>0</v>
      </c>
      <c r="W117" s="696">
        <f t="shared" si="31"/>
        <v>0</v>
      </c>
      <c r="X117" s="696">
        <f t="shared" si="32"/>
        <v>0</v>
      </c>
      <c r="Y117" s="696">
        <f t="shared" si="33"/>
        <v>0</v>
      </c>
      <c r="Z117" s="696">
        <f t="shared" si="34"/>
        <v>0</v>
      </c>
      <c r="AA117" s="696">
        <f t="shared" si="35"/>
        <v>0</v>
      </c>
      <c r="AB117" s="696">
        <f t="shared" si="36"/>
        <v>0</v>
      </c>
      <c r="AC117" s="696">
        <f t="shared" si="37"/>
        <v>0</v>
      </c>
      <c r="AD117" s="696">
        <f t="shared" si="38"/>
        <v>0</v>
      </c>
      <c r="AE117" s="699"/>
    </row>
    <row r="118" spans="1:31" ht="25.15" customHeight="1">
      <c r="A118" s="543"/>
      <c r="B118" s="546"/>
      <c r="C118" s="541"/>
      <c r="D118" s="694"/>
      <c r="E118" s="694"/>
      <c r="F118" s="694"/>
      <c r="G118" s="694"/>
      <c r="H118" s="694"/>
      <c r="I118" s="694"/>
      <c r="J118" s="694"/>
      <c r="K118" s="694"/>
      <c r="L118" s="694"/>
      <c r="M118" s="694"/>
      <c r="N118" s="554">
        <f t="shared" si="26"/>
        <v>0</v>
      </c>
      <c r="O118" s="554">
        <f t="shared" si="27"/>
        <v>0</v>
      </c>
      <c r="P118" s="555">
        <f>(O118/O237)*100</f>
        <v>0</v>
      </c>
      <c r="Q118" s="567"/>
      <c r="R118" s="555">
        <f t="shared" si="28"/>
        <v>0</v>
      </c>
      <c r="S118" s="698"/>
      <c r="U118" s="696">
        <f t="shared" si="29"/>
        <v>0</v>
      </c>
      <c r="V118" s="696">
        <f t="shared" si="30"/>
        <v>0</v>
      </c>
      <c r="W118" s="696">
        <f t="shared" si="31"/>
        <v>0</v>
      </c>
      <c r="X118" s="696">
        <f t="shared" si="32"/>
        <v>0</v>
      </c>
      <c r="Y118" s="696">
        <f t="shared" si="33"/>
        <v>0</v>
      </c>
      <c r="Z118" s="696">
        <f t="shared" si="34"/>
        <v>0</v>
      </c>
      <c r="AA118" s="696">
        <f t="shared" si="35"/>
        <v>0</v>
      </c>
      <c r="AB118" s="696">
        <f t="shared" si="36"/>
        <v>0</v>
      </c>
      <c r="AC118" s="696">
        <f t="shared" si="37"/>
        <v>0</v>
      </c>
      <c r="AD118" s="696">
        <f t="shared" si="38"/>
        <v>0</v>
      </c>
      <c r="AE118" s="699"/>
    </row>
    <row r="119" spans="1:31" ht="25.15" customHeight="1">
      <c r="A119" s="543">
        <v>96</v>
      </c>
      <c r="B119" s="546"/>
      <c r="C119" s="541" t="str">
        <f>'LAP. PENJUALAN '!C119</f>
        <v>Dada / Paha Atas Hot Spicy</v>
      </c>
      <c r="D119" s="694"/>
      <c r="E119" s="694"/>
      <c r="F119" s="694"/>
      <c r="G119" s="694"/>
      <c r="H119" s="694"/>
      <c r="I119" s="694"/>
      <c r="J119" s="694"/>
      <c r="K119" s="694"/>
      <c r="L119" s="694"/>
      <c r="M119" s="694"/>
      <c r="N119" s="554">
        <f t="shared" si="26"/>
        <v>0</v>
      </c>
      <c r="O119" s="554">
        <f t="shared" si="27"/>
        <v>0</v>
      </c>
      <c r="P119" s="555">
        <f>(O119/O237)*100</f>
        <v>0</v>
      </c>
      <c r="Q119" s="567"/>
      <c r="R119" s="555">
        <f t="shared" si="28"/>
        <v>0</v>
      </c>
      <c r="S119" s="697">
        <v>21333</v>
      </c>
      <c r="U119" s="696">
        <f t="shared" si="29"/>
        <v>0</v>
      </c>
      <c r="V119" s="696">
        <f t="shared" si="30"/>
        <v>0</v>
      </c>
      <c r="W119" s="696">
        <f t="shared" si="31"/>
        <v>0</v>
      </c>
      <c r="X119" s="696">
        <f t="shared" si="32"/>
        <v>0</v>
      </c>
      <c r="Y119" s="696">
        <f t="shared" si="33"/>
        <v>0</v>
      </c>
      <c r="Z119" s="696">
        <f t="shared" si="34"/>
        <v>0</v>
      </c>
      <c r="AA119" s="696">
        <f t="shared" si="35"/>
        <v>0</v>
      </c>
      <c r="AB119" s="696">
        <f t="shared" si="36"/>
        <v>0</v>
      </c>
      <c r="AC119" s="696">
        <f t="shared" si="37"/>
        <v>0</v>
      </c>
      <c r="AD119" s="696">
        <f t="shared" si="38"/>
        <v>0</v>
      </c>
      <c r="AE119" s="699"/>
    </row>
    <row r="120" spans="1:31" ht="25.15" customHeight="1">
      <c r="A120" s="543">
        <v>97</v>
      </c>
      <c r="B120" s="546"/>
      <c r="C120" s="541" t="str">
        <f>'LAP. PENJUALAN '!C120</f>
        <v>Paha Bawah Hot Spicy</v>
      </c>
      <c r="D120" s="694"/>
      <c r="E120" s="694"/>
      <c r="F120" s="694"/>
      <c r="G120" s="694"/>
      <c r="H120" s="694"/>
      <c r="I120" s="694"/>
      <c r="J120" s="694"/>
      <c r="K120" s="694"/>
      <c r="L120" s="694"/>
      <c r="M120" s="694"/>
      <c r="N120" s="554">
        <f t="shared" si="26"/>
        <v>0</v>
      </c>
      <c r="O120" s="554">
        <f t="shared" si="27"/>
        <v>0</v>
      </c>
      <c r="P120" s="555">
        <f>(O120/O237)*100</f>
        <v>0</v>
      </c>
      <c r="Q120" s="567"/>
      <c r="R120" s="555">
        <f t="shared" si="28"/>
        <v>0</v>
      </c>
      <c r="S120" s="697">
        <v>28000</v>
      </c>
      <c r="U120" s="696">
        <f t="shared" si="29"/>
        <v>0</v>
      </c>
      <c r="V120" s="696">
        <f t="shared" si="30"/>
        <v>0</v>
      </c>
      <c r="W120" s="696">
        <f t="shared" si="31"/>
        <v>0</v>
      </c>
      <c r="X120" s="696">
        <f t="shared" si="32"/>
        <v>0</v>
      </c>
      <c r="Y120" s="696">
        <f t="shared" si="33"/>
        <v>0</v>
      </c>
      <c r="Z120" s="696">
        <f t="shared" si="34"/>
        <v>0</v>
      </c>
      <c r="AA120" s="696">
        <f t="shared" si="35"/>
        <v>0</v>
      </c>
      <c r="AB120" s="696">
        <f t="shared" si="36"/>
        <v>0</v>
      </c>
      <c r="AC120" s="696">
        <f t="shared" si="37"/>
        <v>0</v>
      </c>
      <c r="AD120" s="696">
        <f t="shared" si="38"/>
        <v>0</v>
      </c>
      <c r="AE120" s="699"/>
    </row>
    <row r="121" spans="1:31" ht="25.15" customHeight="1">
      <c r="A121" s="543">
        <v>98</v>
      </c>
      <c r="B121" s="546"/>
      <c r="C121" s="541" t="str">
        <f>'LAP. PENJUALAN '!C121</f>
        <v>Sayap Hot Spicy</v>
      </c>
      <c r="D121" s="694"/>
      <c r="E121" s="694"/>
      <c r="F121" s="694"/>
      <c r="G121" s="694"/>
      <c r="H121" s="694"/>
      <c r="I121" s="694"/>
      <c r="J121" s="694"/>
      <c r="K121" s="694"/>
      <c r="L121" s="694"/>
      <c r="M121" s="694"/>
      <c r="N121" s="554">
        <f t="shared" si="26"/>
        <v>0</v>
      </c>
      <c r="O121" s="554">
        <f t="shared" si="27"/>
        <v>0</v>
      </c>
      <c r="P121" s="555">
        <f>(O121/O237)*100</f>
        <v>0</v>
      </c>
      <c r="Q121" s="567"/>
      <c r="R121" s="555">
        <f t="shared" si="28"/>
        <v>0</v>
      </c>
      <c r="S121" s="697">
        <v>16000</v>
      </c>
      <c r="U121" s="696">
        <f t="shared" si="29"/>
        <v>0</v>
      </c>
      <c r="V121" s="696">
        <f t="shared" si="30"/>
        <v>0</v>
      </c>
      <c r="W121" s="696">
        <f t="shared" si="31"/>
        <v>0</v>
      </c>
      <c r="X121" s="696">
        <f t="shared" si="32"/>
        <v>0</v>
      </c>
      <c r="Y121" s="696">
        <f t="shared" si="33"/>
        <v>0</v>
      </c>
      <c r="Z121" s="696">
        <f t="shared" si="34"/>
        <v>0</v>
      </c>
      <c r="AA121" s="696">
        <f t="shared" si="35"/>
        <v>0</v>
      </c>
      <c r="AB121" s="696">
        <f t="shared" si="36"/>
        <v>0</v>
      </c>
      <c r="AC121" s="696">
        <f t="shared" si="37"/>
        <v>0</v>
      </c>
      <c r="AD121" s="696">
        <f t="shared" si="38"/>
        <v>0</v>
      </c>
      <c r="AE121" s="699"/>
    </row>
    <row r="122" spans="1:31" ht="25.15" customHeight="1">
      <c r="A122" s="543">
        <v>99</v>
      </c>
      <c r="B122" s="546"/>
      <c r="C122" s="541" t="str">
        <f>'LAP. PENJUALAN '!C122</f>
        <v>P. Hot Spicy 1 (Lemon Tea)</v>
      </c>
      <c r="D122" s="694"/>
      <c r="E122" s="694"/>
      <c r="F122" s="694"/>
      <c r="G122" s="694"/>
      <c r="H122" s="694"/>
      <c r="I122" s="694"/>
      <c r="J122" s="694"/>
      <c r="K122" s="694"/>
      <c r="L122" s="694"/>
      <c r="M122" s="694"/>
      <c r="N122" s="554">
        <f t="shared" si="26"/>
        <v>0</v>
      </c>
      <c r="O122" s="554">
        <f t="shared" si="27"/>
        <v>0</v>
      </c>
      <c r="P122" s="555">
        <f>(O122/O237)*100</f>
        <v>0</v>
      </c>
      <c r="Q122" s="567"/>
      <c r="R122" s="555">
        <f t="shared" si="28"/>
        <v>0</v>
      </c>
      <c r="S122" s="697">
        <v>26666</v>
      </c>
      <c r="U122" s="696">
        <f t="shared" si="29"/>
        <v>0</v>
      </c>
      <c r="V122" s="696">
        <f t="shared" si="30"/>
        <v>0</v>
      </c>
      <c r="W122" s="696">
        <f t="shared" si="31"/>
        <v>0</v>
      </c>
      <c r="X122" s="696">
        <f t="shared" si="32"/>
        <v>0</v>
      </c>
      <c r="Y122" s="696">
        <f t="shared" si="33"/>
        <v>0</v>
      </c>
      <c r="Z122" s="696">
        <f t="shared" si="34"/>
        <v>0</v>
      </c>
      <c r="AA122" s="696">
        <f t="shared" si="35"/>
        <v>0</v>
      </c>
      <c r="AB122" s="696">
        <f t="shared" si="36"/>
        <v>0</v>
      </c>
      <c r="AC122" s="696">
        <f t="shared" si="37"/>
        <v>0</v>
      </c>
      <c r="AD122" s="696">
        <f t="shared" si="38"/>
        <v>0</v>
      </c>
      <c r="AE122" s="699"/>
    </row>
    <row r="123" spans="1:31" ht="25.15" customHeight="1">
      <c r="A123" s="543">
        <v>100</v>
      </c>
      <c r="B123" s="546"/>
      <c r="C123" s="541" t="str">
        <f>'LAP. PENJUALAN '!C123</f>
        <v>P. Hot Spicy 2 (Lemon Tea)</v>
      </c>
      <c r="D123" s="694"/>
      <c r="E123" s="694"/>
      <c r="F123" s="694"/>
      <c r="G123" s="694"/>
      <c r="H123" s="694"/>
      <c r="I123" s="694"/>
      <c r="J123" s="694"/>
      <c r="K123" s="694"/>
      <c r="L123" s="694"/>
      <c r="M123" s="694"/>
      <c r="N123" s="554">
        <f t="shared" si="26"/>
        <v>0</v>
      </c>
      <c r="O123" s="554">
        <f t="shared" si="27"/>
        <v>0</v>
      </c>
      <c r="P123" s="555">
        <f>(O123/O237)*100</f>
        <v>0</v>
      </c>
      <c r="Q123" s="567"/>
      <c r="R123" s="555">
        <f t="shared" si="28"/>
        <v>0</v>
      </c>
      <c r="S123" s="697">
        <v>17333</v>
      </c>
      <c r="U123" s="696">
        <f t="shared" si="29"/>
        <v>0</v>
      </c>
      <c r="V123" s="696">
        <f t="shared" si="30"/>
        <v>0</v>
      </c>
      <c r="W123" s="696">
        <f t="shared" si="31"/>
        <v>0</v>
      </c>
      <c r="X123" s="696">
        <f t="shared" si="32"/>
        <v>0</v>
      </c>
      <c r="Y123" s="696">
        <f t="shared" si="33"/>
        <v>0</v>
      </c>
      <c r="Z123" s="696">
        <f t="shared" si="34"/>
        <v>0</v>
      </c>
      <c r="AA123" s="696">
        <f t="shared" si="35"/>
        <v>0</v>
      </c>
      <c r="AB123" s="696">
        <f t="shared" si="36"/>
        <v>0</v>
      </c>
      <c r="AC123" s="696">
        <f t="shared" si="37"/>
        <v>0</v>
      </c>
      <c r="AD123" s="696">
        <f t="shared" si="38"/>
        <v>0</v>
      </c>
      <c r="AE123" s="699"/>
    </row>
    <row r="124" spans="1:31" ht="25.15" customHeight="1">
      <c r="A124" s="543">
        <v>101</v>
      </c>
      <c r="B124" s="546"/>
      <c r="C124" s="541" t="str">
        <f>'LAP. PENJUALAN '!C124</f>
        <v>P. Hot Spicy 3 (Lemon Tea)</v>
      </c>
      <c r="D124" s="694"/>
      <c r="E124" s="694"/>
      <c r="F124" s="694"/>
      <c r="G124" s="694"/>
      <c r="H124" s="694"/>
      <c r="I124" s="694"/>
      <c r="J124" s="694"/>
      <c r="K124" s="694"/>
      <c r="L124" s="694"/>
      <c r="M124" s="694"/>
      <c r="N124" s="554">
        <f t="shared" si="26"/>
        <v>0</v>
      </c>
      <c r="O124" s="554">
        <f t="shared" si="27"/>
        <v>0</v>
      </c>
      <c r="P124" s="555">
        <f>(O124/O237)*100</f>
        <v>0</v>
      </c>
      <c r="Q124" s="567"/>
      <c r="R124" s="555">
        <f t="shared" si="28"/>
        <v>0</v>
      </c>
      <c r="S124" s="697">
        <v>21333</v>
      </c>
      <c r="U124" s="696">
        <f t="shared" si="29"/>
        <v>0</v>
      </c>
      <c r="V124" s="696">
        <f t="shared" si="30"/>
        <v>0</v>
      </c>
      <c r="W124" s="696">
        <f t="shared" si="31"/>
        <v>0</v>
      </c>
      <c r="X124" s="696">
        <f t="shared" si="32"/>
        <v>0</v>
      </c>
      <c r="Y124" s="696">
        <f t="shared" si="33"/>
        <v>0</v>
      </c>
      <c r="Z124" s="696">
        <f t="shared" si="34"/>
        <v>0</v>
      </c>
      <c r="AA124" s="696">
        <f t="shared" si="35"/>
        <v>0</v>
      </c>
      <c r="AB124" s="696">
        <f t="shared" si="36"/>
        <v>0</v>
      </c>
      <c r="AC124" s="696">
        <f t="shared" si="37"/>
        <v>0</v>
      </c>
      <c r="AD124" s="696">
        <f t="shared" si="38"/>
        <v>0</v>
      </c>
      <c r="AE124" s="699"/>
    </row>
    <row r="125" spans="1:31" ht="25.15" customHeight="1">
      <c r="A125" s="543">
        <v>102</v>
      </c>
      <c r="B125" s="546"/>
      <c r="C125" s="541" t="str">
        <f>'LAP. PENJUALAN '!C125</f>
        <v>P. Hot Spicy 1 Green Crispy (Es Teh / S-tee)</v>
      </c>
      <c r="D125" s="694"/>
      <c r="E125" s="694"/>
      <c r="F125" s="694"/>
      <c r="G125" s="694"/>
      <c r="H125" s="694"/>
      <c r="I125" s="694"/>
      <c r="J125" s="694"/>
      <c r="K125" s="694"/>
      <c r="L125" s="694"/>
      <c r="M125" s="694"/>
      <c r="N125" s="554">
        <f t="shared" si="26"/>
        <v>0</v>
      </c>
      <c r="O125" s="554">
        <f t="shared" si="27"/>
        <v>0</v>
      </c>
      <c r="P125" s="555">
        <f>(O125/O237)*100</f>
        <v>0</v>
      </c>
      <c r="Q125" s="567"/>
      <c r="R125" s="555">
        <f t="shared" si="28"/>
        <v>0</v>
      </c>
      <c r="S125" s="698"/>
      <c r="U125" s="696">
        <f t="shared" si="29"/>
        <v>0</v>
      </c>
      <c r="V125" s="696">
        <f t="shared" si="30"/>
        <v>0</v>
      </c>
      <c r="W125" s="696">
        <f t="shared" si="31"/>
        <v>0</v>
      </c>
      <c r="X125" s="696">
        <f t="shared" si="32"/>
        <v>0</v>
      </c>
      <c r="Y125" s="696">
        <f t="shared" si="33"/>
        <v>0</v>
      </c>
      <c r="Z125" s="696">
        <f t="shared" si="34"/>
        <v>0</v>
      </c>
      <c r="AA125" s="696">
        <f t="shared" si="35"/>
        <v>0</v>
      </c>
      <c r="AB125" s="696">
        <f t="shared" si="36"/>
        <v>0</v>
      </c>
      <c r="AC125" s="696">
        <f t="shared" si="37"/>
        <v>0</v>
      </c>
      <c r="AD125" s="696">
        <f t="shared" si="38"/>
        <v>0</v>
      </c>
      <c r="AE125" s="699"/>
    </row>
    <row r="126" spans="1:31" ht="25.15" customHeight="1">
      <c r="A126" s="543">
        <v>103</v>
      </c>
      <c r="B126" s="546"/>
      <c r="C126" s="541" t="str">
        <f>'LAP. PENJUALAN '!C126</f>
        <v>P. Hot Spicy 2 Green Crispy (Es Teh / S-tee)</v>
      </c>
      <c r="D126" s="694"/>
      <c r="E126" s="694"/>
      <c r="F126" s="694"/>
      <c r="G126" s="694"/>
      <c r="H126" s="694"/>
      <c r="I126" s="694"/>
      <c r="J126" s="694"/>
      <c r="K126" s="694"/>
      <c r="L126" s="694"/>
      <c r="M126" s="694"/>
      <c r="N126" s="554">
        <f t="shared" si="26"/>
        <v>0</v>
      </c>
      <c r="O126" s="554">
        <f t="shared" si="27"/>
        <v>0</v>
      </c>
      <c r="P126" s="555">
        <f>(O126/O237)*100</f>
        <v>0</v>
      </c>
      <c r="Q126" s="567"/>
      <c r="R126" s="555">
        <f t="shared" si="28"/>
        <v>0</v>
      </c>
      <c r="S126" s="698"/>
      <c r="U126" s="696">
        <f t="shared" si="29"/>
        <v>0</v>
      </c>
      <c r="V126" s="696">
        <f t="shared" si="30"/>
        <v>0</v>
      </c>
      <c r="W126" s="696">
        <f t="shared" si="31"/>
        <v>0</v>
      </c>
      <c r="X126" s="696">
        <f t="shared" si="32"/>
        <v>0</v>
      </c>
      <c r="Y126" s="696">
        <f t="shared" si="33"/>
        <v>0</v>
      </c>
      <c r="Z126" s="696">
        <f t="shared" si="34"/>
        <v>0</v>
      </c>
      <c r="AA126" s="696">
        <f t="shared" si="35"/>
        <v>0</v>
      </c>
      <c r="AB126" s="696">
        <f t="shared" si="36"/>
        <v>0</v>
      </c>
      <c r="AC126" s="696">
        <f t="shared" si="37"/>
        <v>0</v>
      </c>
      <c r="AD126" s="696">
        <f t="shared" si="38"/>
        <v>0</v>
      </c>
      <c r="AE126" s="699"/>
    </row>
    <row r="127" spans="1:31" ht="25.15" customHeight="1">
      <c r="A127" s="543">
        <v>104</v>
      </c>
      <c r="B127" s="546"/>
      <c r="C127" s="541" t="str">
        <f>'LAP. PENJUALAN '!C127</f>
        <v>P. Hot Spicy 3 Green Crispy (Es Teh / S-tee)</v>
      </c>
      <c r="D127" s="694"/>
      <c r="E127" s="694"/>
      <c r="F127" s="694"/>
      <c r="G127" s="694"/>
      <c r="H127" s="694"/>
      <c r="I127" s="694"/>
      <c r="J127" s="694"/>
      <c r="K127" s="694"/>
      <c r="L127" s="694"/>
      <c r="M127" s="694"/>
      <c r="N127" s="554">
        <f t="shared" si="26"/>
        <v>0</v>
      </c>
      <c r="O127" s="554">
        <f t="shared" si="27"/>
        <v>0</v>
      </c>
      <c r="P127" s="555">
        <f>(O127/O237)*100</f>
        <v>0</v>
      </c>
      <c r="Q127" s="567"/>
      <c r="R127" s="555">
        <f t="shared" si="28"/>
        <v>0</v>
      </c>
      <c r="S127" s="698"/>
      <c r="U127" s="696">
        <f t="shared" si="29"/>
        <v>0</v>
      </c>
      <c r="V127" s="696">
        <f t="shared" si="30"/>
        <v>0</v>
      </c>
      <c r="W127" s="696">
        <f t="shared" si="31"/>
        <v>0</v>
      </c>
      <c r="X127" s="696">
        <f t="shared" si="32"/>
        <v>0</v>
      </c>
      <c r="Y127" s="696">
        <f t="shared" si="33"/>
        <v>0</v>
      </c>
      <c r="Z127" s="696">
        <f t="shared" si="34"/>
        <v>0</v>
      </c>
      <c r="AA127" s="696">
        <f t="shared" si="35"/>
        <v>0</v>
      </c>
      <c r="AB127" s="696">
        <f t="shared" si="36"/>
        <v>0</v>
      </c>
      <c r="AC127" s="696">
        <f t="shared" si="37"/>
        <v>0</v>
      </c>
      <c r="AD127" s="696">
        <f t="shared" si="38"/>
        <v>0</v>
      </c>
      <c r="AE127" s="699"/>
    </row>
    <row r="128" spans="1:31" ht="25.15" customHeight="1">
      <c r="A128" s="543"/>
      <c r="B128" s="546"/>
      <c r="C128" s="541"/>
      <c r="D128" s="694"/>
      <c r="E128" s="694"/>
      <c r="F128" s="694"/>
      <c r="G128" s="694"/>
      <c r="H128" s="694"/>
      <c r="I128" s="694"/>
      <c r="J128" s="694"/>
      <c r="K128" s="694"/>
      <c r="L128" s="694"/>
      <c r="M128" s="694"/>
      <c r="N128" s="554">
        <f t="shared" si="26"/>
        <v>0</v>
      </c>
      <c r="O128" s="554">
        <f t="shared" si="27"/>
        <v>0</v>
      </c>
      <c r="P128" s="555">
        <f>(O128/O237)*100</f>
        <v>0</v>
      </c>
      <c r="Q128" s="567"/>
      <c r="R128" s="555">
        <f t="shared" si="28"/>
        <v>0</v>
      </c>
      <c r="S128" s="698"/>
      <c r="U128" s="696">
        <f t="shared" si="29"/>
        <v>0</v>
      </c>
      <c r="V128" s="696">
        <f t="shared" si="30"/>
        <v>0</v>
      </c>
      <c r="W128" s="696">
        <f t="shared" si="31"/>
        <v>0</v>
      </c>
      <c r="X128" s="696">
        <f t="shared" si="32"/>
        <v>0</v>
      </c>
      <c r="Y128" s="696">
        <f t="shared" si="33"/>
        <v>0</v>
      </c>
      <c r="Z128" s="696">
        <f t="shared" si="34"/>
        <v>0</v>
      </c>
      <c r="AA128" s="696">
        <f t="shared" si="35"/>
        <v>0</v>
      </c>
      <c r="AB128" s="696">
        <f t="shared" si="36"/>
        <v>0</v>
      </c>
      <c r="AC128" s="696">
        <f t="shared" si="37"/>
        <v>0</v>
      </c>
      <c r="AD128" s="696">
        <f t="shared" si="38"/>
        <v>0</v>
      </c>
      <c r="AE128" s="699"/>
    </row>
    <row r="129" spans="1:31" ht="25.15" customHeight="1">
      <c r="A129" s="543">
        <v>105</v>
      </c>
      <c r="B129" s="546"/>
      <c r="C129" s="541" t="str">
        <f>'LAP. PENJUALAN '!C129</f>
        <v>P. Hot Cheesy 1 Green Crispy  (Es Teh / S-tee)</v>
      </c>
      <c r="D129" s="694"/>
      <c r="E129" s="694"/>
      <c r="F129" s="694"/>
      <c r="G129" s="694"/>
      <c r="H129" s="694"/>
      <c r="I129" s="694"/>
      <c r="J129" s="694"/>
      <c r="K129" s="694"/>
      <c r="L129" s="694"/>
      <c r="M129" s="694"/>
      <c r="N129" s="554">
        <f t="shared" si="26"/>
        <v>0</v>
      </c>
      <c r="O129" s="554">
        <f t="shared" si="27"/>
        <v>0</v>
      </c>
      <c r="P129" s="555">
        <f>(O129/O237)*100</f>
        <v>0</v>
      </c>
      <c r="Q129" s="567"/>
      <c r="R129" s="555">
        <f t="shared" si="28"/>
        <v>0</v>
      </c>
      <c r="S129" s="698"/>
      <c r="U129" s="696">
        <f t="shared" si="29"/>
        <v>0</v>
      </c>
      <c r="V129" s="696">
        <f t="shared" si="30"/>
        <v>0</v>
      </c>
      <c r="W129" s="696">
        <f t="shared" si="31"/>
        <v>0</v>
      </c>
      <c r="X129" s="696">
        <f t="shared" si="32"/>
        <v>0</v>
      </c>
      <c r="Y129" s="696">
        <f t="shared" si="33"/>
        <v>0</v>
      </c>
      <c r="Z129" s="696">
        <f t="shared" si="34"/>
        <v>0</v>
      </c>
      <c r="AA129" s="696">
        <f t="shared" si="35"/>
        <v>0</v>
      </c>
      <c r="AB129" s="696">
        <f t="shared" si="36"/>
        <v>0</v>
      </c>
      <c r="AC129" s="696">
        <f t="shared" si="37"/>
        <v>0</v>
      </c>
      <c r="AD129" s="696">
        <f t="shared" si="38"/>
        <v>0</v>
      </c>
      <c r="AE129" s="699"/>
    </row>
    <row r="130" spans="1:31" ht="25.15" customHeight="1">
      <c r="A130" s="543">
        <v>106</v>
      </c>
      <c r="B130" s="546"/>
      <c r="C130" s="541" t="str">
        <f>'LAP. PENJUALAN '!C130</f>
        <v>P. Hot Cheesy 2 Green Crispy (Es Teh / S-tee)</v>
      </c>
      <c r="D130" s="694"/>
      <c r="E130" s="694"/>
      <c r="F130" s="694"/>
      <c r="G130" s="694"/>
      <c r="H130" s="694"/>
      <c r="I130" s="694"/>
      <c r="J130" s="694"/>
      <c r="K130" s="694"/>
      <c r="L130" s="694"/>
      <c r="M130" s="694"/>
      <c r="N130" s="554">
        <f t="shared" si="26"/>
        <v>0</v>
      </c>
      <c r="O130" s="554">
        <f t="shared" si="27"/>
        <v>0</v>
      </c>
      <c r="P130" s="555">
        <f>(O130/O237)*100</f>
        <v>0</v>
      </c>
      <c r="Q130" s="567"/>
      <c r="R130" s="555">
        <f t="shared" si="28"/>
        <v>0</v>
      </c>
      <c r="S130" s="698"/>
      <c r="U130" s="696">
        <f t="shared" si="29"/>
        <v>0</v>
      </c>
      <c r="V130" s="696">
        <f t="shared" si="30"/>
        <v>0</v>
      </c>
      <c r="W130" s="696">
        <f t="shared" si="31"/>
        <v>0</v>
      </c>
      <c r="X130" s="696">
        <f t="shared" si="32"/>
        <v>0</v>
      </c>
      <c r="Y130" s="696">
        <f t="shared" si="33"/>
        <v>0</v>
      </c>
      <c r="Z130" s="696">
        <f t="shared" si="34"/>
        <v>0</v>
      </c>
      <c r="AA130" s="696">
        <f t="shared" si="35"/>
        <v>0</v>
      </c>
      <c r="AB130" s="696">
        <f t="shared" si="36"/>
        <v>0</v>
      </c>
      <c r="AC130" s="696">
        <f t="shared" si="37"/>
        <v>0</v>
      </c>
      <c r="AD130" s="696">
        <f t="shared" si="38"/>
        <v>0</v>
      </c>
      <c r="AE130" s="699"/>
    </row>
    <row r="131" spans="1:31" ht="25.15" customHeight="1">
      <c r="A131" s="543">
        <v>107</v>
      </c>
      <c r="B131" s="546"/>
      <c r="C131" s="541" t="str">
        <f>'LAP. PENJUALAN '!C131</f>
        <v>P. Hot Cheesy 3 Green Crispy (Es Teh / S-tee)</v>
      </c>
      <c r="D131" s="694"/>
      <c r="E131" s="694"/>
      <c r="F131" s="694"/>
      <c r="G131" s="694"/>
      <c r="H131" s="694"/>
      <c r="I131" s="694"/>
      <c r="J131" s="694"/>
      <c r="K131" s="694"/>
      <c r="L131" s="694"/>
      <c r="M131" s="694"/>
      <c r="N131" s="554">
        <f t="shared" si="26"/>
        <v>0</v>
      </c>
      <c r="O131" s="554">
        <f t="shared" si="27"/>
        <v>0</v>
      </c>
      <c r="P131" s="555">
        <f>(O131/O237)*100</f>
        <v>0</v>
      </c>
      <c r="Q131" s="567"/>
      <c r="R131" s="555">
        <f t="shared" si="28"/>
        <v>0</v>
      </c>
      <c r="S131" s="698"/>
      <c r="U131" s="696">
        <f t="shared" si="29"/>
        <v>0</v>
      </c>
      <c r="V131" s="696">
        <f t="shared" si="30"/>
        <v>0</v>
      </c>
      <c r="W131" s="696">
        <f t="shared" si="31"/>
        <v>0</v>
      </c>
      <c r="X131" s="696">
        <f t="shared" si="32"/>
        <v>0</v>
      </c>
      <c r="Y131" s="696">
        <f t="shared" si="33"/>
        <v>0</v>
      </c>
      <c r="Z131" s="696">
        <f t="shared" si="34"/>
        <v>0</v>
      </c>
      <c r="AA131" s="696">
        <f t="shared" si="35"/>
        <v>0</v>
      </c>
      <c r="AB131" s="696">
        <f t="shared" si="36"/>
        <v>0</v>
      </c>
      <c r="AC131" s="696">
        <f t="shared" si="37"/>
        <v>0</v>
      </c>
      <c r="AD131" s="696">
        <f t="shared" si="38"/>
        <v>0</v>
      </c>
      <c r="AE131" s="699"/>
    </row>
    <row r="132" spans="1:31" ht="25.15" customHeight="1">
      <c r="A132" s="543">
        <v>108</v>
      </c>
      <c r="B132" s="546"/>
      <c r="C132" s="541" t="str">
        <f>'LAP. PENJUALAN '!C132</f>
        <v>Green Crispy</v>
      </c>
      <c r="D132" s="694"/>
      <c r="E132" s="694"/>
      <c r="F132" s="694"/>
      <c r="G132" s="694"/>
      <c r="H132" s="694"/>
      <c r="I132" s="694"/>
      <c r="J132" s="694"/>
      <c r="K132" s="694"/>
      <c r="L132" s="694"/>
      <c r="M132" s="694"/>
      <c r="N132" s="554">
        <f t="shared" si="26"/>
        <v>0</v>
      </c>
      <c r="O132" s="554">
        <f t="shared" si="27"/>
        <v>0</v>
      </c>
      <c r="P132" s="555">
        <f>(O132/O237)*100</f>
        <v>0</v>
      </c>
      <c r="Q132" s="567"/>
      <c r="R132" s="555">
        <f t="shared" si="28"/>
        <v>0</v>
      </c>
      <c r="S132" s="698"/>
      <c r="U132" s="696">
        <f t="shared" si="29"/>
        <v>0</v>
      </c>
      <c r="V132" s="696">
        <f t="shared" si="30"/>
        <v>0</v>
      </c>
      <c r="W132" s="696">
        <f t="shared" si="31"/>
        <v>0</v>
      </c>
      <c r="X132" s="696">
        <f t="shared" si="32"/>
        <v>0</v>
      </c>
      <c r="Y132" s="696">
        <f t="shared" si="33"/>
        <v>0</v>
      </c>
      <c r="Z132" s="696">
        <f t="shared" si="34"/>
        <v>0</v>
      </c>
      <c r="AA132" s="696">
        <f t="shared" si="35"/>
        <v>0</v>
      </c>
      <c r="AB132" s="696">
        <f t="shared" si="36"/>
        <v>0</v>
      </c>
      <c r="AC132" s="696">
        <f t="shared" si="37"/>
        <v>0</v>
      </c>
      <c r="AD132" s="696">
        <f t="shared" si="38"/>
        <v>0</v>
      </c>
      <c r="AE132" s="699"/>
    </row>
    <row r="133" spans="1:31" ht="25.15" customHeight="1">
      <c r="A133" s="543"/>
      <c r="B133" s="546"/>
      <c r="C133" s="541"/>
      <c r="D133" s="694"/>
      <c r="E133" s="694"/>
      <c r="F133" s="694"/>
      <c r="G133" s="694"/>
      <c r="H133" s="694"/>
      <c r="I133" s="694"/>
      <c r="J133" s="694"/>
      <c r="K133" s="694"/>
      <c r="L133" s="694"/>
      <c r="M133" s="694"/>
      <c r="N133" s="554">
        <f t="shared" si="26"/>
        <v>0</v>
      </c>
      <c r="O133" s="554">
        <f t="shared" si="27"/>
        <v>0</v>
      </c>
      <c r="P133" s="555">
        <f>(O133/O237)*100</f>
        <v>0</v>
      </c>
      <c r="Q133" s="567"/>
      <c r="R133" s="555">
        <f t="shared" si="28"/>
        <v>0</v>
      </c>
      <c r="S133" s="698"/>
      <c r="U133" s="696">
        <f t="shared" si="29"/>
        <v>0</v>
      </c>
      <c r="V133" s="696">
        <f t="shared" si="30"/>
        <v>0</v>
      </c>
      <c r="W133" s="696">
        <f t="shared" si="31"/>
        <v>0</v>
      </c>
      <c r="X133" s="696">
        <f t="shared" si="32"/>
        <v>0</v>
      </c>
      <c r="Y133" s="696">
        <f t="shared" si="33"/>
        <v>0</v>
      </c>
      <c r="Z133" s="696">
        <f t="shared" si="34"/>
        <v>0</v>
      </c>
      <c r="AA133" s="696">
        <f t="shared" si="35"/>
        <v>0</v>
      </c>
      <c r="AB133" s="696">
        <f t="shared" si="36"/>
        <v>0</v>
      </c>
      <c r="AC133" s="696">
        <f t="shared" si="37"/>
        <v>0</v>
      </c>
      <c r="AD133" s="696">
        <f t="shared" si="38"/>
        <v>0</v>
      </c>
      <c r="AE133" s="699"/>
    </row>
    <row r="134" spans="1:31" ht="25.15" customHeight="1">
      <c r="A134" s="543">
        <v>109</v>
      </c>
      <c r="B134" s="546"/>
      <c r="C134" s="541" t="str">
        <f>'LAP. PENJUALAN '!C134</f>
        <v>Paket Bucket 1</v>
      </c>
      <c r="D134" s="694"/>
      <c r="E134" s="694"/>
      <c r="F134" s="694"/>
      <c r="G134" s="694"/>
      <c r="H134" s="694"/>
      <c r="I134" s="694"/>
      <c r="J134" s="694"/>
      <c r="K134" s="694"/>
      <c r="L134" s="694"/>
      <c r="M134" s="694"/>
      <c r="N134" s="554">
        <f t="shared" si="26"/>
        <v>0</v>
      </c>
      <c r="O134" s="554">
        <f t="shared" si="27"/>
        <v>0</v>
      </c>
      <c r="P134" s="555">
        <f>(O134/O237)*100</f>
        <v>0</v>
      </c>
      <c r="Q134" s="567"/>
      <c r="R134" s="555">
        <f t="shared" si="28"/>
        <v>0</v>
      </c>
      <c r="S134" s="698"/>
      <c r="U134" s="696">
        <f t="shared" si="29"/>
        <v>0</v>
      </c>
      <c r="V134" s="696">
        <f t="shared" si="30"/>
        <v>0</v>
      </c>
      <c r="W134" s="696">
        <f t="shared" si="31"/>
        <v>0</v>
      </c>
      <c r="X134" s="696">
        <f t="shared" si="32"/>
        <v>0</v>
      </c>
      <c r="Y134" s="696">
        <f t="shared" si="33"/>
        <v>0</v>
      </c>
      <c r="Z134" s="696">
        <f t="shared" si="34"/>
        <v>0</v>
      </c>
      <c r="AA134" s="696">
        <f t="shared" si="35"/>
        <v>0</v>
      </c>
      <c r="AB134" s="696">
        <f t="shared" si="36"/>
        <v>0</v>
      </c>
      <c r="AC134" s="696">
        <f t="shared" si="37"/>
        <v>0</v>
      </c>
      <c r="AD134" s="696">
        <f t="shared" si="38"/>
        <v>0</v>
      </c>
      <c r="AE134" s="699"/>
    </row>
    <row r="135" spans="1:31" ht="25.15" customHeight="1">
      <c r="A135" s="543">
        <v>110</v>
      </c>
      <c r="B135" s="546"/>
      <c r="C135" s="541" t="str">
        <f>'LAP. PENJUALAN '!C135</f>
        <v>Paket Bucket 2</v>
      </c>
      <c r="D135" s="694"/>
      <c r="E135" s="694"/>
      <c r="F135" s="694"/>
      <c r="G135" s="694"/>
      <c r="H135" s="694"/>
      <c r="I135" s="694"/>
      <c r="J135" s="694"/>
      <c r="K135" s="694"/>
      <c r="L135" s="694"/>
      <c r="M135" s="694"/>
      <c r="N135" s="554">
        <f t="shared" si="26"/>
        <v>0</v>
      </c>
      <c r="O135" s="554">
        <f t="shared" si="27"/>
        <v>0</v>
      </c>
      <c r="P135" s="555">
        <f>(O135/O237)*100</f>
        <v>0</v>
      </c>
      <c r="Q135" s="567"/>
      <c r="R135" s="555">
        <f t="shared" si="28"/>
        <v>0</v>
      </c>
      <c r="S135" s="698"/>
      <c r="U135" s="696">
        <f t="shared" si="29"/>
        <v>0</v>
      </c>
      <c r="V135" s="696">
        <f t="shared" si="30"/>
        <v>0</v>
      </c>
      <c r="W135" s="696">
        <f t="shared" si="31"/>
        <v>0</v>
      </c>
      <c r="X135" s="696">
        <f t="shared" si="32"/>
        <v>0</v>
      </c>
      <c r="Y135" s="696">
        <f t="shared" si="33"/>
        <v>0</v>
      </c>
      <c r="Z135" s="696">
        <f t="shared" si="34"/>
        <v>0</v>
      </c>
      <c r="AA135" s="696">
        <f t="shared" si="35"/>
        <v>0</v>
      </c>
      <c r="AB135" s="696">
        <f t="shared" si="36"/>
        <v>0</v>
      </c>
      <c r="AC135" s="696">
        <f t="shared" si="37"/>
        <v>0</v>
      </c>
      <c r="AD135" s="696">
        <f t="shared" si="38"/>
        <v>0</v>
      </c>
      <c r="AE135" s="699"/>
    </row>
    <row r="136" spans="1:31" ht="25.15" customHeight="1">
      <c r="A136" s="543">
        <v>111</v>
      </c>
      <c r="B136" s="546"/>
      <c r="C136" s="541" t="str">
        <f>'LAP. PENJUALAN '!C136</f>
        <v>Paket Bucket 3</v>
      </c>
      <c r="D136" s="694"/>
      <c r="E136" s="694"/>
      <c r="F136" s="694"/>
      <c r="G136" s="694"/>
      <c r="H136" s="694"/>
      <c r="I136" s="694"/>
      <c r="J136" s="694"/>
      <c r="K136" s="694"/>
      <c r="L136" s="694"/>
      <c r="M136" s="694"/>
      <c r="N136" s="554">
        <f t="shared" si="26"/>
        <v>0</v>
      </c>
      <c r="O136" s="554">
        <f t="shared" si="27"/>
        <v>0</v>
      </c>
      <c r="P136" s="555">
        <f>(O136/O237)*100</f>
        <v>0</v>
      </c>
      <c r="Q136" s="567"/>
      <c r="R136" s="555">
        <f t="shared" si="28"/>
        <v>0</v>
      </c>
      <c r="S136" s="698"/>
      <c r="U136" s="696">
        <f t="shared" si="29"/>
        <v>0</v>
      </c>
      <c r="V136" s="696">
        <f t="shared" si="30"/>
        <v>0</v>
      </c>
      <c r="W136" s="696">
        <f t="shared" si="31"/>
        <v>0</v>
      </c>
      <c r="X136" s="696">
        <f t="shared" si="32"/>
        <v>0</v>
      </c>
      <c r="Y136" s="696">
        <f t="shared" si="33"/>
        <v>0</v>
      </c>
      <c r="Z136" s="696">
        <f t="shared" si="34"/>
        <v>0</v>
      </c>
      <c r="AA136" s="696">
        <f t="shared" si="35"/>
        <v>0</v>
      </c>
      <c r="AB136" s="696">
        <f t="shared" si="36"/>
        <v>0</v>
      </c>
      <c r="AC136" s="696">
        <f t="shared" si="37"/>
        <v>0</v>
      </c>
      <c r="AD136" s="696">
        <f t="shared" si="38"/>
        <v>0</v>
      </c>
      <c r="AE136" s="699"/>
    </row>
    <row r="137" spans="1:31" ht="25.15" customHeight="1">
      <c r="A137" s="543">
        <v>112</v>
      </c>
      <c r="B137" s="546"/>
      <c r="C137" s="541" t="str">
        <f>'LAP. PENJUALAN '!C137</f>
        <v>Paket Bucket 4 (Sambal Geprek)</v>
      </c>
      <c r="D137" s="694"/>
      <c r="E137" s="694"/>
      <c r="F137" s="694"/>
      <c r="G137" s="694"/>
      <c r="H137" s="694"/>
      <c r="I137" s="694"/>
      <c r="J137" s="694"/>
      <c r="K137" s="694"/>
      <c r="L137" s="694"/>
      <c r="M137" s="694"/>
      <c r="N137" s="554">
        <f t="shared" si="26"/>
        <v>0</v>
      </c>
      <c r="O137" s="554">
        <f t="shared" si="27"/>
        <v>0</v>
      </c>
      <c r="P137" s="555">
        <f>(O137/O237)*100</f>
        <v>0</v>
      </c>
      <c r="Q137" s="567"/>
      <c r="R137" s="555">
        <f t="shared" si="28"/>
        <v>0</v>
      </c>
      <c r="S137" s="698"/>
      <c r="U137" s="696">
        <f t="shared" si="29"/>
        <v>0</v>
      </c>
      <c r="V137" s="696">
        <f t="shared" si="30"/>
        <v>0</v>
      </c>
      <c r="W137" s="696">
        <f t="shared" si="31"/>
        <v>0</v>
      </c>
      <c r="X137" s="696">
        <f t="shared" si="32"/>
        <v>0</v>
      </c>
      <c r="Y137" s="696">
        <f t="shared" si="33"/>
        <v>0</v>
      </c>
      <c r="Z137" s="696">
        <f t="shared" si="34"/>
        <v>0</v>
      </c>
      <c r="AA137" s="696">
        <f t="shared" si="35"/>
        <v>0</v>
      </c>
      <c r="AB137" s="696">
        <f t="shared" si="36"/>
        <v>0</v>
      </c>
      <c r="AC137" s="696">
        <f t="shared" si="37"/>
        <v>0</v>
      </c>
      <c r="AD137" s="696">
        <f t="shared" si="38"/>
        <v>0</v>
      </c>
      <c r="AE137" s="699"/>
    </row>
    <row r="138" spans="1:31" ht="25.15" customHeight="1">
      <c r="A138" s="543">
        <v>113</v>
      </c>
      <c r="B138" s="546"/>
      <c r="C138" s="541" t="str">
        <f>'LAP. PENJUALAN '!C138</f>
        <v>Paket Bucket 4 (Hot Cheesy)</v>
      </c>
      <c r="D138" s="694"/>
      <c r="E138" s="694"/>
      <c r="F138" s="694"/>
      <c r="G138" s="694"/>
      <c r="H138" s="694"/>
      <c r="I138" s="694"/>
      <c r="J138" s="694"/>
      <c r="K138" s="694"/>
      <c r="L138" s="694"/>
      <c r="M138" s="694"/>
      <c r="N138" s="554">
        <f t="shared" si="26"/>
        <v>0</v>
      </c>
      <c r="O138" s="554">
        <f t="shared" si="27"/>
        <v>0</v>
      </c>
      <c r="P138" s="555">
        <f>(O138/O237)*100</f>
        <v>0</v>
      </c>
      <c r="Q138" s="567"/>
      <c r="R138" s="555">
        <f t="shared" si="28"/>
        <v>0</v>
      </c>
      <c r="S138" s="698"/>
      <c r="U138" s="696">
        <f t="shared" si="29"/>
        <v>0</v>
      </c>
      <c r="V138" s="696">
        <f t="shared" si="30"/>
        <v>0</v>
      </c>
      <c r="W138" s="696">
        <f t="shared" si="31"/>
        <v>0</v>
      </c>
      <c r="X138" s="696">
        <f t="shared" si="32"/>
        <v>0</v>
      </c>
      <c r="Y138" s="696">
        <f t="shared" si="33"/>
        <v>0</v>
      </c>
      <c r="Z138" s="696">
        <f t="shared" si="34"/>
        <v>0</v>
      </c>
      <c r="AA138" s="696">
        <f t="shared" si="35"/>
        <v>0</v>
      </c>
      <c r="AB138" s="696">
        <f t="shared" si="36"/>
        <v>0</v>
      </c>
      <c r="AC138" s="696">
        <f t="shared" si="37"/>
        <v>0</v>
      </c>
      <c r="AD138" s="696">
        <f t="shared" si="38"/>
        <v>0</v>
      </c>
      <c r="AE138" s="699"/>
    </row>
    <row r="139" spans="1:31" ht="25.15" customHeight="1">
      <c r="A139" s="543"/>
      <c r="B139" s="546"/>
      <c r="C139" s="541"/>
      <c r="D139" s="694"/>
      <c r="E139" s="694"/>
      <c r="F139" s="694"/>
      <c r="G139" s="694"/>
      <c r="H139" s="694"/>
      <c r="I139" s="694"/>
      <c r="J139" s="694"/>
      <c r="K139" s="694"/>
      <c r="L139" s="694"/>
      <c r="M139" s="694"/>
      <c r="N139" s="554">
        <f t="shared" si="26"/>
        <v>0</v>
      </c>
      <c r="O139" s="554">
        <f t="shared" si="27"/>
        <v>0</v>
      </c>
      <c r="P139" s="555">
        <f>(O139/O237)*100</f>
        <v>0</v>
      </c>
      <c r="Q139" s="567"/>
      <c r="R139" s="555">
        <f t="shared" si="28"/>
        <v>0</v>
      </c>
      <c r="S139" s="698"/>
      <c r="U139" s="696">
        <f t="shared" si="29"/>
        <v>0</v>
      </c>
      <c r="V139" s="696">
        <f t="shared" si="30"/>
        <v>0</v>
      </c>
      <c r="W139" s="696">
        <f t="shared" si="31"/>
        <v>0</v>
      </c>
      <c r="X139" s="696">
        <f t="shared" si="32"/>
        <v>0</v>
      </c>
      <c r="Y139" s="696">
        <f t="shared" si="33"/>
        <v>0</v>
      </c>
      <c r="Z139" s="696">
        <f t="shared" si="34"/>
        <v>0</v>
      </c>
      <c r="AA139" s="696">
        <f t="shared" si="35"/>
        <v>0</v>
      </c>
      <c r="AB139" s="696">
        <f t="shared" si="36"/>
        <v>0</v>
      </c>
      <c r="AC139" s="696">
        <f t="shared" si="37"/>
        <v>0</v>
      </c>
      <c r="AD139" s="696">
        <f t="shared" si="38"/>
        <v>0</v>
      </c>
      <c r="AE139" s="699"/>
    </row>
    <row r="140" spans="1:31" ht="25.15" customHeight="1">
      <c r="A140" s="543">
        <v>114</v>
      </c>
      <c r="B140" s="546"/>
      <c r="C140" s="541" t="str">
        <f>'LAP. PENJUALAN '!C140</f>
        <v>Paket Ultah 1</v>
      </c>
      <c r="D140" s="694"/>
      <c r="E140" s="694"/>
      <c r="F140" s="694"/>
      <c r="G140" s="694"/>
      <c r="H140" s="694"/>
      <c r="I140" s="694"/>
      <c r="J140" s="694"/>
      <c r="K140" s="694"/>
      <c r="L140" s="694"/>
      <c r="M140" s="694"/>
      <c r="N140" s="554">
        <f t="shared" si="26"/>
        <v>0</v>
      </c>
      <c r="O140" s="554">
        <f t="shared" si="27"/>
        <v>0</v>
      </c>
      <c r="P140" s="555">
        <f>(O140/O237)*100</f>
        <v>0</v>
      </c>
      <c r="Q140" s="567"/>
      <c r="R140" s="555">
        <f t="shared" si="28"/>
        <v>0</v>
      </c>
      <c r="S140" s="698"/>
      <c r="U140" s="696">
        <f t="shared" si="29"/>
        <v>0</v>
      </c>
      <c r="V140" s="696">
        <f t="shared" si="30"/>
        <v>0</v>
      </c>
      <c r="W140" s="696">
        <f t="shared" si="31"/>
        <v>0</v>
      </c>
      <c r="X140" s="696">
        <f t="shared" si="32"/>
        <v>0</v>
      </c>
      <c r="Y140" s="696">
        <f t="shared" si="33"/>
        <v>0</v>
      </c>
      <c r="Z140" s="696">
        <f t="shared" si="34"/>
        <v>0</v>
      </c>
      <c r="AA140" s="696">
        <f t="shared" si="35"/>
        <v>0</v>
      </c>
      <c r="AB140" s="696">
        <f t="shared" si="36"/>
        <v>0</v>
      </c>
      <c r="AC140" s="696">
        <f t="shared" si="37"/>
        <v>0</v>
      </c>
      <c r="AD140" s="696">
        <f t="shared" si="38"/>
        <v>0</v>
      </c>
      <c r="AE140" s="699"/>
    </row>
    <row r="141" spans="1:31" ht="25.15" customHeight="1">
      <c r="A141" s="543">
        <v>115</v>
      </c>
      <c r="B141" s="546"/>
      <c r="C141" s="541" t="str">
        <f>'LAP. PENJUALAN '!C141</f>
        <v>Paket Ultah 2</v>
      </c>
      <c r="D141" s="694"/>
      <c r="E141" s="694"/>
      <c r="F141" s="694"/>
      <c r="G141" s="694"/>
      <c r="H141" s="694"/>
      <c r="I141" s="694"/>
      <c r="J141" s="694"/>
      <c r="K141" s="694"/>
      <c r="L141" s="694"/>
      <c r="M141" s="694"/>
      <c r="N141" s="554">
        <f t="shared" si="26"/>
        <v>0</v>
      </c>
      <c r="O141" s="554">
        <f t="shared" si="27"/>
        <v>0</v>
      </c>
      <c r="P141" s="555">
        <f>(O141/O237)*100</f>
        <v>0</v>
      </c>
      <c r="Q141" s="567"/>
      <c r="R141" s="555">
        <f t="shared" si="28"/>
        <v>0</v>
      </c>
      <c r="S141" s="698"/>
      <c r="U141" s="696">
        <f t="shared" si="29"/>
        <v>0</v>
      </c>
      <c r="V141" s="696">
        <f t="shared" si="30"/>
        <v>0</v>
      </c>
      <c r="W141" s="696">
        <f t="shared" si="31"/>
        <v>0</v>
      </c>
      <c r="X141" s="696">
        <f t="shared" si="32"/>
        <v>0</v>
      </c>
      <c r="Y141" s="696">
        <f t="shared" si="33"/>
        <v>0</v>
      </c>
      <c r="Z141" s="696">
        <f t="shared" si="34"/>
        <v>0</v>
      </c>
      <c r="AA141" s="696">
        <f t="shared" si="35"/>
        <v>0</v>
      </c>
      <c r="AB141" s="696">
        <f t="shared" si="36"/>
        <v>0</v>
      </c>
      <c r="AC141" s="696">
        <f t="shared" si="37"/>
        <v>0</v>
      </c>
      <c r="AD141" s="696">
        <f t="shared" si="38"/>
        <v>0</v>
      </c>
      <c r="AE141" s="699"/>
    </row>
    <row r="142" spans="1:31" ht="25.15" customHeight="1">
      <c r="A142" s="543"/>
      <c r="B142" s="546"/>
      <c r="C142" s="541"/>
      <c r="D142" s="694"/>
      <c r="E142" s="694"/>
      <c r="F142" s="694"/>
      <c r="G142" s="694"/>
      <c r="H142" s="694"/>
      <c r="I142" s="694"/>
      <c r="J142" s="694"/>
      <c r="K142" s="694"/>
      <c r="L142" s="694"/>
      <c r="M142" s="694"/>
      <c r="N142" s="554">
        <f t="shared" si="26"/>
        <v>0</v>
      </c>
      <c r="O142" s="554">
        <f t="shared" si="27"/>
        <v>0</v>
      </c>
      <c r="P142" s="555">
        <f>(O142/O237)*100</f>
        <v>0</v>
      </c>
      <c r="Q142" s="567"/>
      <c r="R142" s="555">
        <f t="shared" si="28"/>
        <v>0</v>
      </c>
      <c r="S142" s="698"/>
      <c r="U142" s="696">
        <f t="shared" si="29"/>
        <v>0</v>
      </c>
      <c r="V142" s="696">
        <f t="shared" si="30"/>
        <v>0</v>
      </c>
      <c r="W142" s="696">
        <f t="shared" si="31"/>
        <v>0</v>
      </c>
      <c r="X142" s="696">
        <f t="shared" si="32"/>
        <v>0</v>
      </c>
      <c r="Y142" s="696">
        <f t="shared" si="33"/>
        <v>0</v>
      </c>
      <c r="Z142" s="696">
        <f t="shared" si="34"/>
        <v>0</v>
      </c>
      <c r="AA142" s="696">
        <f t="shared" si="35"/>
        <v>0</v>
      </c>
      <c r="AB142" s="696">
        <f t="shared" si="36"/>
        <v>0</v>
      </c>
      <c r="AC142" s="696">
        <f t="shared" si="37"/>
        <v>0</v>
      </c>
      <c r="AD142" s="696">
        <f t="shared" si="38"/>
        <v>0</v>
      </c>
      <c r="AE142" s="699"/>
    </row>
    <row r="143" spans="1:31" ht="25.15" customHeight="1">
      <c r="A143" s="543">
        <v>116</v>
      </c>
      <c r="B143" s="546"/>
      <c r="C143" s="541" t="str">
        <f>'LAP. PENJUALAN '!C143</f>
        <v>Paket Rocket Kids 1</v>
      </c>
      <c r="D143" s="694"/>
      <c r="E143" s="694"/>
      <c r="F143" s="694"/>
      <c r="G143" s="694"/>
      <c r="H143" s="694"/>
      <c r="I143" s="694"/>
      <c r="J143" s="694"/>
      <c r="K143" s="694"/>
      <c r="L143" s="694"/>
      <c r="M143" s="694"/>
      <c r="N143" s="554">
        <f t="shared" si="26"/>
        <v>0</v>
      </c>
      <c r="O143" s="554">
        <f t="shared" si="27"/>
        <v>0</v>
      </c>
      <c r="P143" s="555">
        <f>(O143/O237)*100</f>
        <v>0</v>
      </c>
      <c r="Q143" s="567"/>
      <c r="R143" s="555">
        <f t="shared" si="28"/>
        <v>0</v>
      </c>
      <c r="S143" s="698"/>
      <c r="U143" s="696">
        <f t="shared" si="29"/>
        <v>0</v>
      </c>
      <c r="V143" s="696">
        <f t="shared" si="30"/>
        <v>0</v>
      </c>
      <c r="W143" s="696">
        <f t="shared" si="31"/>
        <v>0</v>
      </c>
      <c r="X143" s="696">
        <f t="shared" si="32"/>
        <v>0</v>
      </c>
      <c r="Y143" s="696">
        <f t="shared" si="33"/>
        <v>0</v>
      </c>
      <c r="Z143" s="696">
        <f t="shared" si="34"/>
        <v>0</v>
      </c>
      <c r="AA143" s="696">
        <f t="shared" si="35"/>
        <v>0</v>
      </c>
      <c r="AB143" s="696">
        <f t="shared" si="36"/>
        <v>0</v>
      </c>
      <c r="AC143" s="696">
        <f t="shared" si="37"/>
        <v>0</v>
      </c>
      <c r="AD143" s="696">
        <f t="shared" si="38"/>
        <v>0</v>
      </c>
      <c r="AE143" s="699"/>
    </row>
    <row r="144" spans="1:31" ht="25.15" customHeight="1">
      <c r="A144" s="543">
        <v>117</v>
      </c>
      <c r="B144" s="546"/>
      <c r="C144" s="541" t="str">
        <f>'LAP. PENJUALAN '!C144</f>
        <v>Paket Rocket Kids 2</v>
      </c>
      <c r="D144" s="694"/>
      <c r="E144" s="694"/>
      <c r="F144" s="694"/>
      <c r="G144" s="694"/>
      <c r="H144" s="694"/>
      <c r="I144" s="694"/>
      <c r="J144" s="694"/>
      <c r="K144" s="694"/>
      <c r="L144" s="694"/>
      <c r="M144" s="694"/>
      <c r="N144" s="554">
        <f t="shared" si="26"/>
        <v>0</v>
      </c>
      <c r="O144" s="554">
        <f t="shared" si="27"/>
        <v>0</v>
      </c>
      <c r="P144" s="555">
        <f>(O144/O237)*100</f>
        <v>0</v>
      </c>
      <c r="Q144" s="567"/>
      <c r="R144" s="555">
        <f t="shared" si="28"/>
        <v>0</v>
      </c>
      <c r="S144" s="698"/>
      <c r="U144" s="696">
        <f t="shared" si="29"/>
        <v>0</v>
      </c>
      <c r="V144" s="696">
        <f t="shared" si="30"/>
        <v>0</v>
      </c>
      <c r="W144" s="696">
        <f t="shared" si="31"/>
        <v>0</v>
      </c>
      <c r="X144" s="696">
        <f t="shared" si="32"/>
        <v>0</v>
      </c>
      <c r="Y144" s="696">
        <f t="shared" si="33"/>
        <v>0</v>
      </c>
      <c r="Z144" s="696">
        <f t="shared" si="34"/>
        <v>0</v>
      </c>
      <c r="AA144" s="696">
        <f t="shared" si="35"/>
        <v>0</v>
      </c>
      <c r="AB144" s="696">
        <f t="shared" si="36"/>
        <v>0</v>
      </c>
      <c r="AC144" s="696">
        <f t="shared" si="37"/>
        <v>0</v>
      </c>
      <c r="AD144" s="696">
        <f t="shared" si="38"/>
        <v>0</v>
      </c>
      <c r="AE144" s="699"/>
    </row>
    <row r="145" spans="1:31" ht="25.15" customHeight="1">
      <c r="A145" s="543">
        <v>118</v>
      </c>
      <c r="B145" s="546"/>
      <c r="C145" s="541" t="str">
        <f>'LAP. PENJUALAN '!C145</f>
        <v>Paket Rocket Kids 3</v>
      </c>
      <c r="D145" s="694"/>
      <c r="E145" s="694"/>
      <c r="F145" s="694"/>
      <c r="G145" s="694"/>
      <c r="H145" s="694"/>
      <c r="I145" s="694"/>
      <c r="J145" s="694"/>
      <c r="K145" s="694"/>
      <c r="L145" s="694"/>
      <c r="M145" s="694"/>
      <c r="N145" s="554">
        <f t="shared" si="26"/>
        <v>0</v>
      </c>
      <c r="O145" s="554">
        <f t="shared" si="27"/>
        <v>0</v>
      </c>
      <c r="P145" s="555">
        <f>(O145/O237)*100</f>
        <v>0</v>
      </c>
      <c r="Q145" s="567"/>
      <c r="R145" s="555">
        <f t="shared" si="28"/>
        <v>0</v>
      </c>
      <c r="S145" s="698"/>
      <c r="U145" s="696">
        <f t="shared" si="29"/>
        <v>0</v>
      </c>
      <c r="V145" s="696">
        <f t="shared" si="30"/>
        <v>0</v>
      </c>
      <c r="W145" s="696">
        <f t="shared" si="31"/>
        <v>0</v>
      </c>
      <c r="X145" s="696">
        <f t="shared" si="32"/>
        <v>0</v>
      </c>
      <c r="Y145" s="696">
        <f t="shared" si="33"/>
        <v>0</v>
      </c>
      <c r="Z145" s="696">
        <f t="shared" si="34"/>
        <v>0</v>
      </c>
      <c r="AA145" s="696">
        <f t="shared" si="35"/>
        <v>0</v>
      </c>
      <c r="AB145" s="696">
        <f t="shared" si="36"/>
        <v>0</v>
      </c>
      <c r="AC145" s="696">
        <f t="shared" si="37"/>
        <v>0</v>
      </c>
      <c r="AD145" s="696">
        <f t="shared" si="38"/>
        <v>0</v>
      </c>
      <c r="AE145" s="699"/>
    </row>
    <row r="146" spans="1:31" ht="25.15" customHeight="1">
      <c r="A146" s="543"/>
      <c r="B146" s="546"/>
      <c r="C146" s="541"/>
      <c r="D146" s="694"/>
      <c r="E146" s="694"/>
      <c r="F146" s="694"/>
      <c r="G146" s="694"/>
      <c r="H146" s="694"/>
      <c r="I146" s="694"/>
      <c r="J146" s="694"/>
      <c r="K146" s="694"/>
      <c r="L146" s="694"/>
      <c r="M146" s="694"/>
      <c r="N146" s="554">
        <f t="shared" si="26"/>
        <v>0</v>
      </c>
      <c r="O146" s="554">
        <f t="shared" si="27"/>
        <v>0</v>
      </c>
      <c r="P146" s="555">
        <f>(O146/O237)*100</f>
        <v>0</v>
      </c>
      <c r="Q146" s="567"/>
      <c r="R146" s="555">
        <f t="shared" si="28"/>
        <v>0</v>
      </c>
      <c r="S146" s="698"/>
      <c r="U146" s="696">
        <f t="shared" si="29"/>
        <v>0</v>
      </c>
      <c r="V146" s="696">
        <f t="shared" si="30"/>
        <v>0</v>
      </c>
      <c r="W146" s="696">
        <f t="shared" si="31"/>
        <v>0</v>
      </c>
      <c r="X146" s="696">
        <f t="shared" si="32"/>
        <v>0</v>
      </c>
      <c r="Y146" s="696">
        <f t="shared" si="33"/>
        <v>0</v>
      </c>
      <c r="Z146" s="696">
        <f t="shared" si="34"/>
        <v>0</v>
      </c>
      <c r="AA146" s="696">
        <f t="shared" si="35"/>
        <v>0</v>
      </c>
      <c r="AB146" s="696">
        <f t="shared" si="36"/>
        <v>0</v>
      </c>
      <c r="AC146" s="696">
        <f t="shared" si="37"/>
        <v>0</v>
      </c>
      <c r="AD146" s="696">
        <f t="shared" si="38"/>
        <v>0</v>
      </c>
      <c r="AE146" s="699"/>
    </row>
    <row r="147" spans="1:31" ht="25.15" customHeight="1">
      <c r="A147" s="543">
        <v>119</v>
      </c>
      <c r="B147" s="546"/>
      <c r="C147" s="541" t="str">
        <f>'LAP. PENJUALAN '!C147</f>
        <v>Koin kids</v>
      </c>
      <c r="D147" s="694"/>
      <c r="E147" s="694"/>
      <c r="F147" s="694"/>
      <c r="G147" s="694"/>
      <c r="H147" s="694"/>
      <c r="I147" s="694"/>
      <c r="J147" s="694"/>
      <c r="K147" s="694"/>
      <c r="L147" s="694"/>
      <c r="M147" s="694"/>
      <c r="N147" s="554">
        <f t="shared" si="26"/>
        <v>0</v>
      </c>
      <c r="O147" s="554">
        <f t="shared" si="27"/>
        <v>0</v>
      </c>
      <c r="P147" s="555">
        <f>(O147/O237)*100</f>
        <v>0</v>
      </c>
      <c r="Q147" s="567"/>
      <c r="R147" s="555">
        <f t="shared" si="28"/>
        <v>0</v>
      </c>
      <c r="S147" s="698"/>
      <c r="U147" s="696">
        <f t="shared" si="29"/>
        <v>0</v>
      </c>
      <c r="V147" s="696">
        <f t="shared" si="30"/>
        <v>0</v>
      </c>
      <c r="W147" s="696">
        <f t="shared" si="31"/>
        <v>0</v>
      </c>
      <c r="X147" s="696">
        <f t="shared" si="32"/>
        <v>0</v>
      </c>
      <c r="Y147" s="696">
        <f t="shared" si="33"/>
        <v>0</v>
      </c>
      <c r="Z147" s="696">
        <f t="shared" si="34"/>
        <v>0</v>
      </c>
      <c r="AA147" s="696">
        <f t="shared" si="35"/>
        <v>0</v>
      </c>
      <c r="AB147" s="696">
        <f t="shared" si="36"/>
        <v>0</v>
      </c>
      <c r="AC147" s="696">
        <f t="shared" si="37"/>
        <v>0</v>
      </c>
      <c r="AD147" s="696">
        <f t="shared" si="38"/>
        <v>0</v>
      </c>
      <c r="AE147" s="699"/>
    </row>
    <row r="148" spans="1:31" ht="25.15" customHeight="1">
      <c r="A148" s="543"/>
      <c r="B148" s="546"/>
      <c r="C148" s="701" t="str">
        <f>'LAP. PENJUALAN '!C154</f>
        <v>PAKET PROMO REGION/AREA , DISKON KARYAWAN &amp; PAKET INDOMIE</v>
      </c>
      <c r="D148" s="694"/>
      <c r="E148" s="694"/>
      <c r="F148" s="694"/>
      <c r="G148" s="694"/>
      <c r="H148" s="694"/>
      <c r="I148" s="694"/>
      <c r="J148" s="694"/>
      <c r="K148" s="694"/>
      <c r="L148" s="694"/>
      <c r="M148" s="694"/>
      <c r="N148" s="554">
        <f t="shared" si="26"/>
        <v>0</v>
      </c>
      <c r="O148" s="554">
        <f t="shared" si="27"/>
        <v>0</v>
      </c>
      <c r="P148" s="555">
        <f>(O148/O237)*100</f>
        <v>0</v>
      </c>
      <c r="Q148" s="567"/>
      <c r="R148" s="555">
        <f t="shared" si="28"/>
        <v>0</v>
      </c>
      <c r="S148" s="698"/>
      <c r="U148" s="696">
        <f t="shared" si="29"/>
        <v>0</v>
      </c>
      <c r="V148" s="696">
        <f t="shared" si="30"/>
        <v>0</v>
      </c>
      <c r="W148" s="696">
        <f t="shared" si="31"/>
        <v>0</v>
      </c>
      <c r="X148" s="696">
        <f t="shared" si="32"/>
        <v>0</v>
      </c>
      <c r="Y148" s="696">
        <f t="shared" si="33"/>
        <v>0</v>
      </c>
      <c r="Z148" s="696">
        <f t="shared" si="34"/>
        <v>0</v>
      </c>
      <c r="AA148" s="696">
        <f t="shared" si="35"/>
        <v>0</v>
      </c>
      <c r="AB148" s="696">
        <f t="shared" si="36"/>
        <v>0</v>
      </c>
      <c r="AC148" s="696">
        <f t="shared" si="37"/>
        <v>0</v>
      </c>
      <c r="AD148" s="696">
        <f t="shared" si="38"/>
        <v>0</v>
      </c>
      <c r="AE148" s="699"/>
    </row>
    <row r="149" spans="1:31" ht="25.15" customHeight="1">
      <c r="A149" s="543">
        <v>1</v>
      </c>
      <c r="B149" s="546"/>
      <c r="C149" s="702" t="s">
        <v>1586</v>
      </c>
      <c r="D149" s="694"/>
      <c r="E149" s="694"/>
      <c r="F149" s="694"/>
      <c r="G149" s="694"/>
      <c r="H149" s="694"/>
      <c r="I149" s="694"/>
      <c r="J149" s="694"/>
      <c r="K149" s="694"/>
      <c r="L149" s="694"/>
      <c r="M149" s="694"/>
      <c r="N149" s="554">
        <f t="shared" si="26"/>
        <v>0</v>
      </c>
      <c r="O149" s="554">
        <f t="shared" si="27"/>
        <v>0</v>
      </c>
      <c r="P149" s="555">
        <f>(O149/O237)*100</f>
        <v>0</v>
      </c>
      <c r="Q149" s="567"/>
      <c r="R149" s="555">
        <f t="shared" si="28"/>
        <v>0</v>
      </c>
      <c r="S149" s="697">
        <v>14666</v>
      </c>
      <c r="U149" s="696">
        <f t="shared" si="29"/>
        <v>0</v>
      </c>
      <c r="V149" s="696">
        <f t="shared" si="30"/>
        <v>0</v>
      </c>
      <c r="W149" s="696">
        <f t="shared" si="31"/>
        <v>0</v>
      </c>
      <c r="X149" s="696">
        <f t="shared" si="32"/>
        <v>0</v>
      </c>
      <c r="Y149" s="696">
        <f t="shared" si="33"/>
        <v>0</v>
      </c>
      <c r="Z149" s="696">
        <f t="shared" si="34"/>
        <v>0</v>
      </c>
      <c r="AA149" s="696">
        <f t="shared" si="35"/>
        <v>0</v>
      </c>
      <c r="AB149" s="696">
        <f t="shared" si="36"/>
        <v>0</v>
      </c>
      <c r="AC149" s="696">
        <f t="shared" si="37"/>
        <v>0</v>
      </c>
      <c r="AD149" s="696">
        <f t="shared" si="38"/>
        <v>0</v>
      </c>
      <c r="AE149" s="699"/>
    </row>
    <row r="150" spans="1:31" ht="25.15" customHeight="1">
      <c r="A150" s="543">
        <v>2</v>
      </c>
      <c r="B150" s="546"/>
      <c r="C150" s="702" t="s">
        <v>1587</v>
      </c>
      <c r="D150" s="694"/>
      <c r="E150" s="694"/>
      <c r="F150" s="694"/>
      <c r="G150" s="694"/>
      <c r="H150" s="694"/>
      <c r="I150" s="694"/>
      <c r="J150" s="694"/>
      <c r="K150" s="694"/>
      <c r="L150" s="694"/>
      <c r="M150" s="694"/>
      <c r="N150" s="554">
        <f t="shared" si="26"/>
        <v>0</v>
      </c>
      <c r="O150" s="554">
        <f t="shared" si="27"/>
        <v>0</v>
      </c>
      <c r="P150" s="555">
        <f>(O150/O237)*100</f>
        <v>0</v>
      </c>
      <c r="Q150" s="567"/>
      <c r="R150" s="555">
        <f t="shared" si="28"/>
        <v>0</v>
      </c>
      <c r="S150" s="697">
        <v>20000</v>
      </c>
      <c r="U150" s="696">
        <f t="shared" si="29"/>
        <v>0</v>
      </c>
      <c r="V150" s="696">
        <f t="shared" si="30"/>
        <v>0</v>
      </c>
      <c r="W150" s="696">
        <f t="shared" si="31"/>
        <v>0</v>
      </c>
      <c r="X150" s="696">
        <f t="shared" si="32"/>
        <v>0</v>
      </c>
      <c r="Y150" s="696">
        <f t="shared" si="33"/>
        <v>0</v>
      </c>
      <c r="Z150" s="696">
        <f t="shared" si="34"/>
        <v>0</v>
      </c>
      <c r="AA150" s="696">
        <f t="shared" si="35"/>
        <v>0</v>
      </c>
      <c r="AB150" s="696">
        <f t="shared" si="36"/>
        <v>0</v>
      </c>
      <c r="AC150" s="696">
        <f t="shared" si="37"/>
        <v>0</v>
      </c>
      <c r="AD150" s="696">
        <f t="shared" si="38"/>
        <v>0</v>
      </c>
      <c r="AE150" s="699"/>
    </row>
    <row r="151" spans="1:31" ht="25.15" customHeight="1">
      <c r="A151" s="543">
        <v>3</v>
      </c>
      <c r="B151" s="546"/>
      <c r="C151" s="702" t="s">
        <v>1588</v>
      </c>
      <c r="D151" s="694"/>
      <c r="E151" s="694"/>
      <c r="F151" s="694"/>
      <c r="G151" s="694"/>
      <c r="H151" s="694"/>
      <c r="I151" s="694"/>
      <c r="J151" s="694"/>
      <c r="K151" s="694"/>
      <c r="L151" s="694"/>
      <c r="M151" s="694"/>
      <c r="N151" s="554">
        <f t="shared" si="26"/>
        <v>0</v>
      </c>
      <c r="O151" s="554">
        <f t="shared" si="27"/>
        <v>0</v>
      </c>
      <c r="P151" s="555">
        <f>(O151/O237)*100</f>
        <v>0</v>
      </c>
      <c r="Q151" s="567"/>
      <c r="R151" s="555">
        <f t="shared" si="28"/>
        <v>0</v>
      </c>
      <c r="S151" s="697">
        <v>20000</v>
      </c>
      <c r="U151" s="696">
        <f t="shared" si="29"/>
        <v>0</v>
      </c>
      <c r="V151" s="696">
        <f t="shared" si="30"/>
        <v>0</v>
      </c>
      <c r="W151" s="696">
        <f t="shared" si="31"/>
        <v>0</v>
      </c>
      <c r="X151" s="696">
        <f t="shared" si="32"/>
        <v>0</v>
      </c>
      <c r="Y151" s="696">
        <f t="shared" si="33"/>
        <v>0</v>
      </c>
      <c r="Z151" s="696">
        <f t="shared" si="34"/>
        <v>0</v>
      </c>
      <c r="AA151" s="696">
        <f t="shared" si="35"/>
        <v>0</v>
      </c>
      <c r="AB151" s="696">
        <f t="shared" si="36"/>
        <v>0</v>
      </c>
      <c r="AC151" s="696">
        <f t="shared" si="37"/>
        <v>0</v>
      </c>
      <c r="AD151" s="696">
        <f t="shared" si="38"/>
        <v>0</v>
      </c>
      <c r="AE151" s="699"/>
    </row>
    <row r="152" spans="1:31" ht="25.15" customHeight="1">
      <c r="A152" s="543">
        <v>4</v>
      </c>
      <c r="B152" s="546"/>
      <c r="C152" s="702" t="s">
        <v>1589</v>
      </c>
      <c r="D152" s="694"/>
      <c r="E152" s="694"/>
      <c r="F152" s="694"/>
      <c r="G152" s="694"/>
      <c r="H152" s="694"/>
      <c r="I152" s="694"/>
      <c r="J152" s="694"/>
      <c r="K152" s="694"/>
      <c r="L152" s="694"/>
      <c r="M152" s="694"/>
      <c r="N152" s="554">
        <f t="shared" si="26"/>
        <v>0</v>
      </c>
      <c r="O152" s="554">
        <f t="shared" si="27"/>
        <v>0</v>
      </c>
      <c r="P152" s="555">
        <f>(O152/O237)*100</f>
        <v>0</v>
      </c>
      <c r="Q152" s="567"/>
      <c r="R152" s="555">
        <f t="shared" si="28"/>
        <v>0</v>
      </c>
      <c r="S152" s="697">
        <v>22666</v>
      </c>
      <c r="U152" s="696">
        <f t="shared" si="29"/>
        <v>0</v>
      </c>
      <c r="V152" s="696">
        <f t="shared" si="30"/>
        <v>0</v>
      </c>
      <c r="W152" s="696">
        <f t="shared" si="31"/>
        <v>0</v>
      </c>
      <c r="X152" s="696">
        <f t="shared" si="32"/>
        <v>0</v>
      </c>
      <c r="Y152" s="696">
        <f t="shared" si="33"/>
        <v>0</v>
      </c>
      <c r="Z152" s="696">
        <f t="shared" si="34"/>
        <v>0</v>
      </c>
      <c r="AA152" s="696">
        <f t="shared" si="35"/>
        <v>0</v>
      </c>
      <c r="AB152" s="696">
        <f t="shared" si="36"/>
        <v>0</v>
      </c>
      <c r="AC152" s="696">
        <f t="shared" si="37"/>
        <v>0</v>
      </c>
      <c r="AD152" s="696">
        <f t="shared" si="38"/>
        <v>0</v>
      </c>
      <c r="AE152" s="699"/>
    </row>
    <row r="153" spans="1:31" ht="25.15" customHeight="1">
      <c r="A153" s="543">
        <v>5</v>
      </c>
      <c r="B153" s="546"/>
      <c r="C153" s="703"/>
      <c r="D153" s="694"/>
      <c r="E153" s="694"/>
      <c r="F153" s="694"/>
      <c r="G153" s="694"/>
      <c r="H153" s="694"/>
      <c r="I153" s="694"/>
      <c r="J153" s="694"/>
      <c r="K153" s="694"/>
      <c r="L153" s="694"/>
      <c r="M153" s="694"/>
      <c r="N153" s="554">
        <f t="shared" si="26"/>
        <v>0</v>
      </c>
      <c r="O153" s="554">
        <f t="shared" si="27"/>
        <v>0</v>
      </c>
      <c r="P153" s="555">
        <f>(O153/O237)*100</f>
        <v>0</v>
      </c>
      <c r="Q153" s="567"/>
      <c r="R153" s="555">
        <f t="shared" si="28"/>
        <v>0</v>
      </c>
      <c r="S153" s="698"/>
      <c r="U153" s="696">
        <f t="shared" si="29"/>
        <v>0</v>
      </c>
      <c r="V153" s="696">
        <f t="shared" si="30"/>
        <v>0</v>
      </c>
      <c r="W153" s="696">
        <f t="shared" si="31"/>
        <v>0</v>
      </c>
      <c r="X153" s="696">
        <f t="shared" si="32"/>
        <v>0</v>
      </c>
      <c r="Y153" s="696">
        <f t="shared" si="33"/>
        <v>0</v>
      </c>
      <c r="Z153" s="696">
        <f t="shared" si="34"/>
        <v>0</v>
      </c>
      <c r="AA153" s="696">
        <f t="shared" si="35"/>
        <v>0</v>
      </c>
      <c r="AB153" s="696">
        <f t="shared" si="36"/>
        <v>0</v>
      </c>
      <c r="AC153" s="696">
        <f t="shared" si="37"/>
        <v>0</v>
      </c>
      <c r="AD153" s="696">
        <f t="shared" si="38"/>
        <v>0</v>
      </c>
      <c r="AE153" s="699"/>
    </row>
    <row r="154" spans="1:31" ht="25.15" customHeight="1">
      <c r="A154" s="543">
        <v>6</v>
      </c>
      <c r="B154" s="546"/>
      <c r="C154" s="703" t="s">
        <v>1591</v>
      </c>
      <c r="D154" s="694"/>
      <c r="E154" s="694"/>
      <c r="F154" s="694"/>
      <c r="G154" s="694"/>
      <c r="H154" s="694"/>
      <c r="I154" s="694"/>
      <c r="J154" s="694"/>
      <c r="K154" s="694"/>
      <c r="L154" s="694"/>
      <c r="M154" s="694"/>
      <c r="N154" s="554">
        <f t="shared" si="26"/>
        <v>0</v>
      </c>
      <c r="O154" s="554">
        <f t="shared" si="27"/>
        <v>0</v>
      </c>
      <c r="P154" s="555">
        <f>(O154/O237)*100</f>
        <v>0</v>
      </c>
      <c r="Q154" s="567"/>
      <c r="R154" s="555">
        <f t="shared" si="28"/>
        <v>0</v>
      </c>
      <c r="S154" s="698">
        <v>15582</v>
      </c>
      <c r="U154" s="696">
        <f t="shared" si="29"/>
        <v>0</v>
      </c>
      <c r="V154" s="696">
        <f t="shared" si="30"/>
        <v>0</v>
      </c>
      <c r="W154" s="696">
        <f t="shared" si="31"/>
        <v>0</v>
      </c>
      <c r="X154" s="696">
        <f t="shared" si="32"/>
        <v>0</v>
      </c>
      <c r="Y154" s="696">
        <f t="shared" si="33"/>
        <v>0</v>
      </c>
      <c r="Z154" s="696">
        <f t="shared" si="34"/>
        <v>0</v>
      </c>
      <c r="AA154" s="696">
        <f t="shared" si="35"/>
        <v>0</v>
      </c>
      <c r="AB154" s="696">
        <f t="shared" si="36"/>
        <v>0</v>
      </c>
      <c r="AC154" s="696">
        <f t="shared" si="37"/>
        <v>0</v>
      </c>
      <c r="AD154" s="696">
        <f t="shared" si="38"/>
        <v>0</v>
      </c>
      <c r="AE154" s="699"/>
    </row>
    <row r="155" spans="1:31" ht="25.15" customHeight="1">
      <c r="A155" s="543">
        <v>7</v>
      </c>
      <c r="B155" s="546"/>
      <c r="C155" s="703" t="s">
        <v>1592</v>
      </c>
      <c r="D155" s="694"/>
      <c r="E155" s="694"/>
      <c r="F155" s="694"/>
      <c r="G155" s="694"/>
      <c r="H155" s="694"/>
      <c r="I155" s="694"/>
      <c r="J155" s="694"/>
      <c r="K155" s="694"/>
      <c r="L155" s="694"/>
      <c r="M155" s="694"/>
      <c r="N155" s="554">
        <f t="shared" si="26"/>
        <v>0</v>
      </c>
      <c r="O155" s="554">
        <f t="shared" si="27"/>
        <v>0</v>
      </c>
      <c r="P155" s="555">
        <f>(O155/O237)*100</f>
        <v>0</v>
      </c>
      <c r="Q155" s="567"/>
      <c r="R155" s="555">
        <f t="shared" si="28"/>
        <v>0</v>
      </c>
      <c r="S155" s="698">
        <v>13333</v>
      </c>
      <c r="U155" s="696">
        <f t="shared" si="29"/>
        <v>0</v>
      </c>
      <c r="V155" s="696">
        <f t="shared" si="30"/>
        <v>0</v>
      </c>
      <c r="W155" s="696">
        <f t="shared" si="31"/>
        <v>0</v>
      </c>
      <c r="X155" s="696">
        <f t="shared" si="32"/>
        <v>0</v>
      </c>
      <c r="Y155" s="696">
        <f t="shared" si="33"/>
        <v>0</v>
      </c>
      <c r="Z155" s="696">
        <f t="shared" si="34"/>
        <v>0</v>
      </c>
      <c r="AA155" s="696">
        <f t="shared" si="35"/>
        <v>0</v>
      </c>
      <c r="AB155" s="696">
        <f t="shared" si="36"/>
        <v>0</v>
      </c>
      <c r="AC155" s="696">
        <f t="shared" si="37"/>
        <v>0</v>
      </c>
      <c r="AD155" s="696">
        <f t="shared" si="38"/>
        <v>0</v>
      </c>
      <c r="AE155" s="699"/>
    </row>
    <row r="156" spans="1:31" ht="25.15" customHeight="1">
      <c r="A156" s="543">
        <v>8</v>
      </c>
      <c r="B156" s="546"/>
      <c r="C156" s="703" t="s">
        <v>1593</v>
      </c>
      <c r="D156" s="694"/>
      <c r="E156" s="694"/>
      <c r="F156" s="694"/>
      <c r="G156" s="694"/>
      <c r="H156" s="694"/>
      <c r="I156" s="694"/>
      <c r="J156" s="694"/>
      <c r="K156" s="694"/>
      <c r="L156" s="694"/>
      <c r="M156" s="694"/>
      <c r="N156" s="554">
        <f t="shared" si="26"/>
        <v>0</v>
      </c>
      <c r="O156" s="554">
        <f t="shared" si="27"/>
        <v>0</v>
      </c>
      <c r="P156" s="555">
        <f>(O156/O237)*100</f>
        <v>0</v>
      </c>
      <c r="Q156" s="567"/>
      <c r="R156" s="555">
        <f t="shared" si="28"/>
        <v>0</v>
      </c>
      <c r="S156" s="698">
        <v>5666</v>
      </c>
      <c r="U156" s="696">
        <f t="shared" si="29"/>
        <v>0</v>
      </c>
      <c r="V156" s="696">
        <f t="shared" si="30"/>
        <v>0</v>
      </c>
      <c r="W156" s="696">
        <f t="shared" si="31"/>
        <v>0</v>
      </c>
      <c r="X156" s="696">
        <f t="shared" si="32"/>
        <v>0</v>
      </c>
      <c r="Y156" s="696">
        <f t="shared" si="33"/>
        <v>0</v>
      </c>
      <c r="Z156" s="696">
        <f t="shared" si="34"/>
        <v>0</v>
      </c>
      <c r="AA156" s="696">
        <f t="shared" si="35"/>
        <v>0</v>
      </c>
      <c r="AB156" s="696">
        <f t="shared" si="36"/>
        <v>0</v>
      </c>
      <c r="AC156" s="696">
        <f t="shared" si="37"/>
        <v>0</v>
      </c>
      <c r="AD156" s="696">
        <f t="shared" si="38"/>
        <v>0</v>
      </c>
      <c r="AE156" s="699"/>
    </row>
    <row r="157" spans="1:31" ht="25.15" customHeight="1">
      <c r="A157" s="543">
        <v>9</v>
      </c>
      <c r="B157" s="546"/>
      <c r="C157" s="703" t="s">
        <v>1594</v>
      </c>
      <c r="D157" s="694"/>
      <c r="E157" s="694"/>
      <c r="F157" s="694"/>
      <c r="G157" s="694"/>
      <c r="H157" s="694"/>
      <c r="I157" s="694"/>
      <c r="J157" s="694"/>
      <c r="K157" s="694"/>
      <c r="L157" s="694"/>
      <c r="M157" s="694"/>
      <c r="N157" s="554">
        <f t="shared" si="26"/>
        <v>0</v>
      </c>
      <c r="O157" s="554">
        <f t="shared" si="27"/>
        <v>0</v>
      </c>
      <c r="P157" s="555">
        <f>(O157/O237)*100</f>
        <v>0</v>
      </c>
      <c r="Q157" s="567"/>
      <c r="R157" s="555">
        <f t="shared" si="28"/>
        <v>0</v>
      </c>
      <c r="S157" s="698">
        <v>7082</v>
      </c>
      <c r="U157" s="696">
        <f t="shared" si="29"/>
        <v>0</v>
      </c>
      <c r="V157" s="696">
        <f t="shared" si="30"/>
        <v>0</v>
      </c>
      <c r="W157" s="696">
        <f t="shared" si="31"/>
        <v>0</v>
      </c>
      <c r="X157" s="696">
        <f t="shared" si="32"/>
        <v>0</v>
      </c>
      <c r="Y157" s="696">
        <f t="shared" si="33"/>
        <v>0</v>
      </c>
      <c r="Z157" s="696">
        <f t="shared" si="34"/>
        <v>0</v>
      </c>
      <c r="AA157" s="696">
        <f t="shared" si="35"/>
        <v>0</v>
      </c>
      <c r="AB157" s="696">
        <f t="shared" si="36"/>
        <v>0</v>
      </c>
      <c r="AC157" s="696">
        <f t="shared" si="37"/>
        <v>0</v>
      </c>
      <c r="AD157" s="696">
        <f t="shared" si="38"/>
        <v>0</v>
      </c>
      <c r="AE157" s="699"/>
    </row>
    <row r="158" spans="1:31" ht="25.15" customHeight="1">
      <c r="A158" s="543">
        <v>10</v>
      </c>
      <c r="B158" s="546"/>
      <c r="C158" s="703" t="s">
        <v>1594</v>
      </c>
      <c r="D158" s="694"/>
      <c r="E158" s="694"/>
      <c r="F158" s="694"/>
      <c r="G158" s="694"/>
      <c r="H158" s="694"/>
      <c r="I158" s="694"/>
      <c r="J158" s="694"/>
      <c r="K158" s="694"/>
      <c r="L158" s="694"/>
      <c r="M158" s="694"/>
      <c r="N158" s="554">
        <f t="shared" si="26"/>
        <v>0</v>
      </c>
      <c r="O158" s="554">
        <f t="shared" si="27"/>
        <v>0</v>
      </c>
      <c r="P158" s="555">
        <f>(O158/O237)*100</f>
        <v>0</v>
      </c>
      <c r="Q158" s="567"/>
      <c r="R158" s="555">
        <f t="shared" si="28"/>
        <v>0</v>
      </c>
      <c r="S158" s="698">
        <v>6666</v>
      </c>
      <c r="U158" s="696">
        <f t="shared" si="29"/>
        <v>0</v>
      </c>
      <c r="V158" s="696">
        <f t="shared" si="30"/>
        <v>0</v>
      </c>
      <c r="W158" s="696">
        <f t="shared" si="31"/>
        <v>0</v>
      </c>
      <c r="X158" s="696">
        <f t="shared" si="32"/>
        <v>0</v>
      </c>
      <c r="Y158" s="696">
        <f t="shared" si="33"/>
        <v>0</v>
      </c>
      <c r="Z158" s="696">
        <f t="shared" si="34"/>
        <v>0</v>
      </c>
      <c r="AA158" s="696">
        <f t="shared" si="35"/>
        <v>0</v>
      </c>
      <c r="AB158" s="696">
        <f t="shared" si="36"/>
        <v>0</v>
      </c>
      <c r="AC158" s="696">
        <f t="shared" si="37"/>
        <v>0</v>
      </c>
      <c r="AD158" s="696">
        <f t="shared" si="38"/>
        <v>0</v>
      </c>
      <c r="AE158" s="699"/>
    </row>
    <row r="159" spans="1:31" ht="25.15" customHeight="1">
      <c r="A159" s="543">
        <v>11</v>
      </c>
      <c r="B159" s="546"/>
      <c r="C159" s="703" t="s">
        <v>1595</v>
      </c>
      <c r="D159" s="694"/>
      <c r="E159" s="694"/>
      <c r="F159" s="694"/>
      <c r="G159" s="694"/>
      <c r="H159" s="694"/>
      <c r="I159" s="694"/>
      <c r="J159" s="694"/>
      <c r="K159" s="694"/>
      <c r="L159" s="694"/>
      <c r="M159" s="694"/>
      <c r="N159" s="554">
        <f t="shared" si="26"/>
        <v>0</v>
      </c>
      <c r="O159" s="554">
        <f t="shared" si="27"/>
        <v>0</v>
      </c>
      <c r="P159" s="555">
        <f>(O159/O237)*100</f>
        <v>0</v>
      </c>
      <c r="Q159" s="567"/>
      <c r="R159" s="555">
        <f t="shared" si="28"/>
        <v>0</v>
      </c>
      <c r="S159" s="698">
        <v>5222</v>
      </c>
      <c r="U159" s="696">
        <f t="shared" si="29"/>
        <v>0</v>
      </c>
      <c r="V159" s="696">
        <f t="shared" si="30"/>
        <v>0</v>
      </c>
      <c r="W159" s="696">
        <f t="shared" si="31"/>
        <v>0</v>
      </c>
      <c r="X159" s="696">
        <f t="shared" si="32"/>
        <v>0</v>
      </c>
      <c r="Y159" s="696">
        <f t="shared" si="33"/>
        <v>0</v>
      </c>
      <c r="Z159" s="696">
        <f t="shared" si="34"/>
        <v>0</v>
      </c>
      <c r="AA159" s="696">
        <f t="shared" si="35"/>
        <v>0</v>
      </c>
      <c r="AB159" s="696">
        <f t="shared" si="36"/>
        <v>0</v>
      </c>
      <c r="AC159" s="696">
        <f t="shared" si="37"/>
        <v>0</v>
      </c>
      <c r="AD159" s="696">
        <f t="shared" si="38"/>
        <v>0</v>
      </c>
      <c r="AE159" s="699"/>
    </row>
    <row r="160" spans="1:31" ht="25.15" customHeight="1">
      <c r="A160" s="543">
        <v>12</v>
      </c>
      <c r="B160" s="546"/>
      <c r="C160" s="703" t="s">
        <v>1596</v>
      </c>
      <c r="D160" s="694"/>
      <c r="E160" s="694"/>
      <c r="F160" s="694"/>
      <c r="G160" s="694"/>
      <c r="H160" s="694"/>
      <c r="I160" s="694"/>
      <c r="J160" s="694"/>
      <c r="K160" s="694"/>
      <c r="L160" s="694"/>
      <c r="M160" s="694"/>
      <c r="N160" s="554">
        <f t="shared" si="26"/>
        <v>0</v>
      </c>
      <c r="O160" s="554">
        <f t="shared" si="27"/>
        <v>0</v>
      </c>
      <c r="P160" s="555">
        <f>(O160/O237)*100</f>
        <v>0</v>
      </c>
      <c r="Q160" s="567"/>
      <c r="R160" s="555">
        <f t="shared" si="28"/>
        <v>0</v>
      </c>
      <c r="S160" s="698">
        <v>833</v>
      </c>
      <c r="U160" s="696">
        <f t="shared" si="29"/>
        <v>0</v>
      </c>
      <c r="V160" s="696">
        <f t="shared" si="30"/>
        <v>0</v>
      </c>
      <c r="W160" s="696">
        <f t="shared" si="31"/>
        <v>0</v>
      </c>
      <c r="X160" s="696">
        <f t="shared" si="32"/>
        <v>0</v>
      </c>
      <c r="Y160" s="696">
        <f t="shared" si="33"/>
        <v>0</v>
      </c>
      <c r="Z160" s="696">
        <f t="shared" si="34"/>
        <v>0</v>
      </c>
      <c r="AA160" s="696">
        <f t="shared" si="35"/>
        <v>0</v>
      </c>
      <c r="AB160" s="696">
        <f t="shared" si="36"/>
        <v>0</v>
      </c>
      <c r="AC160" s="696">
        <f t="shared" si="37"/>
        <v>0</v>
      </c>
      <c r="AD160" s="696">
        <f t="shared" si="38"/>
        <v>0</v>
      </c>
      <c r="AE160" s="699"/>
    </row>
    <row r="161" spans="1:31" ht="25.15" customHeight="1">
      <c r="A161" s="543">
        <v>13</v>
      </c>
      <c r="B161" s="546"/>
      <c r="C161" s="703" t="s">
        <v>1597</v>
      </c>
      <c r="D161" s="694"/>
      <c r="E161" s="694"/>
      <c r="F161" s="694"/>
      <c r="G161" s="694"/>
      <c r="H161" s="694"/>
      <c r="I161" s="694"/>
      <c r="J161" s="694"/>
      <c r="K161" s="694"/>
      <c r="L161" s="694"/>
      <c r="M161" s="694"/>
      <c r="N161" s="554">
        <f t="shared" si="26"/>
        <v>0</v>
      </c>
      <c r="O161" s="554">
        <f t="shared" si="27"/>
        <v>0</v>
      </c>
      <c r="P161" s="555">
        <f>(O161/O237)*100</f>
        <v>0</v>
      </c>
      <c r="Q161" s="567"/>
      <c r="R161" s="555">
        <f t="shared" si="28"/>
        <v>0</v>
      </c>
      <c r="S161" s="698"/>
      <c r="U161" s="696">
        <f t="shared" si="29"/>
        <v>0</v>
      </c>
      <c r="V161" s="696">
        <f t="shared" si="30"/>
        <v>0</v>
      </c>
      <c r="W161" s="696">
        <f t="shared" si="31"/>
        <v>0</v>
      </c>
      <c r="X161" s="696">
        <f t="shared" si="32"/>
        <v>0</v>
      </c>
      <c r="Y161" s="696">
        <f t="shared" si="33"/>
        <v>0</v>
      </c>
      <c r="Z161" s="696">
        <f t="shared" si="34"/>
        <v>0</v>
      </c>
      <c r="AA161" s="696">
        <f t="shared" si="35"/>
        <v>0</v>
      </c>
      <c r="AB161" s="696">
        <f t="shared" si="36"/>
        <v>0</v>
      </c>
      <c r="AC161" s="696">
        <f t="shared" si="37"/>
        <v>0</v>
      </c>
      <c r="AD161" s="696">
        <f t="shared" si="38"/>
        <v>0</v>
      </c>
      <c r="AE161" s="699"/>
    </row>
    <row r="162" spans="1:31" ht="25.15" customHeight="1">
      <c r="A162" s="543">
        <v>14</v>
      </c>
      <c r="B162" s="546"/>
      <c r="C162" s="703" t="s">
        <v>1598</v>
      </c>
      <c r="D162" s="694"/>
      <c r="E162" s="694"/>
      <c r="F162" s="694"/>
      <c r="G162" s="694"/>
      <c r="H162" s="694"/>
      <c r="I162" s="694"/>
      <c r="J162" s="694"/>
      <c r="K162" s="694"/>
      <c r="L162" s="694"/>
      <c r="M162" s="694"/>
      <c r="N162" s="554">
        <f t="shared" si="26"/>
        <v>0</v>
      </c>
      <c r="O162" s="554">
        <f t="shared" si="27"/>
        <v>0</v>
      </c>
      <c r="P162" s="555">
        <f>(O162/O237)*100</f>
        <v>0</v>
      </c>
      <c r="Q162" s="567"/>
      <c r="R162" s="555">
        <f t="shared" si="28"/>
        <v>0</v>
      </c>
      <c r="S162" s="698">
        <v>6666</v>
      </c>
      <c r="U162" s="696">
        <f t="shared" si="29"/>
        <v>0</v>
      </c>
      <c r="V162" s="696">
        <f t="shared" si="30"/>
        <v>0</v>
      </c>
      <c r="W162" s="696">
        <f t="shared" si="31"/>
        <v>0</v>
      </c>
      <c r="X162" s="696">
        <f t="shared" si="32"/>
        <v>0</v>
      </c>
      <c r="Y162" s="696">
        <f t="shared" si="33"/>
        <v>0</v>
      </c>
      <c r="Z162" s="696">
        <f t="shared" si="34"/>
        <v>0</v>
      </c>
      <c r="AA162" s="696">
        <f t="shared" si="35"/>
        <v>0</v>
      </c>
      <c r="AB162" s="696">
        <f t="shared" si="36"/>
        <v>0</v>
      </c>
      <c r="AC162" s="696">
        <f t="shared" si="37"/>
        <v>0</v>
      </c>
      <c r="AD162" s="696">
        <f t="shared" si="38"/>
        <v>0</v>
      </c>
      <c r="AE162" s="699"/>
    </row>
    <row r="163" spans="1:31" ht="25.15" customHeight="1">
      <c r="A163" s="543">
        <v>15</v>
      </c>
      <c r="B163" s="546"/>
      <c r="C163" s="703"/>
      <c r="D163" s="694"/>
      <c r="E163" s="694"/>
      <c r="F163" s="694"/>
      <c r="G163" s="694"/>
      <c r="H163" s="694"/>
      <c r="I163" s="694"/>
      <c r="J163" s="694"/>
      <c r="K163" s="694"/>
      <c r="L163" s="694"/>
      <c r="M163" s="694"/>
      <c r="N163" s="554">
        <f t="shared" si="26"/>
        <v>0</v>
      </c>
      <c r="O163" s="554">
        <f t="shared" si="27"/>
        <v>0</v>
      </c>
      <c r="P163" s="555">
        <f>(O163/O237)*100</f>
        <v>0</v>
      </c>
      <c r="Q163" s="567"/>
      <c r="R163" s="555">
        <f t="shared" si="28"/>
        <v>0</v>
      </c>
      <c r="S163" s="698"/>
      <c r="U163" s="696">
        <f t="shared" si="29"/>
        <v>0</v>
      </c>
      <c r="V163" s="696">
        <f t="shared" si="30"/>
        <v>0</v>
      </c>
      <c r="W163" s="696">
        <f t="shared" si="31"/>
        <v>0</v>
      </c>
      <c r="X163" s="696">
        <f t="shared" si="32"/>
        <v>0</v>
      </c>
      <c r="Y163" s="696">
        <f t="shared" si="33"/>
        <v>0</v>
      </c>
      <c r="Z163" s="696">
        <f t="shared" si="34"/>
        <v>0</v>
      </c>
      <c r="AA163" s="696">
        <f t="shared" si="35"/>
        <v>0</v>
      </c>
      <c r="AB163" s="696">
        <f t="shared" si="36"/>
        <v>0</v>
      </c>
      <c r="AC163" s="696">
        <f t="shared" si="37"/>
        <v>0</v>
      </c>
      <c r="AD163" s="696">
        <f t="shared" si="38"/>
        <v>0</v>
      </c>
      <c r="AE163" s="699"/>
    </row>
    <row r="164" spans="1:31" ht="25.15" customHeight="1">
      <c r="A164" s="543">
        <v>16</v>
      </c>
      <c r="B164" s="546"/>
      <c r="C164" s="703"/>
      <c r="D164" s="694"/>
      <c r="E164" s="694"/>
      <c r="F164" s="694"/>
      <c r="G164" s="694"/>
      <c r="H164" s="694"/>
      <c r="I164" s="694"/>
      <c r="J164" s="694"/>
      <c r="K164" s="694"/>
      <c r="L164" s="694"/>
      <c r="M164" s="694"/>
      <c r="N164" s="554">
        <f t="shared" si="26"/>
        <v>0</v>
      </c>
      <c r="O164" s="554">
        <f t="shared" si="27"/>
        <v>0</v>
      </c>
      <c r="P164" s="555">
        <f>(O164/O237)*100</f>
        <v>0</v>
      </c>
      <c r="Q164" s="567"/>
      <c r="R164" s="555">
        <f t="shared" si="28"/>
        <v>0</v>
      </c>
      <c r="S164" s="698"/>
      <c r="U164" s="696">
        <f t="shared" si="29"/>
        <v>0</v>
      </c>
      <c r="V164" s="696">
        <f t="shared" si="30"/>
        <v>0</v>
      </c>
      <c r="W164" s="696">
        <f t="shared" si="31"/>
        <v>0</v>
      </c>
      <c r="X164" s="696">
        <f t="shared" si="32"/>
        <v>0</v>
      </c>
      <c r="Y164" s="696">
        <f t="shared" si="33"/>
        <v>0</v>
      </c>
      <c r="Z164" s="696">
        <f t="shared" si="34"/>
        <v>0</v>
      </c>
      <c r="AA164" s="696">
        <f t="shared" si="35"/>
        <v>0</v>
      </c>
      <c r="AB164" s="696">
        <f t="shared" si="36"/>
        <v>0</v>
      </c>
      <c r="AC164" s="696">
        <f t="shared" si="37"/>
        <v>0</v>
      </c>
      <c r="AD164" s="696">
        <f t="shared" si="38"/>
        <v>0</v>
      </c>
      <c r="AE164" s="699"/>
    </row>
    <row r="165" spans="1:31" ht="25.15" customHeight="1">
      <c r="A165" s="543">
        <v>17</v>
      </c>
      <c r="B165" s="546"/>
      <c r="C165" s="703"/>
      <c r="D165" s="694"/>
      <c r="E165" s="694"/>
      <c r="F165" s="694"/>
      <c r="G165" s="694"/>
      <c r="H165" s="694"/>
      <c r="I165" s="694"/>
      <c r="J165" s="694"/>
      <c r="K165" s="694"/>
      <c r="L165" s="694"/>
      <c r="M165" s="694"/>
      <c r="N165" s="554">
        <f t="shared" si="26"/>
        <v>0</v>
      </c>
      <c r="O165" s="554">
        <f t="shared" si="27"/>
        <v>0</v>
      </c>
      <c r="P165" s="555">
        <f>(O165/O237)*100</f>
        <v>0</v>
      </c>
      <c r="Q165" s="567"/>
      <c r="R165" s="555">
        <f t="shared" si="28"/>
        <v>0</v>
      </c>
      <c r="S165" s="698"/>
      <c r="U165" s="696">
        <f t="shared" si="29"/>
        <v>0</v>
      </c>
      <c r="V165" s="696">
        <f t="shared" si="30"/>
        <v>0</v>
      </c>
      <c r="W165" s="696">
        <f t="shared" si="31"/>
        <v>0</v>
      </c>
      <c r="X165" s="696">
        <f t="shared" si="32"/>
        <v>0</v>
      </c>
      <c r="Y165" s="696">
        <f t="shared" si="33"/>
        <v>0</v>
      </c>
      <c r="Z165" s="696">
        <f t="shared" si="34"/>
        <v>0</v>
      </c>
      <c r="AA165" s="696">
        <f t="shared" si="35"/>
        <v>0</v>
      </c>
      <c r="AB165" s="696">
        <f t="shared" si="36"/>
        <v>0</v>
      </c>
      <c r="AC165" s="696">
        <f t="shared" si="37"/>
        <v>0</v>
      </c>
      <c r="AD165" s="696">
        <f t="shared" si="38"/>
        <v>0</v>
      </c>
      <c r="AE165" s="699"/>
    </row>
    <row r="166" spans="1:31" ht="25.15" customHeight="1">
      <c r="A166" s="543">
        <v>18</v>
      </c>
      <c r="B166" s="546"/>
      <c r="C166" s="703"/>
      <c r="D166" s="694"/>
      <c r="E166" s="694"/>
      <c r="F166" s="694"/>
      <c r="G166" s="694"/>
      <c r="H166" s="694"/>
      <c r="I166" s="694"/>
      <c r="J166" s="694"/>
      <c r="K166" s="694"/>
      <c r="L166" s="694"/>
      <c r="M166" s="694"/>
      <c r="N166" s="554">
        <f t="shared" si="26"/>
        <v>0</v>
      </c>
      <c r="O166" s="554">
        <f t="shared" si="27"/>
        <v>0</v>
      </c>
      <c r="P166" s="555">
        <f>(O166/O237)*100</f>
        <v>0</v>
      </c>
      <c r="Q166" s="567"/>
      <c r="R166" s="555">
        <f t="shared" si="28"/>
        <v>0</v>
      </c>
      <c r="S166" s="698"/>
      <c r="U166" s="696">
        <f t="shared" si="29"/>
        <v>0</v>
      </c>
      <c r="V166" s="696">
        <f t="shared" si="30"/>
        <v>0</v>
      </c>
      <c r="W166" s="696">
        <f t="shared" si="31"/>
        <v>0</v>
      </c>
      <c r="X166" s="696">
        <f t="shared" si="32"/>
        <v>0</v>
      </c>
      <c r="Y166" s="696">
        <f t="shared" si="33"/>
        <v>0</v>
      </c>
      <c r="Z166" s="696">
        <f t="shared" si="34"/>
        <v>0</v>
      </c>
      <c r="AA166" s="696">
        <f t="shared" si="35"/>
        <v>0</v>
      </c>
      <c r="AB166" s="696">
        <f t="shared" si="36"/>
        <v>0</v>
      </c>
      <c r="AC166" s="696">
        <f t="shared" si="37"/>
        <v>0</v>
      </c>
      <c r="AD166" s="696">
        <f t="shared" si="38"/>
        <v>0</v>
      </c>
      <c r="AE166" s="699"/>
    </row>
    <row r="167" spans="1:31" ht="25.15" customHeight="1">
      <c r="A167" s="543">
        <v>19</v>
      </c>
      <c r="B167" s="546"/>
      <c r="C167" s="703"/>
      <c r="D167" s="694"/>
      <c r="E167" s="694"/>
      <c r="F167" s="694"/>
      <c r="G167" s="694"/>
      <c r="H167" s="694"/>
      <c r="I167" s="694"/>
      <c r="J167" s="694"/>
      <c r="K167" s="694"/>
      <c r="L167" s="694"/>
      <c r="M167" s="694"/>
      <c r="N167" s="554">
        <f t="shared" si="26"/>
        <v>0</v>
      </c>
      <c r="O167" s="554">
        <f t="shared" si="27"/>
        <v>0</v>
      </c>
      <c r="P167" s="555">
        <f>(O167/O237)*100</f>
        <v>0</v>
      </c>
      <c r="Q167" s="567"/>
      <c r="R167" s="555">
        <f t="shared" si="28"/>
        <v>0</v>
      </c>
      <c r="S167" s="698"/>
      <c r="U167" s="696">
        <f t="shared" si="29"/>
        <v>0</v>
      </c>
      <c r="V167" s="696">
        <f t="shared" si="30"/>
        <v>0</v>
      </c>
      <c r="W167" s="696">
        <f t="shared" si="31"/>
        <v>0</v>
      </c>
      <c r="X167" s="696">
        <f t="shared" si="32"/>
        <v>0</v>
      </c>
      <c r="Y167" s="696">
        <f t="shared" si="33"/>
        <v>0</v>
      </c>
      <c r="Z167" s="696">
        <f t="shared" si="34"/>
        <v>0</v>
      </c>
      <c r="AA167" s="696">
        <f t="shared" si="35"/>
        <v>0</v>
      </c>
      <c r="AB167" s="696">
        <f t="shared" si="36"/>
        <v>0</v>
      </c>
      <c r="AC167" s="696">
        <f t="shared" si="37"/>
        <v>0</v>
      </c>
      <c r="AD167" s="696">
        <f t="shared" si="38"/>
        <v>0</v>
      </c>
      <c r="AE167" s="699"/>
    </row>
    <row r="168" spans="1:31" ht="25.15" customHeight="1">
      <c r="A168" s="543">
        <v>20</v>
      </c>
      <c r="B168" s="546"/>
      <c r="C168" s="703"/>
      <c r="D168" s="694"/>
      <c r="E168" s="694"/>
      <c r="F168" s="694"/>
      <c r="G168" s="694"/>
      <c r="H168" s="694"/>
      <c r="I168" s="694"/>
      <c r="J168" s="694"/>
      <c r="K168" s="694"/>
      <c r="L168" s="694"/>
      <c r="M168" s="694"/>
      <c r="N168" s="554">
        <f t="shared" si="26"/>
        <v>0</v>
      </c>
      <c r="O168" s="554">
        <f t="shared" si="27"/>
        <v>0</v>
      </c>
      <c r="P168" s="555">
        <f>(O168/O237)*100</f>
        <v>0</v>
      </c>
      <c r="Q168" s="567"/>
      <c r="R168" s="555">
        <f t="shared" si="28"/>
        <v>0</v>
      </c>
      <c r="S168" s="698"/>
      <c r="U168" s="696">
        <f t="shared" si="29"/>
        <v>0</v>
      </c>
      <c r="V168" s="696">
        <f t="shared" si="30"/>
        <v>0</v>
      </c>
      <c r="W168" s="696">
        <f t="shared" si="31"/>
        <v>0</v>
      </c>
      <c r="X168" s="696">
        <f t="shared" si="32"/>
        <v>0</v>
      </c>
      <c r="Y168" s="696">
        <f t="shared" si="33"/>
        <v>0</v>
      </c>
      <c r="Z168" s="696">
        <f t="shared" si="34"/>
        <v>0</v>
      </c>
      <c r="AA168" s="696">
        <f t="shared" si="35"/>
        <v>0</v>
      </c>
      <c r="AB168" s="696">
        <f t="shared" si="36"/>
        <v>0</v>
      </c>
      <c r="AC168" s="696">
        <f t="shared" si="37"/>
        <v>0</v>
      </c>
      <c r="AD168" s="696">
        <f t="shared" si="38"/>
        <v>0</v>
      </c>
      <c r="AE168" s="699"/>
    </row>
    <row r="169" spans="1:31" ht="25.15" customHeight="1">
      <c r="A169" s="543">
        <v>21</v>
      </c>
      <c r="B169" s="546"/>
      <c r="C169" s="703"/>
      <c r="D169" s="694"/>
      <c r="E169" s="694"/>
      <c r="F169" s="694"/>
      <c r="G169" s="694"/>
      <c r="H169" s="694"/>
      <c r="I169" s="694"/>
      <c r="J169" s="694"/>
      <c r="K169" s="694"/>
      <c r="L169" s="694"/>
      <c r="M169" s="694"/>
      <c r="N169" s="554">
        <f t="shared" si="26"/>
        <v>0</v>
      </c>
      <c r="O169" s="554">
        <f t="shared" si="27"/>
        <v>0</v>
      </c>
      <c r="P169" s="555">
        <f>(O169/O237)*100</f>
        <v>0</v>
      </c>
      <c r="Q169" s="567"/>
      <c r="R169" s="555">
        <f t="shared" si="28"/>
        <v>0</v>
      </c>
      <c r="S169" s="698"/>
      <c r="U169" s="696">
        <f t="shared" si="29"/>
        <v>0</v>
      </c>
      <c r="V169" s="696">
        <f t="shared" si="30"/>
        <v>0</v>
      </c>
      <c r="W169" s="696">
        <f t="shared" si="31"/>
        <v>0</v>
      </c>
      <c r="X169" s="696">
        <f t="shared" si="32"/>
        <v>0</v>
      </c>
      <c r="Y169" s="696">
        <f t="shared" si="33"/>
        <v>0</v>
      </c>
      <c r="Z169" s="696">
        <f t="shared" si="34"/>
        <v>0</v>
      </c>
      <c r="AA169" s="696">
        <f t="shared" si="35"/>
        <v>0</v>
      </c>
      <c r="AB169" s="696">
        <f t="shared" si="36"/>
        <v>0</v>
      </c>
      <c r="AC169" s="696">
        <f t="shared" si="37"/>
        <v>0</v>
      </c>
      <c r="AD169" s="696">
        <f t="shared" si="38"/>
        <v>0</v>
      </c>
      <c r="AE169" s="699"/>
    </row>
    <row r="170" spans="1:31" ht="25.15" customHeight="1">
      <c r="A170" s="543">
        <v>22</v>
      </c>
      <c r="B170" s="546"/>
      <c r="C170" s="703"/>
      <c r="D170" s="694"/>
      <c r="E170" s="694"/>
      <c r="F170" s="694"/>
      <c r="G170" s="694"/>
      <c r="H170" s="694"/>
      <c r="I170" s="694"/>
      <c r="J170" s="694"/>
      <c r="K170" s="694"/>
      <c r="L170" s="694"/>
      <c r="M170" s="694"/>
      <c r="N170" s="554">
        <f t="shared" si="26"/>
        <v>0</v>
      </c>
      <c r="O170" s="554">
        <f t="shared" si="27"/>
        <v>0</v>
      </c>
      <c r="P170" s="555">
        <f>(O170/O237)*100</f>
        <v>0</v>
      </c>
      <c r="Q170" s="567"/>
      <c r="R170" s="555">
        <f t="shared" si="28"/>
        <v>0</v>
      </c>
      <c r="S170" s="698"/>
      <c r="U170" s="696">
        <f t="shared" si="29"/>
        <v>0</v>
      </c>
      <c r="V170" s="696">
        <f t="shared" si="30"/>
        <v>0</v>
      </c>
      <c r="W170" s="696">
        <f t="shared" si="31"/>
        <v>0</v>
      </c>
      <c r="X170" s="696">
        <f t="shared" si="32"/>
        <v>0</v>
      </c>
      <c r="Y170" s="696">
        <f t="shared" si="33"/>
        <v>0</v>
      </c>
      <c r="Z170" s="696">
        <f t="shared" si="34"/>
        <v>0</v>
      </c>
      <c r="AA170" s="696">
        <f t="shared" si="35"/>
        <v>0</v>
      </c>
      <c r="AB170" s="696">
        <f t="shared" si="36"/>
        <v>0</v>
      </c>
      <c r="AC170" s="696">
        <f t="shared" si="37"/>
        <v>0</v>
      </c>
      <c r="AD170" s="696">
        <f t="shared" si="38"/>
        <v>0</v>
      </c>
      <c r="AE170" s="699"/>
    </row>
    <row r="171" spans="1:31" ht="25.15" customHeight="1">
      <c r="A171" s="543">
        <v>23</v>
      </c>
      <c r="B171" s="546"/>
      <c r="C171" s="703"/>
      <c r="D171" s="694"/>
      <c r="E171" s="694"/>
      <c r="F171" s="694"/>
      <c r="G171" s="694"/>
      <c r="H171" s="694"/>
      <c r="I171" s="694"/>
      <c r="J171" s="694"/>
      <c r="K171" s="694"/>
      <c r="L171" s="694"/>
      <c r="M171" s="694"/>
      <c r="N171" s="554">
        <f t="shared" si="26"/>
        <v>0</v>
      </c>
      <c r="O171" s="554">
        <f t="shared" si="27"/>
        <v>0</v>
      </c>
      <c r="P171" s="555">
        <f>(O171/O237)*100</f>
        <v>0</v>
      </c>
      <c r="Q171" s="567"/>
      <c r="R171" s="555">
        <f t="shared" si="28"/>
        <v>0</v>
      </c>
      <c r="S171" s="698"/>
      <c r="U171" s="696">
        <f t="shared" si="29"/>
        <v>0</v>
      </c>
      <c r="V171" s="696">
        <f t="shared" si="30"/>
        <v>0</v>
      </c>
      <c r="W171" s="696">
        <f t="shared" si="31"/>
        <v>0</v>
      </c>
      <c r="X171" s="696">
        <f t="shared" si="32"/>
        <v>0</v>
      </c>
      <c r="Y171" s="696">
        <f t="shared" si="33"/>
        <v>0</v>
      </c>
      <c r="Z171" s="696">
        <f t="shared" si="34"/>
        <v>0</v>
      </c>
      <c r="AA171" s="696">
        <f t="shared" si="35"/>
        <v>0</v>
      </c>
      <c r="AB171" s="696">
        <f t="shared" si="36"/>
        <v>0</v>
      </c>
      <c r="AC171" s="696">
        <f t="shared" si="37"/>
        <v>0</v>
      </c>
      <c r="AD171" s="696">
        <f t="shared" si="38"/>
        <v>0</v>
      </c>
      <c r="AE171" s="699"/>
    </row>
    <row r="172" spans="1:31" ht="25.15" customHeight="1">
      <c r="A172" s="543">
        <v>24</v>
      </c>
      <c r="B172" s="546"/>
      <c r="C172" s="703"/>
      <c r="D172" s="694"/>
      <c r="E172" s="694"/>
      <c r="F172" s="694"/>
      <c r="G172" s="694"/>
      <c r="H172" s="694"/>
      <c r="I172" s="694"/>
      <c r="J172" s="694"/>
      <c r="K172" s="694"/>
      <c r="L172" s="694"/>
      <c r="M172" s="694"/>
      <c r="N172" s="554">
        <f t="shared" si="26"/>
        <v>0</v>
      </c>
      <c r="O172" s="554">
        <f t="shared" si="27"/>
        <v>0</v>
      </c>
      <c r="P172" s="555">
        <f>(O172/O237)*100</f>
        <v>0</v>
      </c>
      <c r="Q172" s="567"/>
      <c r="R172" s="555">
        <f t="shared" si="28"/>
        <v>0</v>
      </c>
      <c r="S172" s="698"/>
      <c r="U172" s="696">
        <f t="shared" si="29"/>
        <v>0</v>
      </c>
      <c r="V172" s="696">
        <f t="shared" si="30"/>
        <v>0</v>
      </c>
      <c r="W172" s="696">
        <f t="shared" si="31"/>
        <v>0</v>
      </c>
      <c r="X172" s="696">
        <f t="shared" si="32"/>
        <v>0</v>
      </c>
      <c r="Y172" s="696">
        <f t="shared" si="33"/>
        <v>0</v>
      </c>
      <c r="Z172" s="696">
        <f t="shared" si="34"/>
        <v>0</v>
      </c>
      <c r="AA172" s="696">
        <f t="shared" si="35"/>
        <v>0</v>
      </c>
      <c r="AB172" s="696">
        <f t="shared" si="36"/>
        <v>0</v>
      </c>
      <c r="AC172" s="696">
        <f t="shared" si="37"/>
        <v>0</v>
      </c>
      <c r="AD172" s="696">
        <f t="shared" si="38"/>
        <v>0</v>
      </c>
      <c r="AE172" s="699"/>
    </row>
    <row r="173" spans="1:31" ht="25.15" customHeight="1">
      <c r="A173" s="543">
        <v>25</v>
      </c>
      <c r="B173" s="546"/>
      <c r="C173" s="703"/>
      <c r="D173" s="694"/>
      <c r="E173" s="694"/>
      <c r="F173" s="694"/>
      <c r="G173" s="694"/>
      <c r="H173" s="694"/>
      <c r="I173" s="694"/>
      <c r="J173" s="694"/>
      <c r="K173" s="694"/>
      <c r="L173" s="694"/>
      <c r="M173" s="694"/>
      <c r="N173" s="554">
        <f t="shared" si="26"/>
        <v>0</v>
      </c>
      <c r="O173" s="554">
        <f t="shared" si="27"/>
        <v>0</v>
      </c>
      <c r="P173" s="555">
        <f>(O173/O237)*100</f>
        <v>0</v>
      </c>
      <c r="Q173" s="567"/>
      <c r="R173" s="555">
        <f t="shared" si="28"/>
        <v>0</v>
      </c>
      <c r="S173" s="698"/>
      <c r="U173" s="696">
        <f t="shared" si="29"/>
        <v>0</v>
      </c>
      <c r="V173" s="696">
        <f t="shared" si="30"/>
        <v>0</v>
      </c>
      <c r="W173" s="696">
        <f t="shared" si="31"/>
        <v>0</v>
      </c>
      <c r="X173" s="696">
        <f t="shared" si="32"/>
        <v>0</v>
      </c>
      <c r="Y173" s="696">
        <f t="shared" si="33"/>
        <v>0</v>
      </c>
      <c r="Z173" s="696">
        <f t="shared" si="34"/>
        <v>0</v>
      </c>
      <c r="AA173" s="696">
        <f t="shared" si="35"/>
        <v>0</v>
      </c>
      <c r="AB173" s="696">
        <f t="shared" si="36"/>
        <v>0</v>
      </c>
      <c r="AC173" s="696">
        <f t="shared" si="37"/>
        <v>0</v>
      </c>
      <c r="AD173" s="696">
        <f t="shared" si="38"/>
        <v>0</v>
      </c>
      <c r="AE173" s="699"/>
    </row>
    <row r="174" spans="1:31" ht="25.15" customHeight="1">
      <c r="A174" s="543">
        <v>26</v>
      </c>
      <c r="B174" s="546"/>
      <c r="C174" s="703"/>
      <c r="D174" s="694"/>
      <c r="E174" s="694"/>
      <c r="F174" s="694"/>
      <c r="G174" s="694"/>
      <c r="H174" s="694"/>
      <c r="I174" s="694"/>
      <c r="J174" s="694"/>
      <c r="K174" s="694"/>
      <c r="L174" s="694"/>
      <c r="M174" s="694"/>
      <c r="N174" s="554">
        <f t="shared" si="26"/>
        <v>0</v>
      </c>
      <c r="O174" s="554">
        <f t="shared" si="27"/>
        <v>0</v>
      </c>
      <c r="P174" s="555">
        <f>(O174/O237)*100</f>
        <v>0</v>
      </c>
      <c r="Q174" s="567"/>
      <c r="R174" s="555">
        <f t="shared" si="28"/>
        <v>0</v>
      </c>
      <c r="S174" s="698"/>
      <c r="U174" s="696">
        <f t="shared" si="29"/>
        <v>0</v>
      </c>
      <c r="V174" s="696">
        <f t="shared" si="30"/>
        <v>0</v>
      </c>
      <c r="W174" s="696">
        <f t="shared" si="31"/>
        <v>0</v>
      </c>
      <c r="X174" s="696">
        <f t="shared" si="32"/>
        <v>0</v>
      </c>
      <c r="Y174" s="696">
        <f t="shared" si="33"/>
        <v>0</v>
      </c>
      <c r="Z174" s="696">
        <f t="shared" si="34"/>
        <v>0</v>
      </c>
      <c r="AA174" s="696">
        <f t="shared" si="35"/>
        <v>0</v>
      </c>
      <c r="AB174" s="696">
        <f t="shared" si="36"/>
        <v>0</v>
      </c>
      <c r="AC174" s="696">
        <f t="shared" si="37"/>
        <v>0</v>
      </c>
      <c r="AD174" s="696">
        <f t="shared" si="38"/>
        <v>0</v>
      </c>
      <c r="AE174" s="699"/>
    </row>
    <row r="175" spans="1:31" ht="25.15" customHeight="1">
      <c r="A175" s="543">
        <v>27</v>
      </c>
      <c r="B175" s="546"/>
      <c r="C175" s="703"/>
      <c r="D175" s="694"/>
      <c r="E175" s="704"/>
      <c r="F175" s="694"/>
      <c r="G175" s="694"/>
      <c r="H175" s="694"/>
      <c r="I175" s="694"/>
      <c r="J175" s="694"/>
      <c r="K175" s="694"/>
      <c r="L175" s="694"/>
      <c r="M175" s="694"/>
      <c r="N175" s="554">
        <f t="shared" si="26"/>
        <v>0</v>
      </c>
      <c r="O175" s="554">
        <f t="shared" si="27"/>
        <v>0</v>
      </c>
      <c r="P175" s="555">
        <f>(O175/O237)*100</f>
        <v>0</v>
      </c>
      <c r="Q175" s="567"/>
      <c r="R175" s="555">
        <f t="shared" si="28"/>
        <v>0</v>
      </c>
      <c r="S175" s="698"/>
      <c r="U175" s="696">
        <f t="shared" si="29"/>
        <v>0</v>
      </c>
      <c r="V175" s="696">
        <f t="shared" si="30"/>
        <v>0</v>
      </c>
      <c r="W175" s="696">
        <f t="shared" si="31"/>
        <v>0</v>
      </c>
      <c r="X175" s="696">
        <f t="shared" si="32"/>
        <v>0</v>
      </c>
      <c r="Y175" s="696">
        <f t="shared" si="33"/>
        <v>0</v>
      </c>
      <c r="Z175" s="696">
        <f t="shared" si="34"/>
        <v>0</v>
      </c>
      <c r="AA175" s="696">
        <f t="shared" si="35"/>
        <v>0</v>
      </c>
      <c r="AB175" s="696">
        <f t="shared" si="36"/>
        <v>0</v>
      </c>
      <c r="AC175" s="696">
        <f t="shared" si="37"/>
        <v>0</v>
      </c>
      <c r="AD175" s="696">
        <f t="shared" si="38"/>
        <v>0</v>
      </c>
      <c r="AE175" s="699"/>
    </row>
    <row r="176" spans="1:31" ht="25.15" customHeight="1">
      <c r="A176" s="543">
        <v>28</v>
      </c>
      <c r="B176" s="546"/>
      <c r="C176" s="703"/>
      <c r="D176" s="694"/>
      <c r="E176" s="694"/>
      <c r="F176" s="694"/>
      <c r="G176" s="694"/>
      <c r="H176" s="694"/>
      <c r="I176" s="694"/>
      <c r="J176" s="694"/>
      <c r="K176" s="694"/>
      <c r="L176" s="694"/>
      <c r="M176" s="694"/>
      <c r="N176" s="554">
        <f t="shared" si="26"/>
        <v>0</v>
      </c>
      <c r="O176" s="554">
        <f t="shared" si="27"/>
        <v>0</v>
      </c>
      <c r="P176" s="555">
        <f>(O176/O237)*100</f>
        <v>0</v>
      </c>
      <c r="Q176" s="567"/>
      <c r="R176" s="555">
        <f t="shared" si="28"/>
        <v>0</v>
      </c>
      <c r="S176" s="698"/>
      <c r="U176" s="696">
        <f t="shared" si="29"/>
        <v>0</v>
      </c>
      <c r="V176" s="696">
        <f t="shared" si="30"/>
        <v>0</v>
      </c>
      <c r="W176" s="696">
        <f t="shared" si="31"/>
        <v>0</v>
      </c>
      <c r="X176" s="696">
        <f t="shared" si="32"/>
        <v>0</v>
      </c>
      <c r="Y176" s="696">
        <f t="shared" si="33"/>
        <v>0</v>
      </c>
      <c r="Z176" s="696">
        <f t="shared" si="34"/>
        <v>0</v>
      </c>
      <c r="AA176" s="696">
        <f t="shared" si="35"/>
        <v>0</v>
      </c>
      <c r="AB176" s="696">
        <f t="shared" si="36"/>
        <v>0</v>
      </c>
      <c r="AC176" s="696">
        <f t="shared" si="37"/>
        <v>0</v>
      </c>
      <c r="AD176" s="696">
        <f t="shared" si="38"/>
        <v>0</v>
      </c>
      <c r="AE176" s="699"/>
    </row>
    <row r="177" spans="1:31" ht="25.15" customHeight="1">
      <c r="A177" s="705">
        <v>29</v>
      </c>
      <c r="B177" s="576"/>
      <c r="C177" s="703"/>
      <c r="D177" s="694"/>
      <c r="E177" s="694"/>
      <c r="F177" s="694"/>
      <c r="G177" s="694"/>
      <c r="H177" s="694"/>
      <c r="I177" s="694"/>
      <c r="J177" s="694"/>
      <c r="K177" s="694"/>
      <c r="L177" s="694"/>
      <c r="M177" s="694"/>
      <c r="N177" s="590">
        <f t="shared" si="26"/>
        <v>0</v>
      </c>
      <c r="O177" s="590">
        <f t="shared" si="27"/>
        <v>0</v>
      </c>
      <c r="P177" s="591">
        <f>(O177/O237)*100</f>
        <v>0</v>
      </c>
      <c r="Q177" s="721"/>
      <c r="R177" s="591">
        <f t="shared" si="28"/>
        <v>0</v>
      </c>
      <c r="S177" s="698"/>
      <c r="U177" s="696">
        <f t="shared" si="29"/>
        <v>0</v>
      </c>
      <c r="V177" s="696">
        <f t="shared" si="30"/>
        <v>0</v>
      </c>
      <c r="W177" s="696">
        <f t="shared" si="31"/>
        <v>0</v>
      </c>
      <c r="X177" s="696">
        <f t="shared" si="32"/>
        <v>0</v>
      </c>
      <c r="Y177" s="696">
        <f t="shared" si="33"/>
        <v>0</v>
      </c>
      <c r="Z177" s="696">
        <f t="shared" si="34"/>
        <v>0</v>
      </c>
      <c r="AA177" s="696">
        <f t="shared" si="35"/>
        <v>0</v>
      </c>
      <c r="AB177" s="696">
        <f t="shared" si="36"/>
        <v>0</v>
      </c>
      <c r="AC177" s="696">
        <f t="shared" si="37"/>
        <v>0</v>
      </c>
      <c r="AD177" s="696">
        <f t="shared" si="38"/>
        <v>0</v>
      </c>
      <c r="AE177" s="699"/>
    </row>
    <row r="178" spans="1:31" s="690" customFormat="1" ht="100.15" customHeight="1">
      <c r="A178" s="2602" t="s">
        <v>300</v>
      </c>
      <c r="B178" s="2603"/>
      <c r="C178" s="2604"/>
      <c r="D178" s="577">
        <f t="shared" ref="D178:M178" si="39">U178</f>
        <v>465999</v>
      </c>
      <c r="E178" s="578">
        <f t="shared" si="39"/>
        <v>103806</v>
      </c>
      <c r="F178" s="578">
        <f t="shared" si="39"/>
        <v>163730</v>
      </c>
      <c r="G178" s="578">
        <f t="shared" si="39"/>
        <v>115710</v>
      </c>
      <c r="H178" s="578">
        <f t="shared" si="39"/>
        <v>154346</v>
      </c>
      <c r="I178" s="578">
        <f t="shared" si="39"/>
        <v>151720</v>
      </c>
      <c r="J178" s="578">
        <f t="shared" si="39"/>
        <v>163090</v>
      </c>
      <c r="K178" s="578">
        <f t="shared" si="39"/>
        <v>0</v>
      </c>
      <c r="L178" s="578">
        <f t="shared" si="39"/>
        <v>0</v>
      </c>
      <c r="M178" s="578">
        <f t="shared" si="39"/>
        <v>0</v>
      </c>
      <c r="N178" s="578"/>
      <c r="O178" s="592">
        <f>SUM(D178:M178)</f>
        <v>1318401</v>
      </c>
      <c r="P178" s="713">
        <f>SUM(P8:P177)/100</f>
        <v>1</v>
      </c>
      <c r="Q178" s="713"/>
      <c r="R178" s="722">
        <f>SUM(R8:R177)/100</f>
        <v>0</v>
      </c>
      <c r="S178" s="723"/>
      <c r="U178" s="724">
        <f t="shared" ref="U178:AD178" si="40">SUM(U8:U177)</f>
        <v>465999</v>
      </c>
      <c r="V178" s="724">
        <f t="shared" si="40"/>
        <v>103806</v>
      </c>
      <c r="W178" s="724">
        <f t="shared" si="40"/>
        <v>163730</v>
      </c>
      <c r="X178" s="724">
        <f t="shared" si="40"/>
        <v>115710</v>
      </c>
      <c r="Y178" s="724">
        <f t="shared" si="40"/>
        <v>154346</v>
      </c>
      <c r="Z178" s="724">
        <f t="shared" si="40"/>
        <v>151720</v>
      </c>
      <c r="AA178" s="724">
        <f t="shared" si="40"/>
        <v>163090</v>
      </c>
      <c r="AB178" s="724">
        <f t="shared" si="40"/>
        <v>0</v>
      </c>
      <c r="AC178" s="724">
        <f t="shared" si="40"/>
        <v>0</v>
      </c>
      <c r="AD178" s="724">
        <f t="shared" si="40"/>
        <v>0</v>
      </c>
    </row>
    <row r="179" spans="1:31" ht="20.149999999999999" customHeight="1">
      <c r="A179" s="706"/>
      <c r="B179" s="706"/>
      <c r="C179" s="706"/>
      <c r="D179" s="707"/>
      <c r="E179" s="707"/>
      <c r="F179" s="707"/>
      <c r="G179" s="707"/>
      <c r="H179" s="707"/>
      <c r="I179" s="707"/>
      <c r="J179" s="707"/>
      <c r="K179" s="707"/>
      <c r="L179" s="707"/>
      <c r="M179" s="707"/>
      <c r="N179" s="707"/>
      <c r="O179" s="707"/>
      <c r="P179" s="714"/>
      <c r="Q179" s="725"/>
      <c r="R179" s="714"/>
      <c r="S179" s="707"/>
      <c r="U179" s="699"/>
      <c r="V179" s="699"/>
      <c r="W179" s="699"/>
      <c r="X179" s="699"/>
      <c r="Y179" s="699"/>
      <c r="Z179" s="699"/>
      <c r="AA179" s="699"/>
      <c r="AB179" s="699"/>
      <c r="AC179" s="699"/>
      <c r="AD179" s="699"/>
      <c r="AE179" s="699"/>
    </row>
    <row r="180" spans="1:31" ht="40.15" customHeight="1">
      <c r="A180" s="580" t="s">
        <v>65</v>
      </c>
      <c r="B180" s="580" t="s">
        <v>1465</v>
      </c>
      <c r="C180" s="580" t="str">
        <f>B180</f>
        <v>BEVERAGES</v>
      </c>
      <c r="D180" s="581">
        <f>'LAP. PENJUALAN '!D6</f>
        <v>46030</v>
      </c>
      <c r="E180" s="581">
        <f>'LAP. PENJUALAN '!E6</f>
        <v>46031</v>
      </c>
      <c r="F180" s="581">
        <f>'LAP. PENJUALAN '!F6</f>
        <v>46032</v>
      </c>
      <c r="G180" s="581">
        <f>'LAP. PENJUALAN '!G6</f>
        <v>46033</v>
      </c>
      <c r="H180" s="581">
        <f>'LAP. PENJUALAN '!H6</f>
        <v>46034</v>
      </c>
      <c r="I180" s="581">
        <f>'LAP. PENJUALAN '!I6</f>
        <v>46035</v>
      </c>
      <c r="J180" s="581">
        <f>'LAP. PENJUALAN '!J6</f>
        <v>46036</v>
      </c>
      <c r="K180" s="581">
        <f>'LAP. PENJUALAN '!K6</f>
        <v>0</v>
      </c>
      <c r="L180" s="581">
        <f>'LAP. PENJUALAN '!L6</f>
        <v>0</v>
      </c>
      <c r="M180" s="581">
        <f>'LAP. PENJUALAN '!M6</f>
        <v>0</v>
      </c>
      <c r="N180" s="715" t="s">
        <v>67</v>
      </c>
      <c r="O180" s="715" t="s">
        <v>415</v>
      </c>
      <c r="P180" s="716" t="s">
        <v>1154</v>
      </c>
      <c r="Q180" s="726" t="s">
        <v>1280</v>
      </c>
      <c r="R180" s="726" t="s">
        <v>1281</v>
      </c>
      <c r="S180" s="727" t="s">
        <v>1466</v>
      </c>
      <c r="U180" s="699"/>
      <c r="V180" s="699"/>
      <c r="W180" s="699"/>
      <c r="X180" s="699"/>
      <c r="Y180" s="699"/>
      <c r="Z180" s="699"/>
      <c r="AA180" s="699"/>
      <c r="AB180" s="699"/>
      <c r="AC180" s="699"/>
      <c r="AD180" s="699"/>
      <c r="AE180" s="699"/>
    </row>
    <row r="181" spans="1:31" ht="25.15" customHeight="1">
      <c r="A181" s="708">
        <v>1</v>
      </c>
      <c r="B181" s="709" t="s">
        <v>1575</v>
      </c>
      <c r="C181" s="541" t="str">
        <f>'LAP. PENJUALAN '!C216</f>
        <v>Air Mineral Botol  (600 ML)</v>
      </c>
      <c r="D181" s="710"/>
      <c r="E181" s="710"/>
      <c r="F181" s="710"/>
      <c r="G181" s="710"/>
      <c r="H181" s="710"/>
      <c r="I181" s="710"/>
      <c r="J181" s="710"/>
      <c r="K181" s="710"/>
      <c r="L181" s="710"/>
      <c r="M181" s="710"/>
      <c r="N181" s="717">
        <f>SUM(D181:M181)</f>
        <v>0</v>
      </c>
      <c r="O181" s="718">
        <f t="shared" ref="O181:O235" si="41">N181*S181</f>
        <v>0</v>
      </c>
      <c r="P181" s="719">
        <f>(O181/O237)*100</f>
        <v>0</v>
      </c>
      <c r="Q181" s="728"/>
      <c r="R181" s="729">
        <f>P181*Q181</f>
        <v>0</v>
      </c>
      <c r="S181" s="710">
        <v>6250</v>
      </c>
      <c r="U181" s="696">
        <f>D181*S181</f>
        <v>0</v>
      </c>
      <c r="V181" s="696">
        <f>E181*S181</f>
        <v>0</v>
      </c>
      <c r="W181" s="696">
        <f>F181*S181</f>
        <v>0</v>
      </c>
      <c r="X181" s="696">
        <f>G181*S181</f>
        <v>0</v>
      </c>
      <c r="Y181" s="696">
        <f>H181*S181</f>
        <v>0</v>
      </c>
      <c r="Z181" s="696">
        <f>I181*S181</f>
        <v>0</v>
      </c>
      <c r="AA181" s="696">
        <f>J181*S181</f>
        <v>0</v>
      </c>
      <c r="AB181" s="696">
        <f>K181*S181</f>
        <v>0</v>
      </c>
      <c r="AC181" s="696">
        <f>L181*S181</f>
        <v>0</v>
      </c>
      <c r="AD181" s="696">
        <f>M181*S181</f>
        <v>0</v>
      </c>
      <c r="AE181" s="699"/>
    </row>
    <row r="182" spans="1:31" ht="25.15" customHeight="1">
      <c r="A182" s="711">
        <v>2</v>
      </c>
      <c r="B182" s="712" t="s">
        <v>1469</v>
      </c>
      <c r="C182" s="541" t="str">
        <f>'LAP. PENJUALAN '!C217</f>
        <v>Air Mineral Botol (330 ML)</v>
      </c>
      <c r="D182" s="710"/>
      <c r="E182" s="710"/>
      <c r="F182" s="710"/>
      <c r="G182" s="710"/>
      <c r="H182" s="710"/>
      <c r="I182" s="710"/>
      <c r="J182" s="710"/>
      <c r="K182" s="710"/>
      <c r="L182" s="710"/>
      <c r="M182" s="710"/>
      <c r="N182" s="717">
        <f t="shared" ref="N182:N235" si="42">SUM(D182:M182)</f>
        <v>0</v>
      </c>
      <c r="O182" s="718">
        <f t="shared" si="41"/>
        <v>0</v>
      </c>
      <c r="P182" s="719">
        <f>(O182/O237)*100</f>
        <v>0</v>
      </c>
      <c r="Q182" s="730"/>
      <c r="R182" s="729">
        <f t="shared" ref="R182:R235" si="43">P182*Q182</f>
        <v>0</v>
      </c>
      <c r="S182" s="710"/>
      <c r="T182" s="692" t="s">
        <v>61</v>
      </c>
      <c r="U182" s="696">
        <f t="shared" ref="U182:U235" si="44">D182*S182</f>
        <v>0</v>
      </c>
      <c r="V182" s="696">
        <f t="shared" ref="V182:V235" si="45">E182*S182</f>
        <v>0</v>
      </c>
      <c r="W182" s="696">
        <f t="shared" ref="W182:W235" si="46">F182*S182</f>
        <v>0</v>
      </c>
      <c r="X182" s="696">
        <f t="shared" ref="X182:X235" si="47">G182*S182</f>
        <v>0</v>
      </c>
      <c r="Y182" s="696">
        <f t="shared" ref="Y182:Y235" si="48">H182*S182</f>
        <v>0</v>
      </c>
      <c r="Z182" s="696">
        <f t="shared" ref="Z182:Z235" si="49">I182*S182</f>
        <v>0</v>
      </c>
      <c r="AA182" s="696">
        <f t="shared" ref="AA182:AA235" si="50">J182*S182</f>
        <v>0</v>
      </c>
      <c r="AB182" s="696">
        <f t="shared" ref="AB182:AB235" si="51">K182*S182</f>
        <v>0</v>
      </c>
      <c r="AC182" s="696">
        <f t="shared" ref="AC182:AC235" si="52">L182*S182</f>
        <v>0</v>
      </c>
      <c r="AD182" s="696">
        <f t="shared" ref="AD182:AD235" si="53">M182*S182</f>
        <v>0</v>
      </c>
      <c r="AE182" s="699"/>
    </row>
    <row r="183" spans="1:31" ht="25.15" customHeight="1">
      <c r="A183" s="711">
        <v>3</v>
      </c>
      <c r="B183" s="712" t="s">
        <v>1470</v>
      </c>
      <c r="C183" s="541" t="str">
        <f>'LAP. PENJUALAN '!C218</f>
        <v>Air Mineral Cup</v>
      </c>
      <c r="D183" s="710"/>
      <c r="E183" s="710"/>
      <c r="F183" s="710"/>
      <c r="G183" s="710"/>
      <c r="H183" s="710"/>
      <c r="I183" s="710"/>
      <c r="J183" s="710"/>
      <c r="K183" s="710"/>
      <c r="L183" s="710"/>
      <c r="M183" s="710"/>
      <c r="N183" s="717">
        <f t="shared" si="42"/>
        <v>0</v>
      </c>
      <c r="O183" s="718">
        <f t="shared" si="41"/>
        <v>0</v>
      </c>
      <c r="P183" s="719">
        <f>(O183/O237)*100</f>
        <v>0</v>
      </c>
      <c r="Q183" s="731"/>
      <c r="R183" s="729">
        <f t="shared" si="43"/>
        <v>0</v>
      </c>
      <c r="S183" s="710">
        <v>2666</v>
      </c>
      <c r="U183" s="696">
        <f t="shared" si="44"/>
        <v>0</v>
      </c>
      <c r="V183" s="696">
        <f t="shared" si="45"/>
        <v>0</v>
      </c>
      <c r="W183" s="696">
        <f t="shared" si="46"/>
        <v>0</v>
      </c>
      <c r="X183" s="696">
        <f t="shared" si="47"/>
        <v>0</v>
      </c>
      <c r="Y183" s="696">
        <f t="shared" si="48"/>
        <v>0</v>
      </c>
      <c r="Z183" s="696">
        <f t="shared" si="49"/>
        <v>0</v>
      </c>
      <c r="AA183" s="696">
        <f t="shared" si="50"/>
        <v>0</v>
      </c>
      <c r="AB183" s="696">
        <f t="shared" si="51"/>
        <v>0</v>
      </c>
      <c r="AC183" s="696">
        <f t="shared" si="52"/>
        <v>0</v>
      </c>
      <c r="AD183" s="696">
        <f t="shared" si="53"/>
        <v>0</v>
      </c>
      <c r="AE183" s="699"/>
    </row>
    <row r="184" spans="1:31" ht="25.15" customHeight="1">
      <c r="A184" s="711">
        <v>4</v>
      </c>
      <c r="B184" s="712" t="s">
        <v>1471</v>
      </c>
      <c r="C184" s="541" t="str">
        <f>'LAP. PENJUALAN '!C219</f>
        <v>Teh Botol</v>
      </c>
      <c r="D184" s="710"/>
      <c r="E184" s="710"/>
      <c r="F184" s="710"/>
      <c r="G184" s="710"/>
      <c r="H184" s="710"/>
      <c r="I184" s="710"/>
      <c r="J184" s="710"/>
      <c r="K184" s="710"/>
      <c r="L184" s="710"/>
      <c r="M184" s="710"/>
      <c r="N184" s="717">
        <f t="shared" si="42"/>
        <v>0</v>
      </c>
      <c r="O184" s="718">
        <f t="shared" si="41"/>
        <v>0</v>
      </c>
      <c r="P184" s="719">
        <f>(O184/O237)*100</f>
        <v>0</v>
      </c>
      <c r="Q184" s="731"/>
      <c r="R184" s="729">
        <f t="shared" si="43"/>
        <v>0</v>
      </c>
      <c r="S184" s="710">
        <v>8000</v>
      </c>
      <c r="U184" s="696">
        <f t="shared" si="44"/>
        <v>0</v>
      </c>
      <c r="V184" s="696">
        <f t="shared" si="45"/>
        <v>0</v>
      </c>
      <c r="W184" s="696">
        <f t="shared" si="46"/>
        <v>0</v>
      </c>
      <c r="X184" s="696">
        <f t="shared" si="47"/>
        <v>0</v>
      </c>
      <c r="Y184" s="696">
        <f t="shared" si="48"/>
        <v>0</v>
      </c>
      <c r="Z184" s="696">
        <f t="shared" si="49"/>
        <v>0</v>
      </c>
      <c r="AA184" s="696">
        <f t="shared" si="50"/>
        <v>0</v>
      </c>
      <c r="AB184" s="696">
        <f t="shared" si="51"/>
        <v>0</v>
      </c>
      <c r="AC184" s="696">
        <f t="shared" si="52"/>
        <v>0</v>
      </c>
      <c r="AD184" s="696">
        <f t="shared" si="53"/>
        <v>0</v>
      </c>
      <c r="AE184" s="699"/>
    </row>
    <row r="185" spans="1:31" ht="25.15" customHeight="1">
      <c r="A185" s="711">
        <v>5</v>
      </c>
      <c r="B185" s="712" t="s">
        <v>1472</v>
      </c>
      <c r="C185" s="541" t="str">
        <f>'LAP. PENJUALAN '!C220</f>
        <v>Teh Sosro Genggam</v>
      </c>
      <c r="D185" s="710"/>
      <c r="E185" s="710"/>
      <c r="F185" s="710"/>
      <c r="G185" s="710"/>
      <c r="H185" s="710"/>
      <c r="I185" s="710"/>
      <c r="J185" s="710"/>
      <c r="K185" s="710"/>
      <c r="L185" s="710"/>
      <c r="M185" s="710"/>
      <c r="N185" s="717">
        <f t="shared" si="42"/>
        <v>0</v>
      </c>
      <c r="O185" s="718">
        <f t="shared" si="41"/>
        <v>0</v>
      </c>
      <c r="P185" s="720">
        <f>(O185/O237)*100</f>
        <v>0</v>
      </c>
      <c r="Q185" s="731"/>
      <c r="R185" s="729">
        <f t="shared" si="43"/>
        <v>0</v>
      </c>
      <c r="S185" s="710"/>
      <c r="U185" s="696">
        <f t="shared" si="44"/>
        <v>0</v>
      </c>
      <c r="V185" s="696">
        <f t="shared" si="45"/>
        <v>0</v>
      </c>
      <c r="W185" s="696">
        <f t="shared" si="46"/>
        <v>0</v>
      </c>
      <c r="X185" s="696">
        <f t="shared" si="47"/>
        <v>0</v>
      </c>
      <c r="Y185" s="696">
        <f t="shared" si="48"/>
        <v>0</v>
      </c>
      <c r="Z185" s="696">
        <f t="shared" si="49"/>
        <v>0</v>
      </c>
      <c r="AA185" s="696">
        <f t="shared" si="50"/>
        <v>0</v>
      </c>
      <c r="AB185" s="696">
        <f t="shared" si="51"/>
        <v>0</v>
      </c>
      <c r="AC185" s="696">
        <f t="shared" si="52"/>
        <v>0</v>
      </c>
      <c r="AD185" s="696">
        <f t="shared" si="53"/>
        <v>0</v>
      </c>
      <c r="AE185" s="699"/>
    </row>
    <row r="186" spans="1:31" ht="25.15" customHeight="1">
      <c r="A186" s="711">
        <v>6</v>
      </c>
      <c r="B186" s="712" t="s">
        <v>1473</v>
      </c>
      <c r="C186" s="541" t="str">
        <f>'LAP. PENJUALAN '!C221</f>
        <v>Fruit Tea Botol</v>
      </c>
      <c r="D186" s="710"/>
      <c r="E186" s="710"/>
      <c r="F186" s="710"/>
      <c r="G186" s="710"/>
      <c r="H186" s="710"/>
      <c r="I186" s="710"/>
      <c r="J186" s="710"/>
      <c r="K186" s="710"/>
      <c r="L186" s="710"/>
      <c r="M186" s="710"/>
      <c r="N186" s="717">
        <f t="shared" si="42"/>
        <v>0</v>
      </c>
      <c r="O186" s="718">
        <f t="shared" si="41"/>
        <v>0</v>
      </c>
      <c r="P186" s="720">
        <f>(O186/O237)*100</f>
        <v>0</v>
      </c>
      <c r="Q186" s="731"/>
      <c r="R186" s="729">
        <f t="shared" si="43"/>
        <v>0</v>
      </c>
      <c r="S186" s="710">
        <v>8000</v>
      </c>
      <c r="U186" s="696">
        <f t="shared" si="44"/>
        <v>0</v>
      </c>
      <c r="V186" s="696">
        <f t="shared" si="45"/>
        <v>0</v>
      </c>
      <c r="W186" s="696">
        <f t="shared" si="46"/>
        <v>0</v>
      </c>
      <c r="X186" s="696">
        <f t="shared" si="47"/>
        <v>0</v>
      </c>
      <c r="Y186" s="696">
        <f t="shared" si="48"/>
        <v>0</v>
      </c>
      <c r="Z186" s="696">
        <f t="shared" si="49"/>
        <v>0</v>
      </c>
      <c r="AA186" s="696">
        <f t="shared" si="50"/>
        <v>0</v>
      </c>
      <c r="AB186" s="696">
        <f t="shared" si="51"/>
        <v>0</v>
      </c>
      <c r="AC186" s="696">
        <f t="shared" si="52"/>
        <v>0</v>
      </c>
      <c r="AD186" s="696">
        <f t="shared" si="53"/>
        <v>0</v>
      </c>
      <c r="AE186" s="699"/>
    </row>
    <row r="187" spans="1:31" ht="25.15" customHeight="1">
      <c r="A187" s="711">
        <v>7</v>
      </c>
      <c r="B187" s="712" t="s">
        <v>1474</v>
      </c>
      <c r="C187" s="541" t="str">
        <f>'LAP. PENJUALAN '!C222</f>
        <v>Fuit Tea Genggam</v>
      </c>
      <c r="D187" s="710"/>
      <c r="E187" s="710"/>
      <c r="F187" s="710"/>
      <c r="G187" s="710"/>
      <c r="H187" s="710"/>
      <c r="I187" s="710"/>
      <c r="J187" s="710"/>
      <c r="K187" s="710"/>
      <c r="L187" s="710"/>
      <c r="M187" s="710"/>
      <c r="N187" s="717">
        <f t="shared" si="42"/>
        <v>0</v>
      </c>
      <c r="O187" s="718">
        <f t="shared" si="41"/>
        <v>0</v>
      </c>
      <c r="P187" s="720">
        <f>(O187/O237)*100</f>
        <v>0</v>
      </c>
      <c r="Q187" s="731"/>
      <c r="R187" s="729">
        <f t="shared" si="43"/>
        <v>0</v>
      </c>
      <c r="S187" s="732"/>
      <c r="U187" s="696">
        <f t="shared" si="44"/>
        <v>0</v>
      </c>
      <c r="V187" s="696">
        <f t="shared" si="45"/>
        <v>0</v>
      </c>
      <c r="W187" s="696">
        <f t="shared" si="46"/>
        <v>0</v>
      </c>
      <c r="X187" s="696">
        <f t="shared" si="47"/>
        <v>0</v>
      </c>
      <c r="Y187" s="696">
        <f t="shared" si="48"/>
        <v>0</v>
      </c>
      <c r="Z187" s="696">
        <f t="shared" si="49"/>
        <v>0</v>
      </c>
      <c r="AA187" s="696">
        <f t="shared" si="50"/>
        <v>0</v>
      </c>
      <c r="AB187" s="696">
        <f t="shared" si="51"/>
        <v>0</v>
      </c>
      <c r="AC187" s="696">
        <f t="shared" si="52"/>
        <v>0</v>
      </c>
      <c r="AD187" s="696">
        <f t="shared" si="53"/>
        <v>0</v>
      </c>
      <c r="AE187" s="699"/>
    </row>
    <row r="188" spans="1:31" ht="25.15" customHeight="1">
      <c r="A188" s="711">
        <v>8</v>
      </c>
      <c r="B188" s="712" t="s">
        <v>170</v>
      </c>
      <c r="C188" s="541" t="str">
        <f>'LAP. PENJUALAN '!C223</f>
        <v>Tebs</v>
      </c>
      <c r="D188" s="710"/>
      <c r="E188" s="710"/>
      <c r="F188" s="710"/>
      <c r="G188" s="710"/>
      <c r="H188" s="710"/>
      <c r="I188" s="710"/>
      <c r="J188" s="710"/>
      <c r="K188" s="710"/>
      <c r="L188" s="710"/>
      <c r="M188" s="710"/>
      <c r="N188" s="717">
        <f t="shared" si="42"/>
        <v>0</v>
      </c>
      <c r="O188" s="718">
        <f t="shared" si="41"/>
        <v>0</v>
      </c>
      <c r="P188" s="720">
        <f>(O188/O237)*100</f>
        <v>0</v>
      </c>
      <c r="Q188" s="731"/>
      <c r="R188" s="729">
        <f t="shared" si="43"/>
        <v>0</v>
      </c>
      <c r="S188" s="732">
        <v>8000</v>
      </c>
      <c r="U188" s="696">
        <f t="shared" si="44"/>
        <v>0</v>
      </c>
      <c r="V188" s="696">
        <f t="shared" si="45"/>
        <v>0</v>
      </c>
      <c r="W188" s="696">
        <f t="shared" si="46"/>
        <v>0</v>
      </c>
      <c r="X188" s="696">
        <f t="shared" si="47"/>
        <v>0</v>
      </c>
      <c r="Y188" s="696">
        <f t="shared" si="48"/>
        <v>0</v>
      </c>
      <c r="Z188" s="696">
        <f t="shared" si="49"/>
        <v>0</v>
      </c>
      <c r="AA188" s="696">
        <f t="shared" si="50"/>
        <v>0</v>
      </c>
      <c r="AB188" s="696">
        <f t="shared" si="51"/>
        <v>0</v>
      </c>
      <c r="AC188" s="696">
        <f t="shared" si="52"/>
        <v>0</v>
      </c>
      <c r="AD188" s="696">
        <f t="shared" si="53"/>
        <v>0</v>
      </c>
      <c r="AE188" s="699"/>
    </row>
    <row r="189" spans="1:31" ht="25.15" customHeight="1">
      <c r="A189" s="711">
        <v>9</v>
      </c>
      <c r="B189" s="712"/>
      <c r="C189" s="541" t="str">
        <f>'LAP. PENJUALAN '!C224</f>
        <v>S-tee</v>
      </c>
      <c r="D189" s="710"/>
      <c r="E189" s="710"/>
      <c r="F189" s="710"/>
      <c r="G189" s="710"/>
      <c r="H189" s="710"/>
      <c r="I189" s="710"/>
      <c r="J189" s="710"/>
      <c r="K189" s="710"/>
      <c r="L189" s="710"/>
      <c r="M189" s="710"/>
      <c r="N189" s="717">
        <f t="shared" si="42"/>
        <v>0</v>
      </c>
      <c r="O189" s="718">
        <f t="shared" si="41"/>
        <v>0</v>
      </c>
      <c r="P189" s="720">
        <f>(O189/O237)*100</f>
        <v>0</v>
      </c>
      <c r="Q189" s="731"/>
      <c r="R189" s="729">
        <f t="shared" si="43"/>
        <v>0</v>
      </c>
      <c r="S189" s="732">
        <v>4000</v>
      </c>
      <c r="U189" s="696">
        <f t="shared" si="44"/>
        <v>0</v>
      </c>
      <c r="V189" s="696">
        <f t="shared" si="45"/>
        <v>0</v>
      </c>
      <c r="W189" s="696">
        <f t="shared" si="46"/>
        <v>0</v>
      </c>
      <c r="X189" s="696">
        <f t="shared" si="47"/>
        <v>0</v>
      </c>
      <c r="Y189" s="696">
        <f t="shared" si="48"/>
        <v>0</v>
      </c>
      <c r="Z189" s="696">
        <f t="shared" si="49"/>
        <v>0</v>
      </c>
      <c r="AA189" s="696">
        <f t="shared" si="50"/>
        <v>0</v>
      </c>
      <c r="AB189" s="696">
        <f t="shared" si="51"/>
        <v>0</v>
      </c>
      <c r="AC189" s="696">
        <f t="shared" si="52"/>
        <v>0</v>
      </c>
      <c r="AD189" s="696">
        <f t="shared" si="53"/>
        <v>0</v>
      </c>
      <c r="AE189" s="699"/>
    </row>
    <row r="190" spans="1:31" ht="25.15" customHeight="1">
      <c r="A190" s="711">
        <v>10</v>
      </c>
      <c r="B190" s="712" t="s">
        <v>1476</v>
      </c>
      <c r="C190" s="541"/>
      <c r="D190" s="710"/>
      <c r="E190" s="710"/>
      <c r="F190" s="710"/>
      <c r="G190" s="710"/>
      <c r="H190" s="710"/>
      <c r="I190" s="710"/>
      <c r="J190" s="710"/>
      <c r="K190" s="710"/>
      <c r="L190" s="710"/>
      <c r="M190" s="710"/>
      <c r="N190" s="717">
        <f t="shared" si="42"/>
        <v>0</v>
      </c>
      <c r="O190" s="718">
        <f t="shared" si="41"/>
        <v>0</v>
      </c>
      <c r="P190" s="720">
        <f>(O190/O237)*100</f>
        <v>0</v>
      </c>
      <c r="Q190" s="731"/>
      <c r="R190" s="729">
        <f t="shared" si="43"/>
        <v>0</v>
      </c>
      <c r="S190" s="732"/>
      <c r="U190" s="696">
        <f t="shared" si="44"/>
        <v>0</v>
      </c>
      <c r="V190" s="696">
        <f t="shared" si="45"/>
        <v>0</v>
      </c>
      <c r="W190" s="696">
        <f t="shared" si="46"/>
        <v>0</v>
      </c>
      <c r="X190" s="696">
        <f t="shared" si="47"/>
        <v>0</v>
      </c>
      <c r="Y190" s="696">
        <f t="shared" si="48"/>
        <v>0</v>
      </c>
      <c r="Z190" s="696">
        <f t="shared" si="49"/>
        <v>0</v>
      </c>
      <c r="AA190" s="696">
        <f t="shared" si="50"/>
        <v>0</v>
      </c>
      <c r="AB190" s="696">
        <f t="shared" si="51"/>
        <v>0</v>
      </c>
      <c r="AC190" s="696">
        <f t="shared" si="52"/>
        <v>0</v>
      </c>
      <c r="AD190" s="696">
        <f t="shared" si="53"/>
        <v>0</v>
      </c>
      <c r="AE190" s="699"/>
    </row>
    <row r="191" spans="1:31" ht="25.15" customHeight="1">
      <c r="A191" s="711">
        <v>11</v>
      </c>
      <c r="B191" s="712" t="s">
        <v>1477</v>
      </c>
      <c r="C191" s="541" t="str">
        <f>'LAP. PENJUALAN '!C226</f>
        <v>Juice Durian Float</v>
      </c>
      <c r="D191" s="710"/>
      <c r="E191" s="710"/>
      <c r="F191" s="710"/>
      <c r="G191" s="710"/>
      <c r="H191" s="710"/>
      <c r="I191" s="710"/>
      <c r="J191" s="710"/>
      <c r="K191" s="710"/>
      <c r="L191" s="710"/>
      <c r="M191" s="710"/>
      <c r="N191" s="717">
        <f t="shared" si="42"/>
        <v>0</v>
      </c>
      <c r="O191" s="718">
        <f t="shared" si="41"/>
        <v>0</v>
      </c>
      <c r="P191" s="720">
        <f>(O191/O237)*100</f>
        <v>0</v>
      </c>
      <c r="Q191" s="731"/>
      <c r="R191" s="729">
        <f t="shared" si="43"/>
        <v>0</v>
      </c>
      <c r="S191" s="732"/>
      <c r="U191" s="696">
        <f t="shared" si="44"/>
        <v>0</v>
      </c>
      <c r="V191" s="696">
        <f t="shared" si="45"/>
        <v>0</v>
      </c>
      <c r="W191" s="696">
        <f t="shared" si="46"/>
        <v>0</v>
      </c>
      <c r="X191" s="696">
        <f t="shared" si="47"/>
        <v>0</v>
      </c>
      <c r="Y191" s="696">
        <f t="shared" si="48"/>
        <v>0</v>
      </c>
      <c r="Z191" s="696">
        <f t="shared" si="49"/>
        <v>0</v>
      </c>
      <c r="AA191" s="696">
        <f t="shared" si="50"/>
        <v>0</v>
      </c>
      <c r="AB191" s="696">
        <f t="shared" si="51"/>
        <v>0</v>
      </c>
      <c r="AC191" s="696">
        <f t="shared" si="52"/>
        <v>0</v>
      </c>
      <c r="AD191" s="696">
        <f t="shared" si="53"/>
        <v>0</v>
      </c>
      <c r="AE191" s="699"/>
    </row>
    <row r="192" spans="1:31" ht="25.15" customHeight="1">
      <c r="A192" s="711">
        <v>12</v>
      </c>
      <c r="B192" s="712" t="s">
        <v>1478</v>
      </c>
      <c r="C192" s="541" t="str">
        <f>'LAP. PENJUALAN '!C227</f>
        <v>Juice Durian</v>
      </c>
      <c r="D192" s="710"/>
      <c r="E192" s="710"/>
      <c r="F192" s="710"/>
      <c r="G192" s="710"/>
      <c r="H192" s="710"/>
      <c r="I192" s="710"/>
      <c r="J192" s="710"/>
      <c r="K192" s="710"/>
      <c r="L192" s="710"/>
      <c r="M192" s="710"/>
      <c r="N192" s="717">
        <f t="shared" si="42"/>
        <v>0</v>
      </c>
      <c r="O192" s="718">
        <f t="shared" si="41"/>
        <v>0</v>
      </c>
      <c r="P192" s="720">
        <f>(O192/O237)*100</f>
        <v>0</v>
      </c>
      <c r="Q192" s="731"/>
      <c r="R192" s="729">
        <f t="shared" si="43"/>
        <v>0</v>
      </c>
      <c r="S192" s="732"/>
      <c r="U192" s="696">
        <f t="shared" si="44"/>
        <v>0</v>
      </c>
      <c r="V192" s="696">
        <f t="shared" si="45"/>
        <v>0</v>
      </c>
      <c r="W192" s="696">
        <f t="shared" si="46"/>
        <v>0</v>
      </c>
      <c r="X192" s="696">
        <f t="shared" si="47"/>
        <v>0</v>
      </c>
      <c r="Y192" s="696">
        <f t="shared" si="48"/>
        <v>0</v>
      </c>
      <c r="Z192" s="696">
        <f t="shared" si="49"/>
        <v>0</v>
      </c>
      <c r="AA192" s="696">
        <f t="shared" si="50"/>
        <v>0</v>
      </c>
      <c r="AB192" s="696">
        <f t="shared" si="51"/>
        <v>0</v>
      </c>
      <c r="AC192" s="696">
        <f t="shared" si="52"/>
        <v>0</v>
      </c>
      <c r="AD192" s="696">
        <f t="shared" si="53"/>
        <v>0</v>
      </c>
      <c r="AE192" s="699"/>
    </row>
    <row r="193" spans="1:31" ht="25.15" customHeight="1">
      <c r="A193" s="711">
        <v>13</v>
      </c>
      <c r="B193" s="712" t="s">
        <v>1479</v>
      </c>
      <c r="C193" s="541" t="str">
        <f>'LAP. PENJUALAN '!C228</f>
        <v>Juice Melon Float</v>
      </c>
      <c r="D193" s="710"/>
      <c r="E193" s="710"/>
      <c r="F193" s="710"/>
      <c r="G193" s="710"/>
      <c r="H193" s="710"/>
      <c r="I193" s="710"/>
      <c r="J193" s="710"/>
      <c r="K193" s="710"/>
      <c r="L193" s="710"/>
      <c r="M193" s="710"/>
      <c r="N193" s="717">
        <f t="shared" si="42"/>
        <v>0</v>
      </c>
      <c r="O193" s="718">
        <f t="shared" si="41"/>
        <v>0</v>
      </c>
      <c r="P193" s="720">
        <f>(O193/O237)*100</f>
        <v>0</v>
      </c>
      <c r="Q193" s="731"/>
      <c r="R193" s="729">
        <f t="shared" si="43"/>
        <v>0</v>
      </c>
      <c r="S193" s="732"/>
      <c r="U193" s="696">
        <f t="shared" si="44"/>
        <v>0</v>
      </c>
      <c r="V193" s="696">
        <f t="shared" si="45"/>
        <v>0</v>
      </c>
      <c r="W193" s="696">
        <f t="shared" si="46"/>
        <v>0</v>
      </c>
      <c r="X193" s="696">
        <f t="shared" si="47"/>
        <v>0</v>
      </c>
      <c r="Y193" s="696">
        <f t="shared" si="48"/>
        <v>0</v>
      </c>
      <c r="Z193" s="696">
        <f t="shared" si="49"/>
        <v>0</v>
      </c>
      <c r="AA193" s="696">
        <f t="shared" si="50"/>
        <v>0</v>
      </c>
      <c r="AB193" s="696">
        <f t="shared" si="51"/>
        <v>0</v>
      </c>
      <c r="AC193" s="696">
        <f t="shared" si="52"/>
        <v>0</v>
      </c>
      <c r="AD193" s="696">
        <f t="shared" si="53"/>
        <v>0</v>
      </c>
      <c r="AE193" s="699"/>
    </row>
    <row r="194" spans="1:31" ht="25.15" customHeight="1">
      <c r="A194" s="711">
        <v>14</v>
      </c>
      <c r="B194" s="712" t="s">
        <v>1480</v>
      </c>
      <c r="C194" s="541" t="str">
        <f>'LAP. PENJUALAN '!C229</f>
        <v>Juice Melon</v>
      </c>
      <c r="D194" s="710"/>
      <c r="E194" s="710"/>
      <c r="F194" s="710"/>
      <c r="G194" s="710"/>
      <c r="H194" s="710"/>
      <c r="I194" s="710"/>
      <c r="J194" s="710"/>
      <c r="K194" s="710"/>
      <c r="L194" s="710"/>
      <c r="M194" s="710"/>
      <c r="N194" s="717">
        <f t="shared" si="42"/>
        <v>0</v>
      </c>
      <c r="O194" s="718">
        <f t="shared" si="41"/>
        <v>0</v>
      </c>
      <c r="P194" s="720">
        <f>(O194/O237)*100</f>
        <v>0</v>
      </c>
      <c r="Q194" s="731"/>
      <c r="R194" s="729">
        <f t="shared" si="43"/>
        <v>0</v>
      </c>
      <c r="S194" s="732"/>
      <c r="U194" s="696">
        <f t="shared" si="44"/>
        <v>0</v>
      </c>
      <c r="V194" s="696">
        <f t="shared" si="45"/>
        <v>0</v>
      </c>
      <c r="W194" s="696">
        <f t="shared" si="46"/>
        <v>0</v>
      </c>
      <c r="X194" s="696">
        <f t="shared" si="47"/>
        <v>0</v>
      </c>
      <c r="Y194" s="696">
        <f t="shared" si="48"/>
        <v>0</v>
      </c>
      <c r="Z194" s="696">
        <f t="shared" si="49"/>
        <v>0</v>
      </c>
      <c r="AA194" s="696">
        <f t="shared" si="50"/>
        <v>0</v>
      </c>
      <c r="AB194" s="696">
        <f t="shared" si="51"/>
        <v>0</v>
      </c>
      <c r="AC194" s="696">
        <f t="shared" si="52"/>
        <v>0</v>
      </c>
      <c r="AD194" s="696">
        <f t="shared" si="53"/>
        <v>0</v>
      </c>
      <c r="AE194" s="699"/>
    </row>
    <row r="195" spans="1:31" ht="25.15" customHeight="1">
      <c r="A195" s="711">
        <v>15</v>
      </c>
      <c r="B195" s="712" t="s">
        <v>1576</v>
      </c>
      <c r="C195" s="541" t="str">
        <f>'LAP. PENJUALAN '!C230</f>
        <v>Juice Strawberry Float</v>
      </c>
      <c r="D195" s="710"/>
      <c r="E195" s="710"/>
      <c r="F195" s="710"/>
      <c r="G195" s="710"/>
      <c r="H195" s="710"/>
      <c r="I195" s="710"/>
      <c r="J195" s="710"/>
      <c r="K195" s="710"/>
      <c r="L195" s="710"/>
      <c r="M195" s="710"/>
      <c r="N195" s="717">
        <f t="shared" si="42"/>
        <v>0</v>
      </c>
      <c r="O195" s="718">
        <f t="shared" si="41"/>
        <v>0</v>
      </c>
      <c r="P195" s="720">
        <f>(O195/O237)*100</f>
        <v>0</v>
      </c>
      <c r="Q195" s="731"/>
      <c r="R195" s="729">
        <f t="shared" si="43"/>
        <v>0</v>
      </c>
      <c r="S195" s="732"/>
      <c r="U195" s="696">
        <f t="shared" si="44"/>
        <v>0</v>
      </c>
      <c r="V195" s="696">
        <f t="shared" si="45"/>
        <v>0</v>
      </c>
      <c r="W195" s="696">
        <f t="shared" si="46"/>
        <v>0</v>
      </c>
      <c r="X195" s="696">
        <f t="shared" si="47"/>
        <v>0</v>
      </c>
      <c r="Y195" s="696">
        <f t="shared" si="48"/>
        <v>0</v>
      </c>
      <c r="Z195" s="696">
        <f t="shared" si="49"/>
        <v>0</v>
      </c>
      <c r="AA195" s="696">
        <f t="shared" si="50"/>
        <v>0</v>
      </c>
      <c r="AB195" s="696">
        <f t="shared" si="51"/>
        <v>0</v>
      </c>
      <c r="AC195" s="696">
        <f t="shared" si="52"/>
        <v>0</v>
      </c>
      <c r="AD195" s="696">
        <f t="shared" si="53"/>
        <v>0</v>
      </c>
      <c r="AE195" s="699"/>
    </row>
    <row r="196" spans="1:31" ht="25.15" customHeight="1">
      <c r="A196" s="711">
        <v>16</v>
      </c>
      <c r="B196" s="712" t="s">
        <v>1482</v>
      </c>
      <c r="C196" s="541" t="str">
        <f>'LAP. PENJUALAN '!C231</f>
        <v>Juice Strawberry</v>
      </c>
      <c r="D196" s="710"/>
      <c r="E196" s="710"/>
      <c r="F196" s="710"/>
      <c r="G196" s="710"/>
      <c r="H196" s="710"/>
      <c r="I196" s="710"/>
      <c r="J196" s="710"/>
      <c r="K196" s="710"/>
      <c r="L196" s="710"/>
      <c r="M196" s="710"/>
      <c r="N196" s="717">
        <f t="shared" si="42"/>
        <v>0</v>
      </c>
      <c r="O196" s="718">
        <f t="shared" si="41"/>
        <v>0</v>
      </c>
      <c r="P196" s="746">
        <f>(O196/O237)*100</f>
        <v>0</v>
      </c>
      <c r="Q196" s="759"/>
      <c r="R196" s="729">
        <f t="shared" si="43"/>
        <v>0</v>
      </c>
      <c r="S196" s="732"/>
      <c r="U196" s="696">
        <f t="shared" si="44"/>
        <v>0</v>
      </c>
      <c r="V196" s="696">
        <f t="shared" si="45"/>
        <v>0</v>
      </c>
      <c r="W196" s="696">
        <f t="shared" si="46"/>
        <v>0</v>
      </c>
      <c r="X196" s="696">
        <f t="shared" si="47"/>
        <v>0</v>
      </c>
      <c r="Y196" s="696">
        <f t="shared" si="48"/>
        <v>0</v>
      </c>
      <c r="Z196" s="696">
        <f t="shared" si="49"/>
        <v>0</v>
      </c>
      <c r="AA196" s="696">
        <f t="shared" si="50"/>
        <v>0</v>
      </c>
      <c r="AB196" s="696">
        <f t="shared" si="51"/>
        <v>0</v>
      </c>
      <c r="AC196" s="696">
        <f t="shared" si="52"/>
        <v>0</v>
      </c>
      <c r="AD196" s="696">
        <f t="shared" si="53"/>
        <v>0</v>
      </c>
      <c r="AE196" s="699"/>
    </row>
    <row r="197" spans="1:31" ht="25.15" customHeight="1">
      <c r="A197" s="711">
        <v>17</v>
      </c>
      <c r="B197" s="712" t="s">
        <v>1483</v>
      </c>
      <c r="C197" s="541" t="str">
        <f>'LAP. PENJUALAN '!C232</f>
        <v>Juice Mangga Float</v>
      </c>
      <c r="D197" s="710"/>
      <c r="E197" s="710"/>
      <c r="F197" s="710"/>
      <c r="G197" s="710"/>
      <c r="H197" s="710"/>
      <c r="I197" s="710"/>
      <c r="J197" s="710"/>
      <c r="K197" s="710"/>
      <c r="L197" s="710"/>
      <c r="M197" s="710"/>
      <c r="N197" s="717">
        <f t="shared" si="42"/>
        <v>0</v>
      </c>
      <c r="O197" s="718">
        <f t="shared" si="41"/>
        <v>0</v>
      </c>
      <c r="P197" s="746">
        <f>(O197/O237)*100</f>
        <v>0</v>
      </c>
      <c r="Q197" s="759"/>
      <c r="R197" s="729">
        <f t="shared" si="43"/>
        <v>0</v>
      </c>
      <c r="S197" s="732"/>
      <c r="U197" s="696">
        <f t="shared" si="44"/>
        <v>0</v>
      </c>
      <c r="V197" s="696">
        <f t="shared" si="45"/>
        <v>0</v>
      </c>
      <c r="W197" s="696">
        <f t="shared" si="46"/>
        <v>0</v>
      </c>
      <c r="X197" s="696">
        <f t="shared" si="47"/>
        <v>0</v>
      </c>
      <c r="Y197" s="696">
        <f t="shared" si="48"/>
        <v>0</v>
      </c>
      <c r="Z197" s="696">
        <f t="shared" si="49"/>
        <v>0</v>
      </c>
      <c r="AA197" s="696">
        <f t="shared" si="50"/>
        <v>0</v>
      </c>
      <c r="AB197" s="696">
        <f t="shared" si="51"/>
        <v>0</v>
      </c>
      <c r="AC197" s="696">
        <f t="shared" si="52"/>
        <v>0</v>
      </c>
      <c r="AD197" s="696">
        <f t="shared" si="53"/>
        <v>0</v>
      </c>
      <c r="AE197" s="699"/>
    </row>
    <row r="198" spans="1:31" ht="25.15" customHeight="1">
      <c r="A198" s="711">
        <v>18</v>
      </c>
      <c r="B198" s="712" t="s">
        <v>1484</v>
      </c>
      <c r="C198" s="541" t="str">
        <f>'LAP. PENJUALAN '!C233</f>
        <v>Juice Mangga</v>
      </c>
      <c r="D198" s="710"/>
      <c r="E198" s="710"/>
      <c r="F198" s="710"/>
      <c r="G198" s="710"/>
      <c r="H198" s="710"/>
      <c r="I198" s="710"/>
      <c r="J198" s="710"/>
      <c r="K198" s="710"/>
      <c r="L198" s="710"/>
      <c r="M198" s="710"/>
      <c r="N198" s="717">
        <f t="shared" si="42"/>
        <v>0</v>
      </c>
      <c r="O198" s="718">
        <f t="shared" si="41"/>
        <v>0</v>
      </c>
      <c r="P198" s="746">
        <f>(O198/O237)*100</f>
        <v>0</v>
      </c>
      <c r="Q198" s="759"/>
      <c r="R198" s="729">
        <f t="shared" si="43"/>
        <v>0</v>
      </c>
      <c r="S198" s="732"/>
      <c r="U198" s="696">
        <f t="shared" si="44"/>
        <v>0</v>
      </c>
      <c r="V198" s="696">
        <f t="shared" si="45"/>
        <v>0</v>
      </c>
      <c r="W198" s="696">
        <f t="shared" si="46"/>
        <v>0</v>
      </c>
      <c r="X198" s="696">
        <f t="shared" si="47"/>
        <v>0</v>
      </c>
      <c r="Y198" s="696">
        <f t="shared" si="48"/>
        <v>0</v>
      </c>
      <c r="Z198" s="696">
        <f t="shared" si="49"/>
        <v>0</v>
      </c>
      <c r="AA198" s="696">
        <f t="shared" si="50"/>
        <v>0</v>
      </c>
      <c r="AB198" s="696">
        <f t="shared" si="51"/>
        <v>0</v>
      </c>
      <c r="AC198" s="696">
        <f t="shared" si="52"/>
        <v>0</v>
      </c>
      <c r="AD198" s="696">
        <f t="shared" si="53"/>
        <v>0</v>
      </c>
      <c r="AE198" s="699"/>
    </row>
    <row r="199" spans="1:31" ht="25.15" customHeight="1">
      <c r="A199" s="711">
        <v>19</v>
      </c>
      <c r="B199" s="712" t="s">
        <v>1485</v>
      </c>
      <c r="C199" s="541" t="str">
        <f>'LAP. PENJUALAN '!C234</f>
        <v>Juice Jambu Float</v>
      </c>
      <c r="D199" s="710"/>
      <c r="E199" s="710"/>
      <c r="F199" s="710"/>
      <c r="G199" s="710"/>
      <c r="H199" s="710"/>
      <c r="I199" s="710"/>
      <c r="J199" s="710"/>
      <c r="K199" s="710"/>
      <c r="L199" s="710"/>
      <c r="M199" s="710"/>
      <c r="N199" s="717">
        <f t="shared" si="42"/>
        <v>0</v>
      </c>
      <c r="O199" s="718">
        <f t="shared" si="41"/>
        <v>0</v>
      </c>
      <c r="P199" s="720">
        <f>(O199/O237)*100</f>
        <v>0</v>
      </c>
      <c r="Q199" s="731"/>
      <c r="R199" s="729">
        <f t="shared" si="43"/>
        <v>0</v>
      </c>
      <c r="S199" s="732"/>
      <c r="U199" s="696">
        <f t="shared" si="44"/>
        <v>0</v>
      </c>
      <c r="V199" s="696">
        <f t="shared" si="45"/>
        <v>0</v>
      </c>
      <c r="W199" s="696">
        <f t="shared" si="46"/>
        <v>0</v>
      </c>
      <c r="X199" s="696">
        <f t="shared" si="47"/>
        <v>0</v>
      </c>
      <c r="Y199" s="696">
        <f t="shared" si="48"/>
        <v>0</v>
      </c>
      <c r="Z199" s="696">
        <f t="shared" si="49"/>
        <v>0</v>
      </c>
      <c r="AA199" s="696">
        <f t="shared" si="50"/>
        <v>0</v>
      </c>
      <c r="AB199" s="696">
        <f t="shared" si="51"/>
        <v>0</v>
      </c>
      <c r="AC199" s="696">
        <f t="shared" si="52"/>
        <v>0</v>
      </c>
      <c r="AD199" s="696">
        <f t="shared" si="53"/>
        <v>0</v>
      </c>
      <c r="AE199" s="699"/>
    </row>
    <row r="200" spans="1:31" ht="25.15" customHeight="1">
      <c r="A200" s="711">
        <v>20</v>
      </c>
      <c r="B200" s="712" t="s">
        <v>1486</v>
      </c>
      <c r="C200" s="541" t="str">
        <f>'LAP. PENJUALAN '!C235</f>
        <v>Juice Jambu</v>
      </c>
      <c r="D200" s="710"/>
      <c r="E200" s="710"/>
      <c r="F200" s="710"/>
      <c r="G200" s="710"/>
      <c r="H200" s="710"/>
      <c r="I200" s="710"/>
      <c r="J200" s="710"/>
      <c r="K200" s="710"/>
      <c r="L200" s="710"/>
      <c r="M200" s="710"/>
      <c r="N200" s="717">
        <f t="shared" si="42"/>
        <v>0</v>
      </c>
      <c r="O200" s="718">
        <f t="shared" si="41"/>
        <v>0</v>
      </c>
      <c r="P200" s="720">
        <f>(O200/O237)*100</f>
        <v>0</v>
      </c>
      <c r="Q200" s="731"/>
      <c r="R200" s="729">
        <f t="shared" si="43"/>
        <v>0</v>
      </c>
      <c r="S200" s="732"/>
      <c r="U200" s="696">
        <f t="shared" si="44"/>
        <v>0</v>
      </c>
      <c r="V200" s="696">
        <f t="shared" si="45"/>
        <v>0</v>
      </c>
      <c r="W200" s="696">
        <f t="shared" si="46"/>
        <v>0</v>
      </c>
      <c r="X200" s="696">
        <f t="shared" si="47"/>
        <v>0</v>
      </c>
      <c r="Y200" s="696">
        <f t="shared" si="48"/>
        <v>0</v>
      </c>
      <c r="Z200" s="696">
        <f t="shared" si="49"/>
        <v>0</v>
      </c>
      <c r="AA200" s="696">
        <f t="shared" si="50"/>
        <v>0</v>
      </c>
      <c r="AB200" s="696">
        <f t="shared" si="51"/>
        <v>0</v>
      </c>
      <c r="AC200" s="696">
        <f t="shared" si="52"/>
        <v>0</v>
      </c>
      <c r="AD200" s="696">
        <f t="shared" si="53"/>
        <v>0</v>
      </c>
      <c r="AE200" s="699"/>
    </row>
    <row r="201" spans="1:31" ht="25.15" customHeight="1">
      <c r="A201" s="711">
        <v>21</v>
      </c>
      <c r="B201" s="712" t="s">
        <v>1487</v>
      </c>
      <c r="C201" s="541" t="str">
        <f>'LAP. PENJUALAN '!C236</f>
        <v>Juice Sirsak Float</v>
      </c>
      <c r="D201" s="710"/>
      <c r="E201" s="710"/>
      <c r="F201" s="710"/>
      <c r="G201" s="710"/>
      <c r="H201" s="710"/>
      <c r="I201" s="710"/>
      <c r="J201" s="710"/>
      <c r="K201" s="710"/>
      <c r="L201" s="710"/>
      <c r="M201" s="710"/>
      <c r="N201" s="717">
        <f t="shared" si="42"/>
        <v>0</v>
      </c>
      <c r="O201" s="718">
        <f t="shared" si="41"/>
        <v>0</v>
      </c>
      <c r="P201" s="720">
        <f>(O201/O237)*100</f>
        <v>0</v>
      </c>
      <c r="Q201" s="731"/>
      <c r="R201" s="729">
        <f t="shared" si="43"/>
        <v>0</v>
      </c>
      <c r="S201" s="732"/>
      <c r="U201" s="696">
        <f t="shared" si="44"/>
        <v>0</v>
      </c>
      <c r="V201" s="696">
        <f t="shared" si="45"/>
        <v>0</v>
      </c>
      <c r="W201" s="696">
        <f t="shared" si="46"/>
        <v>0</v>
      </c>
      <c r="X201" s="696">
        <f t="shared" si="47"/>
        <v>0</v>
      </c>
      <c r="Y201" s="696">
        <f t="shared" si="48"/>
        <v>0</v>
      </c>
      <c r="Z201" s="696">
        <f t="shared" si="49"/>
        <v>0</v>
      </c>
      <c r="AA201" s="696">
        <f t="shared" si="50"/>
        <v>0</v>
      </c>
      <c r="AB201" s="696">
        <f t="shared" si="51"/>
        <v>0</v>
      </c>
      <c r="AC201" s="696">
        <f t="shared" si="52"/>
        <v>0</v>
      </c>
      <c r="AD201" s="696">
        <f t="shared" si="53"/>
        <v>0</v>
      </c>
      <c r="AE201" s="699"/>
    </row>
    <row r="202" spans="1:31" ht="25.15" customHeight="1">
      <c r="A202" s="711">
        <v>22</v>
      </c>
      <c r="B202" s="712"/>
      <c r="C202" s="541" t="str">
        <f>'LAP. PENJUALAN '!C237</f>
        <v>Juice Sirsak</v>
      </c>
      <c r="D202" s="710"/>
      <c r="E202" s="710"/>
      <c r="F202" s="710"/>
      <c r="G202" s="710"/>
      <c r="H202" s="710"/>
      <c r="I202" s="710"/>
      <c r="J202" s="710"/>
      <c r="K202" s="710"/>
      <c r="L202" s="710"/>
      <c r="M202" s="710"/>
      <c r="N202" s="717">
        <f t="shared" si="42"/>
        <v>0</v>
      </c>
      <c r="O202" s="718">
        <f t="shared" si="41"/>
        <v>0</v>
      </c>
      <c r="P202" s="720">
        <f>(O202/O237)*100</f>
        <v>0</v>
      </c>
      <c r="Q202" s="731"/>
      <c r="R202" s="729">
        <f t="shared" si="43"/>
        <v>0</v>
      </c>
      <c r="S202" s="732"/>
      <c r="U202" s="696">
        <f t="shared" si="44"/>
        <v>0</v>
      </c>
      <c r="V202" s="696">
        <f t="shared" si="45"/>
        <v>0</v>
      </c>
      <c r="W202" s="696">
        <f t="shared" si="46"/>
        <v>0</v>
      </c>
      <c r="X202" s="696">
        <f t="shared" si="47"/>
        <v>0</v>
      </c>
      <c r="Y202" s="696">
        <f t="shared" si="48"/>
        <v>0</v>
      </c>
      <c r="Z202" s="696">
        <f t="shared" si="49"/>
        <v>0</v>
      </c>
      <c r="AA202" s="696">
        <f t="shared" si="50"/>
        <v>0</v>
      </c>
      <c r="AB202" s="696">
        <f t="shared" si="51"/>
        <v>0</v>
      </c>
      <c r="AC202" s="696">
        <f t="shared" si="52"/>
        <v>0</v>
      </c>
      <c r="AD202" s="696">
        <f t="shared" si="53"/>
        <v>0</v>
      </c>
      <c r="AE202" s="699"/>
    </row>
    <row r="203" spans="1:31" ht="25.15" customHeight="1">
      <c r="A203" s="711">
        <v>23</v>
      </c>
      <c r="B203" s="712" t="s">
        <v>1577</v>
      </c>
      <c r="C203" s="541"/>
      <c r="D203" s="710"/>
      <c r="E203" s="710"/>
      <c r="F203" s="710"/>
      <c r="G203" s="710"/>
      <c r="H203" s="710"/>
      <c r="I203" s="710"/>
      <c r="J203" s="710"/>
      <c r="K203" s="710"/>
      <c r="L203" s="710"/>
      <c r="M203" s="710"/>
      <c r="N203" s="717">
        <f t="shared" si="42"/>
        <v>0</v>
      </c>
      <c r="O203" s="718">
        <f t="shared" si="41"/>
        <v>0</v>
      </c>
      <c r="P203" s="720">
        <f>(O203/O237)*100</f>
        <v>0</v>
      </c>
      <c r="Q203" s="731"/>
      <c r="R203" s="729">
        <f t="shared" si="43"/>
        <v>0</v>
      </c>
      <c r="S203" s="732"/>
      <c r="U203" s="696">
        <f t="shared" si="44"/>
        <v>0</v>
      </c>
      <c r="V203" s="696">
        <f t="shared" si="45"/>
        <v>0</v>
      </c>
      <c r="W203" s="696">
        <f t="shared" si="46"/>
        <v>0</v>
      </c>
      <c r="X203" s="696">
        <f t="shared" si="47"/>
        <v>0</v>
      </c>
      <c r="Y203" s="696">
        <f t="shared" si="48"/>
        <v>0</v>
      </c>
      <c r="Z203" s="696">
        <f t="shared" si="49"/>
        <v>0</v>
      </c>
      <c r="AA203" s="696">
        <f t="shared" si="50"/>
        <v>0</v>
      </c>
      <c r="AB203" s="696">
        <f t="shared" si="51"/>
        <v>0</v>
      </c>
      <c r="AC203" s="696">
        <f t="shared" si="52"/>
        <v>0</v>
      </c>
      <c r="AD203" s="696">
        <f t="shared" si="53"/>
        <v>0</v>
      </c>
      <c r="AE203" s="699"/>
    </row>
    <row r="204" spans="1:31" ht="25.15" customHeight="1">
      <c r="A204" s="711">
        <v>24</v>
      </c>
      <c r="B204" s="712" t="s">
        <v>1578</v>
      </c>
      <c r="C204" s="541" t="str">
        <f>'LAP. PENJUALAN '!C239</f>
        <v>Milkshake Coklat</v>
      </c>
      <c r="D204" s="710"/>
      <c r="E204" s="710"/>
      <c r="F204" s="710"/>
      <c r="G204" s="710"/>
      <c r="H204" s="710"/>
      <c r="I204" s="710"/>
      <c r="J204" s="710"/>
      <c r="K204" s="710"/>
      <c r="L204" s="710"/>
      <c r="M204" s="710"/>
      <c r="N204" s="717">
        <f t="shared" si="42"/>
        <v>0</v>
      </c>
      <c r="O204" s="718">
        <f t="shared" si="41"/>
        <v>0</v>
      </c>
      <c r="P204" s="720">
        <f>(O204/O237)*100</f>
        <v>0</v>
      </c>
      <c r="Q204" s="731"/>
      <c r="R204" s="729">
        <f t="shared" si="43"/>
        <v>0</v>
      </c>
      <c r="S204" s="732"/>
      <c r="U204" s="696">
        <f t="shared" si="44"/>
        <v>0</v>
      </c>
      <c r="V204" s="696">
        <f t="shared" si="45"/>
        <v>0</v>
      </c>
      <c r="W204" s="696">
        <f t="shared" si="46"/>
        <v>0</v>
      </c>
      <c r="X204" s="696">
        <f t="shared" si="47"/>
        <v>0</v>
      </c>
      <c r="Y204" s="696">
        <f t="shared" si="48"/>
        <v>0</v>
      </c>
      <c r="Z204" s="696">
        <f t="shared" si="49"/>
        <v>0</v>
      </c>
      <c r="AA204" s="696">
        <f t="shared" si="50"/>
        <v>0</v>
      </c>
      <c r="AB204" s="696">
        <f t="shared" si="51"/>
        <v>0</v>
      </c>
      <c r="AC204" s="696">
        <f t="shared" si="52"/>
        <v>0</v>
      </c>
      <c r="AD204" s="696">
        <f t="shared" si="53"/>
        <v>0</v>
      </c>
      <c r="AE204" s="699"/>
    </row>
    <row r="205" spans="1:31" ht="25.15" customHeight="1">
      <c r="A205" s="711">
        <v>25</v>
      </c>
      <c r="B205" s="712" t="s">
        <v>1488</v>
      </c>
      <c r="C205" s="541" t="str">
        <f>'LAP. PENJUALAN '!C240</f>
        <v>Milkshake Coklat Float</v>
      </c>
      <c r="D205" s="710"/>
      <c r="E205" s="710"/>
      <c r="F205" s="710"/>
      <c r="G205" s="710"/>
      <c r="H205" s="710"/>
      <c r="I205" s="710"/>
      <c r="J205" s="710"/>
      <c r="K205" s="710"/>
      <c r="L205" s="710"/>
      <c r="M205" s="710"/>
      <c r="N205" s="717">
        <f t="shared" si="42"/>
        <v>0</v>
      </c>
      <c r="O205" s="718">
        <f t="shared" si="41"/>
        <v>0</v>
      </c>
      <c r="P205" s="720">
        <f>(O205/O237)*100</f>
        <v>0</v>
      </c>
      <c r="Q205" s="731"/>
      <c r="R205" s="729">
        <f t="shared" si="43"/>
        <v>0</v>
      </c>
      <c r="S205" s="732">
        <v>13333</v>
      </c>
      <c r="U205" s="696">
        <f t="shared" si="44"/>
        <v>0</v>
      </c>
      <c r="V205" s="696">
        <f t="shared" si="45"/>
        <v>0</v>
      </c>
      <c r="W205" s="696">
        <f t="shared" si="46"/>
        <v>0</v>
      </c>
      <c r="X205" s="696">
        <f t="shared" si="47"/>
        <v>0</v>
      </c>
      <c r="Y205" s="696">
        <f t="shared" si="48"/>
        <v>0</v>
      </c>
      <c r="Z205" s="696">
        <f t="shared" si="49"/>
        <v>0</v>
      </c>
      <c r="AA205" s="696">
        <f t="shared" si="50"/>
        <v>0</v>
      </c>
      <c r="AB205" s="696">
        <f t="shared" si="51"/>
        <v>0</v>
      </c>
      <c r="AC205" s="696">
        <f t="shared" si="52"/>
        <v>0</v>
      </c>
      <c r="AD205" s="696">
        <f t="shared" si="53"/>
        <v>0</v>
      </c>
      <c r="AE205" s="699"/>
    </row>
    <row r="206" spans="1:31" ht="25.15" customHeight="1">
      <c r="A206" s="711">
        <v>26</v>
      </c>
      <c r="B206" s="712" t="s">
        <v>1489</v>
      </c>
      <c r="C206" s="541" t="str">
        <f>'LAP. PENJUALAN '!C241</f>
        <v>Milkshake Strawberry</v>
      </c>
      <c r="D206" s="710"/>
      <c r="E206" s="710"/>
      <c r="F206" s="710"/>
      <c r="G206" s="710"/>
      <c r="H206" s="710"/>
      <c r="I206" s="710"/>
      <c r="J206" s="710"/>
      <c r="K206" s="710"/>
      <c r="L206" s="710"/>
      <c r="M206" s="710"/>
      <c r="N206" s="717">
        <f t="shared" si="42"/>
        <v>0</v>
      </c>
      <c r="O206" s="718">
        <f t="shared" si="41"/>
        <v>0</v>
      </c>
      <c r="P206" s="720">
        <f>(O206/O237)*100</f>
        <v>0</v>
      </c>
      <c r="Q206" s="731"/>
      <c r="R206" s="729">
        <f t="shared" si="43"/>
        <v>0</v>
      </c>
      <c r="S206" s="732"/>
      <c r="U206" s="696">
        <f t="shared" si="44"/>
        <v>0</v>
      </c>
      <c r="V206" s="696">
        <f t="shared" si="45"/>
        <v>0</v>
      </c>
      <c r="W206" s="696">
        <f t="shared" si="46"/>
        <v>0</v>
      </c>
      <c r="X206" s="696">
        <f t="shared" si="47"/>
        <v>0</v>
      </c>
      <c r="Y206" s="696">
        <f t="shared" si="48"/>
        <v>0</v>
      </c>
      <c r="Z206" s="696">
        <f t="shared" si="49"/>
        <v>0</v>
      </c>
      <c r="AA206" s="696">
        <f t="shared" si="50"/>
        <v>0</v>
      </c>
      <c r="AB206" s="696">
        <f t="shared" si="51"/>
        <v>0</v>
      </c>
      <c r="AC206" s="696">
        <f t="shared" si="52"/>
        <v>0</v>
      </c>
      <c r="AD206" s="696">
        <f t="shared" si="53"/>
        <v>0</v>
      </c>
      <c r="AE206" s="699"/>
    </row>
    <row r="207" spans="1:31" ht="25.15" customHeight="1">
      <c r="A207" s="711">
        <v>27</v>
      </c>
      <c r="B207" s="712" t="s">
        <v>1490</v>
      </c>
      <c r="C207" s="541" t="str">
        <f>'LAP. PENJUALAN '!C242</f>
        <v>Milkshake Strawberry Float</v>
      </c>
      <c r="D207" s="710"/>
      <c r="E207" s="710"/>
      <c r="F207" s="710"/>
      <c r="G207" s="710"/>
      <c r="H207" s="710"/>
      <c r="I207" s="710"/>
      <c r="J207" s="710"/>
      <c r="K207" s="710"/>
      <c r="L207" s="710"/>
      <c r="M207" s="710"/>
      <c r="N207" s="717">
        <f t="shared" si="42"/>
        <v>0</v>
      </c>
      <c r="O207" s="718">
        <f t="shared" si="41"/>
        <v>0</v>
      </c>
      <c r="P207" s="720">
        <f>(O207/O237)*100</f>
        <v>0</v>
      </c>
      <c r="Q207" s="731"/>
      <c r="R207" s="729">
        <f t="shared" si="43"/>
        <v>0</v>
      </c>
      <c r="S207" s="732">
        <v>13333</v>
      </c>
      <c r="U207" s="696">
        <f t="shared" si="44"/>
        <v>0</v>
      </c>
      <c r="V207" s="696">
        <f t="shared" si="45"/>
        <v>0</v>
      </c>
      <c r="W207" s="696">
        <f t="shared" si="46"/>
        <v>0</v>
      </c>
      <c r="X207" s="696">
        <f t="shared" si="47"/>
        <v>0</v>
      </c>
      <c r="Y207" s="696">
        <f t="shared" si="48"/>
        <v>0</v>
      </c>
      <c r="Z207" s="696">
        <f t="shared" si="49"/>
        <v>0</v>
      </c>
      <c r="AA207" s="696">
        <f t="shared" si="50"/>
        <v>0</v>
      </c>
      <c r="AB207" s="696">
        <f t="shared" si="51"/>
        <v>0</v>
      </c>
      <c r="AC207" s="696">
        <f t="shared" si="52"/>
        <v>0</v>
      </c>
      <c r="AD207" s="696">
        <f t="shared" si="53"/>
        <v>0</v>
      </c>
      <c r="AE207" s="699"/>
    </row>
    <row r="208" spans="1:31" ht="25.15" customHeight="1">
      <c r="A208" s="711">
        <v>28</v>
      </c>
      <c r="B208" s="712" t="s">
        <v>1491</v>
      </c>
      <c r="C208" s="541"/>
      <c r="D208" s="710"/>
      <c r="E208" s="710"/>
      <c r="F208" s="710"/>
      <c r="G208" s="710"/>
      <c r="H208" s="710"/>
      <c r="I208" s="710"/>
      <c r="J208" s="710"/>
      <c r="K208" s="710"/>
      <c r="L208" s="710"/>
      <c r="M208" s="710"/>
      <c r="N208" s="717">
        <f t="shared" si="42"/>
        <v>0</v>
      </c>
      <c r="O208" s="718">
        <f t="shared" si="41"/>
        <v>0</v>
      </c>
      <c r="P208" s="720">
        <f>(O208/O237)*100</f>
        <v>0</v>
      </c>
      <c r="Q208" s="731"/>
      <c r="R208" s="729">
        <f t="shared" si="43"/>
        <v>0</v>
      </c>
      <c r="S208" s="732"/>
      <c r="U208" s="696">
        <f t="shared" si="44"/>
        <v>0</v>
      </c>
      <c r="V208" s="696">
        <f t="shared" si="45"/>
        <v>0</v>
      </c>
      <c r="W208" s="696">
        <f t="shared" si="46"/>
        <v>0</v>
      </c>
      <c r="X208" s="696">
        <f t="shared" si="47"/>
        <v>0</v>
      </c>
      <c r="Y208" s="696">
        <f t="shared" si="48"/>
        <v>0</v>
      </c>
      <c r="Z208" s="696">
        <f t="shared" si="49"/>
        <v>0</v>
      </c>
      <c r="AA208" s="696">
        <f t="shared" si="50"/>
        <v>0</v>
      </c>
      <c r="AB208" s="696">
        <f t="shared" si="51"/>
        <v>0</v>
      </c>
      <c r="AC208" s="696">
        <f t="shared" si="52"/>
        <v>0</v>
      </c>
      <c r="AD208" s="696">
        <f t="shared" si="53"/>
        <v>0</v>
      </c>
      <c r="AE208" s="699"/>
    </row>
    <row r="209" spans="1:31" ht="25.15" customHeight="1">
      <c r="A209" s="711">
        <v>29</v>
      </c>
      <c r="B209" s="712" t="s">
        <v>1579</v>
      </c>
      <c r="C209" s="541" t="str">
        <f>'LAP. PENJUALAN '!C244</f>
        <v>Nestle Lemon Tea</v>
      </c>
      <c r="D209" s="710"/>
      <c r="E209" s="710"/>
      <c r="F209" s="710"/>
      <c r="G209" s="710"/>
      <c r="H209" s="710"/>
      <c r="I209" s="710"/>
      <c r="J209" s="710"/>
      <c r="K209" s="710"/>
      <c r="L209" s="710"/>
      <c r="M209" s="710"/>
      <c r="N209" s="717">
        <f t="shared" si="42"/>
        <v>0</v>
      </c>
      <c r="O209" s="718">
        <f t="shared" si="41"/>
        <v>0</v>
      </c>
      <c r="P209" s="720">
        <f>(O209/O237)*100</f>
        <v>0</v>
      </c>
      <c r="Q209" s="731"/>
      <c r="R209" s="729">
        <f t="shared" si="43"/>
        <v>0</v>
      </c>
      <c r="S209" s="732">
        <v>9310</v>
      </c>
      <c r="U209" s="696">
        <f t="shared" si="44"/>
        <v>0</v>
      </c>
      <c r="V209" s="696">
        <f t="shared" si="45"/>
        <v>0</v>
      </c>
      <c r="W209" s="696">
        <f t="shared" si="46"/>
        <v>0</v>
      </c>
      <c r="X209" s="696">
        <f t="shared" si="47"/>
        <v>0</v>
      </c>
      <c r="Y209" s="696">
        <f t="shared" si="48"/>
        <v>0</v>
      </c>
      <c r="Z209" s="696">
        <f t="shared" si="49"/>
        <v>0</v>
      </c>
      <c r="AA209" s="696">
        <f t="shared" si="50"/>
        <v>0</v>
      </c>
      <c r="AB209" s="696">
        <f t="shared" si="51"/>
        <v>0</v>
      </c>
      <c r="AC209" s="696">
        <f t="shared" si="52"/>
        <v>0</v>
      </c>
      <c r="AD209" s="696">
        <f t="shared" si="53"/>
        <v>0</v>
      </c>
      <c r="AE209" s="699"/>
    </row>
    <row r="210" spans="1:31" ht="25.15" customHeight="1">
      <c r="A210" s="711">
        <v>30</v>
      </c>
      <c r="B210" s="712" t="s">
        <v>1580</v>
      </c>
      <c r="C210" s="541" t="str">
        <f>'LAP. PENJUALAN '!C245</f>
        <v>Milo</v>
      </c>
      <c r="D210" s="710"/>
      <c r="E210" s="710"/>
      <c r="F210" s="710"/>
      <c r="G210" s="710"/>
      <c r="H210" s="710"/>
      <c r="I210" s="710"/>
      <c r="J210" s="710"/>
      <c r="K210" s="710"/>
      <c r="L210" s="710"/>
      <c r="M210" s="710"/>
      <c r="N210" s="717">
        <f t="shared" si="42"/>
        <v>0</v>
      </c>
      <c r="O210" s="718">
        <f t="shared" si="41"/>
        <v>0</v>
      </c>
      <c r="P210" s="720">
        <f>(O210/O237)*100</f>
        <v>0</v>
      </c>
      <c r="Q210" s="731"/>
      <c r="R210" s="729">
        <f t="shared" si="43"/>
        <v>0</v>
      </c>
      <c r="S210" s="732">
        <v>9970</v>
      </c>
      <c r="U210" s="696">
        <f t="shared" si="44"/>
        <v>0</v>
      </c>
      <c r="V210" s="696">
        <f t="shared" si="45"/>
        <v>0</v>
      </c>
      <c r="W210" s="696">
        <f t="shared" si="46"/>
        <v>0</v>
      </c>
      <c r="X210" s="696">
        <f t="shared" si="47"/>
        <v>0</v>
      </c>
      <c r="Y210" s="696">
        <f t="shared" si="48"/>
        <v>0</v>
      </c>
      <c r="Z210" s="696">
        <f t="shared" si="49"/>
        <v>0</v>
      </c>
      <c r="AA210" s="696">
        <f t="shared" si="50"/>
        <v>0</v>
      </c>
      <c r="AB210" s="696">
        <f t="shared" si="51"/>
        <v>0</v>
      </c>
      <c r="AC210" s="696">
        <f t="shared" si="52"/>
        <v>0</v>
      </c>
      <c r="AD210" s="696">
        <f t="shared" si="53"/>
        <v>0</v>
      </c>
      <c r="AE210" s="699"/>
    </row>
    <row r="211" spans="1:31" ht="25.15" customHeight="1">
      <c r="A211" s="711">
        <v>31</v>
      </c>
      <c r="B211" s="712"/>
      <c r="C211" s="541" t="str">
        <f>'LAP. PENJUALAN '!C246</f>
        <v>Ice Cream</v>
      </c>
      <c r="D211" s="710"/>
      <c r="E211" s="710"/>
      <c r="F211" s="710"/>
      <c r="G211" s="710"/>
      <c r="H211" s="710"/>
      <c r="I211" s="710"/>
      <c r="J211" s="710"/>
      <c r="K211" s="710"/>
      <c r="L211" s="710"/>
      <c r="M211" s="710"/>
      <c r="N211" s="717">
        <f t="shared" si="42"/>
        <v>0</v>
      </c>
      <c r="O211" s="718">
        <f t="shared" si="41"/>
        <v>0</v>
      </c>
      <c r="P211" s="720">
        <f>(O211/O237)*100</f>
        <v>0</v>
      </c>
      <c r="Q211" s="731"/>
      <c r="R211" s="729">
        <f t="shared" si="43"/>
        <v>0</v>
      </c>
      <c r="S211" s="732">
        <v>5333</v>
      </c>
      <c r="U211" s="696">
        <f t="shared" si="44"/>
        <v>0</v>
      </c>
      <c r="V211" s="696">
        <f t="shared" si="45"/>
        <v>0</v>
      </c>
      <c r="W211" s="696">
        <f t="shared" si="46"/>
        <v>0</v>
      </c>
      <c r="X211" s="696">
        <f t="shared" si="47"/>
        <v>0</v>
      </c>
      <c r="Y211" s="696">
        <f t="shared" si="48"/>
        <v>0</v>
      </c>
      <c r="Z211" s="696">
        <f t="shared" si="49"/>
        <v>0</v>
      </c>
      <c r="AA211" s="696">
        <f t="shared" si="50"/>
        <v>0</v>
      </c>
      <c r="AB211" s="696">
        <f t="shared" si="51"/>
        <v>0</v>
      </c>
      <c r="AC211" s="696">
        <f t="shared" si="52"/>
        <v>0</v>
      </c>
      <c r="AD211" s="696">
        <f t="shared" si="53"/>
        <v>0</v>
      </c>
      <c r="AE211" s="699"/>
    </row>
    <row r="212" spans="1:31" ht="25.15" customHeight="1">
      <c r="A212" s="711">
        <v>32</v>
      </c>
      <c r="B212" s="712" t="s">
        <v>1581</v>
      </c>
      <c r="C212" s="541"/>
      <c r="D212" s="710"/>
      <c r="E212" s="710"/>
      <c r="F212" s="710"/>
      <c r="G212" s="710"/>
      <c r="H212" s="710"/>
      <c r="I212" s="710"/>
      <c r="J212" s="710"/>
      <c r="K212" s="710"/>
      <c r="L212" s="710"/>
      <c r="M212" s="710"/>
      <c r="N212" s="717">
        <f t="shared" si="42"/>
        <v>0</v>
      </c>
      <c r="O212" s="718">
        <f t="shared" si="41"/>
        <v>0</v>
      </c>
      <c r="P212" s="720">
        <f>(O212/O237)*100</f>
        <v>0</v>
      </c>
      <c r="Q212" s="731"/>
      <c r="R212" s="729">
        <f t="shared" si="43"/>
        <v>0</v>
      </c>
      <c r="S212" s="732"/>
      <c r="U212" s="696">
        <f t="shared" si="44"/>
        <v>0</v>
      </c>
      <c r="V212" s="696">
        <f t="shared" si="45"/>
        <v>0</v>
      </c>
      <c r="W212" s="696">
        <f t="shared" si="46"/>
        <v>0</v>
      </c>
      <c r="X212" s="696">
        <f t="shared" si="47"/>
        <v>0</v>
      </c>
      <c r="Y212" s="696">
        <f t="shared" si="48"/>
        <v>0</v>
      </c>
      <c r="Z212" s="696">
        <f t="shared" si="49"/>
        <v>0</v>
      </c>
      <c r="AA212" s="696">
        <f t="shared" si="50"/>
        <v>0</v>
      </c>
      <c r="AB212" s="696">
        <f t="shared" si="51"/>
        <v>0</v>
      </c>
      <c r="AC212" s="696">
        <f t="shared" si="52"/>
        <v>0</v>
      </c>
      <c r="AD212" s="696">
        <f t="shared" si="53"/>
        <v>0</v>
      </c>
      <c r="AE212" s="699"/>
    </row>
    <row r="213" spans="1:31" ht="25.15" customHeight="1">
      <c r="A213" s="711">
        <v>33</v>
      </c>
      <c r="B213" s="712" t="s">
        <v>1493</v>
      </c>
      <c r="C213" s="541" t="str">
        <f>'LAP. PENJUALAN '!C248</f>
        <v>Es Teh</v>
      </c>
      <c r="D213" s="710"/>
      <c r="E213" s="710"/>
      <c r="F213" s="710"/>
      <c r="G213" s="710"/>
      <c r="H213" s="710"/>
      <c r="I213" s="710"/>
      <c r="J213" s="710"/>
      <c r="K213" s="710"/>
      <c r="L213" s="710"/>
      <c r="M213" s="710"/>
      <c r="N213" s="717">
        <f t="shared" si="42"/>
        <v>0</v>
      </c>
      <c r="O213" s="718">
        <f t="shared" si="41"/>
        <v>0</v>
      </c>
      <c r="P213" s="720">
        <f>(O213/O237)*100</f>
        <v>0</v>
      </c>
      <c r="Q213" s="731"/>
      <c r="R213" s="729">
        <f t="shared" si="43"/>
        <v>0</v>
      </c>
      <c r="S213" s="732">
        <v>6250</v>
      </c>
      <c r="U213" s="696">
        <f t="shared" si="44"/>
        <v>0</v>
      </c>
      <c r="V213" s="696">
        <f t="shared" si="45"/>
        <v>0</v>
      </c>
      <c r="W213" s="696">
        <f t="shared" si="46"/>
        <v>0</v>
      </c>
      <c r="X213" s="696">
        <f t="shared" si="47"/>
        <v>0</v>
      </c>
      <c r="Y213" s="696">
        <f t="shared" si="48"/>
        <v>0</v>
      </c>
      <c r="Z213" s="696">
        <f t="shared" si="49"/>
        <v>0</v>
      </c>
      <c r="AA213" s="696">
        <f t="shared" si="50"/>
        <v>0</v>
      </c>
      <c r="AB213" s="696">
        <f t="shared" si="51"/>
        <v>0</v>
      </c>
      <c r="AC213" s="696">
        <f t="shared" si="52"/>
        <v>0</v>
      </c>
      <c r="AD213" s="696">
        <f t="shared" si="53"/>
        <v>0</v>
      </c>
      <c r="AE213" s="699"/>
    </row>
    <row r="214" spans="1:31" ht="25.15" customHeight="1">
      <c r="A214" s="711">
        <v>34</v>
      </c>
      <c r="B214" s="712"/>
      <c r="C214" s="541" t="str">
        <f>'LAP. PENJUALAN '!C249</f>
        <v>Es Teh RC</v>
      </c>
      <c r="D214" s="710"/>
      <c r="E214" s="710"/>
      <c r="F214" s="710"/>
      <c r="G214" s="710"/>
      <c r="H214" s="710"/>
      <c r="I214" s="710"/>
      <c r="J214" s="710"/>
      <c r="K214" s="710"/>
      <c r="L214" s="710"/>
      <c r="M214" s="710"/>
      <c r="N214" s="717">
        <f t="shared" ref="N214" si="54">SUM(D214:M214)</f>
        <v>0</v>
      </c>
      <c r="O214" s="718">
        <f t="shared" ref="O214" si="55">N214*S214</f>
        <v>0</v>
      </c>
      <c r="P214" s="720">
        <f>(O214/O237)*100</f>
        <v>0</v>
      </c>
      <c r="Q214" s="731"/>
      <c r="R214" s="729">
        <f t="shared" ref="R214" si="56">P214*Q214</f>
        <v>0</v>
      </c>
      <c r="S214" s="732">
        <v>6666</v>
      </c>
      <c r="U214" s="696">
        <f t="shared" ref="U214" si="57">D214*S214</f>
        <v>0</v>
      </c>
      <c r="V214" s="696">
        <f t="shared" ref="V214" si="58">E214*S214</f>
        <v>0</v>
      </c>
      <c r="W214" s="696">
        <f t="shared" ref="W214" si="59">F214*S214</f>
        <v>0</v>
      </c>
      <c r="X214" s="696">
        <f t="shared" ref="X214" si="60">G214*S214</f>
        <v>0</v>
      </c>
      <c r="Y214" s="696">
        <f t="shared" ref="Y214" si="61">H214*S214</f>
        <v>0</v>
      </c>
      <c r="Z214" s="696">
        <f t="shared" ref="Z214" si="62">I214*S214</f>
        <v>0</v>
      </c>
      <c r="AA214" s="696">
        <f t="shared" ref="AA214" si="63">J214*S214</f>
        <v>0</v>
      </c>
      <c r="AB214" s="696">
        <f t="shared" ref="AB214" si="64">K214*S214</f>
        <v>0</v>
      </c>
      <c r="AC214" s="696">
        <f t="shared" ref="AC214" si="65">L214*S214</f>
        <v>0</v>
      </c>
      <c r="AD214" s="696">
        <f t="shared" ref="AD214" si="66">M214*S214</f>
        <v>0</v>
      </c>
      <c r="AE214" s="699"/>
    </row>
    <row r="215" spans="1:31" ht="25.15" customHeight="1">
      <c r="A215" s="711">
        <v>35</v>
      </c>
      <c r="B215" s="712" t="s">
        <v>1582</v>
      </c>
      <c r="C215" s="541"/>
      <c r="D215" s="710"/>
      <c r="E215" s="710"/>
      <c r="F215" s="710"/>
      <c r="G215" s="710"/>
      <c r="H215" s="710"/>
      <c r="I215" s="710"/>
      <c r="J215" s="710"/>
      <c r="K215" s="710"/>
      <c r="L215" s="710"/>
      <c r="M215" s="710"/>
      <c r="N215" s="717">
        <f t="shared" si="42"/>
        <v>0</v>
      </c>
      <c r="O215" s="718">
        <f t="shared" si="41"/>
        <v>0</v>
      </c>
      <c r="P215" s="720">
        <f>(O215/O237)*100</f>
        <v>0</v>
      </c>
      <c r="Q215" s="731"/>
      <c r="R215" s="729">
        <f t="shared" si="43"/>
        <v>0</v>
      </c>
      <c r="S215" s="732"/>
      <c r="U215" s="696">
        <f t="shared" si="44"/>
        <v>0</v>
      </c>
      <c r="V215" s="696">
        <f t="shared" si="45"/>
        <v>0</v>
      </c>
      <c r="W215" s="696">
        <f t="shared" si="46"/>
        <v>0</v>
      </c>
      <c r="X215" s="696">
        <f t="shared" si="47"/>
        <v>0</v>
      </c>
      <c r="Y215" s="696">
        <f t="shared" si="48"/>
        <v>0</v>
      </c>
      <c r="Z215" s="696">
        <f t="shared" si="49"/>
        <v>0</v>
      </c>
      <c r="AA215" s="696">
        <f t="shared" si="50"/>
        <v>0</v>
      </c>
      <c r="AB215" s="696">
        <f t="shared" si="51"/>
        <v>0</v>
      </c>
      <c r="AC215" s="696">
        <f t="shared" si="52"/>
        <v>0</v>
      </c>
      <c r="AD215" s="696">
        <f t="shared" si="53"/>
        <v>0</v>
      </c>
      <c r="AE215" s="699"/>
    </row>
    <row r="216" spans="1:31" ht="25.15" customHeight="1">
      <c r="A216" s="711">
        <v>36</v>
      </c>
      <c r="B216" s="712" t="s">
        <v>1494</v>
      </c>
      <c r="C216" s="541" t="str">
        <f>'LAP. PENJUALAN '!C251</f>
        <v>Thai Green Tea</v>
      </c>
      <c r="D216" s="710"/>
      <c r="E216" s="710"/>
      <c r="F216" s="710"/>
      <c r="G216" s="710"/>
      <c r="H216" s="710"/>
      <c r="I216" s="710"/>
      <c r="J216" s="710"/>
      <c r="K216" s="710"/>
      <c r="L216" s="710"/>
      <c r="M216" s="710"/>
      <c r="N216" s="717">
        <f t="shared" si="42"/>
        <v>0</v>
      </c>
      <c r="O216" s="718">
        <f t="shared" si="41"/>
        <v>0</v>
      </c>
      <c r="P216" s="720">
        <f>(O216/O237)*100</f>
        <v>0</v>
      </c>
      <c r="Q216" s="731"/>
      <c r="R216" s="729">
        <f t="shared" si="43"/>
        <v>0</v>
      </c>
      <c r="S216" s="760">
        <v>14630</v>
      </c>
      <c r="U216" s="696">
        <f t="shared" si="44"/>
        <v>0</v>
      </c>
      <c r="V216" s="696">
        <f t="shared" si="45"/>
        <v>0</v>
      </c>
      <c r="W216" s="696">
        <f t="shared" si="46"/>
        <v>0</v>
      </c>
      <c r="X216" s="696">
        <f t="shared" si="47"/>
        <v>0</v>
      </c>
      <c r="Y216" s="696">
        <f t="shared" si="48"/>
        <v>0</v>
      </c>
      <c r="Z216" s="696">
        <f t="shared" si="49"/>
        <v>0</v>
      </c>
      <c r="AA216" s="696">
        <f t="shared" si="50"/>
        <v>0</v>
      </c>
      <c r="AB216" s="696">
        <f t="shared" si="51"/>
        <v>0</v>
      </c>
      <c r="AC216" s="696">
        <f t="shared" si="52"/>
        <v>0</v>
      </c>
      <c r="AD216" s="696">
        <f t="shared" si="53"/>
        <v>0</v>
      </c>
      <c r="AE216" s="699"/>
    </row>
    <row r="217" spans="1:31" ht="25.15" customHeight="1">
      <c r="A217" s="711">
        <v>37</v>
      </c>
      <c r="B217" s="712"/>
      <c r="C217" s="541" t="str">
        <f>'LAP. PENJUALAN '!C252</f>
        <v>Milky Mango</v>
      </c>
      <c r="D217" s="710"/>
      <c r="E217" s="710"/>
      <c r="F217" s="710"/>
      <c r="G217" s="710"/>
      <c r="H217" s="710"/>
      <c r="I217" s="710"/>
      <c r="J217" s="710"/>
      <c r="K217" s="710"/>
      <c r="L217" s="710"/>
      <c r="M217" s="710"/>
      <c r="N217" s="717">
        <f t="shared" si="42"/>
        <v>0</v>
      </c>
      <c r="O217" s="718">
        <f t="shared" si="41"/>
        <v>0</v>
      </c>
      <c r="P217" s="720">
        <f>(O217/O237)*100</f>
        <v>0</v>
      </c>
      <c r="Q217" s="731"/>
      <c r="R217" s="729">
        <f t="shared" si="43"/>
        <v>0</v>
      </c>
      <c r="S217" s="760">
        <v>14630</v>
      </c>
      <c r="U217" s="696">
        <f t="shared" si="44"/>
        <v>0</v>
      </c>
      <c r="V217" s="696">
        <f t="shared" si="45"/>
        <v>0</v>
      </c>
      <c r="W217" s="696">
        <f t="shared" si="46"/>
        <v>0</v>
      </c>
      <c r="X217" s="696">
        <f t="shared" si="47"/>
        <v>0</v>
      </c>
      <c r="Y217" s="696">
        <f t="shared" si="48"/>
        <v>0</v>
      </c>
      <c r="Z217" s="696">
        <f t="shared" si="49"/>
        <v>0</v>
      </c>
      <c r="AA217" s="696">
        <f t="shared" si="50"/>
        <v>0</v>
      </c>
      <c r="AB217" s="696">
        <f t="shared" si="51"/>
        <v>0</v>
      </c>
      <c r="AC217" s="696">
        <f t="shared" si="52"/>
        <v>0</v>
      </c>
      <c r="AD217" s="696">
        <f t="shared" si="53"/>
        <v>0</v>
      </c>
      <c r="AE217" s="699"/>
    </row>
    <row r="218" spans="1:31" ht="25.15" customHeight="1">
      <c r="A218" s="711">
        <v>38</v>
      </c>
      <c r="B218" s="712" t="s">
        <v>1495</v>
      </c>
      <c r="C218" s="541" t="str">
        <f>'LAP. PENJUALAN '!C253</f>
        <v>Red Velvet</v>
      </c>
      <c r="D218" s="710"/>
      <c r="E218" s="710"/>
      <c r="F218" s="710"/>
      <c r="G218" s="710"/>
      <c r="H218" s="710"/>
      <c r="I218" s="710"/>
      <c r="J218" s="710"/>
      <c r="K218" s="710"/>
      <c r="L218" s="710"/>
      <c r="M218" s="710"/>
      <c r="N218" s="717">
        <f t="shared" si="42"/>
        <v>0</v>
      </c>
      <c r="O218" s="718">
        <f t="shared" si="41"/>
        <v>0</v>
      </c>
      <c r="P218" s="720">
        <f>(O218/O237)*100</f>
        <v>0</v>
      </c>
      <c r="Q218" s="731"/>
      <c r="R218" s="729">
        <f t="shared" si="43"/>
        <v>0</v>
      </c>
      <c r="S218" s="761">
        <v>14630</v>
      </c>
      <c r="U218" s="696">
        <f t="shared" si="44"/>
        <v>0</v>
      </c>
      <c r="V218" s="696">
        <f t="shared" si="45"/>
        <v>0</v>
      </c>
      <c r="W218" s="696">
        <f t="shared" si="46"/>
        <v>0</v>
      </c>
      <c r="X218" s="696">
        <f t="shared" si="47"/>
        <v>0</v>
      </c>
      <c r="Y218" s="696">
        <f t="shared" si="48"/>
        <v>0</v>
      </c>
      <c r="Z218" s="696">
        <f t="shared" si="49"/>
        <v>0</v>
      </c>
      <c r="AA218" s="696">
        <f t="shared" si="50"/>
        <v>0</v>
      </c>
      <c r="AB218" s="696">
        <f t="shared" si="51"/>
        <v>0</v>
      </c>
      <c r="AC218" s="696">
        <f t="shared" si="52"/>
        <v>0</v>
      </c>
      <c r="AD218" s="696">
        <f t="shared" si="53"/>
        <v>0</v>
      </c>
      <c r="AE218" s="699"/>
    </row>
    <row r="219" spans="1:31" ht="25.15" customHeight="1">
      <c r="A219" s="711">
        <v>39</v>
      </c>
      <c r="B219" s="712"/>
      <c r="C219" s="541"/>
      <c r="D219" s="710"/>
      <c r="E219" s="710"/>
      <c r="F219" s="710"/>
      <c r="G219" s="710"/>
      <c r="H219" s="710"/>
      <c r="I219" s="710"/>
      <c r="J219" s="710"/>
      <c r="K219" s="710"/>
      <c r="L219" s="710"/>
      <c r="M219" s="710"/>
      <c r="N219" s="717">
        <f t="shared" si="42"/>
        <v>0</v>
      </c>
      <c r="O219" s="718">
        <f t="shared" si="41"/>
        <v>0</v>
      </c>
      <c r="P219" s="720">
        <f>(O219/O237)*100</f>
        <v>0</v>
      </c>
      <c r="Q219" s="731"/>
      <c r="R219" s="729">
        <f t="shared" si="43"/>
        <v>0</v>
      </c>
      <c r="S219" s="732"/>
      <c r="U219" s="696">
        <f t="shared" si="44"/>
        <v>0</v>
      </c>
      <c r="V219" s="696">
        <f t="shared" si="45"/>
        <v>0</v>
      </c>
      <c r="W219" s="696">
        <f t="shared" si="46"/>
        <v>0</v>
      </c>
      <c r="X219" s="696">
        <f t="shared" si="47"/>
        <v>0</v>
      </c>
      <c r="Y219" s="696">
        <f t="shared" si="48"/>
        <v>0</v>
      </c>
      <c r="Z219" s="696">
        <f t="shared" si="49"/>
        <v>0</v>
      </c>
      <c r="AA219" s="696">
        <f t="shared" si="50"/>
        <v>0</v>
      </c>
      <c r="AB219" s="696">
        <f t="shared" si="51"/>
        <v>0</v>
      </c>
      <c r="AC219" s="696">
        <f t="shared" si="52"/>
        <v>0</v>
      </c>
      <c r="AD219" s="696">
        <f t="shared" si="53"/>
        <v>0</v>
      </c>
      <c r="AE219" s="699"/>
    </row>
    <row r="220" spans="1:31" ht="25.15" customHeight="1">
      <c r="A220" s="711">
        <v>40</v>
      </c>
      <c r="B220" s="712"/>
      <c r="C220" s="541" t="str">
        <f>'LAP. PENJUALAN '!C255</f>
        <v>Es Teh Paket Harga Nol</v>
      </c>
      <c r="D220" s="710"/>
      <c r="E220" s="710"/>
      <c r="F220" s="710"/>
      <c r="G220" s="710"/>
      <c r="H220" s="710"/>
      <c r="I220" s="710"/>
      <c r="J220" s="710"/>
      <c r="K220" s="710"/>
      <c r="L220" s="710"/>
      <c r="M220" s="710"/>
      <c r="N220" s="717">
        <f t="shared" si="42"/>
        <v>0</v>
      </c>
      <c r="O220" s="718">
        <f t="shared" si="41"/>
        <v>0</v>
      </c>
      <c r="P220" s="720">
        <f>(O220/O237)*100</f>
        <v>0</v>
      </c>
      <c r="Q220" s="731"/>
      <c r="R220" s="729">
        <f t="shared" si="43"/>
        <v>0</v>
      </c>
      <c r="S220" s="732"/>
      <c r="U220" s="696">
        <f t="shared" si="44"/>
        <v>0</v>
      </c>
      <c r="V220" s="696">
        <f t="shared" si="45"/>
        <v>0</v>
      </c>
      <c r="W220" s="696">
        <f t="shared" si="46"/>
        <v>0</v>
      </c>
      <c r="X220" s="696">
        <f t="shared" si="47"/>
        <v>0</v>
      </c>
      <c r="Y220" s="696">
        <f t="shared" si="48"/>
        <v>0</v>
      </c>
      <c r="Z220" s="696">
        <f t="shared" si="49"/>
        <v>0</v>
      </c>
      <c r="AA220" s="696">
        <f t="shared" si="50"/>
        <v>0</v>
      </c>
      <c r="AB220" s="696">
        <f t="shared" si="51"/>
        <v>0</v>
      </c>
      <c r="AC220" s="696">
        <f t="shared" si="52"/>
        <v>0</v>
      </c>
      <c r="AD220" s="696">
        <f t="shared" si="53"/>
        <v>0</v>
      </c>
      <c r="AE220" s="699"/>
    </row>
    <row r="221" spans="1:31" ht="25.15" customHeight="1">
      <c r="A221" s="711">
        <v>41</v>
      </c>
      <c r="B221" s="712"/>
      <c r="C221" s="541" t="str">
        <f>'LAP. PENJUALAN '!C256</f>
        <v>S-tee Paket Harga Nol</v>
      </c>
      <c r="D221" s="710"/>
      <c r="E221" s="710"/>
      <c r="F221" s="710"/>
      <c r="G221" s="710"/>
      <c r="H221" s="710"/>
      <c r="I221" s="710"/>
      <c r="J221" s="710"/>
      <c r="K221" s="710"/>
      <c r="L221" s="710"/>
      <c r="M221" s="710"/>
      <c r="N221" s="717">
        <f t="shared" si="42"/>
        <v>0</v>
      </c>
      <c r="O221" s="718">
        <f t="shared" si="41"/>
        <v>0</v>
      </c>
      <c r="P221" s="720">
        <f>(O221/O237)*100</f>
        <v>0</v>
      </c>
      <c r="Q221" s="731"/>
      <c r="R221" s="729">
        <f t="shared" si="43"/>
        <v>0</v>
      </c>
      <c r="S221" s="732"/>
      <c r="U221" s="696">
        <f t="shared" si="44"/>
        <v>0</v>
      </c>
      <c r="V221" s="696">
        <f t="shared" si="45"/>
        <v>0</v>
      </c>
      <c r="W221" s="696">
        <f t="shared" si="46"/>
        <v>0</v>
      </c>
      <c r="X221" s="696">
        <f t="shared" si="47"/>
        <v>0</v>
      </c>
      <c r="Y221" s="696">
        <f t="shared" si="48"/>
        <v>0</v>
      </c>
      <c r="Z221" s="696">
        <f t="shared" si="49"/>
        <v>0</v>
      </c>
      <c r="AA221" s="696">
        <f t="shared" si="50"/>
        <v>0</v>
      </c>
      <c r="AB221" s="696">
        <f t="shared" si="51"/>
        <v>0</v>
      </c>
      <c r="AC221" s="696">
        <f t="shared" si="52"/>
        <v>0</v>
      </c>
      <c r="AD221" s="696">
        <f t="shared" si="53"/>
        <v>0</v>
      </c>
      <c r="AE221" s="699"/>
    </row>
    <row r="222" spans="1:31" ht="25.15" customHeight="1">
      <c r="A222" s="711">
        <v>42</v>
      </c>
      <c r="B222" s="712"/>
      <c r="C222" s="541" t="str">
        <f>'LAP. PENJUALAN '!C257</f>
        <v>Nestea Paket Harga Nol</v>
      </c>
      <c r="D222" s="710"/>
      <c r="E222" s="710"/>
      <c r="F222" s="710"/>
      <c r="G222" s="710"/>
      <c r="H222" s="710"/>
      <c r="I222" s="710"/>
      <c r="J222" s="710"/>
      <c r="K222" s="710"/>
      <c r="L222" s="710"/>
      <c r="M222" s="710"/>
      <c r="N222" s="717">
        <f t="shared" si="42"/>
        <v>0</v>
      </c>
      <c r="O222" s="718">
        <f t="shared" si="41"/>
        <v>0</v>
      </c>
      <c r="P222" s="720">
        <f>(O222/O237)*100</f>
        <v>0</v>
      </c>
      <c r="Q222" s="731"/>
      <c r="R222" s="729">
        <f t="shared" si="43"/>
        <v>0</v>
      </c>
      <c r="S222" s="732"/>
      <c r="U222" s="696">
        <f t="shared" si="44"/>
        <v>0</v>
      </c>
      <c r="V222" s="696">
        <f t="shared" si="45"/>
        <v>0</v>
      </c>
      <c r="W222" s="696">
        <f t="shared" si="46"/>
        <v>0</v>
      </c>
      <c r="X222" s="696">
        <f t="shared" si="47"/>
        <v>0</v>
      </c>
      <c r="Y222" s="696">
        <f t="shared" si="48"/>
        <v>0</v>
      </c>
      <c r="Z222" s="696">
        <f t="shared" si="49"/>
        <v>0</v>
      </c>
      <c r="AA222" s="696">
        <f t="shared" si="50"/>
        <v>0</v>
      </c>
      <c r="AB222" s="696">
        <f t="shared" si="51"/>
        <v>0</v>
      </c>
      <c r="AC222" s="696">
        <f t="shared" si="52"/>
        <v>0</v>
      </c>
      <c r="AD222" s="696">
        <f t="shared" si="53"/>
        <v>0</v>
      </c>
      <c r="AE222" s="699"/>
    </row>
    <row r="223" spans="1:31" ht="25.15" customHeight="1">
      <c r="A223" s="711">
        <v>43</v>
      </c>
      <c r="B223" s="712"/>
      <c r="C223" s="589" t="s">
        <v>156</v>
      </c>
      <c r="D223" s="710"/>
      <c r="E223" s="710"/>
      <c r="F223" s="710"/>
      <c r="G223" s="710"/>
      <c r="H223" s="710"/>
      <c r="I223" s="710"/>
      <c r="J223" s="710"/>
      <c r="K223" s="710"/>
      <c r="L223" s="710"/>
      <c r="M223" s="710"/>
      <c r="N223" s="717">
        <f t="shared" si="42"/>
        <v>0</v>
      </c>
      <c r="O223" s="718">
        <f t="shared" si="41"/>
        <v>0</v>
      </c>
      <c r="P223" s="720">
        <f>(O223/O237)*100</f>
        <v>0</v>
      </c>
      <c r="Q223" s="762"/>
      <c r="R223" s="729">
        <f t="shared" si="43"/>
        <v>0</v>
      </c>
      <c r="S223" s="732">
        <v>9333</v>
      </c>
      <c r="U223" s="696">
        <f t="shared" si="44"/>
        <v>0</v>
      </c>
      <c r="V223" s="696">
        <f t="shared" si="45"/>
        <v>0</v>
      </c>
      <c r="W223" s="696">
        <f t="shared" si="46"/>
        <v>0</v>
      </c>
      <c r="X223" s="696">
        <f t="shared" si="47"/>
        <v>0</v>
      </c>
      <c r="Y223" s="696">
        <f t="shared" si="48"/>
        <v>0</v>
      </c>
      <c r="Z223" s="696">
        <f t="shared" si="49"/>
        <v>0</v>
      </c>
      <c r="AA223" s="696">
        <f t="shared" si="50"/>
        <v>0</v>
      </c>
      <c r="AB223" s="696">
        <f t="shared" si="51"/>
        <v>0</v>
      </c>
      <c r="AC223" s="696">
        <f t="shared" si="52"/>
        <v>0</v>
      </c>
      <c r="AD223" s="696">
        <f t="shared" si="53"/>
        <v>0</v>
      </c>
      <c r="AE223" s="699"/>
    </row>
    <row r="224" spans="1:31" ht="25.15" customHeight="1">
      <c r="A224" s="711">
        <v>44</v>
      </c>
      <c r="B224" s="712"/>
      <c r="C224" s="589" t="s">
        <v>1599</v>
      </c>
      <c r="D224" s="710"/>
      <c r="E224" s="710"/>
      <c r="F224" s="710"/>
      <c r="G224" s="710"/>
      <c r="H224" s="710"/>
      <c r="I224" s="710"/>
      <c r="J224" s="710"/>
      <c r="K224" s="710"/>
      <c r="L224" s="710"/>
      <c r="M224" s="710"/>
      <c r="N224" s="717">
        <f t="shared" si="42"/>
        <v>0</v>
      </c>
      <c r="O224" s="718">
        <f t="shared" si="41"/>
        <v>0</v>
      </c>
      <c r="P224" s="720">
        <f>(O224/O237)*100</f>
        <v>0</v>
      </c>
      <c r="Q224" s="731"/>
      <c r="R224" s="729">
        <f t="shared" si="43"/>
        <v>0</v>
      </c>
      <c r="S224" s="732">
        <v>6666</v>
      </c>
      <c r="U224" s="696">
        <f t="shared" si="44"/>
        <v>0</v>
      </c>
      <c r="V224" s="696">
        <f t="shared" si="45"/>
        <v>0</v>
      </c>
      <c r="W224" s="696">
        <f t="shared" si="46"/>
        <v>0</v>
      </c>
      <c r="X224" s="696">
        <f t="shared" si="47"/>
        <v>0</v>
      </c>
      <c r="Y224" s="696">
        <f t="shared" si="48"/>
        <v>0</v>
      </c>
      <c r="Z224" s="696">
        <f t="shared" si="49"/>
        <v>0</v>
      </c>
      <c r="AA224" s="696">
        <f t="shared" si="50"/>
        <v>0</v>
      </c>
      <c r="AB224" s="696">
        <f t="shared" si="51"/>
        <v>0</v>
      </c>
      <c r="AC224" s="696">
        <f t="shared" si="52"/>
        <v>0</v>
      </c>
      <c r="AD224" s="696">
        <f t="shared" si="53"/>
        <v>0</v>
      </c>
      <c r="AE224" s="699"/>
    </row>
    <row r="225" spans="1:31" ht="25.15" customHeight="1">
      <c r="A225" s="711">
        <v>45</v>
      </c>
      <c r="B225" s="712"/>
      <c r="C225" s="709"/>
      <c r="D225" s="710"/>
      <c r="E225" s="710"/>
      <c r="F225" s="710"/>
      <c r="G225" s="710"/>
      <c r="H225" s="710"/>
      <c r="I225" s="710"/>
      <c r="J225" s="710"/>
      <c r="K225" s="710"/>
      <c r="L225" s="710"/>
      <c r="M225" s="710"/>
      <c r="N225" s="717">
        <f t="shared" si="42"/>
        <v>0</v>
      </c>
      <c r="O225" s="718">
        <f t="shared" si="41"/>
        <v>0</v>
      </c>
      <c r="P225" s="720">
        <f>(O225/O237)*100</f>
        <v>0</v>
      </c>
      <c r="Q225" s="731"/>
      <c r="R225" s="729">
        <f t="shared" si="43"/>
        <v>0</v>
      </c>
      <c r="S225" s="732"/>
      <c r="U225" s="696">
        <f t="shared" si="44"/>
        <v>0</v>
      </c>
      <c r="V225" s="696">
        <f t="shared" si="45"/>
        <v>0</v>
      </c>
      <c r="W225" s="696">
        <f t="shared" si="46"/>
        <v>0</v>
      </c>
      <c r="X225" s="696">
        <f t="shared" si="47"/>
        <v>0</v>
      </c>
      <c r="Y225" s="696">
        <f t="shared" si="48"/>
        <v>0</v>
      </c>
      <c r="Z225" s="696">
        <f t="shared" si="49"/>
        <v>0</v>
      </c>
      <c r="AA225" s="696">
        <f t="shared" si="50"/>
        <v>0</v>
      </c>
      <c r="AB225" s="696">
        <f t="shared" si="51"/>
        <v>0</v>
      </c>
      <c r="AC225" s="696">
        <f t="shared" si="52"/>
        <v>0</v>
      </c>
      <c r="AD225" s="696">
        <f t="shared" si="53"/>
        <v>0</v>
      </c>
      <c r="AE225" s="699"/>
    </row>
    <row r="226" spans="1:31" ht="25.15" customHeight="1">
      <c r="A226" s="711">
        <v>46</v>
      </c>
      <c r="B226" s="712"/>
      <c r="C226" s="709"/>
      <c r="D226" s="710"/>
      <c r="E226" s="710"/>
      <c r="F226" s="710"/>
      <c r="G226" s="710"/>
      <c r="H226" s="710"/>
      <c r="I226" s="710"/>
      <c r="J226" s="710"/>
      <c r="K226" s="710"/>
      <c r="L226" s="710"/>
      <c r="M226" s="710"/>
      <c r="N226" s="717">
        <f t="shared" si="42"/>
        <v>0</v>
      </c>
      <c r="O226" s="718">
        <f t="shared" si="41"/>
        <v>0</v>
      </c>
      <c r="P226" s="720">
        <f>(O226/O237)*100</f>
        <v>0</v>
      </c>
      <c r="Q226" s="731"/>
      <c r="R226" s="729">
        <f t="shared" si="43"/>
        <v>0</v>
      </c>
      <c r="S226" s="732"/>
      <c r="U226" s="696">
        <f t="shared" si="44"/>
        <v>0</v>
      </c>
      <c r="V226" s="696">
        <f t="shared" si="45"/>
        <v>0</v>
      </c>
      <c r="W226" s="696">
        <f t="shared" si="46"/>
        <v>0</v>
      </c>
      <c r="X226" s="696">
        <f t="shared" si="47"/>
        <v>0</v>
      </c>
      <c r="Y226" s="696">
        <f t="shared" si="48"/>
        <v>0</v>
      </c>
      <c r="Z226" s="696">
        <f t="shared" si="49"/>
        <v>0</v>
      </c>
      <c r="AA226" s="696">
        <f t="shared" si="50"/>
        <v>0</v>
      </c>
      <c r="AB226" s="696">
        <f t="shared" si="51"/>
        <v>0</v>
      </c>
      <c r="AC226" s="696">
        <f t="shared" si="52"/>
        <v>0</v>
      </c>
      <c r="AD226" s="696">
        <f t="shared" si="53"/>
        <v>0</v>
      </c>
      <c r="AE226" s="699"/>
    </row>
    <row r="227" spans="1:31" ht="25.15" customHeight="1">
      <c r="A227" s="711">
        <v>47</v>
      </c>
      <c r="B227" s="712"/>
      <c r="C227" s="709"/>
      <c r="D227" s="710"/>
      <c r="E227" s="710"/>
      <c r="F227" s="710"/>
      <c r="G227" s="710"/>
      <c r="H227" s="710"/>
      <c r="I227" s="710"/>
      <c r="J227" s="710"/>
      <c r="K227" s="710"/>
      <c r="L227" s="710"/>
      <c r="M227" s="710"/>
      <c r="N227" s="717">
        <f t="shared" si="42"/>
        <v>0</v>
      </c>
      <c r="O227" s="718">
        <f t="shared" si="41"/>
        <v>0</v>
      </c>
      <c r="P227" s="720">
        <f>(O227/O237)*100</f>
        <v>0</v>
      </c>
      <c r="Q227" s="731"/>
      <c r="R227" s="729">
        <f t="shared" si="43"/>
        <v>0</v>
      </c>
      <c r="S227" s="732"/>
      <c r="U227" s="696">
        <f t="shared" si="44"/>
        <v>0</v>
      </c>
      <c r="V227" s="696">
        <f t="shared" si="45"/>
        <v>0</v>
      </c>
      <c r="W227" s="696">
        <f t="shared" si="46"/>
        <v>0</v>
      </c>
      <c r="X227" s="696">
        <f t="shared" si="47"/>
        <v>0</v>
      </c>
      <c r="Y227" s="696">
        <f t="shared" si="48"/>
        <v>0</v>
      </c>
      <c r="Z227" s="696">
        <f t="shared" si="49"/>
        <v>0</v>
      </c>
      <c r="AA227" s="696">
        <f t="shared" si="50"/>
        <v>0</v>
      </c>
      <c r="AB227" s="696">
        <f t="shared" si="51"/>
        <v>0</v>
      </c>
      <c r="AC227" s="696">
        <f t="shared" si="52"/>
        <v>0</v>
      </c>
      <c r="AD227" s="696">
        <f t="shared" si="53"/>
        <v>0</v>
      </c>
      <c r="AE227" s="699"/>
    </row>
    <row r="228" spans="1:31" ht="25.15" customHeight="1">
      <c r="A228" s="711">
        <v>48</v>
      </c>
      <c r="B228" s="712"/>
      <c r="C228" s="709"/>
      <c r="D228" s="710"/>
      <c r="E228" s="710"/>
      <c r="F228" s="710"/>
      <c r="G228" s="710"/>
      <c r="H228" s="710"/>
      <c r="I228" s="710"/>
      <c r="J228" s="710"/>
      <c r="K228" s="710"/>
      <c r="L228" s="710"/>
      <c r="M228" s="710"/>
      <c r="N228" s="717">
        <f t="shared" si="42"/>
        <v>0</v>
      </c>
      <c r="O228" s="718">
        <f t="shared" si="41"/>
        <v>0</v>
      </c>
      <c r="P228" s="720">
        <f>(O228/O237)*100</f>
        <v>0</v>
      </c>
      <c r="Q228" s="731"/>
      <c r="R228" s="729">
        <f t="shared" si="43"/>
        <v>0</v>
      </c>
      <c r="S228" s="732"/>
      <c r="U228" s="696">
        <f t="shared" si="44"/>
        <v>0</v>
      </c>
      <c r="V228" s="696">
        <f t="shared" si="45"/>
        <v>0</v>
      </c>
      <c r="W228" s="696">
        <f t="shared" si="46"/>
        <v>0</v>
      </c>
      <c r="X228" s="696">
        <f t="shared" si="47"/>
        <v>0</v>
      </c>
      <c r="Y228" s="696">
        <f t="shared" si="48"/>
        <v>0</v>
      </c>
      <c r="Z228" s="696">
        <f t="shared" si="49"/>
        <v>0</v>
      </c>
      <c r="AA228" s="696">
        <f t="shared" si="50"/>
        <v>0</v>
      </c>
      <c r="AB228" s="696">
        <f t="shared" si="51"/>
        <v>0</v>
      </c>
      <c r="AC228" s="696">
        <f t="shared" si="52"/>
        <v>0</v>
      </c>
      <c r="AD228" s="696">
        <f t="shared" si="53"/>
        <v>0</v>
      </c>
      <c r="AE228" s="699"/>
    </row>
    <row r="229" spans="1:31" ht="25.15" customHeight="1">
      <c r="A229" s="711">
        <v>49</v>
      </c>
      <c r="B229" s="712"/>
      <c r="C229" s="709"/>
      <c r="D229" s="710"/>
      <c r="E229" s="710"/>
      <c r="F229" s="710"/>
      <c r="G229" s="710"/>
      <c r="H229" s="710"/>
      <c r="I229" s="710"/>
      <c r="J229" s="710"/>
      <c r="K229" s="710"/>
      <c r="L229" s="710"/>
      <c r="M229" s="710"/>
      <c r="N229" s="717">
        <f t="shared" si="42"/>
        <v>0</v>
      </c>
      <c r="O229" s="718">
        <f t="shared" si="41"/>
        <v>0</v>
      </c>
      <c r="P229" s="720">
        <f>(O229/O237)*100</f>
        <v>0</v>
      </c>
      <c r="Q229" s="731"/>
      <c r="R229" s="729">
        <f t="shared" si="43"/>
        <v>0</v>
      </c>
      <c r="S229" s="732"/>
      <c r="U229" s="696">
        <f t="shared" si="44"/>
        <v>0</v>
      </c>
      <c r="V229" s="696">
        <f t="shared" si="45"/>
        <v>0</v>
      </c>
      <c r="W229" s="696">
        <f t="shared" si="46"/>
        <v>0</v>
      </c>
      <c r="X229" s="696">
        <f t="shared" si="47"/>
        <v>0</v>
      </c>
      <c r="Y229" s="696">
        <f t="shared" si="48"/>
        <v>0</v>
      </c>
      <c r="Z229" s="696">
        <f t="shared" si="49"/>
        <v>0</v>
      </c>
      <c r="AA229" s="696">
        <f t="shared" si="50"/>
        <v>0</v>
      </c>
      <c r="AB229" s="696">
        <f t="shared" si="51"/>
        <v>0</v>
      </c>
      <c r="AC229" s="696">
        <f t="shared" si="52"/>
        <v>0</v>
      </c>
      <c r="AD229" s="696">
        <f t="shared" si="53"/>
        <v>0</v>
      </c>
      <c r="AE229" s="699"/>
    </row>
    <row r="230" spans="1:31" ht="25.15" customHeight="1">
      <c r="A230" s="711">
        <v>50</v>
      </c>
      <c r="B230" s="712"/>
      <c r="C230" s="709"/>
      <c r="D230" s="710"/>
      <c r="E230" s="710"/>
      <c r="F230" s="710"/>
      <c r="G230" s="710"/>
      <c r="H230" s="710"/>
      <c r="I230" s="710"/>
      <c r="J230" s="710"/>
      <c r="K230" s="710"/>
      <c r="L230" s="710"/>
      <c r="M230" s="710"/>
      <c r="N230" s="717">
        <f t="shared" si="42"/>
        <v>0</v>
      </c>
      <c r="O230" s="718">
        <f t="shared" si="41"/>
        <v>0</v>
      </c>
      <c r="P230" s="720">
        <f>(O230/O237)*100</f>
        <v>0</v>
      </c>
      <c r="Q230" s="731"/>
      <c r="R230" s="729">
        <f t="shared" si="43"/>
        <v>0</v>
      </c>
      <c r="S230" s="732"/>
      <c r="U230" s="696">
        <f t="shared" si="44"/>
        <v>0</v>
      </c>
      <c r="V230" s="696">
        <f t="shared" si="45"/>
        <v>0</v>
      </c>
      <c r="W230" s="696">
        <f t="shared" si="46"/>
        <v>0</v>
      </c>
      <c r="X230" s="696">
        <f t="shared" si="47"/>
        <v>0</v>
      </c>
      <c r="Y230" s="696">
        <f t="shared" si="48"/>
        <v>0</v>
      </c>
      <c r="Z230" s="696">
        <f t="shared" si="49"/>
        <v>0</v>
      </c>
      <c r="AA230" s="696">
        <f t="shared" si="50"/>
        <v>0</v>
      </c>
      <c r="AB230" s="696">
        <f t="shared" si="51"/>
        <v>0</v>
      </c>
      <c r="AC230" s="696">
        <f t="shared" si="52"/>
        <v>0</v>
      </c>
      <c r="AD230" s="696">
        <f t="shared" si="53"/>
        <v>0</v>
      </c>
      <c r="AE230" s="699"/>
    </row>
    <row r="231" spans="1:31" ht="25.15" customHeight="1">
      <c r="A231" s="711">
        <v>51</v>
      </c>
      <c r="B231" s="712"/>
      <c r="C231" s="709"/>
      <c r="D231" s="710"/>
      <c r="E231" s="710"/>
      <c r="F231" s="710"/>
      <c r="G231" s="710"/>
      <c r="H231" s="710"/>
      <c r="I231" s="710"/>
      <c r="J231" s="710"/>
      <c r="K231" s="710"/>
      <c r="L231" s="710"/>
      <c r="M231" s="710"/>
      <c r="N231" s="717">
        <f t="shared" si="42"/>
        <v>0</v>
      </c>
      <c r="O231" s="718">
        <f t="shared" si="41"/>
        <v>0</v>
      </c>
      <c r="P231" s="720">
        <f>(O231/O237)*100</f>
        <v>0</v>
      </c>
      <c r="Q231" s="731"/>
      <c r="R231" s="729">
        <f t="shared" si="43"/>
        <v>0</v>
      </c>
      <c r="S231" s="732"/>
      <c r="U231" s="696">
        <f t="shared" si="44"/>
        <v>0</v>
      </c>
      <c r="V231" s="696">
        <f t="shared" si="45"/>
        <v>0</v>
      </c>
      <c r="W231" s="696">
        <f t="shared" si="46"/>
        <v>0</v>
      </c>
      <c r="X231" s="696">
        <f t="shared" si="47"/>
        <v>0</v>
      </c>
      <c r="Y231" s="696">
        <f t="shared" si="48"/>
        <v>0</v>
      </c>
      <c r="Z231" s="696">
        <f t="shared" si="49"/>
        <v>0</v>
      </c>
      <c r="AA231" s="696">
        <f t="shared" si="50"/>
        <v>0</v>
      </c>
      <c r="AB231" s="696">
        <f t="shared" si="51"/>
        <v>0</v>
      </c>
      <c r="AC231" s="696">
        <f t="shared" si="52"/>
        <v>0</v>
      </c>
      <c r="AD231" s="696">
        <f t="shared" si="53"/>
        <v>0</v>
      </c>
      <c r="AE231" s="699"/>
    </row>
    <row r="232" spans="1:31" ht="25.15" customHeight="1">
      <c r="A232" s="711">
        <v>52</v>
      </c>
      <c r="B232" s="733"/>
      <c r="C232" s="709"/>
      <c r="D232" s="710"/>
      <c r="E232" s="710"/>
      <c r="F232" s="710"/>
      <c r="G232" s="710"/>
      <c r="H232" s="710"/>
      <c r="I232" s="710"/>
      <c r="J232" s="710"/>
      <c r="K232" s="710"/>
      <c r="L232" s="710"/>
      <c r="M232" s="710"/>
      <c r="N232" s="717">
        <f t="shared" si="42"/>
        <v>0</v>
      </c>
      <c r="O232" s="718">
        <f t="shared" si="41"/>
        <v>0</v>
      </c>
      <c r="P232" s="747">
        <f>(O232/O237)*100</f>
        <v>0</v>
      </c>
      <c r="Q232" s="763"/>
      <c r="R232" s="729">
        <f t="shared" si="43"/>
        <v>0</v>
      </c>
      <c r="S232" s="732"/>
      <c r="U232" s="696">
        <f t="shared" si="44"/>
        <v>0</v>
      </c>
      <c r="V232" s="696">
        <f t="shared" si="45"/>
        <v>0</v>
      </c>
      <c r="W232" s="696">
        <f t="shared" si="46"/>
        <v>0</v>
      </c>
      <c r="X232" s="696">
        <f t="shared" si="47"/>
        <v>0</v>
      </c>
      <c r="Y232" s="696">
        <f t="shared" si="48"/>
        <v>0</v>
      </c>
      <c r="Z232" s="696">
        <f t="shared" si="49"/>
        <v>0</v>
      </c>
      <c r="AA232" s="696">
        <f t="shared" si="50"/>
        <v>0</v>
      </c>
      <c r="AB232" s="696">
        <f t="shared" si="51"/>
        <v>0</v>
      </c>
      <c r="AC232" s="696">
        <f t="shared" si="52"/>
        <v>0</v>
      </c>
      <c r="AD232" s="696">
        <f t="shared" si="53"/>
        <v>0</v>
      </c>
      <c r="AE232" s="699"/>
    </row>
    <row r="233" spans="1:31" ht="25.15" customHeight="1">
      <c r="A233" s="711">
        <v>53</v>
      </c>
      <c r="B233" s="734"/>
      <c r="C233" s="709"/>
      <c r="D233" s="710"/>
      <c r="E233" s="710"/>
      <c r="F233" s="710"/>
      <c r="G233" s="710"/>
      <c r="H233" s="710"/>
      <c r="I233" s="710"/>
      <c r="J233" s="710"/>
      <c r="K233" s="710"/>
      <c r="L233" s="710"/>
      <c r="M233" s="710"/>
      <c r="N233" s="717">
        <f t="shared" si="42"/>
        <v>0</v>
      </c>
      <c r="O233" s="718">
        <f t="shared" si="41"/>
        <v>0</v>
      </c>
      <c r="P233" s="720">
        <f>(O233/O237)*100</f>
        <v>0</v>
      </c>
      <c r="Q233" s="731"/>
      <c r="R233" s="729">
        <f t="shared" si="43"/>
        <v>0</v>
      </c>
      <c r="S233" s="732"/>
      <c r="U233" s="696">
        <f t="shared" si="44"/>
        <v>0</v>
      </c>
      <c r="V233" s="696">
        <f t="shared" si="45"/>
        <v>0</v>
      </c>
      <c r="W233" s="696">
        <f t="shared" si="46"/>
        <v>0</v>
      </c>
      <c r="X233" s="696">
        <f t="shared" si="47"/>
        <v>0</v>
      </c>
      <c r="Y233" s="696">
        <f t="shared" si="48"/>
        <v>0</v>
      </c>
      <c r="Z233" s="696">
        <f t="shared" si="49"/>
        <v>0</v>
      </c>
      <c r="AA233" s="696">
        <f t="shared" si="50"/>
        <v>0</v>
      </c>
      <c r="AB233" s="696">
        <f t="shared" si="51"/>
        <v>0</v>
      </c>
      <c r="AC233" s="696">
        <f t="shared" si="52"/>
        <v>0</v>
      </c>
      <c r="AD233" s="696">
        <f t="shared" si="53"/>
        <v>0</v>
      </c>
      <c r="AE233" s="699"/>
    </row>
    <row r="234" spans="1:31" ht="25.15" customHeight="1">
      <c r="A234" s="711">
        <v>54</v>
      </c>
      <c r="B234" s="734"/>
      <c r="C234" s="709"/>
      <c r="D234" s="710"/>
      <c r="E234" s="710"/>
      <c r="F234" s="710"/>
      <c r="G234" s="710"/>
      <c r="H234" s="710"/>
      <c r="I234" s="710"/>
      <c r="J234" s="710"/>
      <c r="K234" s="710"/>
      <c r="L234" s="710"/>
      <c r="M234" s="710"/>
      <c r="N234" s="717">
        <f t="shared" si="42"/>
        <v>0</v>
      </c>
      <c r="O234" s="718">
        <f t="shared" si="41"/>
        <v>0</v>
      </c>
      <c r="P234" s="720">
        <f>(O234/O237)*100</f>
        <v>0</v>
      </c>
      <c r="Q234" s="731"/>
      <c r="R234" s="729">
        <f t="shared" si="43"/>
        <v>0</v>
      </c>
      <c r="S234" s="732"/>
      <c r="U234" s="696">
        <f t="shared" si="44"/>
        <v>0</v>
      </c>
      <c r="V234" s="696">
        <f t="shared" si="45"/>
        <v>0</v>
      </c>
      <c r="W234" s="696">
        <f t="shared" si="46"/>
        <v>0</v>
      </c>
      <c r="X234" s="696">
        <f t="shared" si="47"/>
        <v>0</v>
      </c>
      <c r="Y234" s="696">
        <f t="shared" si="48"/>
        <v>0</v>
      </c>
      <c r="Z234" s="696">
        <f t="shared" si="49"/>
        <v>0</v>
      </c>
      <c r="AA234" s="696">
        <f t="shared" si="50"/>
        <v>0</v>
      </c>
      <c r="AB234" s="696">
        <f t="shared" si="51"/>
        <v>0</v>
      </c>
      <c r="AC234" s="696">
        <f t="shared" si="52"/>
        <v>0</v>
      </c>
      <c r="AD234" s="696">
        <f t="shared" si="53"/>
        <v>0</v>
      </c>
      <c r="AE234" s="699"/>
    </row>
    <row r="235" spans="1:31" ht="25.15" customHeight="1">
      <c r="A235" s="711">
        <v>55</v>
      </c>
      <c r="B235" s="735"/>
      <c r="C235" s="709"/>
      <c r="D235" s="710"/>
      <c r="E235" s="710"/>
      <c r="F235" s="710"/>
      <c r="G235" s="710"/>
      <c r="H235" s="710"/>
      <c r="I235" s="710"/>
      <c r="J235" s="710"/>
      <c r="K235" s="710"/>
      <c r="L235" s="710"/>
      <c r="M235" s="710"/>
      <c r="N235" s="717">
        <f t="shared" si="42"/>
        <v>0</v>
      </c>
      <c r="O235" s="718">
        <f t="shared" si="41"/>
        <v>0</v>
      </c>
      <c r="P235" s="747">
        <f>(O235/O237)*100</f>
        <v>0</v>
      </c>
      <c r="Q235" s="763"/>
      <c r="R235" s="729">
        <f t="shared" si="43"/>
        <v>0</v>
      </c>
      <c r="S235" s="732"/>
      <c r="U235" s="696">
        <f t="shared" si="44"/>
        <v>0</v>
      </c>
      <c r="V235" s="696">
        <f t="shared" si="45"/>
        <v>0</v>
      </c>
      <c r="W235" s="696">
        <f t="shared" si="46"/>
        <v>0</v>
      </c>
      <c r="X235" s="696">
        <f t="shared" si="47"/>
        <v>0</v>
      </c>
      <c r="Y235" s="696">
        <f t="shared" si="48"/>
        <v>0</v>
      </c>
      <c r="Z235" s="696">
        <f t="shared" si="49"/>
        <v>0</v>
      </c>
      <c r="AA235" s="696">
        <f t="shared" si="50"/>
        <v>0</v>
      </c>
      <c r="AB235" s="696">
        <f t="shared" si="51"/>
        <v>0</v>
      </c>
      <c r="AC235" s="696">
        <f t="shared" si="52"/>
        <v>0</v>
      </c>
      <c r="AD235" s="696">
        <f t="shared" si="53"/>
        <v>0</v>
      </c>
      <c r="AE235" s="699"/>
    </row>
    <row r="236" spans="1:31" ht="100.15" customHeight="1">
      <c r="A236" s="2561" t="s">
        <v>1508</v>
      </c>
      <c r="B236" s="2562"/>
      <c r="C236" s="2563"/>
      <c r="D236" s="736">
        <f t="shared" ref="D236:M236" si="67">U236</f>
        <v>0</v>
      </c>
      <c r="E236" s="737">
        <f t="shared" si="67"/>
        <v>0</v>
      </c>
      <c r="F236" s="738">
        <f t="shared" si="67"/>
        <v>0</v>
      </c>
      <c r="G236" s="739">
        <f t="shared" si="67"/>
        <v>0</v>
      </c>
      <c r="H236" s="738">
        <f t="shared" si="67"/>
        <v>0</v>
      </c>
      <c r="I236" s="739">
        <f t="shared" si="67"/>
        <v>0</v>
      </c>
      <c r="J236" s="738">
        <f t="shared" si="67"/>
        <v>0</v>
      </c>
      <c r="K236" s="739">
        <f t="shared" si="67"/>
        <v>0</v>
      </c>
      <c r="L236" s="738">
        <f t="shared" si="67"/>
        <v>0</v>
      </c>
      <c r="M236" s="739">
        <f t="shared" si="67"/>
        <v>0</v>
      </c>
      <c r="N236" s="748"/>
      <c r="O236" s="643">
        <f>SUM(D236:M236)</f>
        <v>0</v>
      </c>
      <c r="P236" s="749">
        <f>SUM(P181:P235)/100</f>
        <v>0</v>
      </c>
      <c r="Q236" s="764"/>
      <c r="R236" s="765">
        <f>SUM(R181:R235)/100</f>
        <v>0</v>
      </c>
      <c r="S236" s="766"/>
      <c r="U236" s="696">
        <f t="shared" ref="U236:AD236" si="68">SUM(U181:U235)</f>
        <v>0</v>
      </c>
      <c r="V236" s="696">
        <f t="shared" si="68"/>
        <v>0</v>
      </c>
      <c r="W236" s="696">
        <f t="shared" si="68"/>
        <v>0</v>
      </c>
      <c r="X236" s="696">
        <f t="shared" si="68"/>
        <v>0</v>
      </c>
      <c r="Y236" s="696">
        <f t="shared" si="68"/>
        <v>0</v>
      </c>
      <c r="Z236" s="696">
        <f t="shared" si="68"/>
        <v>0</v>
      </c>
      <c r="AA236" s="696">
        <f t="shared" si="68"/>
        <v>0</v>
      </c>
      <c r="AB236" s="696">
        <f t="shared" si="68"/>
        <v>0</v>
      </c>
      <c r="AC236" s="696">
        <f t="shared" si="68"/>
        <v>0</v>
      </c>
      <c r="AD236" s="696">
        <f t="shared" si="68"/>
        <v>0</v>
      </c>
      <c r="AE236" s="699"/>
    </row>
    <row r="237" spans="1:31" ht="100.15" customHeight="1">
      <c r="A237" s="2561" t="s">
        <v>1509</v>
      </c>
      <c r="B237" s="2562"/>
      <c r="C237" s="2563"/>
      <c r="D237" s="740">
        <f>D178+D236</f>
        <v>465999</v>
      </c>
      <c r="E237" s="740">
        <f t="shared" ref="E237:P237" si="69">E178+E236</f>
        <v>103806</v>
      </c>
      <c r="F237" s="741">
        <f t="shared" si="69"/>
        <v>163730</v>
      </c>
      <c r="G237" s="741">
        <f t="shared" si="69"/>
        <v>115710</v>
      </c>
      <c r="H237" s="740">
        <f t="shared" si="69"/>
        <v>154346</v>
      </c>
      <c r="I237" s="740">
        <f t="shared" si="69"/>
        <v>151720</v>
      </c>
      <c r="J237" s="740">
        <f t="shared" si="69"/>
        <v>163090</v>
      </c>
      <c r="K237" s="740">
        <f t="shared" si="69"/>
        <v>0</v>
      </c>
      <c r="L237" s="740">
        <f t="shared" si="69"/>
        <v>0</v>
      </c>
      <c r="M237" s="740">
        <f t="shared" si="69"/>
        <v>0</v>
      </c>
      <c r="N237" s="740"/>
      <c r="O237" s="645">
        <f t="shared" si="69"/>
        <v>1318401</v>
      </c>
      <c r="P237" s="749">
        <f t="shared" si="69"/>
        <v>1</v>
      </c>
      <c r="Q237" s="764"/>
      <c r="R237" s="765">
        <f>R178+R236</f>
        <v>0</v>
      </c>
      <c r="S237" s="766"/>
      <c r="U237" s="699"/>
      <c r="V237" s="699"/>
      <c r="W237" s="699"/>
      <c r="X237" s="699"/>
      <c r="Y237" s="699"/>
      <c r="Z237" s="699"/>
      <c r="AA237" s="699"/>
      <c r="AB237" s="699"/>
      <c r="AC237" s="699"/>
      <c r="AD237" s="699"/>
      <c r="AE237" s="699"/>
    </row>
    <row r="238" spans="1:31" ht="25.15" customHeight="1">
      <c r="A238" s="2561" t="s">
        <v>1510</v>
      </c>
      <c r="B238" s="2562"/>
      <c r="C238" s="2563"/>
      <c r="D238" s="742"/>
      <c r="E238" s="742"/>
      <c r="F238" s="742"/>
      <c r="G238" s="742"/>
      <c r="H238" s="742"/>
      <c r="I238" s="742"/>
      <c r="J238" s="742"/>
      <c r="K238" s="742"/>
      <c r="L238" s="742"/>
      <c r="M238" s="742"/>
      <c r="N238" s="750">
        <f>SUM(D238:M238)</f>
        <v>0</v>
      </c>
      <c r="O238" s="751"/>
      <c r="P238" s="752"/>
      <c r="Q238" s="767"/>
      <c r="R238" s="752"/>
      <c r="S238" s="751"/>
      <c r="U238" s="699"/>
      <c r="V238" s="699"/>
      <c r="W238" s="699"/>
      <c r="X238" s="699"/>
      <c r="Y238" s="699"/>
      <c r="Z238" s="699"/>
      <c r="AA238" s="699"/>
      <c r="AB238" s="699"/>
      <c r="AC238" s="699"/>
      <c r="AD238" s="699"/>
      <c r="AE238" s="699"/>
    </row>
    <row r="239" spans="1:31" ht="18" customHeight="1">
      <c r="U239" s="699"/>
    </row>
    <row r="240" spans="1:31" ht="18" customHeight="1">
      <c r="A240" s="743" t="s">
        <v>1511</v>
      </c>
      <c r="N240" s="2599" t="s">
        <v>391</v>
      </c>
      <c r="O240" s="2599"/>
      <c r="Q240" s="768"/>
      <c r="U240" s="699"/>
    </row>
    <row r="241" spans="1:35" ht="32.25" customHeight="1">
      <c r="A241" s="2600" t="s">
        <v>1512</v>
      </c>
      <c r="B241" s="2601"/>
      <c r="C241" s="2601"/>
      <c r="D241" s="2601"/>
      <c r="E241" s="2601"/>
      <c r="F241" s="2601"/>
      <c r="G241" s="2601"/>
      <c r="H241" s="2601"/>
      <c r="I241" s="2601"/>
      <c r="J241" s="744"/>
      <c r="K241" s="744"/>
      <c r="L241" s="744"/>
      <c r="M241" s="744"/>
      <c r="Q241" s="768"/>
      <c r="U241" s="699"/>
    </row>
    <row r="242" spans="1:35" ht="18" customHeight="1">
      <c r="A242" s="2600" t="s">
        <v>1513</v>
      </c>
      <c r="B242" s="2601"/>
      <c r="C242" s="2601"/>
      <c r="D242" s="2601"/>
      <c r="E242" s="2601"/>
      <c r="F242" s="2601"/>
      <c r="G242" s="2601"/>
      <c r="H242" s="2601"/>
      <c r="I242" s="2601"/>
      <c r="J242" s="744"/>
      <c r="K242" s="744"/>
      <c r="L242" s="744"/>
      <c r="M242" s="744"/>
      <c r="Q242" s="768"/>
      <c r="U242" s="699"/>
    </row>
    <row r="243" spans="1:35" ht="18" customHeight="1">
      <c r="A243" s="2585" t="s">
        <v>1514</v>
      </c>
      <c r="B243" s="2585"/>
      <c r="C243" s="2585"/>
      <c r="D243" s="2585"/>
      <c r="E243" s="2585"/>
      <c r="F243" s="2585"/>
      <c r="G243" s="2585"/>
      <c r="H243" s="2585"/>
      <c r="I243" s="2585"/>
      <c r="J243" s="744"/>
      <c r="K243" s="744"/>
      <c r="L243" s="744"/>
      <c r="M243" s="744"/>
      <c r="Q243" s="768"/>
      <c r="U243" s="699"/>
    </row>
    <row r="244" spans="1:35" ht="18" customHeight="1">
      <c r="A244" s="2586" t="s">
        <v>1515</v>
      </c>
      <c r="B244" s="2586"/>
      <c r="C244" s="2586"/>
      <c r="D244" s="2586"/>
      <c r="E244" s="2586"/>
      <c r="F244" s="2586"/>
      <c r="G244" s="2586"/>
      <c r="H244" s="2586"/>
      <c r="I244" s="2586"/>
      <c r="J244" s="744"/>
      <c r="K244" s="744"/>
      <c r="L244" s="744"/>
      <c r="M244" s="744"/>
      <c r="P244" s="753"/>
      <c r="Q244" s="768"/>
      <c r="U244" s="699"/>
    </row>
    <row r="245" spans="1:35" ht="18" customHeight="1">
      <c r="A245" s="2505"/>
      <c r="B245" s="2505"/>
      <c r="C245" s="2505"/>
      <c r="D245" s="2505"/>
      <c r="E245" s="2505"/>
      <c r="F245" s="2505"/>
      <c r="G245" s="2505"/>
      <c r="H245" s="2505"/>
      <c r="I245" s="2505"/>
      <c r="J245" s="744"/>
      <c r="K245" s="744"/>
      <c r="L245" s="744"/>
      <c r="M245" s="744"/>
      <c r="N245" s="2499" t="s">
        <v>1516</v>
      </c>
      <c r="O245" s="2499"/>
      <c r="P245" s="755"/>
      <c r="Q245" s="768"/>
    </row>
    <row r="246" spans="1:35" ht="18" customHeight="1">
      <c r="B246" s="744"/>
      <c r="C246" s="744"/>
      <c r="D246" s="744"/>
      <c r="E246" s="744"/>
      <c r="F246" s="744"/>
      <c r="G246" s="744"/>
      <c r="H246" s="744"/>
      <c r="I246" s="744"/>
      <c r="J246" s="744"/>
      <c r="K246" s="744"/>
      <c r="L246" s="744"/>
      <c r="M246" s="744"/>
      <c r="N246" s="756"/>
      <c r="O246" s="756"/>
      <c r="P246" s="755"/>
      <c r="Q246" s="768"/>
    </row>
    <row r="247" spans="1:35" s="691" customFormat="1" ht="18" customHeight="1">
      <c r="A247" s="637" t="s">
        <v>343</v>
      </c>
      <c r="B247" s="637"/>
      <c r="C247" s="637"/>
      <c r="D247" s="692"/>
      <c r="E247" s="692"/>
      <c r="F247" s="692"/>
      <c r="G247" s="692"/>
      <c r="H247" s="692"/>
      <c r="I247" s="692"/>
      <c r="J247" s="692"/>
      <c r="K247" s="692"/>
      <c r="L247" s="692"/>
      <c r="M247" s="692"/>
      <c r="N247" s="692"/>
      <c r="O247" s="692"/>
      <c r="Q247" s="768"/>
      <c r="S247" s="692"/>
      <c r="T247" s="692"/>
      <c r="U247" s="692"/>
      <c r="V247" s="692"/>
      <c r="W247" s="692"/>
      <c r="X247" s="692"/>
      <c r="Y247" s="692"/>
      <c r="Z247" s="692"/>
      <c r="AA247" s="692"/>
      <c r="AB247" s="692"/>
      <c r="AC247" s="692"/>
      <c r="AD247" s="692"/>
      <c r="AE247" s="692"/>
      <c r="AF247" s="692"/>
      <c r="AG247" s="692"/>
      <c r="AH247" s="692"/>
      <c r="AI247" s="692"/>
    </row>
    <row r="248" spans="1:35" s="691" customFormat="1" ht="18" customHeight="1">
      <c r="A248" s="532" t="s">
        <v>344</v>
      </c>
      <c r="B248" s="532"/>
      <c r="C248" s="532"/>
      <c r="D248" s="692"/>
      <c r="E248" s="692"/>
      <c r="F248" s="692"/>
      <c r="G248" s="692"/>
      <c r="H248" s="692"/>
      <c r="I248" s="692"/>
      <c r="J248" s="692"/>
      <c r="K248" s="692"/>
      <c r="L248" s="692"/>
      <c r="M248" s="692"/>
      <c r="N248" s="692"/>
      <c r="O248" s="692"/>
      <c r="Q248" s="768"/>
      <c r="S248" s="692"/>
      <c r="T248" s="692"/>
      <c r="U248" s="692"/>
      <c r="V248" s="692"/>
      <c r="W248" s="692"/>
      <c r="X248" s="692"/>
      <c r="Y248" s="692"/>
      <c r="Z248" s="692"/>
      <c r="AA248" s="692"/>
      <c r="AB248" s="692"/>
      <c r="AC248" s="692"/>
      <c r="AD248" s="692"/>
      <c r="AE248" s="692"/>
      <c r="AF248" s="692"/>
      <c r="AG248" s="692"/>
      <c r="AH248" s="692"/>
      <c r="AI248" s="692"/>
    </row>
    <row r="249" spans="1:35" s="691" customFormat="1" ht="58.15" customHeight="1">
      <c r="A249" s="532" t="s">
        <v>345</v>
      </c>
      <c r="B249" s="532"/>
      <c r="C249" s="532"/>
      <c r="D249" s="638" t="s">
        <v>1517</v>
      </c>
      <c r="E249" s="638" t="s">
        <v>1518</v>
      </c>
      <c r="F249" s="639"/>
      <c r="G249" s="639"/>
      <c r="H249" s="639"/>
      <c r="I249" s="639"/>
      <c r="J249" s="639"/>
      <c r="K249" s="639"/>
      <c r="L249" s="757"/>
      <c r="M249" s="757"/>
      <c r="N249" s="757"/>
      <c r="O249" s="757"/>
      <c r="Q249" s="768"/>
      <c r="S249" s="692"/>
      <c r="T249" s="692"/>
      <c r="U249" s="692"/>
      <c r="V249" s="692"/>
      <c r="W249" s="692"/>
      <c r="X249" s="692"/>
      <c r="Y249" s="692"/>
      <c r="Z249" s="692"/>
      <c r="AA249" s="692"/>
      <c r="AB249" s="692"/>
      <c r="AC249" s="692"/>
      <c r="AD249" s="692"/>
      <c r="AE249" s="692"/>
      <c r="AF249" s="692"/>
      <c r="AG249" s="692"/>
      <c r="AH249" s="692"/>
      <c r="AI249" s="692"/>
    </row>
    <row r="250" spans="1:35" s="691" customFormat="1" ht="26">
      <c r="A250" s="532" t="s">
        <v>346</v>
      </c>
      <c r="B250" s="532"/>
      <c r="C250" s="532"/>
      <c r="D250" s="692"/>
      <c r="E250" s="745" t="s">
        <v>1519</v>
      </c>
      <c r="F250" s="692"/>
      <c r="G250" s="692"/>
      <c r="H250" s="692"/>
      <c r="I250" s="692"/>
      <c r="J250" s="692"/>
      <c r="K250" s="692"/>
      <c r="L250" s="692"/>
      <c r="M250" s="692"/>
      <c r="N250" s="692"/>
      <c r="O250" s="692"/>
      <c r="Q250" s="768"/>
      <c r="S250" s="692"/>
      <c r="T250" s="692"/>
      <c r="U250" s="692"/>
      <c r="V250" s="692"/>
      <c r="W250" s="692"/>
      <c r="X250" s="692"/>
      <c r="Y250" s="692"/>
      <c r="Z250" s="692"/>
      <c r="AA250" s="692"/>
      <c r="AB250" s="692"/>
      <c r="AC250" s="692"/>
      <c r="AD250" s="692"/>
      <c r="AE250" s="692"/>
      <c r="AF250" s="692"/>
      <c r="AG250" s="692"/>
      <c r="AH250" s="692"/>
      <c r="AI250" s="692"/>
    </row>
    <row r="251" spans="1:35" s="691" customFormat="1" ht="18" customHeight="1">
      <c r="A251" s="532" t="s">
        <v>347</v>
      </c>
      <c r="B251" s="532"/>
      <c r="C251" s="532"/>
      <c r="D251" s="692"/>
      <c r="E251" s="692"/>
      <c r="F251" s="692"/>
      <c r="G251" s="692"/>
      <c r="H251" s="692"/>
      <c r="I251" s="692"/>
      <c r="J251" s="692"/>
      <c r="K251" s="692"/>
      <c r="L251" s="692"/>
      <c r="M251" s="692"/>
      <c r="N251" s="692"/>
      <c r="O251" s="692"/>
      <c r="Q251" s="768"/>
      <c r="S251" s="692"/>
      <c r="T251" s="692"/>
      <c r="U251" s="692"/>
      <c r="V251" s="692"/>
      <c r="W251" s="692"/>
      <c r="X251" s="692"/>
      <c r="Y251" s="692"/>
      <c r="Z251" s="692"/>
      <c r="AA251" s="692"/>
      <c r="AB251" s="692"/>
      <c r="AC251" s="692"/>
      <c r="AD251" s="692"/>
      <c r="AE251" s="692"/>
      <c r="AF251" s="692"/>
      <c r="AG251" s="692"/>
      <c r="AH251" s="692"/>
      <c r="AI251" s="692"/>
    </row>
    <row r="252" spans="1:35" s="691" customFormat="1" ht="18" customHeight="1">
      <c r="A252" s="532" t="s">
        <v>348</v>
      </c>
      <c r="B252" s="532"/>
      <c r="C252" s="532"/>
      <c r="D252" s="692"/>
      <c r="E252" s="692"/>
      <c r="F252" s="692"/>
      <c r="G252" s="692"/>
      <c r="H252" s="692"/>
      <c r="I252" s="692"/>
      <c r="J252" s="692"/>
      <c r="K252" s="692"/>
      <c r="L252" s="692"/>
      <c r="M252" s="692"/>
      <c r="N252" s="692"/>
      <c r="O252" s="692"/>
      <c r="Q252" s="768"/>
      <c r="S252" s="692"/>
      <c r="T252" s="692"/>
      <c r="U252" s="692"/>
      <c r="V252" s="692"/>
      <c r="W252" s="692"/>
      <c r="X252" s="692"/>
      <c r="Y252" s="692"/>
      <c r="Z252" s="692"/>
      <c r="AA252" s="692"/>
      <c r="AB252" s="692"/>
      <c r="AC252" s="692"/>
      <c r="AD252" s="692"/>
      <c r="AE252" s="692"/>
      <c r="AF252" s="692"/>
      <c r="AG252" s="692"/>
      <c r="AH252" s="692"/>
      <c r="AI252" s="692"/>
    </row>
    <row r="253" spans="1:35" s="691" customFormat="1" ht="18" customHeight="1">
      <c r="A253" s="532" t="s">
        <v>349</v>
      </c>
      <c r="B253" s="532"/>
      <c r="C253" s="532"/>
      <c r="D253" s="692"/>
      <c r="E253" s="692"/>
      <c r="F253" s="692"/>
      <c r="G253" s="692"/>
      <c r="H253" s="692"/>
      <c r="I253" s="692"/>
      <c r="J253" s="692"/>
      <c r="K253" s="692"/>
      <c r="L253" s="692"/>
      <c r="M253" s="692"/>
      <c r="N253" s="692"/>
      <c r="O253" s="692"/>
      <c r="Q253" s="768"/>
      <c r="S253" s="692"/>
      <c r="T253" s="692"/>
      <c r="U253" s="692"/>
      <c r="V253" s="692"/>
      <c r="W253" s="692"/>
      <c r="X253" s="692"/>
      <c r="Y253" s="692"/>
      <c r="Z253" s="692"/>
      <c r="AA253" s="692"/>
      <c r="AB253" s="692"/>
      <c r="AC253" s="692"/>
      <c r="AD253" s="692"/>
      <c r="AE253" s="692"/>
      <c r="AF253" s="692"/>
      <c r="AG253" s="692"/>
      <c r="AH253" s="692"/>
      <c r="AI253" s="692"/>
    </row>
    <row r="254" spans="1:35" s="691" customFormat="1" ht="18" customHeight="1">
      <c r="A254" s="532" t="s">
        <v>350</v>
      </c>
      <c r="B254" s="532"/>
      <c r="C254" s="532"/>
      <c r="D254" s="692"/>
      <c r="E254" s="692"/>
      <c r="F254" s="692"/>
      <c r="G254" s="692"/>
      <c r="H254" s="692"/>
      <c r="I254" s="692"/>
      <c r="J254" s="692"/>
      <c r="K254" s="692"/>
      <c r="L254" s="692" t="s">
        <v>1520</v>
      </c>
      <c r="M254" s="758">
        <f>N8+N9+N40+N53+N56+N61+N64+N69+N72+N77+N80+N85+N119+N124</f>
        <v>13</v>
      </c>
      <c r="N254" s="692"/>
      <c r="O254" s="692"/>
      <c r="Q254" s="768"/>
      <c r="S254" s="692"/>
      <c r="T254" s="692"/>
      <c r="U254" s="692"/>
      <c r="V254" s="692"/>
      <c r="W254" s="692"/>
      <c r="X254" s="692"/>
      <c r="Y254" s="692"/>
      <c r="Z254" s="692"/>
      <c r="AA254" s="692"/>
      <c r="AB254" s="692"/>
      <c r="AC254" s="692"/>
      <c r="AD254" s="692"/>
      <c r="AE254" s="692"/>
      <c r="AF254" s="692"/>
      <c r="AG254" s="692"/>
      <c r="AH254" s="692"/>
      <c r="AI254" s="692"/>
    </row>
    <row r="255" spans="1:35" s="691" customFormat="1" ht="18" customHeight="1">
      <c r="A255" s="641" t="s">
        <v>351</v>
      </c>
      <c r="B255" s="641"/>
      <c r="C255" s="641"/>
      <c r="D255" s="692"/>
      <c r="E255" s="692"/>
      <c r="F255" s="692"/>
      <c r="G255" s="692"/>
      <c r="H255" s="692"/>
      <c r="I255" s="692"/>
      <c r="J255" s="692"/>
      <c r="K255" s="692"/>
      <c r="L255" s="692" t="s">
        <v>1600</v>
      </c>
      <c r="M255" s="758">
        <f>N10+N37+N41+N52+N55+N60+N63+N68+N71+N76+N79+N84</f>
        <v>10</v>
      </c>
      <c r="N255" s="692"/>
      <c r="O255" s="692"/>
      <c r="Q255" s="768"/>
      <c r="S255" s="692"/>
      <c r="T255" s="692"/>
      <c r="U255" s="692"/>
      <c r="V255" s="692"/>
      <c r="W255" s="692"/>
      <c r="X255" s="692"/>
      <c r="Y255" s="692"/>
      <c r="Z255" s="692"/>
      <c r="AA255" s="692"/>
      <c r="AB255" s="692"/>
      <c r="AC255" s="692"/>
      <c r="AD255" s="692"/>
      <c r="AE255" s="692"/>
      <c r="AF255" s="692"/>
      <c r="AG255" s="692"/>
      <c r="AH255" s="692"/>
      <c r="AI255" s="692"/>
    </row>
    <row r="256" spans="1:35" s="691" customFormat="1" ht="18" customHeight="1">
      <c r="A256" s="641" t="s">
        <v>352</v>
      </c>
      <c r="B256" s="641"/>
      <c r="C256" s="641"/>
      <c r="D256" s="692"/>
      <c r="E256" s="692"/>
      <c r="F256" s="692"/>
      <c r="G256" s="692"/>
      <c r="H256" s="692"/>
      <c r="I256" s="692"/>
      <c r="J256" s="692"/>
      <c r="K256" s="692"/>
      <c r="L256" s="692" t="s">
        <v>1522</v>
      </c>
      <c r="M256" s="758">
        <f>N11+N33+N34+N51+N54+N59+N62+N67+N70+N75+N78+N83+N121</f>
        <v>11</v>
      </c>
      <c r="N256" s="692"/>
      <c r="O256" s="692"/>
      <c r="Q256" s="768"/>
      <c r="S256" s="692"/>
      <c r="T256" s="692"/>
      <c r="U256" s="692"/>
      <c r="V256" s="692"/>
      <c r="W256" s="692"/>
      <c r="X256" s="692"/>
      <c r="Y256" s="692"/>
      <c r="Z256" s="692"/>
      <c r="AA256" s="692"/>
      <c r="AB256" s="692"/>
      <c r="AC256" s="692"/>
      <c r="AD256" s="692"/>
      <c r="AE256" s="692"/>
      <c r="AF256" s="692"/>
      <c r="AG256" s="692"/>
      <c r="AH256" s="692"/>
      <c r="AI256" s="692"/>
    </row>
    <row r="257" spans="1:35" s="691" customFormat="1" ht="18" customHeight="1">
      <c r="A257" s="641" t="s">
        <v>353</v>
      </c>
      <c r="B257" s="641"/>
      <c r="C257" s="641"/>
      <c r="D257" s="692"/>
      <c r="E257" s="692"/>
      <c r="F257" s="692"/>
      <c r="G257" s="692"/>
      <c r="H257" s="692"/>
      <c r="I257" s="692"/>
      <c r="J257" s="692"/>
      <c r="K257" s="692"/>
      <c r="L257" s="692"/>
      <c r="M257" s="692"/>
      <c r="N257" s="692"/>
      <c r="O257" s="692"/>
      <c r="Q257" s="768"/>
      <c r="S257" s="692"/>
      <c r="T257" s="692"/>
      <c r="U257" s="692"/>
      <c r="V257" s="692"/>
      <c r="W257" s="692"/>
      <c r="X257" s="692"/>
      <c r="Y257" s="692"/>
      <c r="Z257" s="692"/>
      <c r="AA257" s="692"/>
      <c r="AB257" s="692"/>
      <c r="AC257" s="692"/>
      <c r="AD257" s="692"/>
      <c r="AE257" s="692"/>
      <c r="AF257" s="692"/>
      <c r="AG257" s="692"/>
      <c r="AH257" s="692"/>
      <c r="AI257" s="692"/>
    </row>
    <row r="258" spans="1:35" s="691" customFormat="1" ht="18" customHeight="1">
      <c r="A258" s="641" t="s">
        <v>354</v>
      </c>
      <c r="B258" s="641"/>
      <c r="C258" s="641"/>
      <c r="D258" s="692"/>
      <c r="E258" s="692"/>
      <c r="F258" s="692"/>
      <c r="G258" s="692"/>
      <c r="H258" s="692"/>
      <c r="I258" s="692"/>
      <c r="J258" s="692"/>
      <c r="K258" s="692"/>
      <c r="L258" s="692"/>
      <c r="M258" s="692"/>
      <c r="N258" s="692"/>
      <c r="O258" s="692"/>
      <c r="Q258" s="768"/>
      <c r="S258" s="692"/>
      <c r="T258" s="692"/>
      <c r="U258" s="692"/>
      <c r="V258" s="692"/>
      <c r="W258" s="692"/>
      <c r="X258" s="692"/>
      <c r="Y258" s="692"/>
      <c r="Z258" s="692"/>
      <c r="AA258" s="692"/>
      <c r="AB258" s="692"/>
      <c r="AC258" s="692"/>
      <c r="AD258" s="692"/>
      <c r="AE258" s="692"/>
      <c r="AF258" s="692"/>
      <c r="AG258" s="692"/>
      <c r="AH258" s="692"/>
      <c r="AI258" s="692"/>
    </row>
    <row r="259" spans="1:35" s="691" customFormat="1" ht="18" customHeight="1">
      <c r="A259" s="532" t="s">
        <v>355</v>
      </c>
      <c r="B259" s="532"/>
      <c r="C259" s="532"/>
      <c r="D259" s="692"/>
      <c r="E259" s="692"/>
      <c r="F259" s="692"/>
      <c r="G259" s="692"/>
      <c r="H259" s="692"/>
      <c r="I259" s="692"/>
      <c r="J259" s="692"/>
      <c r="K259" s="692"/>
      <c r="L259" s="692"/>
      <c r="M259" s="692"/>
      <c r="N259" s="692"/>
      <c r="O259" s="692"/>
      <c r="Q259" s="768"/>
      <c r="S259" s="692"/>
      <c r="T259" s="692"/>
      <c r="U259" s="692"/>
      <c r="V259" s="692"/>
      <c r="W259" s="692"/>
      <c r="X259" s="692"/>
      <c r="Y259" s="692"/>
      <c r="Z259" s="692"/>
      <c r="AA259" s="692"/>
      <c r="AB259" s="692"/>
      <c r="AC259" s="692"/>
      <c r="AD259" s="692"/>
      <c r="AE259" s="692"/>
      <c r="AF259" s="692"/>
      <c r="AG259" s="692"/>
      <c r="AH259" s="692"/>
      <c r="AI259" s="692"/>
    </row>
    <row r="260" spans="1:35" s="691" customFormat="1" ht="18" customHeight="1">
      <c r="A260" s="532"/>
      <c r="B260" s="532"/>
      <c r="C260" s="532"/>
      <c r="D260" s="692"/>
      <c r="E260" s="692"/>
      <c r="F260" s="692"/>
      <c r="G260" s="692"/>
      <c r="H260" s="692"/>
      <c r="I260" s="692"/>
      <c r="J260" s="692"/>
      <c r="K260" s="692"/>
      <c r="L260" s="692"/>
      <c r="M260" s="692"/>
      <c r="N260" s="692"/>
      <c r="O260" s="692"/>
      <c r="Q260" s="768"/>
      <c r="S260" s="692"/>
      <c r="T260" s="692"/>
      <c r="U260" s="692"/>
      <c r="V260" s="692"/>
      <c r="W260" s="692"/>
      <c r="X260" s="692"/>
      <c r="Y260" s="692"/>
      <c r="Z260" s="692"/>
      <c r="AA260" s="692"/>
      <c r="AB260" s="692"/>
      <c r="AC260" s="692"/>
      <c r="AD260" s="692"/>
      <c r="AE260" s="692"/>
      <c r="AF260" s="692"/>
      <c r="AG260" s="692"/>
      <c r="AH260" s="692"/>
      <c r="AI260" s="692"/>
    </row>
    <row r="261" spans="1:35" s="691" customFormat="1" ht="18" customHeight="1">
      <c r="A261" s="532"/>
      <c r="B261" s="532"/>
      <c r="C261" s="532"/>
      <c r="D261" s="692"/>
      <c r="E261" s="692"/>
      <c r="F261" s="692"/>
      <c r="G261" s="692"/>
      <c r="H261" s="692"/>
      <c r="I261" s="692"/>
      <c r="J261" s="692"/>
      <c r="K261" s="692"/>
      <c r="L261" s="692"/>
      <c r="M261" s="692"/>
      <c r="N261" s="692"/>
      <c r="O261" s="692"/>
      <c r="Q261" s="768"/>
      <c r="S261" s="692"/>
      <c r="T261" s="692"/>
      <c r="U261" s="692"/>
      <c r="V261" s="692"/>
      <c r="W261" s="692"/>
      <c r="X261" s="692"/>
      <c r="Y261" s="692"/>
      <c r="Z261" s="692"/>
      <c r="AA261" s="692"/>
      <c r="AB261" s="692"/>
      <c r="AC261" s="692"/>
      <c r="AD261" s="692"/>
      <c r="AE261" s="692"/>
      <c r="AF261" s="692"/>
      <c r="AG261" s="692"/>
      <c r="AH261" s="692"/>
      <c r="AI261" s="692"/>
    </row>
    <row r="262" spans="1:35" s="691" customFormat="1" ht="18" customHeight="1">
      <c r="A262" s="532"/>
      <c r="B262" s="532"/>
      <c r="C262" s="532"/>
      <c r="D262" s="692"/>
      <c r="E262" s="692"/>
      <c r="F262" s="692"/>
      <c r="G262" s="692"/>
      <c r="H262" s="692"/>
      <c r="I262" s="692"/>
      <c r="J262" s="692"/>
      <c r="K262" s="692"/>
      <c r="L262" s="692"/>
      <c r="M262" s="692"/>
      <c r="N262" s="692"/>
      <c r="O262" s="692"/>
      <c r="Q262" s="768"/>
      <c r="S262" s="692"/>
      <c r="T262" s="692"/>
      <c r="U262" s="692"/>
      <c r="V262" s="692"/>
      <c r="W262" s="692"/>
      <c r="X262" s="692"/>
      <c r="Y262" s="692"/>
      <c r="Z262" s="692"/>
      <c r="AA262" s="692"/>
      <c r="AB262" s="692"/>
      <c r="AC262" s="692"/>
      <c r="AD262" s="692"/>
      <c r="AE262" s="692"/>
      <c r="AF262" s="692"/>
      <c r="AG262" s="692"/>
      <c r="AH262" s="692"/>
      <c r="AI262" s="692"/>
    </row>
    <row r="263" spans="1:35" ht="18" customHeight="1">
      <c r="A263" s="532"/>
      <c r="B263" s="532"/>
      <c r="C263" s="532"/>
      <c r="Q263" s="768"/>
    </row>
    <row r="264" spans="1:35" ht="18" customHeight="1">
      <c r="A264" s="532"/>
      <c r="B264" s="532"/>
      <c r="C264" s="532"/>
      <c r="Q264" s="768"/>
    </row>
    <row r="265" spans="1:35" ht="18" customHeight="1">
      <c r="A265" s="532"/>
      <c r="B265" s="532"/>
      <c r="C265" s="532"/>
      <c r="Q265" s="768"/>
    </row>
    <row r="266" spans="1:35" ht="18" customHeight="1">
      <c r="A266" s="532"/>
      <c r="B266" s="532"/>
      <c r="C266" s="532"/>
      <c r="Q266" s="768"/>
    </row>
    <row r="267" spans="1:35" ht="18" customHeight="1">
      <c r="A267" s="532"/>
      <c r="B267" s="532"/>
      <c r="C267" s="532"/>
      <c r="Q267" s="768"/>
    </row>
    <row r="268" spans="1:35" ht="18" customHeight="1">
      <c r="A268" s="532"/>
      <c r="B268" s="532"/>
      <c r="C268" s="532"/>
      <c r="Q268" s="768"/>
    </row>
    <row r="269" spans="1:35" ht="18" customHeight="1">
      <c r="A269" s="532"/>
      <c r="B269" s="532"/>
      <c r="C269" s="532"/>
      <c r="Q269" s="768"/>
    </row>
    <row r="270" spans="1:35" ht="18" customHeight="1">
      <c r="A270" s="532"/>
      <c r="B270" s="532"/>
      <c r="C270" s="532"/>
      <c r="Q270" s="768"/>
    </row>
    <row r="271" spans="1:35" ht="18" customHeight="1">
      <c r="A271" s="532"/>
      <c r="B271" s="532"/>
      <c r="C271" s="532"/>
      <c r="Q271" s="768"/>
    </row>
    <row r="272" spans="1:35" ht="18" customHeight="1">
      <c r="A272" s="532"/>
      <c r="B272" s="532"/>
      <c r="C272" s="532"/>
      <c r="Q272" s="768"/>
    </row>
    <row r="273" spans="1:17" ht="18" customHeight="1">
      <c r="A273" s="532"/>
      <c r="B273" s="532"/>
      <c r="C273" s="532"/>
      <c r="Q273" s="768"/>
    </row>
    <row r="274" spans="1:17" ht="18" customHeight="1">
      <c r="A274" s="532"/>
      <c r="B274" s="532"/>
      <c r="C274" s="532"/>
      <c r="Q274" s="768"/>
    </row>
    <row r="275" spans="1:17" ht="18" customHeight="1">
      <c r="A275" s="532"/>
      <c r="B275" s="532"/>
      <c r="C275" s="532"/>
      <c r="Q275" s="768"/>
    </row>
    <row r="276" spans="1:17" ht="18" customHeight="1">
      <c r="A276" s="532"/>
      <c r="B276" s="532"/>
      <c r="C276" s="532"/>
      <c r="Q276" s="768"/>
    </row>
    <row r="277" spans="1:17" ht="18" customHeight="1">
      <c r="A277" s="532"/>
      <c r="B277" s="532"/>
      <c r="C277" s="532"/>
      <c r="Q277" s="768"/>
    </row>
    <row r="278" spans="1:17" ht="18" customHeight="1">
      <c r="A278" s="532"/>
      <c r="B278" s="532"/>
      <c r="C278" s="532"/>
      <c r="Q278" s="768"/>
    </row>
    <row r="279" spans="1:17" ht="18" customHeight="1">
      <c r="A279" s="532"/>
      <c r="B279" s="532"/>
      <c r="C279" s="532"/>
      <c r="Q279" s="768"/>
    </row>
    <row r="280" spans="1:17" ht="32.25" customHeight="1">
      <c r="A280" s="642"/>
      <c r="B280" s="532"/>
      <c r="C280" s="532"/>
      <c r="Q280" s="768"/>
    </row>
    <row r="281" spans="1:17" ht="18" customHeight="1">
      <c r="A281" s="532"/>
      <c r="B281" s="532"/>
      <c r="C281" s="532"/>
      <c r="Q281" s="768"/>
    </row>
    <row r="282" spans="1:17" ht="18" customHeight="1">
      <c r="A282" s="532"/>
      <c r="B282" s="532"/>
      <c r="C282" s="532"/>
      <c r="Q282" s="768"/>
    </row>
    <row r="283" spans="1:17" ht="18" customHeight="1">
      <c r="A283" s="532"/>
      <c r="B283" s="532"/>
      <c r="C283" s="532"/>
      <c r="Q283" s="768"/>
    </row>
    <row r="284" spans="1:17" ht="18" customHeight="1">
      <c r="A284" s="532"/>
      <c r="B284" s="532"/>
      <c r="C284" s="532"/>
      <c r="Q284" s="768"/>
    </row>
    <row r="285" spans="1:17" ht="18" customHeight="1">
      <c r="A285" s="532"/>
      <c r="B285" s="532"/>
      <c r="C285" s="532"/>
      <c r="Q285" s="768"/>
    </row>
    <row r="286" spans="1:17" ht="18" customHeight="1">
      <c r="A286" s="532"/>
      <c r="B286" s="532"/>
      <c r="C286" s="532"/>
      <c r="Q286" s="768"/>
    </row>
    <row r="287" spans="1:17" ht="18" customHeight="1">
      <c r="Q287" s="768"/>
    </row>
    <row r="288" spans="1:17" ht="18" customHeight="1">
      <c r="Q288" s="768"/>
    </row>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row r="520" ht="18" customHeight="1"/>
    <row r="521" ht="18" customHeight="1"/>
    <row r="522" ht="18" customHeight="1"/>
    <row r="523" ht="18" customHeight="1"/>
    <row r="524" ht="18" customHeight="1"/>
    <row r="525" ht="18" customHeight="1"/>
    <row r="526" ht="18" customHeight="1"/>
    <row r="527" ht="18" customHeight="1"/>
    <row r="528" ht="18" customHeight="1"/>
    <row r="529" ht="18" customHeight="1"/>
    <row r="530" ht="18" customHeight="1"/>
    <row r="531" ht="18" customHeight="1"/>
    <row r="532" ht="18" customHeight="1"/>
    <row r="533" ht="18" customHeight="1"/>
    <row r="534" ht="18" customHeight="1"/>
    <row r="535" ht="18" customHeight="1"/>
    <row r="536" ht="18" customHeight="1"/>
    <row r="537" ht="18" customHeight="1"/>
    <row r="538" ht="18" customHeight="1"/>
    <row r="539" ht="18" customHeight="1"/>
    <row r="540" ht="18" customHeight="1"/>
    <row r="541" ht="18" customHeight="1"/>
    <row r="542" ht="18" customHeight="1"/>
    <row r="543" ht="18" customHeight="1"/>
    <row r="544" ht="18" customHeight="1"/>
    <row r="545" ht="18" customHeight="1"/>
    <row r="546" ht="18" customHeight="1"/>
    <row r="547" ht="18" customHeight="1"/>
    <row r="548" ht="18" customHeight="1"/>
    <row r="549" ht="18" customHeight="1"/>
    <row r="550" ht="18" customHeight="1"/>
    <row r="551" ht="18" customHeight="1"/>
    <row r="552" ht="18" customHeight="1"/>
    <row r="553" ht="18" customHeight="1"/>
    <row r="554" ht="18" customHeight="1"/>
    <row r="555" ht="18" customHeight="1"/>
    <row r="556" ht="18" customHeight="1"/>
    <row r="557" ht="18" customHeight="1"/>
    <row r="558" ht="18" customHeight="1"/>
    <row r="559" ht="18" customHeight="1"/>
    <row r="560" ht="18" customHeight="1"/>
    <row r="561" ht="18" customHeight="1"/>
    <row r="562" ht="18" customHeight="1"/>
    <row r="563" ht="18" customHeight="1"/>
    <row r="564" ht="18" customHeight="1"/>
    <row r="565" ht="18" customHeight="1"/>
    <row r="566" ht="18" customHeight="1"/>
    <row r="567" ht="18" customHeight="1"/>
    <row r="568" ht="18" customHeight="1"/>
    <row r="569" ht="18" customHeight="1"/>
    <row r="570" ht="18" customHeight="1"/>
    <row r="571" ht="18" customHeight="1"/>
    <row r="572" ht="18"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row r="1001" ht="18" customHeight="1"/>
    <row r="1002" ht="18" customHeight="1"/>
    <row r="1003" ht="18" customHeight="1"/>
    <row r="1004" ht="18" customHeight="1"/>
    <row r="1005" ht="18" customHeight="1"/>
    <row r="1006" ht="18" customHeight="1"/>
    <row r="1007" ht="18" customHeight="1"/>
    <row r="1008" ht="18" customHeight="1"/>
    <row r="1009" ht="18" customHeight="1"/>
    <row r="1010" ht="18" customHeight="1"/>
    <row r="1011" ht="18" customHeight="1"/>
    <row r="1012" ht="18" customHeight="1"/>
    <row r="1013" ht="18" customHeight="1"/>
    <row r="1014" ht="18" customHeight="1"/>
    <row r="1015" ht="18" customHeight="1"/>
    <row r="1016" ht="18" customHeight="1"/>
    <row r="1017" ht="18" customHeight="1"/>
    <row r="1018" ht="18" customHeight="1"/>
    <row r="1019" ht="18" customHeight="1"/>
    <row r="1020" ht="18" customHeight="1"/>
    <row r="1021" ht="18" customHeight="1"/>
    <row r="1022" ht="18" customHeight="1"/>
    <row r="1023" ht="18" customHeight="1"/>
    <row r="1024" ht="18" customHeight="1"/>
    <row r="1025" ht="18" customHeight="1"/>
    <row r="1026" ht="18" customHeight="1"/>
    <row r="1027" ht="18" customHeight="1"/>
    <row r="1028" ht="18" customHeight="1"/>
    <row r="1029" ht="18" customHeight="1"/>
    <row r="1030" ht="18" customHeight="1"/>
    <row r="1031" ht="18" customHeight="1"/>
    <row r="1032" ht="18" customHeight="1"/>
    <row r="1033" ht="18" customHeight="1"/>
    <row r="1034" ht="18" customHeight="1"/>
    <row r="1035" ht="18" customHeight="1"/>
    <row r="1036" ht="18" customHeight="1"/>
    <row r="1037" ht="18" customHeight="1"/>
    <row r="1038" ht="18" customHeight="1"/>
    <row r="1039" ht="18" customHeight="1"/>
    <row r="1040" ht="18" customHeight="1"/>
    <row r="1041" ht="18" customHeight="1"/>
    <row r="1042" ht="18" customHeight="1"/>
    <row r="1043" ht="18" customHeight="1"/>
    <row r="1044" ht="18" customHeight="1"/>
    <row r="1045" ht="18" customHeight="1"/>
    <row r="1046" ht="18" customHeight="1"/>
    <row r="1047" ht="18" customHeight="1"/>
    <row r="1048" ht="18" customHeight="1"/>
    <row r="1049" ht="18" customHeight="1"/>
    <row r="1050" ht="18" customHeight="1"/>
    <row r="1051" ht="18" customHeight="1"/>
    <row r="1052" ht="18" customHeight="1"/>
    <row r="1053" ht="18" customHeight="1"/>
    <row r="1054" ht="18" customHeight="1"/>
    <row r="1055" ht="18" customHeight="1"/>
    <row r="1056" ht="18" customHeight="1"/>
    <row r="1057" ht="18" customHeight="1"/>
    <row r="1058" ht="18" customHeight="1"/>
    <row r="1059" ht="18" customHeight="1"/>
    <row r="1060" ht="18" customHeight="1"/>
    <row r="1061" ht="18" customHeight="1"/>
    <row r="1062" ht="18" customHeight="1"/>
    <row r="1063" ht="18" customHeight="1"/>
    <row r="1064" ht="18" customHeight="1"/>
    <row r="1065" ht="18" customHeight="1"/>
    <row r="1066" ht="18" customHeight="1"/>
    <row r="1067" ht="18" customHeight="1"/>
    <row r="1068" ht="18" customHeight="1"/>
    <row r="1069" ht="18" customHeight="1"/>
    <row r="1070" ht="18" customHeight="1"/>
    <row r="1071" ht="18" customHeight="1"/>
    <row r="1072" ht="18" customHeight="1"/>
    <row r="1073" ht="18" customHeight="1"/>
    <row r="1074" ht="18" customHeight="1"/>
    <row r="1075" ht="18" customHeight="1"/>
    <row r="1076" ht="18" customHeight="1"/>
    <row r="1077" ht="18" customHeight="1"/>
    <row r="1078" ht="18" customHeight="1"/>
    <row r="1079" ht="18" customHeight="1"/>
    <row r="1080" ht="18" customHeight="1"/>
    <row r="1081" ht="18" customHeight="1"/>
    <row r="1082" ht="18" customHeight="1"/>
    <row r="1083" ht="18" customHeight="1"/>
    <row r="1084" ht="18" customHeight="1"/>
    <row r="1085" ht="18" customHeight="1"/>
    <row r="1086" ht="18" customHeight="1"/>
    <row r="1087" ht="18" customHeight="1"/>
    <row r="1088" ht="18" customHeight="1"/>
    <row r="1089" ht="18" customHeight="1"/>
    <row r="1090" ht="18" customHeight="1"/>
    <row r="1091" ht="18" customHeight="1"/>
    <row r="1092" ht="18" customHeight="1"/>
    <row r="1093" ht="18" customHeight="1"/>
    <row r="1094" ht="18" customHeight="1"/>
    <row r="1095" ht="18" customHeight="1"/>
    <row r="1096" ht="18" customHeight="1"/>
    <row r="1097" ht="18" customHeight="1"/>
    <row r="1098" ht="18" customHeight="1"/>
    <row r="1099" ht="18" customHeight="1"/>
    <row r="1100" ht="18" customHeight="1"/>
    <row r="1101" ht="18" customHeight="1"/>
    <row r="1102" ht="18" customHeight="1"/>
    <row r="1103" ht="18" customHeight="1"/>
    <row r="1104" ht="18" customHeight="1"/>
    <row r="1105" ht="18" customHeight="1"/>
    <row r="1106" ht="18" customHeight="1"/>
    <row r="1107" ht="18" customHeight="1"/>
    <row r="1108" ht="18" customHeight="1"/>
    <row r="1109" ht="18" customHeight="1"/>
    <row r="1110" ht="18" customHeight="1"/>
    <row r="1111" ht="18" customHeight="1"/>
    <row r="1112" ht="18" customHeight="1"/>
    <row r="1113" ht="18" customHeight="1"/>
    <row r="1114" ht="18" customHeight="1"/>
    <row r="1115" ht="18" customHeight="1"/>
    <row r="1116" ht="18" customHeight="1"/>
    <row r="1117" ht="18" customHeight="1"/>
    <row r="1118" ht="18" customHeight="1"/>
    <row r="1119" ht="18" customHeight="1"/>
    <row r="1120" ht="18" customHeight="1"/>
    <row r="1121" spans="1:19" ht="18" customHeight="1"/>
    <row r="1122" spans="1:19" ht="18" customHeight="1"/>
    <row r="1123" spans="1:19" ht="18" customHeight="1"/>
    <row r="1124" spans="1:19" ht="18" customHeight="1"/>
    <row r="1125" spans="1:19" ht="18" customHeight="1"/>
    <row r="1126" spans="1:19" ht="18" customHeight="1"/>
    <row r="1127" spans="1:19" ht="18" customHeight="1"/>
    <row r="1128" spans="1:19" ht="18" customHeight="1"/>
    <row r="1129" spans="1:19" ht="18" customHeight="1">
      <c r="A1129" s="2605" t="s">
        <v>1276</v>
      </c>
      <c r="B1129" s="2605"/>
      <c r="C1129" s="2605"/>
      <c r="D1129" s="2605"/>
      <c r="E1129" s="2605"/>
      <c r="F1129" s="2605"/>
      <c r="G1129" s="2605"/>
      <c r="H1129" s="2605"/>
      <c r="I1129" s="2605"/>
      <c r="J1129" s="2605"/>
      <c r="K1129" s="2605"/>
      <c r="L1129" s="2605"/>
      <c r="M1129" s="2605"/>
      <c r="N1129" s="2605"/>
      <c r="O1129" s="2605"/>
      <c r="P1129" s="2605"/>
      <c r="Q1129" s="2605"/>
      <c r="R1129" s="2605"/>
      <c r="S1129" s="2605"/>
    </row>
    <row r="1130" spans="1:19" ht="18" customHeight="1"/>
    <row r="1131" spans="1:19" ht="18" customHeight="1"/>
    <row r="1132" spans="1:19" ht="18" customHeight="1"/>
    <row r="1133" spans="1:19" ht="18" customHeight="1"/>
  </sheetData>
  <sheetProtection algorithmName="SHA-512" hashValue="Oh31AXwrT9Pq7qwJZQ4mPb59CQHf8UUo45zTpyyuKqW2JY8COETHaua8Js+Zq4VtA57E8mIvn0iggynDObaDyg==" saltValue="XHQGdCC2vfGgSo2AkxYcCw==" spinCount="100000" sheet="1" objects="1" scenarios="1"/>
  <mergeCells count="20">
    <mergeCell ref="A244:I244"/>
    <mergeCell ref="A245:I245"/>
    <mergeCell ref="N245:O245"/>
    <mergeCell ref="A1129:S1129"/>
    <mergeCell ref="A6:A7"/>
    <mergeCell ref="B6:B7"/>
    <mergeCell ref="C6:C7"/>
    <mergeCell ref="P6:P7"/>
    <mergeCell ref="Q6:Q7"/>
    <mergeCell ref="R6:R7"/>
    <mergeCell ref="A238:C238"/>
    <mergeCell ref="N240:O240"/>
    <mergeCell ref="A241:I241"/>
    <mergeCell ref="A242:I242"/>
    <mergeCell ref="A243:I243"/>
    <mergeCell ref="A2:S2"/>
    <mergeCell ref="N6:O6"/>
    <mergeCell ref="A178:C178"/>
    <mergeCell ref="A236:C236"/>
    <mergeCell ref="A237:C237"/>
  </mergeCells>
  <pageMargins left="0.12" right="0.12" top="0.2" bottom="0.12" header="0.31" footer="0.31"/>
  <pageSetup paperSize="10000" scale="37" fitToHeight="0" orientation="portrait"/>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92D050"/>
    <pageSetUpPr fitToPage="1"/>
  </sheetPr>
  <dimension ref="A2:AI1189"/>
  <sheetViews>
    <sheetView topLeftCell="A292" zoomScale="59" zoomScaleNormal="59" workbookViewId="0">
      <selection activeCell="G72" sqref="A1:S115"/>
    </sheetView>
  </sheetViews>
  <sheetFormatPr defaultColWidth="9.26953125" defaultRowHeight="13"/>
  <cols>
    <col min="1" max="1" width="8.7265625" style="532" customWidth="1"/>
    <col min="2" max="2" width="40.7265625" style="532" hidden="1" customWidth="1"/>
    <col min="3" max="3" width="75.26953125" style="532" customWidth="1"/>
    <col min="4" max="13" width="10.453125" style="532" customWidth="1"/>
    <col min="14" max="14" width="12.54296875" style="532" customWidth="1"/>
    <col min="15" max="15" width="25.7265625" style="532" customWidth="1"/>
    <col min="16" max="16" width="10.54296875" style="531" customWidth="1"/>
    <col min="17" max="17" width="10.54296875" style="533" customWidth="1"/>
    <col min="18" max="18" width="10.54296875" style="531" customWidth="1"/>
    <col min="19" max="19" width="12.54296875" style="532" customWidth="1"/>
    <col min="20" max="20" width="6.7265625" style="532" customWidth="1"/>
    <col min="21" max="21" width="8.7265625" style="532" customWidth="1"/>
    <col min="22" max="22" width="4.26953125" style="532" customWidth="1"/>
    <col min="23" max="32" width="15.54296875" style="532" customWidth="1"/>
    <col min="33" max="16384" width="9.26953125" style="532"/>
  </cols>
  <sheetData>
    <row r="2" spans="1:33" ht="40.15" customHeight="1">
      <c r="A2" s="2564" t="s">
        <v>1601</v>
      </c>
      <c r="B2" s="2564"/>
      <c r="C2" s="2564"/>
      <c r="D2" s="2564"/>
      <c r="E2" s="2564"/>
      <c r="F2" s="2564"/>
      <c r="G2" s="2564"/>
      <c r="H2" s="2564"/>
      <c r="I2" s="2564"/>
      <c r="J2" s="2564"/>
      <c r="K2" s="2564"/>
      <c r="L2" s="2564"/>
      <c r="M2" s="2564"/>
      <c r="N2" s="2564"/>
      <c r="O2" s="2564"/>
      <c r="P2" s="2564"/>
      <c r="Q2" s="2564"/>
      <c r="R2" s="2564"/>
      <c r="S2" s="2564"/>
      <c r="T2" s="556"/>
      <c r="U2" s="534"/>
    </row>
    <row r="3" spans="1:33" ht="25.15" customHeight="1">
      <c r="M3" s="535"/>
      <c r="N3" s="547" t="s">
        <v>1277</v>
      </c>
      <c r="O3" s="2565" t="str">
        <f>LPKK!O4</f>
        <v>RC SAMATA GOWA</v>
      </c>
      <c r="P3" s="2566"/>
      <c r="T3" s="557"/>
      <c r="U3" s="2560" t="s">
        <v>79</v>
      </c>
    </row>
    <row r="4" spans="1:33" ht="25.15" customHeight="1">
      <c r="M4" s="535"/>
      <c r="N4" s="547" t="s">
        <v>1278</v>
      </c>
      <c r="O4" s="2567" t="str">
        <f>LPKK!O5</f>
        <v>8-14 JANUARI 2025</v>
      </c>
      <c r="P4" s="2567"/>
      <c r="T4" s="557"/>
      <c r="U4" s="2560"/>
    </row>
    <row r="5" spans="1:33" ht="25.15" customHeight="1">
      <c r="A5" s="535"/>
      <c r="M5" s="535"/>
      <c r="T5" s="557"/>
      <c r="U5" s="2560"/>
    </row>
    <row r="6" spans="1:33" ht="25.15" customHeight="1">
      <c r="A6" s="2571" t="s">
        <v>65</v>
      </c>
      <c r="B6" s="2594" t="s">
        <v>1279</v>
      </c>
      <c r="C6" s="2575" t="str">
        <f>B6</f>
        <v>PRODUCT</v>
      </c>
      <c r="D6" s="536">
        <f>'LAP. PENJUALAN '!D6</f>
        <v>46030</v>
      </c>
      <c r="E6" s="536">
        <f>'LAP. PENJUALAN '!E6</f>
        <v>46031</v>
      </c>
      <c r="F6" s="536">
        <f>'LAP. PENJUALAN '!F6</f>
        <v>46032</v>
      </c>
      <c r="G6" s="536">
        <f>'LAP. PENJUALAN '!G6</f>
        <v>46033</v>
      </c>
      <c r="H6" s="536">
        <f>'LAP. PENJUALAN '!H6</f>
        <v>46034</v>
      </c>
      <c r="I6" s="536">
        <f>'LAP. PENJUALAN '!I6</f>
        <v>46035</v>
      </c>
      <c r="J6" s="536">
        <f>'LAP. PENJUALAN '!J6</f>
        <v>46036</v>
      </c>
      <c r="K6" s="536">
        <f>'LAP. PENJUALAN '!K6</f>
        <v>0</v>
      </c>
      <c r="L6" s="536">
        <f>'LAP. PENJUALAN '!L6</f>
        <v>0</v>
      </c>
      <c r="M6" s="536">
        <f>'LAP. PENJUALAN '!M6</f>
        <v>0</v>
      </c>
      <c r="N6" s="2568" t="s">
        <v>310</v>
      </c>
      <c r="O6" s="2568"/>
      <c r="P6" s="2577" t="s">
        <v>1154</v>
      </c>
      <c r="Q6" s="2579" t="s">
        <v>1280</v>
      </c>
      <c r="R6" s="2581" t="s">
        <v>1281</v>
      </c>
      <c r="S6" s="558" t="s">
        <v>365</v>
      </c>
      <c r="T6" s="559"/>
      <c r="U6" s="2560"/>
    </row>
    <row r="7" spans="1:33" ht="25.15" customHeight="1">
      <c r="A7" s="2572"/>
      <c r="B7" s="2595"/>
      <c r="C7" s="2596"/>
      <c r="D7" s="537" t="str">
        <f>'LAP. PENJUALAN '!D7</f>
        <v>KAMIS</v>
      </c>
      <c r="E7" s="666" t="str">
        <f>'LAP. PENJUALAN '!E7</f>
        <v>JUMAT</v>
      </c>
      <c r="F7" s="666" t="str">
        <f>'LAP. PENJUALAN '!F7</f>
        <v>SABTU</v>
      </c>
      <c r="G7" s="666" t="str">
        <f>'LAP. PENJUALAN '!G7</f>
        <v>MINGGU</v>
      </c>
      <c r="H7" s="666" t="str">
        <f>'LAP. PENJUALAN '!H7</f>
        <v>SENIN</v>
      </c>
      <c r="I7" s="666" t="str">
        <f>'LAP. PENJUALAN '!I7</f>
        <v>SELASA</v>
      </c>
      <c r="J7" s="666" t="str">
        <f>'LAP. PENJUALAN '!J7</f>
        <v>RABU</v>
      </c>
      <c r="K7" s="666">
        <f>'LAP. PENJUALAN '!K7</f>
        <v>0</v>
      </c>
      <c r="L7" s="666">
        <f>'LAP. PENJUALAN '!L7</f>
        <v>0</v>
      </c>
      <c r="M7" s="666">
        <f>'LAP. PENJUALAN '!M7</f>
        <v>0</v>
      </c>
      <c r="N7" s="668" t="s">
        <v>67</v>
      </c>
      <c r="O7" s="551" t="s">
        <v>415</v>
      </c>
      <c r="P7" s="2578"/>
      <c r="Q7" s="2580"/>
      <c r="R7" s="2582"/>
      <c r="S7" s="560" t="s">
        <v>368</v>
      </c>
      <c r="T7" s="559"/>
      <c r="U7" s="2560"/>
      <c r="W7" s="561"/>
    </row>
    <row r="8" spans="1:33" ht="25.15" customHeight="1">
      <c r="A8" s="539">
        <v>1</v>
      </c>
      <c r="B8" s="540" t="s">
        <v>1282</v>
      </c>
      <c r="C8" s="667" t="s">
        <v>1602</v>
      </c>
      <c r="D8" s="542"/>
      <c r="E8" s="542"/>
      <c r="F8" s="542"/>
      <c r="G8" s="542"/>
      <c r="H8" s="542"/>
      <c r="I8" s="542"/>
      <c r="J8" s="542"/>
      <c r="K8" s="542"/>
      <c r="L8" s="542"/>
      <c r="M8" s="542"/>
      <c r="N8" s="552">
        <f>SUM(D8:M8)</f>
        <v>0</v>
      </c>
      <c r="O8" s="552">
        <f>N8*S8</f>
        <v>0</v>
      </c>
      <c r="P8" s="553" t="e">
        <f>(O8/O296)*100</f>
        <v>#DIV/0!</v>
      </c>
      <c r="Q8" s="562"/>
      <c r="R8" s="553" t="e">
        <f>P8*Q8</f>
        <v>#DIV/0!</v>
      </c>
      <c r="S8" s="564">
        <v>32100</v>
      </c>
      <c r="T8" s="565"/>
      <c r="U8" s="2560"/>
      <c r="W8" s="566">
        <f>D8*S8</f>
        <v>0</v>
      </c>
      <c r="X8" s="566">
        <f>E8*S8</f>
        <v>0</v>
      </c>
      <c r="Y8" s="566">
        <f>F8*S8</f>
        <v>0</v>
      </c>
      <c r="Z8" s="566">
        <f>G8*S8</f>
        <v>0</v>
      </c>
      <c r="AA8" s="566">
        <f>H8*S8</f>
        <v>0</v>
      </c>
      <c r="AB8" s="566">
        <f>I8*S8</f>
        <v>0</v>
      </c>
      <c r="AC8" s="566">
        <f>J8*S8</f>
        <v>0</v>
      </c>
      <c r="AD8" s="566">
        <f>K8*S8</f>
        <v>0</v>
      </c>
      <c r="AE8" s="566">
        <f>L8*S8</f>
        <v>0</v>
      </c>
      <c r="AF8" s="566">
        <f>M8*S8</f>
        <v>0</v>
      </c>
      <c r="AG8" s="573"/>
    </row>
    <row r="9" spans="1:33" ht="25.15" customHeight="1">
      <c r="A9" s="543">
        <v>2</v>
      </c>
      <c r="B9" s="544"/>
      <c r="C9" s="667"/>
      <c r="D9" s="542"/>
      <c r="E9" s="542"/>
      <c r="F9" s="542"/>
      <c r="G9" s="542"/>
      <c r="H9" s="542"/>
      <c r="I9" s="542"/>
      <c r="J9" s="542"/>
      <c r="K9" s="542"/>
      <c r="L9" s="542"/>
      <c r="M9" s="542"/>
      <c r="N9" s="554">
        <f t="shared" ref="N9:N103" si="0">SUM(D9:M9)</f>
        <v>0</v>
      </c>
      <c r="O9" s="554">
        <f t="shared" ref="O9:O103" si="1">N9*S9</f>
        <v>0</v>
      </c>
      <c r="P9" s="555" t="e">
        <f>(O9/O296)*100</f>
        <v>#DIV/0!</v>
      </c>
      <c r="Q9" s="567"/>
      <c r="R9" s="555" t="e">
        <f t="shared" ref="R9:R103" si="2">P9*Q9</f>
        <v>#DIV/0!</v>
      </c>
      <c r="S9" s="564"/>
      <c r="T9" s="565"/>
      <c r="U9" s="2560"/>
      <c r="W9" s="566">
        <f t="shared" ref="W9:W103" si="3">D9*S9</f>
        <v>0</v>
      </c>
      <c r="X9" s="566">
        <f t="shared" ref="X9:X103" si="4">E9*S9</f>
        <v>0</v>
      </c>
      <c r="Y9" s="566">
        <f t="shared" ref="Y9:Y103" si="5">F9*S9</f>
        <v>0</v>
      </c>
      <c r="Z9" s="566">
        <f t="shared" ref="Z9:Z103" si="6">G9*S9</f>
        <v>0</v>
      </c>
      <c r="AA9" s="566">
        <f t="shared" ref="AA9:AA103" si="7">H9*S9</f>
        <v>0</v>
      </c>
      <c r="AB9" s="566">
        <f t="shared" ref="AB9:AB103" si="8">I9*S9</f>
        <v>0</v>
      </c>
      <c r="AC9" s="566">
        <f t="shared" ref="AC9:AC103" si="9">J9*S9</f>
        <v>0</v>
      </c>
      <c r="AD9" s="566">
        <f t="shared" ref="AD9:AD103" si="10">K9*S9</f>
        <v>0</v>
      </c>
      <c r="AE9" s="566">
        <f t="shared" ref="AE9:AE103" si="11">L9*S9</f>
        <v>0</v>
      </c>
      <c r="AF9" s="566">
        <f t="shared" ref="AF9:AF103" si="12">M9*S9</f>
        <v>0</v>
      </c>
      <c r="AG9" s="573"/>
    </row>
    <row r="10" spans="1:33" ht="25.15" customHeight="1">
      <c r="A10" s="543">
        <v>3</v>
      </c>
      <c r="B10" s="544" t="s">
        <v>1284</v>
      </c>
      <c r="C10" s="667"/>
      <c r="D10" s="542"/>
      <c r="E10" s="542"/>
      <c r="F10" s="542"/>
      <c r="G10" s="542"/>
      <c r="H10" s="542"/>
      <c r="I10" s="542"/>
      <c r="J10" s="542"/>
      <c r="K10" s="542"/>
      <c r="L10" s="542"/>
      <c r="M10" s="542"/>
      <c r="N10" s="554">
        <f t="shared" si="0"/>
        <v>0</v>
      </c>
      <c r="O10" s="554">
        <f t="shared" si="1"/>
        <v>0</v>
      </c>
      <c r="P10" s="555" t="e">
        <f>(O10/O296)*100</f>
        <v>#DIV/0!</v>
      </c>
      <c r="Q10" s="567"/>
      <c r="R10" s="555" t="e">
        <f t="shared" si="2"/>
        <v>#DIV/0!</v>
      </c>
      <c r="S10" s="564"/>
      <c r="T10" s="565"/>
      <c r="U10" s="2560"/>
      <c r="W10" s="566">
        <f t="shared" si="3"/>
        <v>0</v>
      </c>
      <c r="X10" s="566">
        <f t="shared" si="4"/>
        <v>0</v>
      </c>
      <c r="Y10" s="566">
        <f t="shared" si="5"/>
        <v>0</v>
      </c>
      <c r="Z10" s="566">
        <f t="shared" si="6"/>
        <v>0</v>
      </c>
      <c r="AA10" s="566">
        <f t="shared" si="7"/>
        <v>0</v>
      </c>
      <c r="AB10" s="566">
        <f t="shared" si="8"/>
        <v>0</v>
      </c>
      <c r="AC10" s="566">
        <f t="shared" si="9"/>
        <v>0</v>
      </c>
      <c r="AD10" s="566">
        <f t="shared" si="10"/>
        <v>0</v>
      </c>
      <c r="AE10" s="566">
        <f t="shared" si="11"/>
        <v>0</v>
      </c>
      <c r="AF10" s="566">
        <f t="shared" si="12"/>
        <v>0</v>
      </c>
      <c r="AG10" s="573"/>
    </row>
    <row r="11" spans="1:33" ht="25.15" customHeight="1">
      <c r="A11" s="543">
        <v>4</v>
      </c>
      <c r="B11" s="544" t="s">
        <v>1285</v>
      </c>
      <c r="C11" s="667"/>
      <c r="D11" s="542"/>
      <c r="E11" s="542"/>
      <c r="F11" s="542"/>
      <c r="G11" s="542"/>
      <c r="H11" s="542"/>
      <c r="I11" s="542"/>
      <c r="J11" s="542"/>
      <c r="K11" s="542"/>
      <c r="L11" s="542"/>
      <c r="M11" s="542"/>
      <c r="N11" s="554">
        <f t="shared" si="0"/>
        <v>0</v>
      </c>
      <c r="O11" s="554">
        <f t="shared" si="1"/>
        <v>0</v>
      </c>
      <c r="P11" s="555" t="e">
        <f>(O11/O296)*100</f>
        <v>#DIV/0!</v>
      </c>
      <c r="Q11" s="567"/>
      <c r="R11" s="555" t="e">
        <f t="shared" si="2"/>
        <v>#DIV/0!</v>
      </c>
      <c r="S11" s="564"/>
      <c r="T11" s="565"/>
      <c r="U11" s="2560"/>
      <c r="W11" s="566">
        <f t="shared" si="3"/>
        <v>0</v>
      </c>
      <c r="X11" s="566">
        <f t="shared" si="4"/>
        <v>0</v>
      </c>
      <c r="Y11" s="566">
        <f t="shared" si="5"/>
        <v>0</v>
      </c>
      <c r="Z11" s="566">
        <f t="shared" si="6"/>
        <v>0</v>
      </c>
      <c r="AA11" s="566">
        <f t="shared" si="7"/>
        <v>0</v>
      </c>
      <c r="AB11" s="566">
        <f t="shared" si="8"/>
        <v>0</v>
      </c>
      <c r="AC11" s="566">
        <f t="shared" si="9"/>
        <v>0</v>
      </c>
      <c r="AD11" s="566">
        <f t="shared" si="10"/>
        <v>0</v>
      </c>
      <c r="AE11" s="566">
        <f t="shared" si="11"/>
        <v>0</v>
      </c>
      <c r="AF11" s="566">
        <f t="shared" si="12"/>
        <v>0</v>
      </c>
      <c r="AG11" s="573"/>
    </row>
    <row r="12" spans="1:33" ht="25.15" customHeight="1">
      <c r="A12" s="543">
        <v>5</v>
      </c>
      <c r="B12" s="544" t="s">
        <v>1286</v>
      </c>
      <c r="C12" s="667"/>
      <c r="D12" s="542"/>
      <c r="E12" s="542"/>
      <c r="F12" s="542"/>
      <c r="G12" s="542"/>
      <c r="H12" s="542"/>
      <c r="I12" s="542"/>
      <c r="J12" s="542"/>
      <c r="K12" s="542"/>
      <c r="L12" s="542"/>
      <c r="M12" s="542"/>
      <c r="N12" s="554">
        <f t="shared" si="0"/>
        <v>0</v>
      </c>
      <c r="O12" s="554">
        <f t="shared" si="1"/>
        <v>0</v>
      </c>
      <c r="P12" s="555" t="e">
        <f>(O12/O296)*100</f>
        <v>#DIV/0!</v>
      </c>
      <c r="Q12" s="567"/>
      <c r="R12" s="555" t="e">
        <f t="shared" si="2"/>
        <v>#DIV/0!</v>
      </c>
      <c r="S12" s="564"/>
      <c r="T12" s="565"/>
      <c r="U12" s="2560"/>
      <c r="W12" s="566">
        <f t="shared" si="3"/>
        <v>0</v>
      </c>
      <c r="X12" s="566">
        <f t="shared" si="4"/>
        <v>0</v>
      </c>
      <c r="Y12" s="566">
        <f t="shared" si="5"/>
        <v>0</v>
      </c>
      <c r="Z12" s="566">
        <f t="shared" si="6"/>
        <v>0</v>
      </c>
      <c r="AA12" s="566">
        <f t="shared" si="7"/>
        <v>0</v>
      </c>
      <c r="AB12" s="566">
        <f t="shared" si="8"/>
        <v>0</v>
      </c>
      <c r="AC12" s="566">
        <f t="shared" si="9"/>
        <v>0</v>
      </c>
      <c r="AD12" s="566">
        <f t="shared" si="10"/>
        <v>0</v>
      </c>
      <c r="AE12" s="566">
        <f t="shared" si="11"/>
        <v>0</v>
      </c>
      <c r="AF12" s="566">
        <f t="shared" si="12"/>
        <v>0</v>
      </c>
      <c r="AG12" s="573"/>
    </row>
    <row r="13" spans="1:33" ht="25.15" customHeight="1">
      <c r="A13" s="543">
        <v>6</v>
      </c>
      <c r="B13" s="544" t="s">
        <v>1287</v>
      </c>
      <c r="C13" s="667"/>
      <c r="D13" s="542"/>
      <c r="E13" s="542"/>
      <c r="F13" s="542"/>
      <c r="G13" s="542"/>
      <c r="H13" s="542"/>
      <c r="I13" s="542"/>
      <c r="J13" s="542"/>
      <c r="K13" s="542"/>
      <c r="L13" s="542"/>
      <c r="M13" s="542"/>
      <c r="N13" s="554">
        <f t="shared" si="0"/>
        <v>0</v>
      </c>
      <c r="O13" s="554">
        <f t="shared" si="1"/>
        <v>0</v>
      </c>
      <c r="P13" s="555" t="e">
        <f>(O13/O296)*100</f>
        <v>#DIV/0!</v>
      </c>
      <c r="Q13" s="567"/>
      <c r="R13" s="555" t="e">
        <f t="shared" si="2"/>
        <v>#DIV/0!</v>
      </c>
      <c r="S13" s="564"/>
      <c r="T13" s="565"/>
      <c r="U13" s="2560"/>
      <c r="W13" s="566">
        <f t="shared" si="3"/>
        <v>0</v>
      </c>
      <c r="X13" s="566">
        <f t="shared" si="4"/>
        <v>0</v>
      </c>
      <c r="Y13" s="566">
        <f t="shared" si="5"/>
        <v>0</v>
      </c>
      <c r="Z13" s="566">
        <f t="shared" si="6"/>
        <v>0</v>
      </c>
      <c r="AA13" s="566">
        <f t="shared" si="7"/>
        <v>0</v>
      </c>
      <c r="AB13" s="566">
        <f t="shared" si="8"/>
        <v>0</v>
      </c>
      <c r="AC13" s="566">
        <f t="shared" si="9"/>
        <v>0</v>
      </c>
      <c r="AD13" s="566">
        <f t="shared" si="10"/>
        <v>0</v>
      </c>
      <c r="AE13" s="566">
        <f t="shared" si="11"/>
        <v>0</v>
      </c>
      <c r="AF13" s="566">
        <f t="shared" si="12"/>
        <v>0</v>
      </c>
      <c r="AG13" s="573"/>
    </row>
    <row r="14" spans="1:33" ht="25.15" customHeight="1">
      <c r="A14" s="543">
        <v>7</v>
      </c>
      <c r="B14" s="544"/>
      <c r="C14" s="667"/>
      <c r="D14" s="542"/>
      <c r="E14" s="542"/>
      <c r="F14" s="542"/>
      <c r="G14" s="542"/>
      <c r="H14" s="542"/>
      <c r="I14" s="542"/>
      <c r="J14" s="542"/>
      <c r="K14" s="542"/>
      <c r="L14" s="542"/>
      <c r="M14" s="542"/>
      <c r="N14" s="554">
        <f t="shared" si="0"/>
        <v>0</v>
      </c>
      <c r="O14" s="554">
        <f t="shared" si="1"/>
        <v>0</v>
      </c>
      <c r="P14" s="555" t="e">
        <f>(O14/O296)*100</f>
        <v>#DIV/0!</v>
      </c>
      <c r="Q14" s="567"/>
      <c r="R14" s="555" t="e">
        <f t="shared" si="2"/>
        <v>#DIV/0!</v>
      </c>
      <c r="S14" s="564"/>
      <c r="T14" s="569"/>
      <c r="U14" s="2560"/>
      <c r="W14" s="566">
        <f t="shared" si="3"/>
        <v>0</v>
      </c>
      <c r="X14" s="566">
        <f t="shared" si="4"/>
        <v>0</v>
      </c>
      <c r="Y14" s="566">
        <f t="shared" si="5"/>
        <v>0</v>
      </c>
      <c r="Z14" s="566">
        <f t="shared" si="6"/>
        <v>0</v>
      </c>
      <c r="AA14" s="566">
        <f t="shared" si="7"/>
        <v>0</v>
      </c>
      <c r="AB14" s="566">
        <f t="shared" si="8"/>
        <v>0</v>
      </c>
      <c r="AC14" s="566">
        <f t="shared" si="9"/>
        <v>0</v>
      </c>
      <c r="AD14" s="566">
        <f t="shared" si="10"/>
        <v>0</v>
      </c>
      <c r="AE14" s="566">
        <f t="shared" si="11"/>
        <v>0</v>
      </c>
      <c r="AF14" s="566">
        <f t="shared" si="12"/>
        <v>0</v>
      </c>
      <c r="AG14" s="573"/>
    </row>
    <row r="15" spans="1:33" ht="25.15" customHeight="1">
      <c r="A15" s="543">
        <v>8</v>
      </c>
      <c r="B15" s="544" t="s">
        <v>1288</v>
      </c>
      <c r="C15" s="667"/>
      <c r="D15" s="542"/>
      <c r="E15" s="542"/>
      <c r="F15" s="542"/>
      <c r="G15" s="542"/>
      <c r="H15" s="542"/>
      <c r="I15" s="542"/>
      <c r="J15" s="542"/>
      <c r="K15" s="542"/>
      <c r="L15" s="542"/>
      <c r="M15" s="542"/>
      <c r="N15" s="554">
        <f t="shared" si="0"/>
        <v>0</v>
      </c>
      <c r="O15" s="554">
        <f t="shared" si="1"/>
        <v>0</v>
      </c>
      <c r="P15" s="555" t="e">
        <f>(O15/O296)*100</f>
        <v>#DIV/0!</v>
      </c>
      <c r="Q15" s="567"/>
      <c r="R15" s="555" t="e">
        <f t="shared" si="2"/>
        <v>#DIV/0!</v>
      </c>
      <c r="S15" s="564"/>
      <c r="T15" s="569"/>
      <c r="U15" s="2560"/>
      <c r="W15" s="566">
        <f t="shared" si="3"/>
        <v>0</v>
      </c>
      <c r="X15" s="566">
        <f t="shared" si="4"/>
        <v>0</v>
      </c>
      <c r="Y15" s="566">
        <f t="shared" si="5"/>
        <v>0</v>
      </c>
      <c r="Z15" s="566">
        <f t="shared" si="6"/>
        <v>0</v>
      </c>
      <c r="AA15" s="566">
        <f t="shared" si="7"/>
        <v>0</v>
      </c>
      <c r="AB15" s="566">
        <f t="shared" si="8"/>
        <v>0</v>
      </c>
      <c r="AC15" s="566">
        <f t="shared" si="9"/>
        <v>0</v>
      </c>
      <c r="AD15" s="566">
        <f t="shared" si="10"/>
        <v>0</v>
      </c>
      <c r="AE15" s="566">
        <f t="shared" si="11"/>
        <v>0</v>
      </c>
      <c r="AF15" s="566">
        <f t="shared" si="12"/>
        <v>0</v>
      </c>
      <c r="AG15" s="573"/>
    </row>
    <row r="16" spans="1:33" ht="25.15" customHeight="1">
      <c r="A16" s="543">
        <v>9</v>
      </c>
      <c r="B16" s="544" t="s">
        <v>1289</v>
      </c>
      <c r="C16" s="667"/>
      <c r="D16" s="542"/>
      <c r="E16" s="542"/>
      <c r="F16" s="542"/>
      <c r="G16" s="542"/>
      <c r="H16" s="542"/>
      <c r="I16" s="542"/>
      <c r="J16" s="542"/>
      <c r="K16" s="542"/>
      <c r="L16" s="542"/>
      <c r="M16" s="542"/>
      <c r="N16" s="554">
        <f t="shared" si="0"/>
        <v>0</v>
      </c>
      <c r="O16" s="554">
        <f t="shared" si="1"/>
        <v>0</v>
      </c>
      <c r="P16" s="555" t="e">
        <f>(O16/O296)*100</f>
        <v>#DIV/0!</v>
      </c>
      <c r="Q16" s="567"/>
      <c r="R16" s="555" t="e">
        <f t="shared" si="2"/>
        <v>#DIV/0!</v>
      </c>
      <c r="S16" s="564"/>
      <c r="T16" s="569"/>
      <c r="U16" s="2560"/>
      <c r="W16" s="566">
        <f t="shared" si="3"/>
        <v>0</v>
      </c>
      <c r="X16" s="566">
        <f t="shared" si="4"/>
        <v>0</v>
      </c>
      <c r="Y16" s="566">
        <f t="shared" si="5"/>
        <v>0</v>
      </c>
      <c r="Z16" s="566">
        <f t="shared" si="6"/>
        <v>0</v>
      </c>
      <c r="AA16" s="566">
        <f t="shared" si="7"/>
        <v>0</v>
      </c>
      <c r="AB16" s="566">
        <f t="shared" si="8"/>
        <v>0</v>
      </c>
      <c r="AC16" s="566">
        <f t="shared" si="9"/>
        <v>0</v>
      </c>
      <c r="AD16" s="566">
        <f t="shared" si="10"/>
        <v>0</v>
      </c>
      <c r="AE16" s="566">
        <f t="shared" si="11"/>
        <v>0</v>
      </c>
      <c r="AF16" s="566">
        <f t="shared" si="12"/>
        <v>0</v>
      </c>
      <c r="AG16" s="573"/>
    </row>
    <row r="17" spans="1:33" ht="25.15" customHeight="1">
      <c r="A17" s="543">
        <v>10</v>
      </c>
      <c r="B17" s="544" t="s">
        <v>1290</v>
      </c>
      <c r="C17" s="667"/>
      <c r="D17" s="542"/>
      <c r="E17" s="542"/>
      <c r="F17" s="542"/>
      <c r="G17" s="542"/>
      <c r="H17" s="542"/>
      <c r="I17" s="542"/>
      <c r="J17" s="542"/>
      <c r="K17" s="542"/>
      <c r="L17" s="542"/>
      <c r="M17" s="542"/>
      <c r="N17" s="554">
        <f t="shared" si="0"/>
        <v>0</v>
      </c>
      <c r="O17" s="554">
        <f t="shared" si="1"/>
        <v>0</v>
      </c>
      <c r="P17" s="555" t="e">
        <f>(O17/O296)*100</f>
        <v>#DIV/0!</v>
      </c>
      <c r="Q17" s="567"/>
      <c r="R17" s="555" t="e">
        <f t="shared" si="2"/>
        <v>#DIV/0!</v>
      </c>
      <c r="S17" s="564"/>
      <c r="T17" s="569"/>
      <c r="U17" s="2560"/>
      <c r="W17" s="566">
        <f t="shared" si="3"/>
        <v>0</v>
      </c>
      <c r="X17" s="566">
        <f t="shared" si="4"/>
        <v>0</v>
      </c>
      <c r="Y17" s="566">
        <f t="shared" si="5"/>
        <v>0</v>
      </c>
      <c r="Z17" s="566">
        <f t="shared" si="6"/>
        <v>0</v>
      </c>
      <c r="AA17" s="566">
        <f t="shared" si="7"/>
        <v>0</v>
      </c>
      <c r="AB17" s="566">
        <f t="shared" si="8"/>
        <v>0</v>
      </c>
      <c r="AC17" s="566">
        <f t="shared" si="9"/>
        <v>0</v>
      </c>
      <c r="AD17" s="566">
        <f t="shared" si="10"/>
        <v>0</v>
      </c>
      <c r="AE17" s="566">
        <f t="shared" si="11"/>
        <v>0</v>
      </c>
      <c r="AF17" s="566">
        <f t="shared" si="12"/>
        <v>0</v>
      </c>
      <c r="AG17" s="573"/>
    </row>
    <row r="18" spans="1:33" ht="25.15" customHeight="1">
      <c r="A18" s="543">
        <v>11</v>
      </c>
      <c r="B18" s="544" t="s">
        <v>1291</v>
      </c>
      <c r="C18" s="667"/>
      <c r="D18" s="542"/>
      <c r="E18" s="542"/>
      <c r="F18" s="542"/>
      <c r="G18" s="542"/>
      <c r="H18" s="542"/>
      <c r="I18" s="542"/>
      <c r="J18" s="542"/>
      <c r="K18" s="542"/>
      <c r="L18" s="542"/>
      <c r="M18" s="542"/>
      <c r="N18" s="554">
        <f t="shared" si="0"/>
        <v>0</v>
      </c>
      <c r="O18" s="554">
        <f t="shared" si="1"/>
        <v>0</v>
      </c>
      <c r="P18" s="555" t="e">
        <f>(O18/O296)*100</f>
        <v>#DIV/0!</v>
      </c>
      <c r="Q18" s="567"/>
      <c r="R18" s="555" t="e">
        <f t="shared" si="2"/>
        <v>#DIV/0!</v>
      </c>
      <c r="S18" s="564"/>
      <c r="T18" s="569"/>
      <c r="U18" s="2560"/>
      <c r="W18" s="566">
        <f t="shared" si="3"/>
        <v>0</v>
      </c>
      <c r="X18" s="566">
        <f t="shared" si="4"/>
        <v>0</v>
      </c>
      <c r="Y18" s="566">
        <f t="shared" si="5"/>
        <v>0</v>
      </c>
      <c r="Z18" s="566">
        <f t="shared" si="6"/>
        <v>0</v>
      </c>
      <c r="AA18" s="566">
        <f t="shared" si="7"/>
        <v>0</v>
      </c>
      <c r="AB18" s="566">
        <f t="shared" si="8"/>
        <v>0</v>
      </c>
      <c r="AC18" s="566">
        <f t="shared" si="9"/>
        <v>0</v>
      </c>
      <c r="AD18" s="566">
        <f t="shared" si="10"/>
        <v>0</v>
      </c>
      <c r="AE18" s="566">
        <f t="shared" si="11"/>
        <v>0</v>
      </c>
      <c r="AF18" s="566">
        <f t="shared" si="12"/>
        <v>0</v>
      </c>
      <c r="AG18" s="573"/>
    </row>
    <row r="19" spans="1:33" ht="25.15" customHeight="1">
      <c r="A19" s="543">
        <v>12</v>
      </c>
      <c r="B19" s="544" t="s">
        <v>1292</v>
      </c>
      <c r="C19" s="667"/>
      <c r="D19" s="542"/>
      <c r="E19" s="542"/>
      <c r="F19" s="542"/>
      <c r="G19" s="542"/>
      <c r="H19" s="542"/>
      <c r="I19" s="542"/>
      <c r="J19" s="542"/>
      <c r="K19" s="542"/>
      <c r="L19" s="542"/>
      <c r="M19" s="542"/>
      <c r="N19" s="554">
        <f t="shared" si="0"/>
        <v>0</v>
      </c>
      <c r="O19" s="554">
        <f t="shared" si="1"/>
        <v>0</v>
      </c>
      <c r="P19" s="555" t="e">
        <f>(O19/O296)*100</f>
        <v>#DIV/0!</v>
      </c>
      <c r="Q19" s="567"/>
      <c r="R19" s="555" t="e">
        <f t="shared" si="2"/>
        <v>#DIV/0!</v>
      </c>
      <c r="S19" s="564"/>
      <c r="T19" s="569"/>
      <c r="U19" s="2560"/>
      <c r="W19" s="566">
        <f t="shared" si="3"/>
        <v>0</v>
      </c>
      <c r="X19" s="566">
        <f t="shared" si="4"/>
        <v>0</v>
      </c>
      <c r="Y19" s="566">
        <f t="shared" si="5"/>
        <v>0</v>
      </c>
      <c r="Z19" s="566">
        <f t="shared" si="6"/>
        <v>0</v>
      </c>
      <c r="AA19" s="566">
        <f t="shared" si="7"/>
        <v>0</v>
      </c>
      <c r="AB19" s="566">
        <f t="shared" si="8"/>
        <v>0</v>
      </c>
      <c r="AC19" s="566">
        <f t="shared" si="9"/>
        <v>0</v>
      </c>
      <c r="AD19" s="566">
        <f t="shared" si="10"/>
        <v>0</v>
      </c>
      <c r="AE19" s="566">
        <f t="shared" si="11"/>
        <v>0</v>
      </c>
      <c r="AF19" s="566">
        <f t="shared" si="12"/>
        <v>0</v>
      </c>
      <c r="AG19" s="573"/>
    </row>
    <row r="20" spans="1:33" ht="25.15" customHeight="1">
      <c r="A20" s="543">
        <v>13</v>
      </c>
      <c r="B20" s="544" t="s">
        <v>1293</v>
      </c>
      <c r="C20" s="667"/>
      <c r="D20" s="542"/>
      <c r="E20" s="542"/>
      <c r="F20" s="542"/>
      <c r="G20" s="542"/>
      <c r="H20" s="542"/>
      <c r="I20" s="542"/>
      <c r="J20" s="542"/>
      <c r="K20" s="542"/>
      <c r="L20" s="542"/>
      <c r="M20" s="542"/>
      <c r="N20" s="554">
        <f t="shared" si="0"/>
        <v>0</v>
      </c>
      <c r="O20" s="554">
        <f t="shared" si="1"/>
        <v>0</v>
      </c>
      <c r="P20" s="555" t="e">
        <f>(O20/O296)*100</f>
        <v>#DIV/0!</v>
      </c>
      <c r="Q20" s="567"/>
      <c r="R20" s="555" t="e">
        <f t="shared" si="2"/>
        <v>#DIV/0!</v>
      </c>
      <c r="S20" s="564"/>
      <c r="T20" s="569"/>
      <c r="U20" s="2560"/>
      <c r="W20" s="566">
        <f t="shared" si="3"/>
        <v>0</v>
      </c>
      <c r="X20" s="566">
        <f t="shared" si="4"/>
        <v>0</v>
      </c>
      <c r="Y20" s="566">
        <f t="shared" si="5"/>
        <v>0</v>
      </c>
      <c r="Z20" s="566">
        <f t="shared" si="6"/>
        <v>0</v>
      </c>
      <c r="AA20" s="566">
        <f t="shared" si="7"/>
        <v>0</v>
      </c>
      <c r="AB20" s="566">
        <f t="shared" si="8"/>
        <v>0</v>
      </c>
      <c r="AC20" s="566">
        <f t="shared" si="9"/>
        <v>0</v>
      </c>
      <c r="AD20" s="566">
        <f t="shared" si="10"/>
        <v>0</v>
      </c>
      <c r="AE20" s="566">
        <f t="shared" si="11"/>
        <v>0</v>
      </c>
      <c r="AF20" s="566">
        <f t="shared" si="12"/>
        <v>0</v>
      </c>
      <c r="AG20" s="573"/>
    </row>
    <row r="21" spans="1:33" ht="25.15" customHeight="1">
      <c r="A21" s="543">
        <v>14</v>
      </c>
      <c r="B21" s="544" t="s">
        <v>1524</v>
      </c>
      <c r="C21" s="667"/>
      <c r="D21" s="542"/>
      <c r="E21" s="542"/>
      <c r="F21" s="542"/>
      <c r="G21" s="542"/>
      <c r="H21" s="542"/>
      <c r="I21" s="542"/>
      <c r="J21" s="542"/>
      <c r="K21" s="542"/>
      <c r="L21" s="542"/>
      <c r="M21" s="542"/>
      <c r="N21" s="554">
        <f t="shared" si="0"/>
        <v>0</v>
      </c>
      <c r="O21" s="554">
        <f t="shared" si="1"/>
        <v>0</v>
      </c>
      <c r="P21" s="555" t="e">
        <f>(O21/O296)*100</f>
        <v>#DIV/0!</v>
      </c>
      <c r="Q21" s="570"/>
      <c r="R21" s="555" t="e">
        <f t="shared" si="2"/>
        <v>#DIV/0!</v>
      </c>
      <c r="S21" s="564"/>
      <c r="T21" s="569"/>
      <c r="U21" s="2560"/>
      <c r="W21" s="566">
        <f t="shared" si="3"/>
        <v>0</v>
      </c>
      <c r="X21" s="566">
        <f t="shared" si="4"/>
        <v>0</v>
      </c>
      <c r="Y21" s="566">
        <f t="shared" si="5"/>
        <v>0</v>
      </c>
      <c r="Z21" s="566">
        <f t="shared" si="6"/>
        <v>0</v>
      </c>
      <c r="AA21" s="566">
        <f t="shared" si="7"/>
        <v>0</v>
      </c>
      <c r="AB21" s="566">
        <f t="shared" si="8"/>
        <v>0</v>
      </c>
      <c r="AC21" s="566">
        <f t="shared" si="9"/>
        <v>0</v>
      </c>
      <c r="AD21" s="566">
        <f t="shared" si="10"/>
        <v>0</v>
      </c>
      <c r="AE21" s="566">
        <f t="shared" si="11"/>
        <v>0</v>
      </c>
      <c r="AF21" s="566">
        <f t="shared" si="12"/>
        <v>0</v>
      </c>
      <c r="AG21" s="573"/>
    </row>
    <row r="22" spans="1:33" ht="25.15" customHeight="1">
      <c r="A22" s="543">
        <v>15</v>
      </c>
      <c r="B22" s="544" t="s">
        <v>1525</v>
      </c>
      <c r="C22" s="667"/>
      <c r="D22" s="542"/>
      <c r="E22" s="542"/>
      <c r="F22" s="542"/>
      <c r="G22" s="542"/>
      <c r="H22" s="542"/>
      <c r="I22" s="542"/>
      <c r="J22" s="542"/>
      <c r="K22" s="542"/>
      <c r="L22" s="542"/>
      <c r="M22" s="542"/>
      <c r="N22" s="554">
        <f t="shared" si="0"/>
        <v>0</v>
      </c>
      <c r="O22" s="554">
        <f t="shared" si="1"/>
        <v>0</v>
      </c>
      <c r="P22" s="555" t="e">
        <f>(O22/O296)*100</f>
        <v>#DIV/0!</v>
      </c>
      <c r="Q22" s="570"/>
      <c r="R22" s="555" t="e">
        <f t="shared" si="2"/>
        <v>#DIV/0!</v>
      </c>
      <c r="S22" s="564"/>
      <c r="T22" s="569"/>
      <c r="U22" s="2560"/>
      <c r="W22" s="566">
        <f t="shared" si="3"/>
        <v>0</v>
      </c>
      <c r="X22" s="566">
        <f t="shared" si="4"/>
        <v>0</v>
      </c>
      <c r="Y22" s="566">
        <f t="shared" si="5"/>
        <v>0</v>
      </c>
      <c r="Z22" s="566">
        <f t="shared" si="6"/>
        <v>0</v>
      </c>
      <c r="AA22" s="566">
        <f t="shared" si="7"/>
        <v>0</v>
      </c>
      <c r="AB22" s="566">
        <f t="shared" si="8"/>
        <v>0</v>
      </c>
      <c r="AC22" s="566">
        <f t="shared" si="9"/>
        <v>0</v>
      </c>
      <c r="AD22" s="566">
        <f t="shared" si="10"/>
        <v>0</v>
      </c>
      <c r="AE22" s="566">
        <f t="shared" si="11"/>
        <v>0</v>
      </c>
      <c r="AF22" s="566">
        <f t="shared" si="12"/>
        <v>0</v>
      </c>
      <c r="AG22" s="573"/>
    </row>
    <row r="23" spans="1:33" ht="25.15" customHeight="1">
      <c r="A23" s="543">
        <v>16</v>
      </c>
      <c r="B23" s="544"/>
      <c r="C23" s="667"/>
      <c r="D23" s="542"/>
      <c r="E23" s="542"/>
      <c r="F23" s="542"/>
      <c r="G23" s="542"/>
      <c r="H23" s="542"/>
      <c r="I23" s="542"/>
      <c r="J23" s="542"/>
      <c r="K23" s="542"/>
      <c r="L23" s="542"/>
      <c r="M23" s="542"/>
      <c r="N23" s="554">
        <f t="shared" si="0"/>
        <v>0</v>
      </c>
      <c r="O23" s="554">
        <f t="shared" si="1"/>
        <v>0</v>
      </c>
      <c r="P23" s="555" t="e">
        <f>(O23/O296)*100</f>
        <v>#DIV/0!</v>
      </c>
      <c r="Q23" s="570"/>
      <c r="R23" s="555" t="e">
        <f t="shared" si="2"/>
        <v>#DIV/0!</v>
      </c>
      <c r="S23" s="564"/>
      <c r="T23" s="565"/>
      <c r="U23" s="2560"/>
      <c r="V23" s="571"/>
      <c r="W23" s="566">
        <f t="shared" si="3"/>
        <v>0</v>
      </c>
      <c r="X23" s="566">
        <f t="shared" si="4"/>
        <v>0</v>
      </c>
      <c r="Y23" s="566">
        <f t="shared" si="5"/>
        <v>0</v>
      </c>
      <c r="Z23" s="566">
        <f t="shared" si="6"/>
        <v>0</v>
      </c>
      <c r="AA23" s="566">
        <f t="shared" si="7"/>
        <v>0</v>
      </c>
      <c r="AB23" s="566">
        <f t="shared" si="8"/>
        <v>0</v>
      </c>
      <c r="AC23" s="566">
        <f t="shared" si="9"/>
        <v>0</v>
      </c>
      <c r="AD23" s="566">
        <f t="shared" si="10"/>
        <v>0</v>
      </c>
      <c r="AE23" s="566">
        <f t="shared" si="11"/>
        <v>0</v>
      </c>
      <c r="AF23" s="566">
        <f t="shared" si="12"/>
        <v>0</v>
      </c>
      <c r="AG23" s="573"/>
    </row>
    <row r="24" spans="1:33" ht="25.15" customHeight="1">
      <c r="A24" s="543">
        <v>17</v>
      </c>
      <c r="B24" s="544" t="s">
        <v>1603</v>
      </c>
      <c r="C24" s="667"/>
      <c r="D24" s="542"/>
      <c r="E24" s="542"/>
      <c r="F24" s="542"/>
      <c r="G24" s="542"/>
      <c r="H24" s="542"/>
      <c r="I24" s="542"/>
      <c r="J24" s="542"/>
      <c r="K24" s="542"/>
      <c r="L24" s="542"/>
      <c r="M24" s="542"/>
      <c r="N24" s="554">
        <f t="shared" ref="N24" si="13">SUM(D24:M24)</f>
        <v>0</v>
      </c>
      <c r="O24" s="554">
        <f t="shared" ref="O24" si="14">N24*S24</f>
        <v>0</v>
      </c>
      <c r="P24" s="555" t="e">
        <f>(O24/O296)*100</f>
        <v>#DIV/0!</v>
      </c>
      <c r="Q24" s="570"/>
      <c r="R24" s="555" t="e">
        <f t="shared" ref="R24" si="15">P24*Q24</f>
        <v>#DIV/0!</v>
      </c>
      <c r="S24" s="564"/>
      <c r="T24" s="565"/>
      <c r="U24" s="2560"/>
      <c r="V24" s="571"/>
      <c r="W24" s="566">
        <f t="shared" ref="W24" si="16">D24*S24</f>
        <v>0</v>
      </c>
      <c r="X24" s="566">
        <f t="shared" ref="X24" si="17">E24*S24</f>
        <v>0</v>
      </c>
      <c r="Y24" s="566">
        <f t="shared" ref="Y24" si="18">F24*S24</f>
        <v>0</v>
      </c>
      <c r="Z24" s="566">
        <f t="shared" ref="Z24" si="19">G24*S24</f>
        <v>0</v>
      </c>
      <c r="AA24" s="566">
        <f t="shared" ref="AA24" si="20">H24*S24</f>
        <v>0</v>
      </c>
      <c r="AB24" s="566">
        <f t="shared" ref="AB24" si="21">I24*S24</f>
        <v>0</v>
      </c>
      <c r="AC24" s="566">
        <f t="shared" ref="AC24" si="22">J24*S24</f>
        <v>0</v>
      </c>
      <c r="AD24" s="566">
        <f t="shared" ref="AD24" si="23">K24*S24</f>
        <v>0</v>
      </c>
      <c r="AE24" s="566">
        <f t="shared" ref="AE24" si="24">L24*S24</f>
        <v>0</v>
      </c>
      <c r="AF24" s="566">
        <f t="shared" ref="AF24" si="25">M24*S24</f>
        <v>0</v>
      </c>
      <c r="AG24" s="573"/>
    </row>
    <row r="25" spans="1:33" ht="25.15" customHeight="1">
      <c r="A25" s="543">
        <v>18</v>
      </c>
      <c r="B25" s="544" t="s">
        <v>1604</v>
      </c>
      <c r="C25" s="667"/>
      <c r="D25" s="542"/>
      <c r="E25" s="542"/>
      <c r="F25" s="542"/>
      <c r="G25" s="542"/>
      <c r="H25" s="542"/>
      <c r="I25" s="542"/>
      <c r="J25" s="542"/>
      <c r="K25" s="542"/>
      <c r="L25" s="542"/>
      <c r="M25" s="542"/>
      <c r="N25" s="554">
        <f t="shared" ref="N25:N32" si="26">SUM(D25:M25)</f>
        <v>0</v>
      </c>
      <c r="O25" s="554">
        <f t="shared" ref="O25:O32" si="27">N25*S25</f>
        <v>0</v>
      </c>
      <c r="P25" s="555" t="e">
        <f>(O25/O296)*100</f>
        <v>#DIV/0!</v>
      </c>
      <c r="Q25" s="570"/>
      <c r="R25" s="555" t="e">
        <f t="shared" ref="R25:R32" si="28">P25*Q25</f>
        <v>#DIV/0!</v>
      </c>
      <c r="S25" s="564"/>
      <c r="T25" s="565"/>
      <c r="U25" s="2560"/>
      <c r="V25" s="571"/>
      <c r="W25" s="566">
        <f t="shared" ref="W25:W32" si="29">D25*S25</f>
        <v>0</v>
      </c>
      <c r="X25" s="566">
        <f t="shared" ref="X25:X32" si="30">E25*S25</f>
        <v>0</v>
      </c>
      <c r="Y25" s="566">
        <f t="shared" ref="Y25:Y32" si="31">F25*S25</f>
        <v>0</v>
      </c>
      <c r="Z25" s="566">
        <f t="shared" ref="Z25:Z32" si="32">G25*S25</f>
        <v>0</v>
      </c>
      <c r="AA25" s="566">
        <f t="shared" ref="AA25:AA32" si="33">H25*S25</f>
        <v>0</v>
      </c>
      <c r="AB25" s="566">
        <f t="shared" ref="AB25:AB32" si="34">I25*S25</f>
        <v>0</v>
      </c>
      <c r="AC25" s="566">
        <f t="shared" ref="AC25:AC32" si="35">J25*S25</f>
        <v>0</v>
      </c>
      <c r="AD25" s="566">
        <f t="shared" ref="AD25:AD32" si="36">K25*S25</f>
        <v>0</v>
      </c>
      <c r="AE25" s="566">
        <f t="shared" ref="AE25:AE32" si="37">L25*S25</f>
        <v>0</v>
      </c>
      <c r="AF25" s="566">
        <f t="shared" ref="AF25:AF32" si="38">M25*S25</f>
        <v>0</v>
      </c>
      <c r="AG25" s="573"/>
    </row>
    <row r="26" spans="1:33" ht="25.15" customHeight="1">
      <c r="A26" s="543">
        <v>19</v>
      </c>
      <c r="B26" s="544" t="s">
        <v>1605</v>
      </c>
      <c r="C26" s="667"/>
      <c r="D26" s="542"/>
      <c r="E26" s="542"/>
      <c r="F26" s="542"/>
      <c r="G26" s="542"/>
      <c r="H26" s="542"/>
      <c r="I26" s="542"/>
      <c r="J26" s="542"/>
      <c r="K26" s="542"/>
      <c r="L26" s="542"/>
      <c r="M26" s="542"/>
      <c r="N26" s="554">
        <f t="shared" si="26"/>
        <v>0</v>
      </c>
      <c r="O26" s="554">
        <f t="shared" si="27"/>
        <v>0</v>
      </c>
      <c r="P26" s="555" t="e">
        <f>(O26/O296)*100</f>
        <v>#DIV/0!</v>
      </c>
      <c r="Q26" s="570"/>
      <c r="R26" s="555" t="e">
        <f t="shared" si="28"/>
        <v>#DIV/0!</v>
      </c>
      <c r="S26" s="564"/>
      <c r="T26" s="565"/>
      <c r="U26" s="2560"/>
      <c r="V26" s="571"/>
      <c r="W26" s="566">
        <f t="shared" si="29"/>
        <v>0</v>
      </c>
      <c r="X26" s="566">
        <f t="shared" si="30"/>
        <v>0</v>
      </c>
      <c r="Y26" s="566">
        <f t="shared" si="31"/>
        <v>0</v>
      </c>
      <c r="Z26" s="566">
        <f t="shared" si="32"/>
        <v>0</v>
      </c>
      <c r="AA26" s="566">
        <f t="shared" si="33"/>
        <v>0</v>
      </c>
      <c r="AB26" s="566">
        <f t="shared" si="34"/>
        <v>0</v>
      </c>
      <c r="AC26" s="566">
        <f t="shared" si="35"/>
        <v>0</v>
      </c>
      <c r="AD26" s="566">
        <f t="shared" si="36"/>
        <v>0</v>
      </c>
      <c r="AE26" s="566">
        <f t="shared" si="37"/>
        <v>0</v>
      </c>
      <c r="AF26" s="566">
        <f t="shared" si="38"/>
        <v>0</v>
      </c>
      <c r="AG26" s="573"/>
    </row>
    <row r="27" spans="1:33" ht="25.15" customHeight="1">
      <c r="A27" s="543">
        <v>20</v>
      </c>
      <c r="B27" s="544" t="s">
        <v>1606</v>
      </c>
      <c r="C27" s="667"/>
      <c r="D27" s="542"/>
      <c r="E27" s="542"/>
      <c r="F27" s="542"/>
      <c r="G27" s="542"/>
      <c r="H27" s="542"/>
      <c r="I27" s="542"/>
      <c r="J27" s="542"/>
      <c r="K27" s="542"/>
      <c r="L27" s="542"/>
      <c r="M27" s="542"/>
      <c r="N27" s="554">
        <f t="shared" si="26"/>
        <v>0</v>
      </c>
      <c r="O27" s="554">
        <f t="shared" si="27"/>
        <v>0</v>
      </c>
      <c r="P27" s="555" t="e">
        <f>(O27/O296)*100</f>
        <v>#DIV/0!</v>
      </c>
      <c r="Q27" s="570"/>
      <c r="R27" s="555" t="e">
        <f t="shared" si="28"/>
        <v>#DIV/0!</v>
      </c>
      <c r="S27" s="564"/>
      <c r="T27" s="565"/>
      <c r="U27" s="2560"/>
      <c r="V27" s="571"/>
      <c r="W27" s="566">
        <f t="shared" si="29"/>
        <v>0</v>
      </c>
      <c r="X27" s="566">
        <f t="shared" si="30"/>
        <v>0</v>
      </c>
      <c r="Y27" s="566">
        <f t="shared" si="31"/>
        <v>0</v>
      </c>
      <c r="Z27" s="566">
        <f t="shared" si="32"/>
        <v>0</v>
      </c>
      <c r="AA27" s="566">
        <f t="shared" si="33"/>
        <v>0</v>
      </c>
      <c r="AB27" s="566">
        <f t="shared" si="34"/>
        <v>0</v>
      </c>
      <c r="AC27" s="566">
        <f t="shared" si="35"/>
        <v>0</v>
      </c>
      <c r="AD27" s="566">
        <f t="shared" si="36"/>
        <v>0</v>
      </c>
      <c r="AE27" s="566">
        <f t="shared" si="37"/>
        <v>0</v>
      </c>
      <c r="AF27" s="566">
        <f t="shared" si="38"/>
        <v>0</v>
      </c>
      <c r="AG27" s="573"/>
    </row>
    <row r="28" spans="1:33" ht="25.15" customHeight="1">
      <c r="A28" s="543">
        <v>21</v>
      </c>
      <c r="B28" s="544" t="s">
        <v>1607</v>
      </c>
      <c r="C28" s="667"/>
      <c r="D28" s="542"/>
      <c r="E28" s="542"/>
      <c r="F28" s="542"/>
      <c r="G28" s="542"/>
      <c r="H28" s="542"/>
      <c r="I28" s="542"/>
      <c r="J28" s="542"/>
      <c r="K28" s="542"/>
      <c r="L28" s="542"/>
      <c r="M28" s="542"/>
      <c r="N28" s="554">
        <f t="shared" si="26"/>
        <v>0</v>
      </c>
      <c r="O28" s="554">
        <f t="shared" si="27"/>
        <v>0</v>
      </c>
      <c r="P28" s="555" t="e">
        <f>(O28/O296)*100</f>
        <v>#DIV/0!</v>
      </c>
      <c r="Q28" s="570"/>
      <c r="R28" s="555" t="e">
        <f t="shared" si="28"/>
        <v>#DIV/0!</v>
      </c>
      <c r="S28" s="564"/>
      <c r="T28" s="565"/>
      <c r="U28" s="2560"/>
      <c r="V28" s="571"/>
      <c r="W28" s="566">
        <f t="shared" si="29"/>
        <v>0</v>
      </c>
      <c r="X28" s="566">
        <f t="shared" si="30"/>
        <v>0</v>
      </c>
      <c r="Y28" s="566">
        <f t="shared" si="31"/>
        <v>0</v>
      </c>
      <c r="Z28" s="566">
        <f t="shared" si="32"/>
        <v>0</v>
      </c>
      <c r="AA28" s="566">
        <f t="shared" si="33"/>
        <v>0</v>
      </c>
      <c r="AB28" s="566">
        <f t="shared" si="34"/>
        <v>0</v>
      </c>
      <c r="AC28" s="566">
        <f t="shared" si="35"/>
        <v>0</v>
      </c>
      <c r="AD28" s="566">
        <f t="shared" si="36"/>
        <v>0</v>
      </c>
      <c r="AE28" s="566">
        <f t="shared" si="37"/>
        <v>0</v>
      </c>
      <c r="AF28" s="566">
        <f t="shared" si="38"/>
        <v>0</v>
      </c>
      <c r="AG28" s="573"/>
    </row>
    <row r="29" spans="1:33" ht="25.15" customHeight="1">
      <c r="A29" s="543">
        <v>22</v>
      </c>
      <c r="B29" s="544" t="s">
        <v>1608</v>
      </c>
      <c r="C29" s="667"/>
      <c r="D29" s="542"/>
      <c r="E29" s="542"/>
      <c r="F29" s="542"/>
      <c r="G29" s="542"/>
      <c r="H29" s="542"/>
      <c r="I29" s="542"/>
      <c r="J29" s="542"/>
      <c r="K29" s="542"/>
      <c r="L29" s="542"/>
      <c r="M29" s="542"/>
      <c r="N29" s="554">
        <f t="shared" si="26"/>
        <v>0</v>
      </c>
      <c r="O29" s="554">
        <f t="shared" si="27"/>
        <v>0</v>
      </c>
      <c r="P29" s="555" t="e">
        <f>(O29/O296)*100</f>
        <v>#DIV/0!</v>
      </c>
      <c r="Q29" s="570"/>
      <c r="R29" s="555" t="e">
        <f t="shared" si="28"/>
        <v>#DIV/0!</v>
      </c>
      <c r="S29" s="564"/>
      <c r="T29" s="565"/>
      <c r="U29" s="2560"/>
      <c r="V29" s="571"/>
      <c r="W29" s="566">
        <f t="shared" si="29"/>
        <v>0</v>
      </c>
      <c r="X29" s="566">
        <f t="shared" si="30"/>
        <v>0</v>
      </c>
      <c r="Y29" s="566">
        <f t="shared" si="31"/>
        <v>0</v>
      </c>
      <c r="Z29" s="566">
        <f t="shared" si="32"/>
        <v>0</v>
      </c>
      <c r="AA29" s="566">
        <f t="shared" si="33"/>
        <v>0</v>
      </c>
      <c r="AB29" s="566">
        <f t="shared" si="34"/>
        <v>0</v>
      </c>
      <c r="AC29" s="566">
        <f t="shared" si="35"/>
        <v>0</v>
      </c>
      <c r="AD29" s="566">
        <f t="shared" si="36"/>
        <v>0</v>
      </c>
      <c r="AE29" s="566">
        <f t="shared" si="37"/>
        <v>0</v>
      </c>
      <c r="AF29" s="566">
        <f t="shared" si="38"/>
        <v>0</v>
      </c>
      <c r="AG29" s="573"/>
    </row>
    <row r="30" spans="1:33" ht="25.15" customHeight="1">
      <c r="A30" s="543">
        <v>23</v>
      </c>
      <c r="B30" s="544" t="s">
        <v>1609</v>
      </c>
      <c r="C30" s="667"/>
      <c r="D30" s="542"/>
      <c r="E30" s="542"/>
      <c r="F30" s="542"/>
      <c r="G30" s="542"/>
      <c r="H30" s="542"/>
      <c r="I30" s="542"/>
      <c r="J30" s="542"/>
      <c r="K30" s="542"/>
      <c r="L30" s="542"/>
      <c r="M30" s="542"/>
      <c r="N30" s="554">
        <f t="shared" si="26"/>
        <v>0</v>
      </c>
      <c r="O30" s="554">
        <f t="shared" si="27"/>
        <v>0</v>
      </c>
      <c r="P30" s="555" t="e">
        <f>(O30/O296)*100</f>
        <v>#DIV/0!</v>
      </c>
      <c r="Q30" s="570"/>
      <c r="R30" s="555" t="e">
        <f t="shared" si="28"/>
        <v>#DIV/0!</v>
      </c>
      <c r="S30" s="564"/>
      <c r="T30" s="565"/>
      <c r="U30" s="2560"/>
      <c r="V30" s="571"/>
      <c r="W30" s="566">
        <f t="shared" si="29"/>
        <v>0</v>
      </c>
      <c r="X30" s="566">
        <f t="shared" si="30"/>
        <v>0</v>
      </c>
      <c r="Y30" s="566">
        <f t="shared" si="31"/>
        <v>0</v>
      </c>
      <c r="Z30" s="566">
        <f t="shared" si="32"/>
        <v>0</v>
      </c>
      <c r="AA30" s="566">
        <f t="shared" si="33"/>
        <v>0</v>
      </c>
      <c r="AB30" s="566">
        <f t="shared" si="34"/>
        <v>0</v>
      </c>
      <c r="AC30" s="566">
        <f t="shared" si="35"/>
        <v>0</v>
      </c>
      <c r="AD30" s="566">
        <f t="shared" si="36"/>
        <v>0</v>
      </c>
      <c r="AE30" s="566">
        <f t="shared" si="37"/>
        <v>0</v>
      </c>
      <c r="AF30" s="566">
        <f t="shared" si="38"/>
        <v>0</v>
      </c>
      <c r="AG30" s="573"/>
    </row>
    <row r="31" spans="1:33" ht="25.15" customHeight="1">
      <c r="A31" s="543">
        <v>24</v>
      </c>
      <c r="B31" s="544" t="s">
        <v>1610</v>
      </c>
      <c r="C31" s="667"/>
      <c r="D31" s="542"/>
      <c r="E31" s="542"/>
      <c r="F31" s="542"/>
      <c r="G31" s="542"/>
      <c r="H31" s="542"/>
      <c r="I31" s="542"/>
      <c r="J31" s="542"/>
      <c r="K31" s="542"/>
      <c r="L31" s="542"/>
      <c r="M31" s="542"/>
      <c r="N31" s="554">
        <f t="shared" si="26"/>
        <v>0</v>
      </c>
      <c r="O31" s="554">
        <f t="shared" si="27"/>
        <v>0</v>
      </c>
      <c r="P31" s="555" t="e">
        <f>(O31/O296)*100</f>
        <v>#DIV/0!</v>
      </c>
      <c r="Q31" s="570"/>
      <c r="R31" s="555" t="e">
        <f t="shared" si="28"/>
        <v>#DIV/0!</v>
      </c>
      <c r="S31" s="564"/>
      <c r="T31" s="565"/>
      <c r="U31" s="2560"/>
      <c r="V31" s="571"/>
      <c r="W31" s="566">
        <f t="shared" si="29"/>
        <v>0</v>
      </c>
      <c r="X31" s="566">
        <f t="shared" si="30"/>
        <v>0</v>
      </c>
      <c r="Y31" s="566">
        <f t="shared" si="31"/>
        <v>0</v>
      </c>
      <c r="Z31" s="566">
        <f t="shared" si="32"/>
        <v>0</v>
      </c>
      <c r="AA31" s="566">
        <f t="shared" si="33"/>
        <v>0</v>
      </c>
      <c r="AB31" s="566">
        <f t="shared" si="34"/>
        <v>0</v>
      </c>
      <c r="AC31" s="566">
        <f t="shared" si="35"/>
        <v>0</v>
      </c>
      <c r="AD31" s="566">
        <f t="shared" si="36"/>
        <v>0</v>
      </c>
      <c r="AE31" s="566">
        <f t="shared" si="37"/>
        <v>0</v>
      </c>
      <c r="AF31" s="566">
        <f t="shared" si="38"/>
        <v>0</v>
      </c>
      <c r="AG31" s="573"/>
    </row>
    <row r="32" spans="1:33" ht="25.15" customHeight="1">
      <c r="A32" s="543">
        <v>25</v>
      </c>
      <c r="B32" s="544"/>
      <c r="C32" s="667"/>
      <c r="D32" s="542"/>
      <c r="E32" s="542"/>
      <c r="F32" s="542"/>
      <c r="G32" s="542"/>
      <c r="H32" s="542"/>
      <c r="I32" s="542"/>
      <c r="J32" s="542"/>
      <c r="K32" s="542"/>
      <c r="L32" s="542"/>
      <c r="M32" s="542"/>
      <c r="N32" s="554">
        <f t="shared" si="26"/>
        <v>0</v>
      </c>
      <c r="O32" s="554">
        <f t="shared" si="27"/>
        <v>0</v>
      </c>
      <c r="P32" s="555" t="e">
        <f>(O32/O296)*100</f>
        <v>#DIV/0!</v>
      </c>
      <c r="Q32" s="570"/>
      <c r="R32" s="555" t="e">
        <f t="shared" si="28"/>
        <v>#DIV/0!</v>
      </c>
      <c r="S32" s="564"/>
      <c r="T32" s="565"/>
      <c r="U32" s="2560"/>
      <c r="V32" s="571"/>
      <c r="W32" s="566">
        <f t="shared" si="29"/>
        <v>0</v>
      </c>
      <c r="X32" s="566">
        <f t="shared" si="30"/>
        <v>0</v>
      </c>
      <c r="Y32" s="566">
        <f t="shared" si="31"/>
        <v>0</v>
      </c>
      <c r="Z32" s="566">
        <f t="shared" si="32"/>
        <v>0</v>
      </c>
      <c r="AA32" s="566">
        <f t="shared" si="33"/>
        <v>0</v>
      </c>
      <c r="AB32" s="566">
        <f t="shared" si="34"/>
        <v>0</v>
      </c>
      <c r="AC32" s="566">
        <f t="shared" si="35"/>
        <v>0</v>
      </c>
      <c r="AD32" s="566">
        <f t="shared" si="36"/>
        <v>0</v>
      </c>
      <c r="AE32" s="566">
        <f t="shared" si="37"/>
        <v>0</v>
      </c>
      <c r="AF32" s="566">
        <f t="shared" si="38"/>
        <v>0</v>
      </c>
      <c r="AG32" s="573"/>
    </row>
    <row r="33" spans="1:33" ht="25.15" customHeight="1">
      <c r="A33" s="543">
        <v>26</v>
      </c>
      <c r="B33" s="544" t="s">
        <v>1611</v>
      </c>
      <c r="C33" s="667"/>
      <c r="D33" s="542"/>
      <c r="E33" s="542"/>
      <c r="F33" s="542"/>
      <c r="G33" s="542"/>
      <c r="H33" s="542"/>
      <c r="I33" s="542"/>
      <c r="J33" s="542"/>
      <c r="K33" s="542"/>
      <c r="L33" s="542"/>
      <c r="M33" s="542"/>
      <c r="N33" s="554">
        <f t="shared" ref="N33" si="39">SUM(D33:M33)</f>
        <v>0</v>
      </c>
      <c r="O33" s="554">
        <f t="shared" ref="O33" si="40">N33*S33</f>
        <v>0</v>
      </c>
      <c r="P33" s="555" t="e">
        <f>(O33/O296)*100</f>
        <v>#DIV/0!</v>
      </c>
      <c r="Q33" s="570"/>
      <c r="R33" s="555" t="e">
        <f t="shared" ref="R33" si="41">P33*Q33</f>
        <v>#DIV/0!</v>
      </c>
      <c r="S33" s="564"/>
      <c r="T33" s="565"/>
      <c r="U33" s="2560"/>
      <c r="V33" s="571"/>
      <c r="W33" s="566">
        <f t="shared" ref="W33" si="42">D33*S33</f>
        <v>0</v>
      </c>
      <c r="X33" s="566">
        <f t="shared" ref="X33" si="43">E33*S33</f>
        <v>0</v>
      </c>
      <c r="Y33" s="566">
        <f t="shared" ref="Y33" si="44">F33*S33</f>
        <v>0</v>
      </c>
      <c r="Z33" s="566">
        <f t="shared" ref="Z33" si="45">G33*S33</f>
        <v>0</v>
      </c>
      <c r="AA33" s="566">
        <f t="shared" ref="AA33" si="46">H33*S33</f>
        <v>0</v>
      </c>
      <c r="AB33" s="566">
        <f t="shared" ref="AB33" si="47">I33*S33</f>
        <v>0</v>
      </c>
      <c r="AC33" s="566">
        <f t="shared" ref="AC33" si="48">J33*S33</f>
        <v>0</v>
      </c>
      <c r="AD33" s="566">
        <f t="shared" ref="AD33" si="49">K33*S33</f>
        <v>0</v>
      </c>
      <c r="AE33" s="566">
        <f t="shared" ref="AE33" si="50">L33*S33</f>
        <v>0</v>
      </c>
      <c r="AF33" s="566">
        <f t="shared" ref="AF33" si="51">M33*S33</f>
        <v>0</v>
      </c>
      <c r="AG33" s="573"/>
    </row>
    <row r="34" spans="1:33" ht="25.15" customHeight="1">
      <c r="A34" s="543">
        <v>27</v>
      </c>
      <c r="B34" s="544" t="s">
        <v>1612</v>
      </c>
      <c r="C34" s="667"/>
      <c r="D34" s="542"/>
      <c r="E34" s="542"/>
      <c r="F34" s="542"/>
      <c r="G34" s="542"/>
      <c r="H34" s="542"/>
      <c r="I34" s="542"/>
      <c r="J34" s="542"/>
      <c r="K34" s="542"/>
      <c r="L34" s="542"/>
      <c r="M34" s="542"/>
      <c r="N34" s="554">
        <f t="shared" si="0"/>
        <v>0</v>
      </c>
      <c r="O34" s="554">
        <f t="shared" si="1"/>
        <v>0</v>
      </c>
      <c r="P34" s="555" t="e">
        <f>(O34/O296)*100</f>
        <v>#DIV/0!</v>
      </c>
      <c r="Q34" s="570"/>
      <c r="R34" s="555" t="e">
        <f t="shared" si="2"/>
        <v>#DIV/0!</v>
      </c>
      <c r="S34" s="564"/>
      <c r="T34" s="565"/>
      <c r="U34" s="2560"/>
      <c r="V34" s="571"/>
      <c r="W34" s="566">
        <f t="shared" si="3"/>
        <v>0</v>
      </c>
      <c r="X34" s="566">
        <f t="shared" si="4"/>
        <v>0</v>
      </c>
      <c r="Y34" s="566">
        <f t="shared" si="5"/>
        <v>0</v>
      </c>
      <c r="Z34" s="566">
        <f t="shared" si="6"/>
        <v>0</v>
      </c>
      <c r="AA34" s="566">
        <f t="shared" si="7"/>
        <v>0</v>
      </c>
      <c r="AB34" s="566">
        <f t="shared" si="8"/>
        <v>0</v>
      </c>
      <c r="AC34" s="566">
        <f t="shared" si="9"/>
        <v>0</v>
      </c>
      <c r="AD34" s="566">
        <f t="shared" si="10"/>
        <v>0</v>
      </c>
      <c r="AE34" s="566">
        <f t="shared" si="11"/>
        <v>0</v>
      </c>
      <c r="AF34" s="566">
        <f t="shared" si="12"/>
        <v>0</v>
      </c>
      <c r="AG34" s="573"/>
    </row>
    <row r="35" spans="1:33" ht="25.15" customHeight="1">
      <c r="A35" s="543">
        <v>28</v>
      </c>
      <c r="B35" s="544" t="s">
        <v>1613</v>
      </c>
      <c r="C35" s="667"/>
      <c r="D35" s="542"/>
      <c r="E35" s="542"/>
      <c r="F35" s="542"/>
      <c r="G35" s="542"/>
      <c r="H35" s="542"/>
      <c r="I35" s="542"/>
      <c r="J35" s="542"/>
      <c r="K35" s="542"/>
      <c r="L35" s="542"/>
      <c r="M35" s="542"/>
      <c r="N35" s="554">
        <f t="shared" si="0"/>
        <v>0</v>
      </c>
      <c r="O35" s="554">
        <f t="shared" si="1"/>
        <v>0</v>
      </c>
      <c r="P35" s="555" t="e">
        <f>(O35/O296)*100</f>
        <v>#DIV/0!</v>
      </c>
      <c r="Q35" s="570"/>
      <c r="R35" s="555" t="e">
        <f t="shared" si="2"/>
        <v>#DIV/0!</v>
      </c>
      <c r="S35" s="564"/>
      <c r="T35" s="565"/>
      <c r="U35" s="2560"/>
      <c r="V35" s="571"/>
      <c r="W35" s="566">
        <f t="shared" si="3"/>
        <v>0</v>
      </c>
      <c r="X35" s="566">
        <f t="shared" si="4"/>
        <v>0</v>
      </c>
      <c r="Y35" s="566">
        <f t="shared" si="5"/>
        <v>0</v>
      </c>
      <c r="Z35" s="566">
        <f t="shared" si="6"/>
        <v>0</v>
      </c>
      <c r="AA35" s="566">
        <f t="shared" si="7"/>
        <v>0</v>
      </c>
      <c r="AB35" s="566">
        <f t="shared" si="8"/>
        <v>0</v>
      </c>
      <c r="AC35" s="566">
        <f t="shared" si="9"/>
        <v>0</v>
      </c>
      <c r="AD35" s="566">
        <f t="shared" si="10"/>
        <v>0</v>
      </c>
      <c r="AE35" s="566">
        <f t="shared" si="11"/>
        <v>0</v>
      </c>
      <c r="AF35" s="566">
        <f t="shared" si="12"/>
        <v>0</v>
      </c>
      <c r="AG35" s="573"/>
    </row>
    <row r="36" spans="1:33" ht="25.15" customHeight="1">
      <c r="A36" s="543">
        <v>29</v>
      </c>
      <c r="B36" s="544" t="s">
        <v>1614</v>
      </c>
      <c r="C36" s="667"/>
      <c r="D36" s="542"/>
      <c r="E36" s="542"/>
      <c r="F36" s="542"/>
      <c r="G36" s="542"/>
      <c r="H36" s="542"/>
      <c r="I36" s="542"/>
      <c r="J36" s="542"/>
      <c r="K36" s="542"/>
      <c r="L36" s="542"/>
      <c r="M36" s="542"/>
      <c r="N36" s="554">
        <f t="shared" si="0"/>
        <v>0</v>
      </c>
      <c r="O36" s="554">
        <f t="shared" si="1"/>
        <v>0</v>
      </c>
      <c r="P36" s="555" t="e">
        <f>(O36/O296)*100</f>
        <v>#DIV/0!</v>
      </c>
      <c r="Q36" s="570"/>
      <c r="R36" s="555" t="e">
        <f t="shared" si="2"/>
        <v>#DIV/0!</v>
      </c>
      <c r="S36" s="564"/>
      <c r="T36" s="565"/>
      <c r="U36" s="2560"/>
      <c r="V36" s="571"/>
      <c r="W36" s="566">
        <f t="shared" si="3"/>
        <v>0</v>
      </c>
      <c r="X36" s="566">
        <f t="shared" si="4"/>
        <v>0</v>
      </c>
      <c r="Y36" s="566">
        <f t="shared" si="5"/>
        <v>0</v>
      </c>
      <c r="Z36" s="566">
        <f t="shared" si="6"/>
        <v>0</v>
      </c>
      <c r="AA36" s="566">
        <f t="shared" si="7"/>
        <v>0</v>
      </c>
      <c r="AB36" s="566">
        <f t="shared" si="8"/>
        <v>0</v>
      </c>
      <c r="AC36" s="566">
        <f t="shared" si="9"/>
        <v>0</v>
      </c>
      <c r="AD36" s="566">
        <f t="shared" si="10"/>
        <v>0</v>
      </c>
      <c r="AE36" s="566">
        <f t="shared" si="11"/>
        <v>0</v>
      </c>
      <c r="AF36" s="566">
        <f t="shared" si="12"/>
        <v>0</v>
      </c>
      <c r="AG36" s="573"/>
    </row>
    <row r="37" spans="1:33" ht="25.15" customHeight="1">
      <c r="A37" s="543">
        <v>30</v>
      </c>
      <c r="B37" s="544" t="s">
        <v>1615</v>
      </c>
      <c r="C37" s="667"/>
      <c r="D37" s="542"/>
      <c r="E37" s="542"/>
      <c r="F37" s="542"/>
      <c r="G37" s="542"/>
      <c r="H37" s="542"/>
      <c r="I37" s="542"/>
      <c r="J37" s="542"/>
      <c r="K37" s="542"/>
      <c r="L37" s="542"/>
      <c r="M37" s="542"/>
      <c r="N37" s="554">
        <f t="shared" si="0"/>
        <v>0</v>
      </c>
      <c r="O37" s="554">
        <f t="shared" si="1"/>
        <v>0</v>
      </c>
      <c r="P37" s="555" t="e">
        <f>(O37/O296)*100</f>
        <v>#DIV/0!</v>
      </c>
      <c r="Q37" s="570"/>
      <c r="R37" s="555" t="e">
        <f t="shared" si="2"/>
        <v>#DIV/0!</v>
      </c>
      <c r="S37" s="564"/>
      <c r="T37" s="565"/>
      <c r="U37" s="2560"/>
      <c r="V37" s="571"/>
      <c r="W37" s="566">
        <f t="shared" si="3"/>
        <v>0</v>
      </c>
      <c r="X37" s="566">
        <f t="shared" si="4"/>
        <v>0</v>
      </c>
      <c r="Y37" s="566">
        <f t="shared" si="5"/>
        <v>0</v>
      </c>
      <c r="Z37" s="566">
        <f t="shared" si="6"/>
        <v>0</v>
      </c>
      <c r="AA37" s="566">
        <f t="shared" si="7"/>
        <v>0</v>
      </c>
      <c r="AB37" s="566">
        <f t="shared" si="8"/>
        <v>0</v>
      </c>
      <c r="AC37" s="566">
        <f t="shared" si="9"/>
        <v>0</v>
      </c>
      <c r="AD37" s="566">
        <f t="shared" si="10"/>
        <v>0</v>
      </c>
      <c r="AE37" s="566">
        <f t="shared" si="11"/>
        <v>0</v>
      </c>
      <c r="AF37" s="566">
        <f t="shared" si="12"/>
        <v>0</v>
      </c>
      <c r="AG37" s="573"/>
    </row>
    <row r="38" spans="1:33" ht="25.15" customHeight="1">
      <c r="A38" s="543">
        <v>31</v>
      </c>
      <c r="B38" s="544" t="s">
        <v>1616</v>
      </c>
      <c r="C38" s="667"/>
      <c r="D38" s="542"/>
      <c r="E38" s="542"/>
      <c r="F38" s="542"/>
      <c r="G38" s="542"/>
      <c r="H38" s="542"/>
      <c r="I38" s="542"/>
      <c r="J38" s="542"/>
      <c r="K38" s="542"/>
      <c r="L38" s="542"/>
      <c r="M38" s="542"/>
      <c r="N38" s="554">
        <f t="shared" si="0"/>
        <v>0</v>
      </c>
      <c r="O38" s="554">
        <f t="shared" si="1"/>
        <v>0</v>
      </c>
      <c r="P38" s="555" t="e">
        <f>(O38/O296)*100</f>
        <v>#DIV/0!</v>
      </c>
      <c r="Q38" s="570"/>
      <c r="R38" s="555" t="e">
        <f t="shared" si="2"/>
        <v>#DIV/0!</v>
      </c>
      <c r="S38" s="564"/>
      <c r="T38" s="565"/>
      <c r="U38" s="2560"/>
      <c r="V38" s="571"/>
      <c r="W38" s="566">
        <f t="shared" si="3"/>
        <v>0</v>
      </c>
      <c r="X38" s="566">
        <f t="shared" si="4"/>
        <v>0</v>
      </c>
      <c r="Y38" s="566">
        <f t="shared" si="5"/>
        <v>0</v>
      </c>
      <c r="Z38" s="566">
        <f t="shared" si="6"/>
        <v>0</v>
      </c>
      <c r="AA38" s="566">
        <f t="shared" si="7"/>
        <v>0</v>
      </c>
      <c r="AB38" s="566">
        <f t="shared" si="8"/>
        <v>0</v>
      </c>
      <c r="AC38" s="566">
        <f t="shared" si="9"/>
        <v>0</v>
      </c>
      <c r="AD38" s="566">
        <f t="shared" si="10"/>
        <v>0</v>
      </c>
      <c r="AE38" s="566">
        <f t="shared" si="11"/>
        <v>0</v>
      </c>
      <c r="AF38" s="566">
        <f t="shared" si="12"/>
        <v>0</v>
      </c>
      <c r="AG38" s="573"/>
    </row>
    <row r="39" spans="1:33" ht="25.15" customHeight="1">
      <c r="A39" s="543">
        <v>32</v>
      </c>
      <c r="B39" s="544" t="s">
        <v>1617</v>
      </c>
      <c r="C39" s="667"/>
      <c r="D39" s="542"/>
      <c r="E39" s="542"/>
      <c r="F39" s="542"/>
      <c r="G39" s="542"/>
      <c r="H39" s="542"/>
      <c r="I39" s="542"/>
      <c r="J39" s="542"/>
      <c r="K39" s="542"/>
      <c r="L39" s="542"/>
      <c r="M39" s="542"/>
      <c r="N39" s="554">
        <f t="shared" si="0"/>
        <v>0</v>
      </c>
      <c r="O39" s="554">
        <f t="shared" si="1"/>
        <v>0</v>
      </c>
      <c r="P39" s="555" t="e">
        <f>(O39/O296)*100</f>
        <v>#DIV/0!</v>
      </c>
      <c r="Q39" s="570"/>
      <c r="R39" s="555" t="e">
        <f t="shared" si="2"/>
        <v>#DIV/0!</v>
      </c>
      <c r="S39" s="564"/>
      <c r="T39" s="565"/>
      <c r="U39" s="2560"/>
      <c r="V39" s="571"/>
      <c r="W39" s="566">
        <f t="shared" si="3"/>
        <v>0</v>
      </c>
      <c r="X39" s="566">
        <f t="shared" si="4"/>
        <v>0</v>
      </c>
      <c r="Y39" s="566">
        <f t="shared" si="5"/>
        <v>0</v>
      </c>
      <c r="Z39" s="566">
        <f t="shared" si="6"/>
        <v>0</v>
      </c>
      <c r="AA39" s="566">
        <f t="shared" si="7"/>
        <v>0</v>
      </c>
      <c r="AB39" s="566">
        <f t="shared" si="8"/>
        <v>0</v>
      </c>
      <c r="AC39" s="566">
        <f t="shared" si="9"/>
        <v>0</v>
      </c>
      <c r="AD39" s="566">
        <f t="shared" si="10"/>
        <v>0</v>
      </c>
      <c r="AE39" s="566">
        <f t="shared" si="11"/>
        <v>0</v>
      </c>
      <c r="AF39" s="566">
        <f t="shared" si="12"/>
        <v>0</v>
      </c>
      <c r="AG39" s="573"/>
    </row>
    <row r="40" spans="1:33" ht="25.15" customHeight="1">
      <c r="A40" s="543">
        <v>33</v>
      </c>
      <c r="B40" s="544" t="s">
        <v>1618</v>
      </c>
      <c r="C40" s="667"/>
      <c r="D40" s="542"/>
      <c r="E40" s="542"/>
      <c r="F40" s="542"/>
      <c r="G40" s="542"/>
      <c r="H40" s="542"/>
      <c r="I40" s="542"/>
      <c r="J40" s="542"/>
      <c r="K40" s="542"/>
      <c r="L40" s="542"/>
      <c r="M40" s="542"/>
      <c r="N40" s="554">
        <f t="shared" si="0"/>
        <v>0</v>
      </c>
      <c r="O40" s="554">
        <f t="shared" si="1"/>
        <v>0</v>
      </c>
      <c r="P40" s="555" t="e">
        <f>(O40/O296)*100</f>
        <v>#DIV/0!</v>
      </c>
      <c r="Q40" s="567"/>
      <c r="R40" s="555" t="e">
        <f t="shared" si="2"/>
        <v>#DIV/0!</v>
      </c>
      <c r="S40" s="564"/>
      <c r="T40" s="565"/>
      <c r="U40" s="2560"/>
      <c r="V40" s="571"/>
      <c r="W40" s="566">
        <f t="shared" si="3"/>
        <v>0</v>
      </c>
      <c r="X40" s="566">
        <f t="shared" si="4"/>
        <v>0</v>
      </c>
      <c r="Y40" s="566">
        <f t="shared" si="5"/>
        <v>0</v>
      </c>
      <c r="Z40" s="566">
        <f t="shared" si="6"/>
        <v>0</v>
      </c>
      <c r="AA40" s="566">
        <f t="shared" si="7"/>
        <v>0</v>
      </c>
      <c r="AB40" s="566">
        <f t="shared" si="8"/>
        <v>0</v>
      </c>
      <c r="AC40" s="566">
        <f t="shared" si="9"/>
        <v>0</v>
      </c>
      <c r="AD40" s="566">
        <f t="shared" si="10"/>
        <v>0</v>
      </c>
      <c r="AE40" s="566">
        <f t="shared" si="11"/>
        <v>0</v>
      </c>
      <c r="AF40" s="566">
        <f t="shared" si="12"/>
        <v>0</v>
      </c>
      <c r="AG40" s="573"/>
    </row>
    <row r="41" spans="1:33" ht="25.15" customHeight="1">
      <c r="A41" s="543">
        <v>34</v>
      </c>
      <c r="B41" s="544"/>
      <c r="C41" s="667"/>
      <c r="D41" s="542"/>
      <c r="E41" s="542"/>
      <c r="F41" s="542"/>
      <c r="G41" s="542"/>
      <c r="H41" s="542"/>
      <c r="I41" s="542"/>
      <c r="J41" s="542"/>
      <c r="K41" s="542"/>
      <c r="L41" s="542"/>
      <c r="M41" s="542"/>
      <c r="N41" s="554">
        <f t="shared" si="0"/>
        <v>0</v>
      </c>
      <c r="O41" s="554">
        <f t="shared" si="1"/>
        <v>0</v>
      </c>
      <c r="P41" s="555" t="e">
        <f>(O41/O296)*100</f>
        <v>#DIV/0!</v>
      </c>
      <c r="Q41" s="570"/>
      <c r="R41" s="555" t="e">
        <f t="shared" si="2"/>
        <v>#DIV/0!</v>
      </c>
      <c r="S41" s="564"/>
      <c r="T41" s="565"/>
      <c r="U41" s="2560"/>
      <c r="V41" s="571"/>
      <c r="W41" s="566">
        <f t="shared" si="3"/>
        <v>0</v>
      </c>
      <c r="X41" s="566">
        <f t="shared" si="4"/>
        <v>0</v>
      </c>
      <c r="Y41" s="566">
        <f t="shared" si="5"/>
        <v>0</v>
      </c>
      <c r="Z41" s="566">
        <f t="shared" si="6"/>
        <v>0</v>
      </c>
      <c r="AA41" s="566">
        <f t="shared" si="7"/>
        <v>0</v>
      </c>
      <c r="AB41" s="566">
        <f t="shared" si="8"/>
        <v>0</v>
      </c>
      <c r="AC41" s="566">
        <f t="shared" si="9"/>
        <v>0</v>
      </c>
      <c r="AD41" s="566">
        <f t="shared" si="10"/>
        <v>0</v>
      </c>
      <c r="AE41" s="566">
        <f t="shared" si="11"/>
        <v>0</v>
      </c>
      <c r="AF41" s="566">
        <f t="shared" si="12"/>
        <v>0</v>
      </c>
      <c r="AG41" s="573"/>
    </row>
    <row r="42" spans="1:33" ht="25.15" customHeight="1">
      <c r="A42" s="543">
        <v>35</v>
      </c>
      <c r="B42" s="544" t="s">
        <v>1619</v>
      </c>
      <c r="C42" s="667"/>
      <c r="D42" s="542"/>
      <c r="E42" s="542"/>
      <c r="F42" s="542"/>
      <c r="G42" s="542"/>
      <c r="H42" s="542"/>
      <c r="I42" s="542"/>
      <c r="J42" s="542"/>
      <c r="K42" s="542"/>
      <c r="L42" s="542"/>
      <c r="M42" s="542"/>
      <c r="N42" s="554">
        <f t="shared" ref="N42" si="52">SUM(D42:M42)</f>
        <v>0</v>
      </c>
      <c r="O42" s="554">
        <f t="shared" ref="O42" si="53">N42*S42</f>
        <v>0</v>
      </c>
      <c r="P42" s="555" t="e">
        <f>(O42/O296)*100</f>
        <v>#DIV/0!</v>
      </c>
      <c r="Q42" s="570"/>
      <c r="R42" s="555" t="e">
        <f t="shared" ref="R42" si="54">P42*Q42</f>
        <v>#DIV/0!</v>
      </c>
      <c r="S42" s="564"/>
      <c r="T42" s="565"/>
      <c r="U42" s="2560"/>
      <c r="V42" s="571"/>
      <c r="W42" s="566">
        <f t="shared" ref="W42" si="55">D42*S42</f>
        <v>0</v>
      </c>
      <c r="X42" s="566">
        <f t="shared" ref="X42" si="56">E42*S42</f>
        <v>0</v>
      </c>
      <c r="Y42" s="566">
        <f t="shared" ref="Y42" si="57">F42*S42</f>
        <v>0</v>
      </c>
      <c r="Z42" s="566">
        <f t="shared" ref="Z42" si="58">G42*S42</f>
        <v>0</v>
      </c>
      <c r="AA42" s="566">
        <f t="shared" ref="AA42" si="59">H42*S42</f>
        <v>0</v>
      </c>
      <c r="AB42" s="566">
        <f t="shared" ref="AB42" si="60">I42*S42</f>
        <v>0</v>
      </c>
      <c r="AC42" s="566">
        <f t="shared" ref="AC42" si="61">J42*S42</f>
        <v>0</v>
      </c>
      <c r="AD42" s="566">
        <f t="shared" ref="AD42" si="62">K42*S42</f>
        <v>0</v>
      </c>
      <c r="AE42" s="566">
        <f t="shared" ref="AE42" si="63">L42*S42</f>
        <v>0</v>
      </c>
      <c r="AF42" s="566">
        <f t="shared" ref="AF42" si="64">M42*S42</f>
        <v>0</v>
      </c>
      <c r="AG42" s="573"/>
    </row>
    <row r="43" spans="1:33" ht="25.15" customHeight="1">
      <c r="A43" s="543">
        <v>36</v>
      </c>
      <c r="B43" s="544" t="s">
        <v>1620</v>
      </c>
      <c r="C43" s="667"/>
      <c r="D43" s="542"/>
      <c r="E43" s="542"/>
      <c r="F43" s="542"/>
      <c r="G43" s="542"/>
      <c r="H43" s="542"/>
      <c r="I43" s="542"/>
      <c r="J43" s="542"/>
      <c r="K43" s="542"/>
      <c r="L43" s="542"/>
      <c r="M43" s="542"/>
      <c r="N43" s="554">
        <f t="shared" si="0"/>
        <v>0</v>
      </c>
      <c r="O43" s="554">
        <f t="shared" si="1"/>
        <v>0</v>
      </c>
      <c r="P43" s="555" t="e">
        <f>(O43/O296)*100</f>
        <v>#DIV/0!</v>
      </c>
      <c r="Q43" s="570"/>
      <c r="R43" s="555" t="e">
        <f t="shared" si="2"/>
        <v>#DIV/0!</v>
      </c>
      <c r="S43" s="564"/>
      <c r="T43" s="565"/>
      <c r="U43" s="2560"/>
      <c r="V43" s="571"/>
      <c r="W43" s="566">
        <f t="shared" si="3"/>
        <v>0</v>
      </c>
      <c r="X43" s="566">
        <f t="shared" si="4"/>
        <v>0</v>
      </c>
      <c r="Y43" s="566">
        <f t="shared" si="5"/>
        <v>0</v>
      </c>
      <c r="Z43" s="566">
        <f t="shared" si="6"/>
        <v>0</v>
      </c>
      <c r="AA43" s="566">
        <f t="shared" si="7"/>
        <v>0</v>
      </c>
      <c r="AB43" s="566">
        <f t="shared" si="8"/>
        <v>0</v>
      </c>
      <c r="AC43" s="566">
        <f t="shared" si="9"/>
        <v>0</v>
      </c>
      <c r="AD43" s="566">
        <f t="shared" si="10"/>
        <v>0</v>
      </c>
      <c r="AE43" s="566">
        <f t="shared" si="11"/>
        <v>0</v>
      </c>
      <c r="AF43" s="566">
        <f t="shared" si="12"/>
        <v>0</v>
      </c>
      <c r="AG43" s="573"/>
    </row>
    <row r="44" spans="1:33" ht="25.15" customHeight="1">
      <c r="A44" s="543">
        <v>37</v>
      </c>
      <c r="B44" s="544" t="s">
        <v>1307</v>
      </c>
      <c r="C44" s="667"/>
      <c r="D44" s="542"/>
      <c r="E44" s="542"/>
      <c r="F44" s="542"/>
      <c r="G44" s="542"/>
      <c r="H44" s="542"/>
      <c r="I44" s="542"/>
      <c r="J44" s="542"/>
      <c r="K44" s="542"/>
      <c r="L44" s="542"/>
      <c r="M44" s="542"/>
      <c r="N44" s="554">
        <f t="shared" si="0"/>
        <v>0</v>
      </c>
      <c r="O44" s="554">
        <f t="shared" si="1"/>
        <v>0</v>
      </c>
      <c r="P44" s="555" t="e">
        <f>(O44/O296)*100</f>
        <v>#DIV/0!</v>
      </c>
      <c r="Q44" s="570"/>
      <c r="R44" s="555" t="e">
        <f t="shared" si="2"/>
        <v>#DIV/0!</v>
      </c>
      <c r="S44" s="564"/>
      <c r="T44" s="565"/>
      <c r="U44" s="2560"/>
      <c r="V44" s="571"/>
      <c r="W44" s="566">
        <f t="shared" si="3"/>
        <v>0</v>
      </c>
      <c r="X44" s="566">
        <f t="shared" si="4"/>
        <v>0</v>
      </c>
      <c r="Y44" s="566">
        <f t="shared" si="5"/>
        <v>0</v>
      </c>
      <c r="Z44" s="566">
        <f t="shared" si="6"/>
        <v>0</v>
      </c>
      <c r="AA44" s="566">
        <f t="shared" si="7"/>
        <v>0</v>
      </c>
      <c r="AB44" s="566">
        <f t="shared" si="8"/>
        <v>0</v>
      </c>
      <c r="AC44" s="566">
        <f t="shared" si="9"/>
        <v>0</v>
      </c>
      <c r="AD44" s="566">
        <f t="shared" si="10"/>
        <v>0</v>
      </c>
      <c r="AE44" s="566">
        <f t="shared" si="11"/>
        <v>0</v>
      </c>
      <c r="AF44" s="566">
        <f t="shared" si="12"/>
        <v>0</v>
      </c>
      <c r="AG44" s="573"/>
    </row>
    <row r="45" spans="1:33" ht="25.15" customHeight="1">
      <c r="A45" s="543">
        <v>38</v>
      </c>
      <c r="B45" s="544" t="s">
        <v>1308</v>
      </c>
      <c r="C45" s="667"/>
      <c r="D45" s="542"/>
      <c r="E45" s="542"/>
      <c r="F45" s="542"/>
      <c r="G45" s="542"/>
      <c r="H45" s="542"/>
      <c r="I45" s="542"/>
      <c r="J45" s="542"/>
      <c r="K45" s="542"/>
      <c r="L45" s="542"/>
      <c r="M45" s="542"/>
      <c r="N45" s="554">
        <f t="shared" si="0"/>
        <v>0</v>
      </c>
      <c r="O45" s="554">
        <f t="shared" si="1"/>
        <v>0</v>
      </c>
      <c r="P45" s="555" t="e">
        <f>(O45/O296)*100</f>
        <v>#DIV/0!</v>
      </c>
      <c r="Q45" s="570"/>
      <c r="R45" s="555" t="e">
        <f t="shared" si="2"/>
        <v>#DIV/0!</v>
      </c>
      <c r="S45" s="564"/>
      <c r="T45" s="565"/>
      <c r="U45" s="2560"/>
      <c r="V45" s="571"/>
      <c r="W45" s="566">
        <f t="shared" si="3"/>
        <v>0</v>
      </c>
      <c r="X45" s="566">
        <f t="shared" si="4"/>
        <v>0</v>
      </c>
      <c r="Y45" s="566">
        <f t="shared" si="5"/>
        <v>0</v>
      </c>
      <c r="Z45" s="566">
        <f t="shared" si="6"/>
        <v>0</v>
      </c>
      <c r="AA45" s="566">
        <f t="shared" si="7"/>
        <v>0</v>
      </c>
      <c r="AB45" s="566">
        <f t="shared" si="8"/>
        <v>0</v>
      </c>
      <c r="AC45" s="566">
        <f t="shared" si="9"/>
        <v>0</v>
      </c>
      <c r="AD45" s="566">
        <f t="shared" si="10"/>
        <v>0</v>
      </c>
      <c r="AE45" s="566">
        <f t="shared" si="11"/>
        <v>0</v>
      </c>
      <c r="AF45" s="566">
        <f t="shared" si="12"/>
        <v>0</v>
      </c>
      <c r="AG45" s="573"/>
    </row>
    <row r="46" spans="1:33" ht="25.15" customHeight="1">
      <c r="A46" s="543">
        <v>39</v>
      </c>
      <c r="B46" s="544" t="s">
        <v>1309</v>
      </c>
      <c r="C46" s="667"/>
      <c r="D46" s="542"/>
      <c r="E46" s="542"/>
      <c r="F46" s="542"/>
      <c r="G46" s="542"/>
      <c r="H46" s="542"/>
      <c r="I46" s="542"/>
      <c r="J46" s="542"/>
      <c r="K46" s="542"/>
      <c r="L46" s="542"/>
      <c r="M46" s="542"/>
      <c r="N46" s="554">
        <f t="shared" si="0"/>
        <v>0</v>
      </c>
      <c r="O46" s="554">
        <f t="shared" si="1"/>
        <v>0</v>
      </c>
      <c r="P46" s="555" t="e">
        <f>(O46/O296)*100</f>
        <v>#DIV/0!</v>
      </c>
      <c r="Q46" s="570"/>
      <c r="R46" s="555" t="e">
        <f t="shared" si="2"/>
        <v>#DIV/0!</v>
      </c>
      <c r="S46" s="564"/>
      <c r="T46" s="565"/>
      <c r="U46" s="2560"/>
      <c r="V46" s="571"/>
      <c r="W46" s="566">
        <f t="shared" si="3"/>
        <v>0</v>
      </c>
      <c r="X46" s="566">
        <f t="shared" si="4"/>
        <v>0</v>
      </c>
      <c r="Y46" s="566">
        <f t="shared" si="5"/>
        <v>0</v>
      </c>
      <c r="Z46" s="566">
        <f t="shared" si="6"/>
        <v>0</v>
      </c>
      <c r="AA46" s="566">
        <f t="shared" si="7"/>
        <v>0</v>
      </c>
      <c r="AB46" s="566">
        <f t="shared" si="8"/>
        <v>0</v>
      </c>
      <c r="AC46" s="566">
        <f t="shared" si="9"/>
        <v>0</v>
      </c>
      <c r="AD46" s="566">
        <f t="shared" si="10"/>
        <v>0</v>
      </c>
      <c r="AE46" s="566">
        <f t="shared" si="11"/>
        <v>0</v>
      </c>
      <c r="AF46" s="566">
        <f t="shared" si="12"/>
        <v>0</v>
      </c>
      <c r="AG46" s="573"/>
    </row>
    <row r="47" spans="1:33" ht="25.15" customHeight="1">
      <c r="A47" s="543">
        <v>40</v>
      </c>
      <c r="B47" s="544" t="s">
        <v>1310</v>
      </c>
      <c r="C47" s="667"/>
      <c r="D47" s="542"/>
      <c r="E47" s="542"/>
      <c r="F47" s="542"/>
      <c r="G47" s="542"/>
      <c r="H47" s="542"/>
      <c r="I47" s="542"/>
      <c r="J47" s="542"/>
      <c r="K47" s="542"/>
      <c r="L47" s="542"/>
      <c r="M47" s="542"/>
      <c r="N47" s="554">
        <f t="shared" si="0"/>
        <v>0</v>
      </c>
      <c r="O47" s="554">
        <f t="shared" si="1"/>
        <v>0</v>
      </c>
      <c r="P47" s="555" t="e">
        <f>(O47/O296)*100</f>
        <v>#DIV/0!</v>
      </c>
      <c r="Q47" s="570"/>
      <c r="R47" s="555" t="e">
        <f t="shared" si="2"/>
        <v>#DIV/0!</v>
      </c>
      <c r="S47" s="564"/>
      <c r="T47" s="565"/>
      <c r="U47" s="2560"/>
      <c r="V47" s="571"/>
      <c r="W47" s="566">
        <f t="shared" si="3"/>
        <v>0</v>
      </c>
      <c r="X47" s="566">
        <f t="shared" si="4"/>
        <v>0</v>
      </c>
      <c r="Y47" s="566">
        <f t="shared" si="5"/>
        <v>0</v>
      </c>
      <c r="Z47" s="566">
        <f t="shared" si="6"/>
        <v>0</v>
      </c>
      <c r="AA47" s="566">
        <f t="shared" si="7"/>
        <v>0</v>
      </c>
      <c r="AB47" s="566">
        <f t="shared" si="8"/>
        <v>0</v>
      </c>
      <c r="AC47" s="566">
        <f t="shared" si="9"/>
        <v>0</v>
      </c>
      <c r="AD47" s="566">
        <f t="shared" si="10"/>
        <v>0</v>
      </c>
      <c r="AE47" s="566">
        <f t="shared" si="11"/>
        <v>0</v>
      </c>
      <c r="AF47" s="566">
        <f t="shared" si="12"/>
        <v>0</v>
      </c>
      <c r="AG47" s="573"/>
    </row>
    <row r="48" spans="1:33" ht="25.15" customHeight="1">
      <c r="A48" s="543">
        <v>41</v>
      </c>
      <c r="B48" s="544" t="s">
        <v>1311</v>
      </c>
      <c r="C48" s="667"/>
      <c r="D48" s="542"/>
      <c r="E48" s="542"/>
      <c r="F48" s="542"/>
      <c r="G48" s="542"/>
      <c r="H48" s="542"/>
      <c r="I48" s="542"/>
      <c r="J48" s="542"/>
      <c r="K48" s="542"/>
      <c r="L48" s="542"/>
      <c r="M48" s="542"/>
      <c r="N48" s="554">
        <f t="shared" si="0"/>
        <v>0</v>
      </c>
      <c r="O48" s="554">
        <f t="shared" si="1"/>
        <v>0</v>
      </c>
      <c r="P48" s="555" t="e">
        <f>(O48/O296)*100</f>
        <v>#DIV/0!</v>
      </c>
      <c r="Q48" s="570"/>
      <c r="R48" s="555" t="e">
        <f t="shared" si="2"/>
        <v>#DIV/0!</v>
      </c>
      <c r="S48" s="564"/>
      <c r="T48" s="565"/>
      <c r="U48" s="2560"/>
      <c r="V48" s="571"/>
      <c r="W48" s="566">
        <f t="shared" si="3"/>
        <v>0</v>
      </c>
      <c r="X48" s="566">
        <f t="shared" si="4"/>
        <v>0</v>
      </c>
      <c r="Y48" s="566">
        <f t="shared" si="5"/>
        <v>0</v>
      </c>
      <c r="Z48" s="566">
        <f t="shared" si="6"/>
        <v>0</v>
      </c>
      <c r="AA48" s="566">
        <f t="shared" si="7"/>
        <v>0</v>
      </c>
      <c r="AB48" s="566">
        <f t="shared" si="8"/>
        <v>0</v>
      </c>
      <c r="AC48" s="566">
        <f t="shared" si="9"/>
        <v>0</v>
      </c>
      <c r="AD48" s="566">
        <f t="shared" si="10"/>
        <v>0</v>
      </c>
      <c r="AE48" s="566">
        <f t="shared" si="11"/>
        <v>0</v>
      </c>
      <c r="AF48" s="566">
        <f t="shared" si="12"/>
        <v>0</v>
      </c>
      <c r="AG48" s="573"/>
    </row>
    <row r="49" spans="1:33" ht="25.15" customHeight="1">
      <c r="A49" s="543">
        <v>42</v>
      </c>
      <c r="B49" s="544" t="s">
        <v>1312</v>
      </c>
      <c r="C49" s="667"/>
      <c r="D49" s="542"/>
      <c r="E49" s="542"/>
      <c r="F49" s="542"/>
      <c r="G49" s="542"/>
      <c r="H49" s="542"/>
      <c r="I49" s="542"/>
      <c r="J49" s="542"/>
      <c r="K49" s="542"/>
      <c r="L49" s="542"/>
      <c r="M49" s="542"/>
      <c r="N49" s="554">
        <f t="shared" si="0"/>
        <v>0</v>
      </c>
      <c r="O49" s="554">
        <f t="shared" si="1"/>
        <v>0</v>
      </c>
      <c r="P49" s="555" t="e">
        <f>(O49/O296)*100</f>
        <v>#DIV/0!</v>
      </c>
      <c r="Q49" s="570"/>
      <c r="R49" s="555" t="e">
        <f t="shared" si="2"/>
        <v>#DIV/0!</v>
      </c>
      <c r="S49" s="564"/>
      <c r="T49" s="565"/>
      <c r="U49" s="2560"/>
      <c r="V49" s="571"/>
      <c r="W49" s="566">
        <f t="shared" si="3"/>
        <v>0</v>
      </c>
      <c r="X49" s="566">
        <f t="shared" si="4"/>
        <v>0</v>
      </c>
      <c r="Y49" s="566">
        <f t="shared" si="5"/>
        <v>0</v>
      </c>
      <c r="Z49" s="566">
        <f t="shared" si="6"/>
        <v>0</v>
      </c>
      <c r="AA49" s="566">
        <f t="shared" si="7"/>
        <v>0</v>
      </c>
      <c r="AB49" s="566">
        <f t="shared" si="8"/>
        <v>0</v>
      </c>
      <c r="AC49" s="566">
        <f t="shared" si="9"/>
        <v>0</v>
      </c>
      <c r="AD49" s="566">
        <f t="shared" si="10"/>
        <v>0</v>
      </c>
      <c r="AE49" s="566">
        <f t="shared" si="11"/>
        <v>0</v>
      </c>
      <c r="AF49" s="566">
        <f t="shared" si="12"/>
        <v>0</v>
      </c>
      <c r="AG49" s="573"/>
    </row>
    <row r="50" spans="1:33" ht="25.15" customHeight="1">
      <c r="A50" s="543">
        <v>43</v>
      </c>
      <c r="B50" s="544" t="s">
        <v>1313</v>
      </c>
      <c r="C50" s="667"/>
      <c r="D50" s="542"/>
      <c r="E50" s="542"/>
      <c r="F50" s="542"/>
      <c r="G50" s="542"/>
      <c r="H50" s="542"/>
      <c r="I50" s="542"/>
      <c r="J50" s="542"/>
      <c r="K50" s="542"/>
      <c r="L50" s="542"/>
      <c r="M50" s="542"/>
      <c r="N50" s="554">
        <f t="shared" si="0"/>
        <v>0</v>
      </c>
      <c r="O50" s="554">
        <f t="shared" si="1"/>
        <v>0</v>
      </c>
      <c r="P50" s="555" t="e">
        <f>(O50/O296)*100</f>
        <v>#DIV/0!</v>
      </c>
      <c r="Q50" s="570"/>
      <c r="R50" s="555" t="e">
        <f t="shared" si="2"/>
        <v>#DIV/0!</v>
      </c>
      <c r="S50" s="564"/>
      <c r="T50" s="565"/>
      <c r="U50" s="2560"/>
      <c r="V50" s="571"/>
      <c r="W50" s="566">
        <f t="shared" si="3"/>
        <v>0</v>
      </c>
      <c r="X50" s="566">
        <f t="shared" si="4"/>
        <v>0</v>
      </c>
      <c r="Y50" s="566">
        <f t="shared" si="5"/>
        <v>0</v>
      </c>
      <c r="Z50" s="566">
        <f t="shared" si="6"/>
        <v>0</v>
      </c>
      <c r="AA50" s="566">
        <f t="shared" si="7"/>
        <v>0</v>
      </c>
      <c r="AB50" s="566">
        <f t="shared" si="8"/>
        <v>0</v>
      </c>
      <c r="AC50" s="566">
        <f t="shared" si="9"/>
        <v>0</v>
      </c>
      <c r="AD50" s="566">
        <f t="shared" si="10"/>
        <v>0</v>
      </c>
      <c r="AE50" s="566">
        <f t="shared" si="11"/>
        <v>0</v>
      </c>
      <c r="AF50" s="566">
        <f t="shared" si="12"/>
        <v>0</v>
      </c>
      <c r="AG50" s="573"/>
    </row>
    <row r="51" spans="1:33" ht="25.15" customHeight="1">
      <c r="A51" s="543">
        <v>44</v>
      </c>
      <c r="B51" s="544" t="s">
        <v>1314</v>
      </c>
      <c r="C51" s="667"/>
      <c r="D51" s="542"/>
      <c r="E51" s="542"/>
      <c r="F51" s="542"/>
      <c r="G51" s="542"/>
      <c r="H51" s="542"/>
      <c r="I51" s="542"/>
      <c r="J51" s="542"/>
      <c r="K51" s="542"/>
      <c r="L51" s="542"/>
      <c r="M51" s="542"/>
      <c r="N51" s="554">
        <f t="shared" si="0"/>
        <v>0</v>
      </c>
      <c r="O51" s="554">
        <f t="shared" si="1"/>
        <v>0</v>
      </c>
      <c r="P51" s="555" t="e">
        <f>(O51/O296)*100</f>
        <v>#DIV/0!</v>
      </c>
      <c r="Q51" s="570"/>
      <c r="R51" s="555" t="e">
        <f t="shared" si="2"/>
        <v>#DIV/0!</v>
      </c>
      <c r="S51" s="564"/>
      <c r="T51" s="565"/>
      <c r="U51" s="2560"/>
      <c r="V51" s="571"/>
      <c r="W51" s="566">
        <f t="shared" si="3"/>
        <v>0</v>
      </c>
      <c r="X51" s="566">
        <f t="shared" si="4"/>
        <v>0</v>
      </c>
      <c r="Y51" s="566">
        <f t="shared" si="5"/>
        <v>0</v>
      </c>
      <c r="Z51" s="566">
        <f t="shared" si="6"/>
        <v>0</v>
      </c>
      <c r="AA51" s="566">
        <f t="shared" si="7"/>
        <v>0</v>
      </c>
      <c r="AB51" s="566">
        <f t="shared" si="8"/>
        <v>0</v>
      </c>
      <c r="AC51" s="566">
        <f t="shared" si="9"/>
        <v>0</v>
      </c>
      <c r="AD51" s="566">
        <f t="shared" si="10"/>
        <v>0</v>
      </c>
      <c r="AE51" s="566">
        <f t="shared" si="11"/>
        <v>0</v>
      </c>
      <c r="AF51" s="566">
        <f t="shared" si="12"/>
        <v>0</v>
      </c>
      <c r="AG51" s="573"/>
    </row>
    <row r="52" spans="1:33" ht="25.15" customHeight="1">
      <c r="A52" s="543">
        <v>45</v>
      </c>
      <c r="B52" s="544" t="s">
        <v>1315</v>
      </c>
      <c r="C52" s="667"/>
      <c r="D52" s="542"/>
      <c r="E52" s="542"/>
      <c r="F52" s="542"/>
      <c r="G52" s="542"/>
      <c r="H52" s="542"/>
      <c r="I52" s="542"/>
      <c r="J52" s="542"/>
      <c r="K52" s="542"/>
      <c r="L52" s="542"/>
      <c r="M52" s="542"/>
      <c r="N52" s="554">
        <f t="shared" si="0"/>
        <v>0</v>
      </c>
      <c r="O52" s="554">
        <f t="shared" si="1"/>
        <v>0</v>
      </c>
      <c r="P52" s="555" t="e">
        <f>(O52/O296)*100</f>
        <v>#DIV/0!</v>
      </c>
      <c r="Q52" s="570"/>
      <c r="R52" s="555" t="e">
        <f t="shared" si="2"/>
        <v>#DIV/0!</v>
      </c>
      <c r="S52" s="564"/>
      <c r="T52" s="565"/>
      <c r="U52" s="2560"/>
      <c r="V52" s="571"/>
      <c r="W52" s="566">
        <f t="shared" si="3"/>
        <v>0</v>
      </c>
      <c r="X52" s="566">
        <f t="shared" si="4"/>
        <v>0</v>
      </c>
      <c r="Y52" s="566">
        <f t="shared" si="5"/>
        <v>0</v>
      </c>
      <c r="Z52" s="566">
        <f t="shared" si="6"/>
        <v>0</v>
      </c>
      <c r="AA52" s="566">
        <f t="shared" si="7"/>
        <v>0</v>
      </c>
      <c r="AB52" s="566">
        <f t="shared" si="8"/>
        <v>0</v>
      </c>
      <c r="AC52" s="566">
        <f t="shared" si="9"/>
        <v>0</v>
      </c>
      <c r="AD52" s="566">
        <f t="shared" si="10"/>
        <v>0</v>
      </c>
      <c r="AE52" s="566">
        <f t="shared" si="11"/>
        <v>0</v>
      </c>
      <c r="AF52" s="566">
        <f t="shared" si="12"/>
        <v>0</v>
      </c>
      <c r="AG52" s="573"/>
    </row>
    <row r="53" spans="1:33" ht="25.15" customHeight="1">
      <c r="A53" s="543">
        <v>46</v>
      </c>
      <c r="B53" s="544"/>
      <c r="C53" s="667"/>
      <c r="D53" s="542"/>
      <c r="E53" s="542"/>
      <c r="F53" s="542"/>
      <c r="G53" s="542"/>
      <c r="H53" s="542"/>
      <c r="I53" s="542"/>
      <c r="J53" s="542"/>
      <c r="K53" s="542"/>
      <c r="L53" s="542"/>
      <c r="M53" s="542"/>
      <c r="N53" s="554">
        <f t="shared" si="0"/>
        <v>0</v>
      </c>
      <c r="O53" s="554">
        <f t="shared" si="1"/>
        <v>0</v>
      </c>
      <c r="P53" s="555" t="e">
        <f>(O53/O296)*100</f>
        <v>#DIV/0!</v>
      </c>
      <c r="Q53" s="570"/>
      <c r="R53" s="555" t="e">
        <f t="shared" si="2"/>
        <v>#DIV/0!</v>
      </c>
      <c r="S53" s="564"/>
      <c r="T53" s="565"/>
      <c r="U53" s="2560"/>
      <c r="V53" s="571"/>
      <c r="W53" s="566">
        <f t="shared" si="3"/>
        <v>0</v>
      </c>
      <c r="X53" s="566">
        <f t="shared" si="4"/>
        <v>0</v>
      </c>
      <c r="Y53" s="566">
        <f t="shared" si="5"/>
        <v>0</v>
      </c>
      <c r="Z53" s="566">
        <f t="shared" si="6"/>
        <v>0</v>
      </c>
      <c r="AA53" s="566">
        <f t="shared" si="7"/>
        <v>0</v>
      </c>
      <c r="AB53" s="566">
        <f t="shared" si="8"/>
        <v>0</v>
      </c>
      <c r="AC53" s="566">
        <f t="shared" si="9"/>
        <v>0</v>
      </c>
      <c r="AD53" s="566">
        <f t="shared" si="10"/>
        <v>0</v>
      </c>
      <c r="AE53" s="566">
        <f t="shared" si="11"/>
        <v>0</v>
      </c>
      <c r="AF53" s="566">
        <f t="shared" si="12"/>
        <v>0</v>
      </c>
      <c r="AG53" s="573"/>
    </row>
    <row r="54" spans="1:33" ht="25.15" customHeight="1">
      <c r="A54" s="543">
        <v>47</v>
      </c>
      <c r="B54" s="545" t="s">
        <v>1316</v>
      </c>
      <c r="C54" s="667"/>
      <c r="D54" s="542"/>
      <c r="E54" s="542"/>
      <c r="F54" s="542"/>
      <c r="G54" s="542"/>
      <c r="H54" s="542"/>
      <c r="I54" s="542"/>
      <c r="J54" s="542"/>
      <c r="K54" s="542"/>
      <c r="L54" s="542"/>
      <c r="M54" s="542"/>
      <c r="N54" s="554">
        <f t="shared" si="0"/>
        <v>0</v>
      </c>
      <c r="O54" s="554">
        <f t="shared" si="1"/>
        <v>0</v>
      </c>
      <c r="P54" s="555" t="e">
        <f>(O54/O296)*100</f>
        <v>#DIV/0!</v>
      </c>
      <c r="Q54" s="567"/>
      <c r="R54" s="555" t="e">
        <f t="shared" si="2"/>
        <v>#DIV/0!</v>
      </c>
      <c r="S54" s="564"/>
      <c r="T54" s="565"/>
      <c r="U54" s="2560"/>
      <c r="V54" s="571"/>
      <c r="W54" s="566">
        <f t="shared" si="3"/>
        <v>0</v>
      </c>
      <c r="X54" s="566">
        <f t="shared" si="4"/>
        <v>0</v>
      </c>
      <c r="Y54" s="566">
        <f t="shared" si="5"/>
        <v>0</v>
      </c>
      <c r="Z54" s="566">
        <f t="shared" si="6"/>
        <v>0</v>
      </c>
      <c r="AA54" s="566">
        <f t="shared" si="7"/>
        <v>0</v>
      </c>
      <c r="AB54" s="566">
        <f t="shared" si="8"/>
        <v>0</v>
      </c>
      <c r="AC54" s="566">
        <f t="shared" si="9"/>
        <v>0</v>
      </c>
      <c r="AD54" s="566">
        <f t="shared" si="10"/>
        <v>0</v>
      </c>
      <c r="AE54" s="566">
        <f t="shared" si="11"/>
        <v>0</v>
      </c>
      <c r="AF54" s="566">
        <f t="shared" si="12"/>
        <v>0</v>
      </c>
      <c r="AG54" s="573"/>
    </row>
    <row r="55" spans="1:33" ht="25.15" customHeight="1">
      <c r="A55" s="543">
        <v>48</v>
      </c>
      <c r="B55" s="546" t="s">
        <v>1317</v>
      </c>
      <c r="C55" s="667"/>
      <c r="D55" s="542"/>
      <c r="E55" s="542"/>
      <c r="F55" s="542"/>
      <c r="G55" s="542"/>
      <c r="H55" s="542"/>
      <c r="I55" s="542"/>
      <c r="J55" s="542"/>
      <c r="K55" s="542"/>
      <c r="L55" s="542"/>
      <c r="M55" s="542"/>
      <c r="N55" s="554">
        <f t="shared" si="0"/>
        <v>0</v>
      </c>
      <c r="O55" s="554">
        <f t="shared" si="1"/>
        <v>0</v>
      </c>
      <c r="P55" s="555" t="e">
        <f>(O55/O296)*100</f>
        <v>#DIV/0!</v>
      </c>
      <c r="Q55" s="567"/>
      <c r="R55" s="555" t="e">
        <f t="shared" si="2"/>
        <v>#DIV/0!</v>
      </c>
      <c r="S55" s="564"/>
      <c r="T55" s="565"/>
      <c r="U55" s="2560"/>
      <c r="V55" s="571"/>
      <c r="W55" s="566">
        <f t="shared" si="3"/>
        <v>0</v>
      </c>
      <c r="X55" s="566">
        <f t="shared" si="4"/>
        <v>0</v>
      </c>
      <c r="Y55" s="566">
        <f t="shared" si="5"/>
        <v>0</v>
      </c>
      <c r="Z55" s="566">
        <f t="shared" si="6"/>
        <v>0</v>
      </c>
      <c r="AA55" s="566">
        <f t="shared" si="7"/>
        <v>0</v>
      </c>
      <c r="AB55" s="566">
        <f t="shared" si="8"/>
        <v>0</v>
      </c>
      <c r="AC55" s="566">
        <f t="shared" si="9"/>
        <v>0</v>
      </c>
      <c r="AD55" s="566">
        <f t="shared" si="10"/>
        <v>0</v>
      </c>
      <c r="AE55" s="566">
        <f t="shared" si="11"/>
        <v>0</v>
      </c>
      <c r="AF55" s="566">
        <f t="shared" si="12"/>
        <v>0</v>
      </c>
      <c r="AG55" s="573"/>
    </row>
    <row r="56" spans="1:33" ht="25.15" customHeight="1">
      <c r="A56" s="543">
        <v>49</v>
      </c>
      <c r="B56" s="546" t="s">
        <v>1318</v>
      </c>
      <c r="C56" s="667"/>
      <c r="D56" s="542"/>
      <c r="E56" s="542"/>
      <c r="F56" s="542"/>
      <c r="G56" s="542"/>
      <c r="H56" s="542"/>
      <c r="I56" s="542"/>
      <c r="J56" s="542"/>
      <c r="K56" s="542"/>
      <c r="L56" s="542"/>
      <c r="M56" s="542"/>
      <c r="N56" s="554">
        <f t="shared" si="0"/>
        <v>0</v>
      </c>
      <c r="O56" s="554">
        <f t="shared" si="1"/>
        <v>0</v>
      </c>
      <c r="P56" s="555" t="e">
        <f>(O56/O296)*100</f>
        <v>#DIV/0!</v>
      </c>
      <c r="Q56" s="567"/>
      <c r="R56" s="555" t="e">
        <f t="shared" si="2"/>
        <v>#DIV/0!</v>
      </c>
      <c r="S56" s="564"/>
      <c r="T56" s="565"/>
      <c r="U56" s="2560"/>
      <c r="V56" s="571"/>
      <c r="W56" s="566">
        <f t="shared" si="3"/>
        <v>0</v>
      </c>
      <c r="X56" s="566">
        <f t="shared" si="4"/>
        <v>0</v>
      </c>
      <c r="Y56" s="566">
        <f t="shared" si="5"/>
        <v>0</v>
      </c>
      <c r="Z56" s="566">
        <f t="shared" si="6"/>
        <v>0</v>
      </c>
      <c r="AA56" s="566">
        <f t="shared" si="7"/>
        <v>0</v>
      </c>
      <c r="AB56" s="566">
        <f t="shared" si="8"/>
        <v>0</v>
      </c>
      <c r="AC56" s="566">
        <f t="shared" si="9"/>
        <v>0</v>
      </c>
      <c r="AD56" s="566">
        <f t="shared" si="10"/>
        <v>0</v>
      </c>
      <c r="AE56" s="566">
        <f t="shared" si="11"/>
        <v>0</v>
      </c>
      <c r="AF56" s="566">
        <f t="shared" si="12"/>
        <v>0</v>
      </c>
      <c r="AG56" s="573"/>
    </row>
    <row r="57" spans="1:33" ht="25.15" customHeight="1">
      <c r="A57" s="543">
        <v>50</v>
      </c>
      <c r="B57" s="546" t="s">
        <v>1319</v>
      </c>
      <c r="C57" s="667"/>
      <c r="D57" s="542"/>
      <c r="E57" s="542"/>
      <c r="F57" s="542"/>
      <c r="G57" s="542"/>
      <c r="H57" s="542"/>
      <c r="I57" s="542"/>
      <c r="J57" s="542"/>
      <c r="K57" s="542"/>
      <c r="L57" s="542"/>
      <c r="M57" s="542"/>
      <c r="N57" s="554">
        <f t="shared" si="0"/>
        <v>0</v>
      </c>
      <c r="O57" s="554">
        <f t="shared" si="1"/>
        <v>0</v>
      </c>
      <c r="P57" s="555" t="e">
        <f>(O57/O296)*100</f>
        <v>#DIV/0!</v>
      </c>
      <c r="Q57" s="567"/>
      <c r="R57" s="555" t="e">
        <f t="shared" si="2"/>
        <v>#DIV/0!</v>
      </c>
      <c r="S57" s="564"/>
      <c r="T57" s="565"/>
      <c r="U57" s="2560"/>
      <c r="V57" s="571"/>
      <c r="W57" s="566">
        <f t="shared" si="3"/>
        <v>0</v>
      </c>
      <c r="X57" s="566">
        <f t="shared" si="4"/>
        <v>0</v>
      </c>
      <c r="Y57" s="566">
        <f t="shared" si="5"/>
        <v>0</v>
      </c>
      <c r="Z57" s="566">
        <f t="shared" si="6"/>
        <v>0</v>
      </c>
      <c r="AA57" s="566">
        <f t="shared" si="7"/>
        <v>0</v>
      </c>
      <c r="AB57" s="566">
        <f t="shared" si="8"/>
        <v>0</v>
      </c>
      <c r="AC57" s="566">
        <f t="shared" si="9"/>
        <v>0</v>
      </c>
      <c r="AD57" s="566">
        <f t="shared" si="10"/>
        <v>0</v>
      </c>
      <c r="AE57" s="566">
        <f t="shared" si="11"/>
        <v>0</v>
      </c>
      <c r="AF57" s="566">
        <f t="shared" si="12"/>
        <v>0</v>
      </c>
      <c r="AG57" s="573"/>
    </row>
    <row r="58" spans="1:33" ht="25.15" customHeight="1">
      <c r="A58" s="543">
        <v>51</v>
      </c>
      <c r="B58" s="546" t="s">
        <v>1320</v>
      </c>
      <c r="C58" s="667"/>
      <c r="D58" s="542"/>
      <c r="E58" s="542"/>
      <c r="F58" s="542"/>
      <c r="G58" s="542"/>
      <c r="H58" s="542"/>
      <c r="I58" s="542"/>
      <c r="J58" s="542"/>
      <c r="K58" s="542"/>
      <c r="L58" s="542"/>
      <c r="M58" s="542"/>
      <c r="N58" s="554">
        <f t="shared" si="0"/>
        <v>0</v>
      </c>
      <c r="O58" s="554">
        <f t="shared" si="1"/>
        <v>0</v>
      </c>
      <c r="P58" s="555" t="e">
        <f>(O58/O296)*100</f>
        <v>#DIV/0!</v>
      </c>
      <c r="Q58" s="567"/>
      <c r="R58" s="555" t="e">
        <f t="shared" si="2"/>
        <v>#DIV/0!</v>
      </c>
      <c r="S58" s="564"/>
      <c r="T58" s="565"/>
      <c r="U58" s="2560"/>
      <c r="V58" s="571"/>
      <c r="W58" s="566">
        <f t="shared" si="3"/>
        <v>0</v>
      </c>
      <c r="X58" s="566">
        <f t="shared" si="4"/>
        <v>0</v>
      </c>
      <c r="Y58" s="566">
        <f t="shared" si="5"/>
        <v>0</v>
      </c>
      <c r="Z58" s="566">
        <f t="shared" si="6"/>
        <v>0</v>
      </c>
      <c r="AA58" s="566">
        <f t="shared" si="7"/>
        <v>0</v>
      </c>
      <c r="AB58" s="566">
        <f t="shared" si="8"/>
        <v>0</v>
      </c>
      <c r="AC58" s="566">
        <f t="shared" si="9"/>
        <v>0</v>
      </c>
      <c r="AD58" s="566">
        <f t="shared" si="10"/>
        <v>0</v>
      </c>
      <c r="AE58" s="566">
        <f t="shared" si="11"/>
        <v>0</v>
      </c>
      <c r="AF58" s="566">
        <f t="shared" si="12"/>
        <v>0</v>
      </c>
      <c r="AG58" s="573"/>
    </row>
    <row r="59" spans="1:33" ht="25.15" customHeight="1">
      <c r="A59" s="543">
        <v>52</v>
      </c>
      <c r="B59" s="546"/>
      <c r="C59" s="667"/>
      <c r="D59" s="542"/>
      <c r="E59" s="542"/>
      <c r="F59" s="542"/>
      <c r="G59" s="542"/>
      <c r="H59" s="542"/>
      <c r="I59" s="542"/>
      <c r="J59" s="542"/>
      <c r="K59" s="542"/>
      <c r="L59" s="542"/>
      <c r="M59" s="542"/>
      <c r="N59" s="554">
        <f t="shared" si="0"/>
        <v>0</v>
      </c>
      <c r="O59" s="554">
        <f t="shared" si="1"/>
        <v>0</v>
      </c>
      <c r="P59" s="555" t="e">
        <f>(O59/O296)*100</f>
        <v>#DIV/0!</v>
      </c>
      <c r="Q59" s="570"/>
      <c r="R59" s="555" t="e">
        <f t="shared" si="2"/>
        <v>#DIV/0!</v>
      </c>
      <c r="S59" s="564"/>
      <c r="T59" s="565"/>
      <c r="U59" s="2560"/>
      <c r="V59" s="571"/>
      <c r="W59" s="566">
        <f t="shared" si="3"/>
        <v>0</v>
      </c>
      <c r="X59" s="566">
        <f t="shared" si="4"/>
        <v>0</v>
      </c>
      <c r="Y59" s="566">
        <f t="shared" si="5"/>
        <v>0</v>
      </c>
      <c r="Z59" s="566">
        <f t="shared" si="6"/>
        <v>0</v>
      </c>
      <c r="AA59" s="566">
        <f t="shared" si="7"/>
        <v>0</v>
      </c>
      <c r="AB59" s="566">
        <f t="shared" si="8"/>
        <v>0</v>
      </c>
      <c r="AC59" s="566">
        <f t="shared" si="9"/>
        <v>0</v>
      </c>
      <c r="AD59" s="566">
        <f t="shared" si="10"/>
        <v>0</v>
      </c>
      <c r="AE59" s="566">
        <f t="shared" si="11"/>
        <v>0</v>
      </c>
      <c r="AF59" s="566">
        <f t="shared" si="12"/>
        <v>0</v>
      </c>
      <c r="AG59" s="573"/>
    </row>
    <row r="60" spans="1:33" ht="25.15" customHeight="1">
      <c r="A60" s="543">
        <v>53</v>
      </c>
      <c r="B60" s="546" t="s">
        <v>1621</v>
      </c>
      <c r="C60" s="667"/>
      <c r="D60" s="542"/>
      <c r="E60" s="542"/>
      <c r="F60" s="542"/>
      <c r="G60" s="542"/>
      <c r="H60" s="542"/>
      <c r="I60" s="542"/>
      <c r="J60" s="542"/>
      <c r="K60" s="542"/>
      <c r="L60" s="542"/>
      <c r="M60" s="542"/>
      <c r="N60" s="554">
        <f t="shared" ref="N60:N62" si="65">SUM(D60:M60)</f>
        <v>0</v>
      </c>
      <c r="O60" s="554">
        <f t="shared" ref="O60:O62" si="66">N60*S60</f>
        <v>0</v>
      </c>
      <c r="P60" s="555" t="e">
        <f>(O60/O296)*100</f>
        <v>#DIV/0!</v>
      </c>
      <c r="Q60" s="570"/>
      <c r="R60" s="555" t="e">
        <f t="shared" ref="R60:R62" si="67">P60*Q60</f>
        <v>#DIV/0!</v>
      </c>
      <c r="S60" s="564"/>
      <c r="T60" s="565"/>
      <c r="U60" s="2560"/>
      <c r="V60" s="571"/>
      <c r="W60" s="566">
        <f t="shared" ref="W60:W63" si="68">D60*S60</f>
        <v>0</v>
      </c>
      <c r="X60" s="566">
        <f t="shared" ref="X60:X63" si="69">E60*S60</f>
        <v>0</v>
      </c>
      <c r="Y60" s="566">
        <f t="shared" ref="Y60:Y63" si="70">F60*S60</f>
        <v>0</v>
      </c>
      <c r="Z60" s="566">
        <f t="shared" ref="Z60:Z63" si="71">G60*S60</f>
        <v>0</v>
      </c>
      <c r="AA60" s="566">
        <f t="shared" ref="AA60:AA63" si="72">H60*S60</f>
        <v>0</v>
      </c>
      <c r="AB60" s="566">
        <f t="shared" ref="AB60:AB63" si="73">I60*S60</f>
        <v>0</v>
      </c>
      <c r="AC60" s="566">
        <f t="shared" ref="AC60:AC63" si="74">J60*S60</f>
        <v>0</v>
      </c>
      <c r="AD60" s="566">
        <f t="shared" ref="AD60:AD63" si="75">K60*S60</f>
        <v>0</v>
      </c>
      <c r="AE60" s="566">
        <f t="shared" ref="AE60:AE63" si="76">L60*S60</f>
        <v>0</v>
      </c>
      <c r="AF60" s="566">
        <f t="shared" ref="AF60:AF63" si="77">M60*S60</f>
        <v>0</v>
      </c>
      <c r="AG60" s="573"/>
    </row>
    <row r="61" spans="1:33" ht="25.15" customHeight="1">
      <c r="A61" s="543">
        <v>54</v>
      </c>
      <c r="B61" s="546" t="s">
        <v>1622</v>
      </c>
      <c r="C61" s="667"/>
      <c r="D61" s="542"/>
      <c r="E61" s="542"/>
      <c r="F61" s="542"/>
      <c r="G61" s="542"/>
      <c r="H61" s="542"/>
      <c r="I61" s="542"/>
      <c r="J61" s="542"/>
      <c r="K61" s="542"/>
      <c r="L61" s="542"/>
      <c r="M61" s="542"/>
      <c r="N61" s="554">
        <f t="shared" si="65"/>
        <v>0</v>
      </c>
      <c r="O61" s="554">
        <f t="shared" si="66"/>
        <v>0</v>
      </c>
      <c r="P61" s="555" t="e">
        <f>(O61/O296)*100</f>
        <v>#DIV/0!</v>
      </c>
      <c r="Q61" s="570"/>
      <c r="R61" s="555" t="e">
        <f t="shared" si="67"/>
        <v>#DIV/0!</v>
      </c>
      <c r="S61" s="564"/>
      <c r="T61" s="565"/>
      <c r="U61" s="2560"/>
      <c r="V61" s="571"/>
      <c r="W61" s="566">
        <f t="shared" si="68"/>
        <v>0</v>
      </c>
      <c r="X61" s="566">
        <f t="shared" si="69"/>
        <v>0</v>
      </c>
      <c r="Y61" s="566">
        <f t="shared" si="70"/>
        <v>0</v>
      </c>
      <c r="Z61" s="566">
        <f t="shared" si="71"/>
        <v>0</v>
      </c>
      <c r="AA61" s="566">
        <f t="shared" si="72"/>
        <v>0</v>
      </c>
      <c r="AB61" s="566">
        <f t="shared" si="73"/>
        <v>0</v>
      </c>
      <c r="AC61" s="566">
        <f t="shared" si="74"/>
        <v>0</v>
      </c>
      <c r="AD61" s="566">
        <f t="shared" si="75"/>
        <v>0</v>
      </c>
      <c r="AE61" s="566">
        <f t="shared" si="76"/>
        <v>0</v>
      </c>
      <c r="AF61" s="566">
        <f t="shared" si="77"/>
        <v>0</v>
      </c>
      <c r="AG61" s="573"/>
    </row>
    <row r="62" spans="1:33" ht="25.15" customHeight="1">
      <c r="A62" s="543">
        <v>55</v>
      </c>
      <c r="B62" s="546" t="s">
        <v>1623</v>
      </c>
      <c r="C62" s="667"/>
      <c r="D62" s="542"/>
      <c r="E62" s="542"/>
      <c r="F62" s="542"/>
      <c r="G62" s="542"/>
      <c r="H62" s="542"/>
      <c r="I62" s="542"/>
      <c r="J62" s="542"/>
      <c r="K62" s="542"/>
      <c r="L62" s="542"/>
      <c r="M62" s="542"/>
      <c r="N62" s="554">
        <f t="shared" si="65"/>
        <v>0</v>
      </c>
      <c r="O62" s="554">
        <f t="shared" si="66"/>
        <v>0</v>
      </c>
      <c r="P62" s="555" t="e">
        <f>(O62/O296)*100</f>
        <v>#DIV/0!</v>
      </c>
      <c r="Q62" s="570"/>
      <c r="R62" s="555" t="e">
        <f t="shared" si="67"/>
        <v>#DIV/0!</v>
      </c>
      <c r="S62" s="564"/>
      <c r="T62" s="565"/>
      <c r="U62" s="2560"/>
      <c r="V62" s="571"/>
      <c r="W62" s="566">
        <f t="shared" si="68"/>
        <v>0</v>
      </c>
      <c r="X62" s="566">
        <f t="shared" si="69"/>
        <v>0</v>
      </c>
      <c r="Y62" s="566">
        <f t="shared" si="70"/>
        <v>0</v>
      </c>
      <c r="Z62" s="566">
        <f t="shared" si="71"/>
        <v>0</v>
      </c>
      <c r="AA62" s="566">
        <f t="shared" si="72"/>
        <v>0</v>
      </c>
      <c r="AB62" s="566">
        <f t="shared" si="73"/>
        <v>0</v>
      </c>
      <c r="AC62" s="566">
        <f t="shared" si="74"/>
        <v>0</v>
      </c>
      <c r="AD62" s="566">
        <f t="shared" si="75"/>
        <v>0</v>
      </c>
      <c r="AE62" s="566">
        <f t="shared" si="76"/>
        <v>0</v>
      </c>
      <c r="AF62" s="566">
        <f t="shared" si="77"/>
        <v>0</v>
      </c>
      <c r="AG62" s="573"/>
    </row>
    <row r="63" spans="1:33" ht="25.15" customHeight="1">
      <c r="A63" s="543">
        <v>56</v>
      </c>
      <c r="B63" s="546" t="s">
        <v>1624</v>
      </c>
      <c r="C63" s="667"/>
      <c r="D63" s="542"/>
      <c r="E63" s="542"/>
      <c r="F63" s="542"/>
      <c r="G63" s="542"/>
      <c r="H63" s="542"/>
      <c r="I63" s="542"/>
      <c r="J63" s="542"/>
      <c r="K63" s="542"/>
      <c r="L63" s="542"/>
      <c r="M63" s="542"/>
      <c r="N63" s="554">
        <f t="shared" si="0"/>
        <v>0</v>
      </c>
      <c r="O63" s="554">
        <f t="shared" si="1"/>
        <v>0</v>
      </c>
      <c r="P63" s="555" t="e">
        <f>(O63/O296)*100</f>
        <v>#DIV/0!</v>
      </c>
      <c r="Q63" s="570"/>
      <c r="R63" s="555" t="e">
        <f t="shared" si="2"/>
        <v>#DIV/0!</v>
      </c>
      <c r="S63" s="564"/>
      <c r="T63" s="565"/>
      <c r="U63" s="2560"/>
      <c r="V63" s="571"/>
      <c r="W63" s="566">
        <f t="shared" si="68"/>
        <v>0</v>
      </c>
      <c r="X63" s="566">
        <f t="shared" si="69"/>
        <v>0</v>
      </c>
      <c r="Y63" s="566">
        <f t="shared" si="70"/>
        <v>0</v>
      </c>
      <c r="Z63" s="566">
        <f t="shared" si="71"/>
        <v>0</v>
      </c>
      <c r="AA63" s="566">
        <f t="shared" si="72"/>
        <v>0</v>
      </c>
      <c r="AB63" s="566">
        <f t="shared" si="73"/>
        <v>0</v>
      </c>
      <c r="AC63" s="566">
        <f t="shared" si="74"/>
        <v>0</v>
      </c>
      <c r="AD63" s="566">
        <f t="shared" si="75"/>
        <v>0</v>
      </c>
      <c r="AE63" s="566">
        <f t="shared" si="76"/>
        <v>0</v>
      </c>
      <c r="AF63" s="566">
        <f t="shared" si="77"/>
        <v>0</v>
      </c>
      <c r="AG63" s="573"/>
    </row>
    <row r="64" spans="1:33" ht="25.15" customHeight="1">
      <c r="A64" s="543">
        <v>57</v>
      </c>
      <c r="B64" s="546" t="s">
        <v>1625</v>
      </c>
      <c r="C64" s="667"/>
      <c r="D64" s="542"/>
      <c r="E64" s="542"/>
      <c r="F64" s="542"/>
      <c r="G64" s="542"/>
      <c r="H64" s="542"/>
      <c r="I64" s="542"/>
      <c r="J64" s="542"/>
      <c r="K64" s="542"/>
      <c r="L64" s="542"/>
      <c r="M64" s="542"/>
      <c r="N64" s="554">
        <f t="shared" si="0"/>
        <v>0</v>
      </c>
      <c r="O64" s="554">
        <f t="shared" si="1"/>
        <v>0</v>
      </c>
      <c r="P64" s="555" t="e">
        <f>(O64/O296)*100</f>
        <v>#DIV/0!</v>
      </c>
      <c r="Q64" s="570"/>
      <c r="R64" s="555" t="e">
        <f t="shared" si="2"/>
        <v>#DIV/0!</v>
      </c>
      <c r="S64" s="564"/>
      <c r="T64" s="565"/>
      <c r="U64" s="2560"/>
      <c r="V64" s="571"/>
      <c r="W64" s="566">
        <f t="shared" si="3"/>
        <v>0</v>
      </c>
      <c r="X64" s="566">
        <f t="shared" si="4"/>
        <v>0</v>
      </c>
      <c r="Y64" s="566">
        <f t="shared" si="5"/>
        <v>0</v>
      </c>
      <c r="Z64" s="566">
        <f t="shared" si="6"/>
        <v>0</v>
      </c>
      <c r="AA64" s="566">
        <f t="shared" si="7"/>
        <v>0</v>
      </c>
      <c r="AB64" s="566">
        <f t="shared" si="8"/>
        <v>0</v>
      </c>
      <c r="AC64" s="566">
        <f t="shared" si="9"/>
        <v>0</v>
      </c>
      <c r="AD64" s="566">
        <f t="shared" si="10"/>
        <v>0</v>
      </c>
      <c r="AE64" s="566">
        <f t="shared" si="11"/>
        <v>0</v>
      </c>
      <c r="AF64" s="566">
        <f t="shared" si="12"/>
        <v>0</v>
      </c>
      <c r="AG64" s="573"/>
    </row>
    <row r="65" spans="1:33" ht="25.15" customHeight="1">
      <c r="A65" s="543">
        <v>58</v>
      </c>
      <c r="B65" s="546" t="s">
        <v>1626</v>
      </c>
      <c r="C65" s="667"/>
      <c r="D65" s="542"/>
      <c r="E65" s="542"/>
      <c r="F65" s="542"/>
      <c r="G65" s="542"/>
      <c r="H65" s="542"/>
      <c r="I65" s="542"/>
      <c r="J65" s="542"/>
      <c r="K65" s="542"/>
      <c r="L65" s="542"/>
      <c r="M65" s="542"/>
      <c r="N65" s="554">
        <f t="shared" si="0"/>
        <v>0</v>
      </c>
      <c r="O65" s="554">
        <f t="shared" si="1"/>
        <v>0</v>
      </c>
      <c r="P65" s="555" t="e">
        <f>(O65/O296)*100</f>
        <v>#DIV/0!</v>
      </c>
      <c r="Q65" s="570"/>
      <c r="R65" s="555" t="e">
        <f t="shared" si="2"/>
        <v>#DIV/0!</v>
      </c>
      <c r="S65" s="564"/>
      <c r="T65" s="565"/>
      <c r="U65" s="2560"/>
      <c r="V65" s="571"/>
      <c r="W65" s="566">
        <f t="shared" si="3"/>
        <v>0</v>
      </c>
      <c r="X65" s="566">
        <f t="shared" si="4"/>
        <v>0</v>
      </c>
      <c r="Y65" s="566">
        <f t="shared" si="5"/>
        <v>0</v>
      </c>
      <c r="Z65" s="566">
        <f t="shared" si="6"/>
        <v>0</v>
      </c>
      <c r="AA65" s="566">
        <f t="shared" si="7"/>
        <v>0</v>
      </c>
      <c r="AB65" s="566">
        <f t="shared" si="8"/>
        <v>0</v>
      </c>
      <c r="AC65" s="566">
        <f t="shared" si="9"/>
        <v>0</v>
      </c>
      <c r="AD65" s="566">
        <f t="shared" si="10"/>
        <v>0</v>
      </c>
      <c r="AE65" s="566">
        <f t="shared" si="11"/>
        <v>0</v>
      </c>
      <c r="AF65" s="566">
        <f t="shared" si="12"/>
        <v>0</v>
      </c>
      <c r="AG65" s="573"/>
    </row>
    <row r="66" spans="1:33" ht="25.15" customHeight="1">
      <c r="A66" s="543">
        <v>59</v>
      </c>
      <c r="B66" s="546" t="s">
        <v>1537</v>
      </c>
      <c r="C66" s="667"/>
      <c r="D66" s="542"/>
      <c r="E66" s="542"/>
      <c r="F66" s="542"/>
      <c r="G66" s="542"/>
      <c r="H66" s="542"/>
      <c r="I66" s="542"/>
      <c r="J66" s="542"/>
      <c r="K66" s="542"/>
      <c r="L66" s="542"/>
      <c r="M66" s="542"/>
      <c r="N66" s="554">
        <f t="shared" si="0"/>
        <v>0</v>
      </c>
      <c r="O66" s="554">
        <f t="shared" si="1"/>
        <v>0</v>
      </c>
      <c r="P66" s="555" t="e">
        <f>(O66/O296)*100</f>
        <v>#DIV/0!</v>
      </c>
      <c r="Q66" s="570"/>
      <c r="R66" s="555" t="e">
        <f t="shared" si="2"/>
        <v>#DIV/0!</v>
      </c>
      <c r="S66" s="564"/>
      <c r="T66" s="565"/>
      <c r="U66" s="2560"/>
      <c r="V66" s="571"/>
      <c r="W66" s="566">
        <f t="shared" si="3"/>
        <v>0</v>
      </c>
      <c r="X66" s="566">
        <f t="shared" si="4"/>
        <v>0</v>
      </c>
      <c r="Y66" s="566">
        <f t="shared" si="5"/>
        <v>0</v>
      </c>
      <c r="Z66" s="566">
        <f t="shared" si="6"/>
        <v>0</v>
      </c>
      <c r="AA66" s="566">
        <f t="shared" si="7"/>
        <v>0</v>
      </c>
      <c r="AB66" s="566">
        <f t="shared" si="8"/>
        <v>0</v>
      </c>
      <c r="AC66" s="566">
        <f t="shared" si="9"/>
        <v>0</v>
      </c>
      <c r="AD66" s="566">
        <f t="shared" si="10"/>
        <v>0</v>
      </c>
      <c r="AE66" s="566">
        <f t="shared" si="11"/>
        <v>0</v>
      </c>
      <c r="AF66" s="566">
        <f t="shared" si="12"/>
        <v>0</v>
      </c>
      <c r="AG66" s="573"/>
    </row>
    <row r="67" spans="1:33" ht="25.15" customHeight="1">
      <c r="A67" s="543">
        <v>60</v>
      </c>
      <c r="B67" s="546" t="s">
        <v>1538</v>
      </c>
      <c r="C67" s="667"/>
      <c r="D67" s="542"/>
      <c r="E67" s="542"/>
      <c r="F67" s="542"/>
      <c r="G67" s="542"/>
      <c r="H67" s="542"/>
      <c r="I67" s="542"/>
      <c r="J67" s="542"/>
      <c r="K67" s="542"/>
      <c r="L67" s="542"/>
      <c r="M67" s="542"/>
      <c r="N67" s="554">
        <f t="shared" si="0"/>
        <v>0</v>
      </c>
      <c r="O67" s="554">
        <f t="shared" si="1"/>
        <v>0</v>
      </c>
      <c r="P67" s="555" t="e">
        <f>(O67/O296)*100</f>
        <v>#DIV/0!</v>
      </c>
      <c r="Q67" s="570"/>
      <c r="R67" s="555" t="e">
        <f t="shared" si="2"/>
        <v>#DIV/0!</v>
      </c>
      <c r="S67" s="564"/>
      <c r="T67" s="565"/>
      <c r="U67" s="2560"/>
      <c r="V67" s="571"/>
      <c r="W67" s="566">
        <f t="shared" si="3"/>
        <v>0</v>
      </c>
      <c r="X67" s="566">
        <f t="shared" si="4"/>
        <v>0</v>
      </c>
      <c r="Y67" s="566">
        <f t="shared" si="5"/>
        <v>0</v>
      </c>
      <c r="Z67" s="566">
        <f t="shared" si="6"/>
        <v>0</v>
      </c>
      <c r="AA67" s="566">
        <f t="shared" si="7"/>
        <v>0</v>
      </c>
      <c r="AB67" s="566">
        <f t="shared" si="8"/>
        <v>0</v>
      </c>
      <c r="AC67" s="566">
        <f t="shared" si="9"/>
        <v>0</v>
      </c>
      <c r="AD67" s="566">
        <f t="shared" si="10"/>
        <v>0</v>
      </c>
      <c r="AE67" s="566">
        <f t="shared" si="11"/>
        <v>0</v>
      </c>
      <c r="AF67" s="566">
        <f t="shared" si="12"/>
        <v>0</v>
      </c>
      <c r="AG67" s="573"/>
    </row>
    <row r="68" spans="1:33" ht="25.15" customHeight="1">
      <c r="A68" s="543">
        <v>61</v>
      </c>
      <c r="B68" s="546" t="s">
        <v>1539</v>
      </c>
      <c r="C68" s="667"/>
      <c r="D68" s="542"/>
      <c r="E68" s="542"/>
      <c r="F68" s="542"/>
      <c r="G68" s="542"/>
      <c r="H68" s="542"/>
      <c r="I68" s="542"/>
      <c r="J68" s="542"/>
      <c r="K68" s="542"/>
      <c r="L68" s="542"/>
      <c r="M68" s="542"/>
      <c r="N68" s="554">
        <f t="shared" si="0"/>
        <v>0</v>
      </c>
      <c r="O68" s="554">
        <f t="shared" si="1"/>
        <v>0</v>
      </c>
      <c r="P68" s="555" t="e">
        <f>(O68/O296)*100</f>
        <v>#DIV/0!</v>
      </c>
      <c r="Q68" s="570"/>
      <c r="R68" s="555" t="e">
        <f t="shared" si="2"/>
        <v>#DIV/0!</v>
      </c>
      <c r="S68" s="564"/>
      <c r="T68" s="565"/>
      <c r="U68" s="2560"/>
      <c r="V68" s="571"/>
      <c r="W68" s="566">
        <f t="shared" si="3"/>
        <v>0</v>
      </c>
      <c r="X68" s="566">
        <f t="shared" si="4"/>
        <v>0</v>
      </c>
      <c r="Y68" s="566">
        <f t="shared" si="5"/>
        <v>0</v>
      </c>
      <c r="Z68" s="566">
        <f t="shared" si="6"/>
        <v>0</v>
      </c>
      <c r="AA68" s="566">
        <f t="shared" si="7"/>
        <v>0</v>
      </c>
      <c r="AB68" s="566">
        <f t="shared" si="8"/>
        <v>0</v>
      </c>
      <c r="AC68" s="566">
        <f t="shared" si="9"/>
        <v>0</v>
      </c>
      <c r="AD68" s="566">
        <f t="shared" si="10"/>
        <v>0</v>
      </c>
      <c r="AE68" s="566">
        <f t="shared" si="11"/>
        <v>0</v>
      </c>
      <c r="AF68" s="566">
        <f t="shared" si="12"/>
        <v>0</v>
      </c>
      <c r="AG68" s="573"/>
    </row>
    <row r="69" spans="1:33" ht="25.15" customHeight="1">
      <c r="A69" s="543">
        <v>62</v>
      </c>
      <c r="B69" s="546" t="s">
        <v>1540</v>
      </c>
      <c r="C69" s="667"/>
      <c r="D69" s="542"/>
      <c r="E69" s="542"/>
      <c r="F69" s="542"/>
      <c r="G69" s="542"/>
      <c r="H69" s="542"/>
      <c r="I69" s="542"/>
      <c r="J69" s="542"/>
      <c r="K69" s="542"/>
      <c r="L69" s="542"/>
      <c r="M69" s="542"/>
      <c r="N69" s="554">
        <f t="shared" si="0"/>
        <v>0</v>
      </c>
      <c r="O69" s="554">
        <f t="shared" si="1"/>
        <v>0</v>
      </c>
      <c r="P69" s="555" t="e">
        <f>(O69/O296)*100</f>
        <v>#DIV/0!</v>
      </c>
      <c r="Q69" s="567"/>
      <c r="R69" s="555" t="e">
        <f t="shared" si="2"/>
        <v>#DIV/0!</v>
      </c>
      <c r="S69" s="564"/>
      <c r="T69" s="565"/>
      <c r="U69" s="2560"/>
      <c r="V69" s="571"/>
      <c r="W69" s="566">
        <f t="shared" si="3"/>
        <v>0</v>
      </c>
      <c r="X69" s="566">
        <f t="shared" si="4"/>
        <v>0</v>
      </c>
      <c r="Y69" s="566">
        <f t="shared" si="5"/>
        <v>0</v>
      </c>
      <c r="Z69" s="566">
        <f t="shared" si="6"/>
        <v>0</v>
      </c>
      <c r="AA69" s="566">
        <f t="shared" si="7"/>
        <v>0</v>
      </c>
      <c r="AB69" s="566">
        <f t="shared" si="8"/>
        <v>0</v>
      </c>
      <c r="AC69" s="566">
        <f t="shared" si="9"/>
        <v>0</v>
      </c>
      <c r="AD69" s="566">
        <f t="shared" si="10"/>
        <v>0</v>
      </c>
      <c r="AE69" s="566">
        <f t="shared" si="11"/>
        <v>0</v>
      </c>
      <c r="AF69" s="566">
        <f t="shared" si="12"/>
        <v>0</v>
      </c>
      <c r="AG69" s="573"/>
    </row>
    <row r="70" spans="1:33" ht="25.15" customHeight="1">
      <c r="A70" s="543">
        <v>63</v>
      </c>
      <c r="B70" s="546"/>
      <c r="C70" s="667"/>
      <c r="D70" s="542"/>
      <c r="E70" s="542"/>
      <c r="F70" s="542"/>
      <c r="G70" s="542"/>
      <c r="H70" s="542"/>
      <c r="I70" s="542"/>
      <c r="J70" s="542"/>
      <c r="K70" s="542"/>
      <c r="L70" s="542"/>
      <c r="M70" s="542"/>
      <c r="N70" s="554">
        <f t="shared" si="0"/>
        <v>0</v>
      </c>
      <c r="O70" s="554">
        <f t="shared" si="1"/>
        <v>0</v>
      </c>
      <c r="P70" s="555" t="e">
        <f>(O70/O296)*100</f>
        <v>#DIV/0!</v>
      </c>
      <c r="Q70" s="567"/>
      <c r="R70" s="555" t="e">
        <f t="shared" si="2"/>
        <v>#DIV/0!</v>
      </c>
      <c r="S70" s="564"/>
      <c r="T70" s="565"/>
      <c r="U70" s="2560"/>
      <c r="V70" s="571"/>
      <c r="W70" s="566">
        <f t="shared" si="3"/>
        <v>0</v>
      </c>
      <c r="X70" s="566">
        <f t="shared" si="4"/>
        <v>0</v>
      </c>
      <c r="Y70" s="566">
        <f t="shared" si="5"/>
        <v>0</v>
      </c>
      <c r="Z70" s="566">
        <f t="shared" si="6"/>
        <v>0</v>
      </c>
      <c r="AA70" s="566">
        <f t="shared" si="7"/>
        <v>0</v>
      </c>
      <c r="AB70" s="566">
        <f t="shared" si="8"/>
        <v>0</v>
      </c>
      <c r="AC70" s="566">
        <f t="shared" si="9"/>
        <v>0</v>
      </c>
      <c r="AD70" s="566">
        <f t="shared" si="10"/>
        <v>0</v>
      </c>
      <c r="AE70" s="566">
        <f t="shared" si="11"/>
        <v>0</v>
      </c>
      <c r="AF70" s="566">
        <f t="shared" si="12"/>
        <v>0</v>
      </c>
      <c r="AG70" s="573"/>
    </row>
    <row r="71" spans="1:33" ht="25.15" customHeight="1">
      <c r="A71" s="543">
        <v>64</v>
      </c>
      <c r="B71" s="546" t="s">
        <v>1627</v>
      </c>
      <c r="C71" s="667"/>
      <c r="D71" s="542"/>
      <c r="E71" s="542"/>
      <c r="F71" s="542"/>
      <c r="G71" s="542"/>
      <c r="H71" s="542"/>
      <c r="I71" s="542"/>
      <c r="J71" s="542"/>
      <c r="K71" s="542"/>
      <c r="L71" s="542"/>
      <c r="M71" s="542"/>
      <c r="N71" s="554">
        <f t="shared" ref="N71:N73" si="78">SUM(D71:M71)</f>
        <v>0</v>
      </c>
      <c r="O71" s="554">
        <f t="shared" ref="O71:O73" si="79">N71*S71</f>
        <v>0</v>
      </c>
      <c r="P71" s="555" t="e">
        <f>(O71/O296)*100</f>
        <v>#DIV/0!</v>
      </c>
      <c r="Q71" s="567"/>
      <c r="R71" s="555" t="e">
        <f t="shared" ref="R71:R73" si="80">P71*Q71</f>
        <v>#DIV/0!</v>
      </c>
      <c r="S71" s="564"/>
      <c r="T71" s="565"/>
      <c r="U71" s="2560"/>
      <c r="V71" s="571"/>
      <c r="W71" s="566">
        <f t="shared" ref="W71:W74" si="81">D71*S71</f>
        <v>0</v>
      </c>
      <c r="X71" s="566">
        <f t="shared" ref="X71:X74" si="82">E71*S71</f>
        <v>0</v>
      </c>
      <c r="Y71" s="566">
        <f t="shared" ref="Y71:Y74" si="83">F71*S71</f>
        <v>0</v>
      </c>
      <c r="Z71" s="566">
        <f t="shared" ref="Z71:Z74" si="84">G71*S71</f>
        <v>0</v>
      </c>
      <c r="AA71" s="566">
        <f t="shared" ref="AA71:AA74" si="85">H71*S71</f>
        <v>0</v>
      </c>
      <c r="AB71" s="566">
        <f t="shared" ref="AB71:AB74" si="86">I71*S71</f>
        <v>0</v>
      </c>
      <c r="AC71" s="566">
        <f t="shared" ref="AC71:AC74" si="87">J71*S71</f>
        <v>0</v>
      </c>
      <c r="AD71" s="566">
        <f t="shared" ref="AD71:AD74" si="88">K71*S71</f>
        <v>0</v>
      </c>
      <c r="AE71" s="566">
        <f t="shared" ref="AE71:AE74" si="89">L71*S71</f>
        <v>0</v>
      </c>
      <c r="AF71" s="566">
        <f t="shared" ref="AF71:AF74" si="90">M71*S71</f>
        <v>0</v>
      </c>
      <c r="AG71" s="573"/>
    </row>
    <row r="72" spans="1:33" ht="25.15" customHeight="1">
      <c r="A72" s="543">
        <v>65</v>
      </c>
      <c r="B72" s="546" t="s">
        <v>1628</v>
      </c>
      <c r="C72" s="667"/>
      <c r="D72" s="542"/>
      <c r="E72" s="542"/>
      <c r="F72" s="542"/>
      <c r="G72" s="542"/>
      <c r="H72" s="542"/>
      <c r="I72" s="542"/>
      <c r="J72" s="542"/>
      <c r="K72" s="542"/>
      <c r="L72" s="542"/>
      <c r="M72" s="542"/>
      <c r="N72" s="554">
        <f t="shared" si="78"/>
        <v>0</v>
      </c>
      <c r="O72" s="554">
        <f t="shared" si="79"/>
        <v>0</v>
      </c>
      <c r="P72" s="555" t="e">
        <f>(O72/O296)*100</f>
        <v>#DIV/0!</v>
      </c>
      <c r="Q72" s="567"/>
      <c r="R72" s="555" t="e">
        <f t="shared" si="80"/>
        <v>#DIV/0!</v>
      </c>
      <c r="S72" s="564"/>
      <c r="T72" s="565"/>
      <c r="U72" s="2560"/>
      <c r="V72" s="571"/>
      <c r="W72" s="566">
        <f t="shared" si="81"/>
        <v>0</v>
      </c>
      <c r="X72" s="566">
        <f t="shared" si="82"/>
        <v>0</v>
      </c>
      <c r="Y72" s="566">
        <f t="shared" si="83"/>
        <v>0</v>
      </c>
      <c r="Z72" s="566">
        <f t="shared" si="84"/>
        <v>0</v>
      </c>
      <c r="AA72" s="566">
        <f t="shared" si="85"/>
        <v>0</v>
      </c>
      <c r="AB72" s="566">
        <f t="shared" si="86"/>
        <v>0</v>
      </c>
      <c r="AC72" s="566">
        <f t="shared" si="87"/>
        <v>0</v>
      </c>
      <c r="AD72" s="566">
        <f t="shared" si="88"/>
        <v>0</v>
      </c>
      <c r="AE72" s="566">
        <f t="shared" si="89"/>
        <v>0</v>
      </c>
      <c r="AF72" s="566">
        <f t="shared" si="90"/>
        <v>0</v>
      </c>
      <c r="AG72" s="573"/>
    </row>
    <row r="73" spans="1:33" ht="25.15" customHeight="1">
      <c r="A73" s="543">
        <v>66</v>
      </c>
      <c r="B73" s="546" t="s">
        <v>1629</v>
      </c>
      <c r="C73" s="667"/>
      <c r="D73" s="542"/>
      <c r="E73" s="542"/>
      <c r="F73" s="542"/>
      <c r="G73" s="542"/>
      <c r="H73" s="542"/>
      <c r="I73" s="542"/>
      <c r="J73" s="542"/>
      <c r="K73" s="542"/>
      <c r="L73" s="542"/>
      <c r="M73" s="542"/>
      <c r="N73" s="554">
        <f t="shared" si="78"/>
        <v>0</v>
      </c>
      <c r="O73" s="554">
        <f t="shared" si="79"/>
        <v>0</v>
      </c>
      <c r="P73" s="555" t="e">
        <f>(O73/O296)*100</f>
        <v>#DIV/0!</v>
      </c>
      <c r="Q73" s="567"/>
      <c r="R73" s="555" t="e">
        <f t="shared" si="80"/>
        <v>#DIV/0!</v>
      </c>
      <c r="S73" s="564"/>
      <c r="T73" s="565"/>
      <c r="U73" s="2560"/>
      <c r="V73" s="571"/>
      <c r="W73" s="566">
        <f t="shared" si="81"/>
        <v>0</v>
      </c>
      <c r="X73" s="566">
        <f t="shared" si="82"/>
        <v>0</v>
      </c>
      <c r="Y73" s="566">
        <f t="shared" si="83"/>
        <v>0</v>
      </c>
      <c r="Z73" s="566">
        <f t="shared" si="84"/>
        <v>0</v>
      </c>
      <c r="AA73" s="566">
        <f t="shared" si="85"/>
        <v>0</v>
      </c>
      <c r="AB73" s="566">
        <f t="shared" si="86"/>
        <v>0</v>
      </c>
      <c r="AC73" s="566">
        <f t="shared" si="87"/>
        <v>0</v>
      </c>
      <c r="AD73" s="566">
        <f t="shared" si="88"/>
        <v>0</v>
      </c>
      <c r="AE73" s="566">
        <f t="shared" si="89"/>
        <v>0</v>
      </c>
      <c r="AF73" s="566">
        <f t="shared" si="90"/>
        <v>0</v>
      </c>
      <c r="AG73" s="573"/>
    </row>
    <row r="74" spans="1:33" ht="25.15" customHeight="1">
      <c r="A74" s="543">
        <v>67</v>
      </c>
      <c r="B74" s="546" t="s">
        <v>1630</v>
      </c>
      <c r="C74" s="667"/>
      <c r="D74" s="542"/>
      <c r="E74" s="542"/>
      <c r="F74" s="542"/>
      <c r="G74" s="542"/>
      <c r="H74" s="542"/>
      <c r="I74" s="542"/>
      <c r="J74" s="542"/>
      <c r="K74" s="542"/>
      <c r="L74" s="542"/>
      <c r="M74" s="542"/>
      <c r="N74" s="554">
        <f t="shared" si="0"/>
        <v>0</v>
      </c>
      <c r="O74" s="554">
        <f t="shared" si="1"/>
        <v>0</v>
      </c>
      <c r="P74" s="555" t="e">
        <f>(O74/O296)*100</f>
        <v>#DIV/0!</v>
      </c>
      <c r="Q74" s="567"/>
      <c r="R74" s="555" t="e">
        <f t="shared" si="2"/>
        <v>#DIV/0!</v>
      </c>
      <c r="S74" s="564"/>
      <c r="T74" s="565"/>
      <c r="U74" s="2560"/>
      <c r="V74" s="571"/>
      <c r="W74" s="566">
        <f t="shared" si="81"/>
        <v>0</v>
      </c>
      <c r="X74" s="566">
        <f t="shared" si="82"/>
        <v>0</v>
      </c>
      <c r="Y74" s="566">
        <f t="shared" si="83"/>
        <v>0</v>
      </c>
      <c r="Z74" s="566">
        <f t="shared" si="84"/>
        <v>0</v>
      </c>
      <c r="AA74" s="566">
        <f t="shared" si="85"/>
        <v>0</v>
      </c>
      <c r="AB74" s="566">
        <f t="shared" si="86"/>
        <v>0</v>
      </c>
      <c r="AC74" s="566">
        <f t="shared" si="87"/>
        <v>0</v>
      </c>
      <c r="AD74" s="566">
        <f t="shared" si="88"/>
        <v>0</v>
      </c>
      <c r="AE74" s="566">
        <f t="shared" si="89"/>
        <v>0</v>
      </c>
      <c r="AF74" s="566">
        <f t="shared" si="90"/>
        <v>0</v>
      </c>
      <c r="AG74" s="573"/>
    </row>
    <row r="75" spans="1:33" ht="25.15" customHeight="1">
      <c r="A75" s="543">
        <v>68</v>
      </c>
      <c r="B75" s="546" t="s">
        <v>1631</v>
      </c>
      <c r="C75" s="667"/>
      <c r="D75" s="542"/>
      <c r="E75" s="542"/>
      <c r="F75" s="542"/>
      <c r="G75" s="542"/>
      <c r="H75" s="542"/>
      <c r="I75" s="542"/>
      <c r="J75" s="542"/>
      <c r="K75" s="542"/>
      <c r="L75" s="542"/>
      <c r="M75" s="542"/>
      <c r="N75" s="554">
        <f t="shared" si="0"/>
        <v>0</v>
      </c>
      <c r="O75" s="554">
        <f t="shared" si="1"/>
        <v>0</v>
      </c>
      <c r="P75" s="555" t="e">
        <f>(O75/O296)*100</f>
        <v>#DIV/0!</v>
      </c>
      <c r="Q75" s="567"/>
      <c r="R75" s="555" t="e">
        <f t="shared" si="2"/>
        <v>#DIV/0!</v>
      </c>
      <c r="S75" s="564"/>
      <c r="T75" s="565"/>
      <c r="U75" s="2560"/>
      <c r="V75" s="571"/>
      <c r="W75" s="566">
        <f t="shared" si="3"/>
        <v>0</v>
      </c>
      <c r="X75" s="566">
        <f t="shared" si="4"/>
        <v>0</v>
      </c>
      <c r="Y75" s="566">
        <f t="shared" si="5"/>
        <v>0</v>
      </c>
      <c r="Z75" s="566">
        <f t="shared" si="6"/>
        <v>0</v>
      </c>
      <c r="AA75" s="566">
        <f t="shared" si="7"/>
        <v>0</v>
      </c>
      <c r="AB75" s="566">
        <f t="shared" si="8"/>
        <v>0</v>
      </c>
      <c r="AC75" s="566">
        <f t="shared" si="9"/>
        <v>0</v>
      </c>
      <c r="AD75" s="566">
        <f t="shared" si="10"/>
        <v>0</v>
      </c>
      <c r="AE75" s="566">
        <f t="shared" si="11"/>
        <v>0</v>
      </c>
      <c r="AF75" s="566">
        <f t="shared" si="12"/>
        <v>0</v>
      </c>
      <c r="AG75" s="573"/>
    </row>
    <row r="76" spans="1:33" ht="25.15" customHeight="1">
      <c r="A76" s="543">
        <v>69</v>
      </c>
      <c r="B76" s="546" t="s">
        <v>1632</v>
      </c>
      <c r="C76" s="667"/>
      <c r="D76" s="542"/>
      <c r="E76" s="542"/>
      <c r="F76" s="542"/>
      <c r="G76" s="542"/>
      <c r="H76" s="542"/>
      <c r="I76" s="542"/>
      <c r="J76" s="542"/>
      <c r="K76" s="542"/>
      <c r="L76" s="542"/>
      <c r="M76" s="542"/>
      <c r="N76" s="554">
        <f t="shared" si="0"/>
        <v>0</v>
      </c>
      <c r="O76" s="554">
        <f t="shared" si="1"/>
        <v>0</v>
      </c>
      <c r="P76" s="555" t="e">
        <f>(O76/O296)*100</f>
        <v>#DIV/0!</v>
      </c>
      <c r="Q76" s="567"/>
      <c r="R76" s="555" t="e">
        <f t="shared" si="2"/>
        <v>#DIV/0!</v>
      </c>
      <c r="S76" s="564"/>
      <c r="T76" s="565"/>
      <c r="U76" s="2560"/>
      <c r="V76" s="571"/>
      <c r="W76" s="566">
        <f t="shared" si="3"/>
        <v>0</v>
      </c>
      <c r="X76" s="566">
        <f t="shared" si="4"/>
        <v>0</v>
      </c>
      <c r="Y76" s="566">
        <f t="shared" si="5"/>
        <v>0</v>
      </c>
      <c r="Z76" s="566">
        <f t="shared" si="6"/>
        <v>0</v>
      </c>
      <c r="AA76" s="566">
        <f t="shared" si="7"/>
        <v>0</v>
      </c>
      <c r="AB76" s="566">
        <f t="shared" si="8"/>
        <v>0</v>
      </c>
      <c r="AC76" s="566">
        <f t="shared" si="9"/>
        <v>0</v>
      </c>
      <c r="AD76" s="566">
        <f t="shared" si="10"/>
        <v>0</v>
      </c>
      <c r="AE76" s="566">
        <f t="shared" si="11"/>
        <v>0</v>
      </c>
      <c r="AF76" s="566">
        <f t="shared" si="12"/>
        <v>0</v>
      </c>
      <c r="AG76" s="573"/>
    </row>
    <row r="77" spans="1:33" ht="25.15" customHeight="1">
      <c r="A77" s="543">
        <v>70</v>
      </c>
      <c r="B77" s="546" t="s">
        <v>1544</v>
      </c>
      <c r="C77" s="667"/>
      <c r="D77" s="542"/>
      <c r="E77" s="542"/>
      <c r="F77" s="542"/>
      <c r="G77" s="542"/>
      <c r="H77" s="542"/>
      <c r="I77" s="542"/>
      <c r="J77" s="542"/>
      <c r="K77" s="542"/>
      <c r="L77" s="542"/>
      <c r="M77" s="542"/>
      <c r="N77" s="554">
        <f t="shared" si="0"/>
        <v>0</v>
      </c>
      <c r="O77" s="554">
        <f t="shared" si="1"/>
        <v>0</v>
      </c>
      <c r="P77" s="555" t="e">
        <f>(O77/O296)*100</f>
        <v>#DIV/0!</v>
      </c>
      <c r="Q77" s="567"/>
      <c r="R77" s="555" t="e">
        <f t="shared" si="2"/>
        <v>#DIV/0!</v>
      </c>
      <c r="S77" s="564"/>
      <c r="T77" s="565"/>
      <c r="U77" s="2560"/>
      <c r="V77" s="571"/>
      <c r="W77" s="566">
        <f t="shared" si="3"/>
        <v>0</v>
      </c>
      <c r="X77" s="566">
        <f t="shared" si="4"/>
        <v>0</v>
      </c>
      <c r="Y77" s="566">
        <f t="shared" si="5"/>
        <v>0</v>
      </c>
      <c r="Z77" s="566">
        <f t="shared" si="6"/>
        <v>0</v>
      </c>
      <c r="AA77" s="566">
        <f t="shared" si="7"/>
        <v>0</v>
      </c>
      <c r="AB77" s="566">
        <f t="shared" si="8"/>
        <v>0</v>
      </c>
      <c r="AC77" s="566">
        <f t="shared" si="9"/>
        <v>0</v>
      </c>
      <c r="AD77" s="566">
        <f t="shared" si="10"/>
        <v>0</v>
      </c>
      <c r="AE77" s="566">
        <f t="shared" si="11"/>
        <v>0</v>
      </c>
      <c r="AF77" s="566">
        <f t="shared" si="12"/>
        <v>0</v>
      </c>
      <c r="AG77" s="573"/>
    </row>
    <row r="78" spans="1:33" ht="25.15" customHeight="1">
      <c r="A78" s="543">
        <v>71</v>
      </c>
      <c r="B78" s="546" t="s">
        <v>1545</v>
      </c>
      <c r="C78" s="667"/>
      <c r="D78" s="542"/>
      <c r="E78" s="542"/>
      <c r="F78" s="542"/>
      <c r="G78" s="542"/>
      <c r="H78" s="542"/>
      <c r="I78" s="542"/>
      <c r="J78" s="542"/>
      <c r="K78" s="542"/>
      <c r="L78" s="542"/>
      <c r="M78" s="542"/>
      <c r="N78" s="554">
        <f t="shared" si="0"/>
        <v>0</v>
      </c>
      <c r="O78" s="554">
        <f t="shared" si="1"/>
        <v>0</v>
      </c>
      <c r="P78" s="555" t="e">
        <f>(O78/O296)*100</f>
        <v>#DIV/0!</v>
      </c>
      <c r="Q78" s="567"/>
      <c r="R78" s="555" t="e">
        <f t="shared" si="2"/>
        <v>#DIV/0!</v>
      </c>
      <c r="S78" s="564"/>
      <c r="T78" s="565"/>
      <c r="U78" s="2560"/>
      <c r="V78" s="571"/>
      <c r="W78" s="566">
        <f t="shared" si="3"/>
        <v>0</v>
      </c>
      <c r="X78" s="566">
        <f t="shared" si="4"/>
        <v>0</v>
      </c>
      <c r="Y78" s="566">
        <f t="shared" si="5"/>
        <v>0</v>
      </c>
      <c r="Z78" s="566">
        <f t="shared" si="6"/>
        <v>0</v>
      </c>
      <c r="AA78" s="566">
        <f t="shared" si="7"/>
        <v>0</v>
      </c>
      <c r="AB78" s="566">
        <f t="shared" si="8"/>
        <v>0</v>
      </c>
      <c r="AC78" s="566">
        <f t="shared" si="9"/>
        <v>0</v>
      </c>
      <c r="AD78" s="566">
        <f t="shared" si="10"/>
        <v>0</v>
      </c>
      <c r="AE78" s="566">
        <f t="shared" si="11"/>
        <v>0</v>
      </c>
      <c r="AF78" s="566">
        <f t="shared" si="12"/>
        <v>0</v>
      </c>
      <c r="AG78" s="573"/>
    </row>
    <row r="79" spans="1:33" ht="25.15" customHeight="1">
      <c r="A79" s="543">
        <v>72</v>
      </c>
      <c r="B79" s="546" t="s">
        <v>1546</v>
      </c>
      <c r="C79" s="667"/>
      <c r="D79" s="542"/>
      <c r="E79" s="542"/>
      <c r="F79" s="542"/>
      <c r="G79" s="542"/>
      <c r="H79" s="542"/>
      <c r="I79" s="542"/>
      <c r="J79" s="542"/>
      <c r="K79" s="542"/>
      <c r="L79" s="542"/>
      <c r="M79" s="542"/>
      <c r="N79" s="554">
        <f t="shared" si="0"/>
        <v>0</v>
      </c>
      <c r="O79" s="554">
        <f t="shared" si="1"/>
        <v>0</v>
      </c>
      <c r="P79" s="555" t="e">
        <f>(O79/O296)*100</f>
        <v>#DIV/0!</v>
      </c>
      <c r="Q79" s="567"/>
      <c r="R79" s="555" t="e">
        <f t="shared" si="2"/>
        <v>#DIV/0!</v>
      </c>
      <c r="S79" s="564"/>
      <c r="T79" s="565"/>
      <c r="U79" s="2560"/>
      <c r="V79" s="571"/>
      <c r="W79" s="566">
        <f t="shared" si="3"/>
        <v>0</v>
      </c>
      <c r="X79" s="566">
        <f t="shared" si="4"/>
        <v>0</v>
      </c>
      <c r="Y79" s="566">
        <f t="shared" si="5"/>
        <v>0</v>
      </c>
      <c r="Z79" s="566">
        <f t="shared" si="6"/>
        <v>0</v>
      </c>
      <c r="AA79" s="566">
        <f t="shared" si="7"/>
        <v>0</v>
      </c>
      <c r="AB79" s="566">
        <f t="shared" si="8"/>
        <v>0</v>
      </c>
      <c r="AC79" s="566">
        <f t="shared" si="9"/>
        <v>0</v>
      </c>
      <c r="AD79" s="566">
        <f t="shared" si="10"/>
        <v>0</v>
      </c>
      <c r="AE79" s="566">
        <f t="shared" si="11"/>
        <v>0</v>
      </c>
      <c r="AF79" s="566">
        <f t="shared" si="12"/>
        <v>0</v>
      </c>
      <c r="AG79" s="573"/>
    </row>
    <row r="80" spans="1:33" ht="25.15" customHeight="1">
      <c r="A80" s="543">
        <v>73</v>
      </c>
      <c r="B80" s="546" t="s">
        <v>1547</v>
      </c>
      <c r="C80" s="667"/>
      <c r="D80" s="542"/>
      <c r="E80" s="542"/>
      <c r="F80" s="542"/>
      <c r="G80" s="542"/>
      <c r="H80" s="542"/>
      <c r="I80" s="542"/>
      <c r="J80" s="542"/>
      <c r="K80" s="542"/>
      <c r="L80" s="542"/>
      <c r="M80" s="542"/>
      <c r="N80" s="554">
        <f t="shared" si="0"/>
        <v>0</v>
      </c>
      <c r="O80" s="554">
        <f t="shared" si="1"/>
        <v>0</v>
      </c>
      <c r="P80" s="555" t="e">
        <f>(O80/O296)*100</f>
        <v>#DIV/0!</v>
      </c>
      <c r="Q80" s="567"/>
      <c r="R80" s="555" t="e">
        <f t="shared" si="2"/>
        <v>#DIV/0!</v>
      </c>
      <c r="S80" s="564"/>
      <c r="T80" s="565"/>
      <c r="U80" s="2560"/>
      <c r="V80" s="571"/>
      <c r="W80" s="566">
        <f t="shared" si="3"/>
        <v>0</v>
      </c>
      <c r="X80" s="566">
        <f t="shared" si="4"/>
        <v>0</v>
      </c>
      <c r="Y80" s="566">
        <f t="shared" si="5"/>
        <v>0</v>
      </c>
      <c r="Z80" s="566">
        <f t="shared" si="6"/>
        <v>0</v>
      </c>
      <c r="AA80" s="566">
        <f t="shared" si="7"/>
        <v>0</v>
      </c>
      <c r="AB80" s="566">
        <f t="shared" si="8"/>
        <v>0</v>
      </c>
      <c r="AC80" s="566">
        <f t="shared" si="9"/>
        <v>0</v>
      </c>
      <c r="AD80" s="566">
        <f t="shared" si="10"/>
        <v>0</v>
      </c>
      <c r="AE80" s="566">
        <f t="shared" si="11"/>
        <v>0</v>
      </c>
      <c r="AF80" s="566">
        <f t="shared" si="12"/>
        <v>0</v>
      </c>
      <c r="AG80" s="573"/>
    </row>
    <row r="81" spans="1:35" ht="25.15" customHeight="1">
      <c r="A81" s="543">
        <v>74</v>
      </c>
      <c r="B81" s="546"/>
      <c r="C81" s="667"/>
      <c r="D81" s="542"/>
      <c r="E81" s="542"/>
      <c r="F81" s="542"/>
      <c r="G81" s="542"/>
      <c r="H81" s="542"/>
      <c r="I81" s="542"/>
      <c r="J81" s="542"/>
      <c r="K81" s="542"/>
      <c r="L81" s="542"/>
      <c r="M81" s="542"/>
      <c r="N81" s="554">
        <f t="shared" si="0"/>
        <v>0</v>
      </c>
      <c r="O81" s="554">
        <f t="shared" si="1"/>
        <v>0</v>
      </c>
      <c r="P81" s="555" t="e">
        <f>(O81/O296)*100</f>
        <v>#DIV/0!</v>
      </c>
      <c r="Q81" s="567"/>
      <c r="R81" s="555" t="e">
        <f t="shared" si="2"/>
        <v>#DIV/0!</v>
      </c>
      <c r="S81" s="564"/>
      <c r="T81" s="565"/>
      <c r="U81" s="2560"/>
      <c r="V81" s="571"/>
      <c r="W81" s="566">
        <f t="shared" si="3"/>
        <v>0</v>
      </c>
      <c r="X81" s="566">
        <f t="shared" si="4"/>
        <v>0</v>
      </c>
      <c r="Y81" s="566">
        <f t="shared" si="5"/>
        <v>0</v>
      </c>
      <c r="Z81" s="566">
        <f t="shared" si="6"/>
        <v>0</v>
      </c>
      <c r="AA81" s="566">
        <f t="shared" si="7"/>
        <v>0</v>
      </c>
      <c r="AB81" s="566">
        <f t="shared" si="8"/>
        <v>0</v>
      </c>
      <c r="AC81" s="566">
        <f t="shared" si="9"/>
        <v>0</v>
      </c>
      <c r="AD81" s="566">
        <f t="shared" si="10"/>
        <v>0</v>
      </c>
      <c r="AE81" s="566">
        <f t="shared" si="11"/>
        <v>0</v>
      </c>
      <c r="AF81" s="566">
        <f t="shared" si="12"/>
        <v>0</v>
      </c>
      <c r="AG81" s="573"/>
    </row>
    <row r="82" spans="1:35" ht="25.15" customHeight="1">
      <c r="A82" s="543">
        <v>75</v>
      </c>
      <c r="B82" s="546" t="s">
        <v>1633</v>
      </c>
      <c r="C82" s="667"/>
      <c r="D82" s="542"/>
      <c r="E82" s="542"/>
      <c r="F82" s="542"/>
      <c r="G82" s="542"/>
      <c r="H82" s="542"/>
      <c r="I82" s="542"/>
      <c r="J82" s="542"/>
      <c r="K82" s="542"/>
      <c r="L82" s="542"/>
      <c r="M82" s="542"/>
      <c r="N82" s="554">
        <f t="shared" ref="N82:N84" si="91">SUM(D82:M82)</f>
        <v>0</v>
      </c>
      <c r="O82" s="554">
        <f t="shared" ref="O82:O84" si="92">N82*S82</f>
        <v>0</v>
      </c>
      <c r="P82" s="555" t="e">
        <f>(O82/O296)*100</f>
        <v>#DIV/0!</v>
      </c>
      <c r="Q82" s="567"/>
      <c r="R82" s="555" t="e">
        <f t="shared" ref="R82:R84" si="93">P82*Q82</f>
        <v>#DIV/0!</v>
      </c>
      <c r="S82" s="564"/>
      <c r="T82" s="565"/>
      <c r="U82" s="2560"/>
      <c r="V82" s="571"/>
      <c r="W82" s="566">
        <f t="shared" ref="W82:W85" si="94">D82*S82</f>
        <v>0</v>
      </c>
      <c r="X82" s="566">
        <f t="shared" ref="X82:X85" si="95">E82*S82</f>
        <v>0</v>
      </c>
      <c r="Y82" s="566">
        <f t="shared" ref="Y82:Y85" si="96">F82*S82</f>
        <v>0</v>
      </c>
      <c r="Z82" s="566">
        <f t="shared" ref="Z82:Z85" si="97">G82*S82</f>
        <v>0</v>
      </c>
      <c r="AA82" s="566">
        <f t="shared" ref="AA82:AA85" si="98">H82*S82</f>
        <v>0</v>
      </c>
      <c r="AB82" s="566">
        <f t="shared" ref="AB82:AB85" si="99">I82*S82</f>
        <v>0</v>
      </c>
      <c r="AC82" s="566">
        <f t="shared" ref="AC82:AC85" si="100">J82*S82</f>
        <v>0</v>
      </c>
      <c r="AD82" s="566">
        <f t="shared" ref="AD82:AD85" si="101">K82*S82</f>
        <v>0</v>
      </c>
      <c r="AE82" s="566">
        <f t="shared" ref="AE82:AE85" si="102">L82*S82</f>
        <v>0</v>
      </c>
      <c r="AF82" s="566">
        <f t="shared" ref="AF82:AF85" si="103">M82*S82</f>
        <v>0</v>
      </c>
      <c r="AG82" s="573"/>
    </row>
    <row r="83" spans="1:35" ht="25.15" customHeight="1">
      <c r="A83" s="543">
        <v>76</v>
      </c>
      <c r="B83" s="546" t="s">
        <v>1634</v>
      </c>
      <c r="C83" s="667"/>
      <c r="D83" s="542"/>
      <c r="E83" s="542"/>
      <c r="F83" s="542"/>
      <c r="G83" s="542"/>
      <c r="H83" s="542"/>
      <c r="I83" s="542"/>
      <c r="J83" s="542"/>
      <c r="K83" s="542"/>
      <c r="L83" s="542"/>
      <c r="M83" s="542"/>
      <c r="N83" s="554">
        <f t="shared" si="91"/>
        <v>0</v>
      </c>
      <c r="O83" s="554">
        <f t="shared" si="92"/>
        <v>0</v>
      </c>
      <c r="P83" s="555" t="e">
        <f>(O83/O296)*100</f>
        <v>#DIV/0!</v>
      </c>
      <c r="Q83" s="567"/>
      <c r="R83" s="555" t="e">
        <f t="shared" si="93"/>
        <v>#DIV/0!</v>
      </c>
      <c r="S83" s="564"/>
      <c r="T83" s="565"/>
      <c r="U83" s="2560"/>
      <c r="V83" s="571"/>
      <c r="W83" s="566">
        <f t="shared" si="94"/>
        <v>0</v>
      </c>
      <c r="X83" s="566">
        <f t="shared" si="95"/>
        <v>0</v>
      </c>
      <c r="Y83" s="566">
        <f t="shared" si="96"/>
        <v>0</v>
      </c>
      <c r="Z83" s="566">
        <f t="shared" si="97"/>
        <v>0</v>
      </c>
      <c r="AA83" s="566">
        <f t="shared" si="98"/>
        <v>0</v>
      </c>
      <c r="AB83" s="566">
        <f t="shared" si="99"/>
        <v>0</v>
      </c>
      <c r="AC83" s="566">
        <f t="shared" si="100"/>
        <v>0</v>
      </c>
      <c r="AD83" s="566">
        <f t="shared" si="101"/>
        <v>0</v>
      </c>
      <c r="AE83" s="566">
        <f t="shared" si="102"/>
        <v>0</v>
      </c>
      <c r="AF83" s="566">
        <f t="shared" si="103"/>
        <v>0</v>
      </c>
      <c r="AG83" s="573"/>
    </row>
    <row r="84" spans="1:35" ht="25.15" customHeight="1">
      <c r="A84" s="543">
        <v>77</v>
      </c>
      <c r="B84" s="546" t="s">
        <v>1635</v>
      </c>
      <c r="C84" s="667"/>
      <c r="D84" s="542"/>
      <c r="E84" s="542"/>
      <c r="F84" s="542"/>
      <c r="G84" s="542"/>
      <c r="H84" s="542"/>
      <c r="I84" s="542"/>
      <c r="J84" s="542"/>
      <c r="K84" s="542"/>
      <c r="L84" s="542"/>
      <c r="M84" s="542"/>
      <c r="N84" s="554">
        <f t="shared" si="91"/>
        <v>0</v>
      </c>
      <c r="O84" s="554">
        <f t="shared" si="92"/>
        <v>0</v>
      </c>
      <c r="P84" s="555" t="e">
        <f>(O84/O296)*100</f>
        <v>#DIV/0!</v>
      </c>
      <c r="Q84" s="567"/>
      <c r="R84" s="555" t="e">
        <f t="shared" si="93"/>
        <v>#DIV/0!</v>
      </c>
      <c r="S84" s="564"/>
      <c r="T84" s="565"/>
      <c r="U84" s="2560"/>
      <c r="V84" s="571"/>
      <c r="W84" s="566">
        <f t="shared" si="94"/>
        <v>0</v>
      </c>
      <c r="X84" s="566">
        <f t="shared" si="95"/>
        <v>0</v>
      </c>
      <c r="Y84" s="566">
        <f t="shared" si="96"/>
        <v>0</v>
      </c>
      <c r="Z84" s="566">
        <f t="shared" si="97"/>
        <v>0</v>
      </c>
      <c r="AA84" s="566">
        <f t="shared" si="98"/>
        <v>0</v>
      </c>
      <c r="AB84" s="566">
        <f t="shared" si="99"/>
        <v>0</v>
      </c>
      <c r="AC84" s="566">
        <f t="shared" si="100"/>
        <v>0</v>
      </c>
      <c r="AD84" s="566">
        <f t="shared" si="101"/>
        <v>0</v>
      </c>
      <c r="AE84" s="566">
        <f t="shared" si="102"/>
        <v>0</v>
      </c>
      <c r="AF84" s="566">
        <f t="shared" si="103"/>
        <v>0</v>
      </c>
      <c r="AG84" s="573"/>
    </row>
    <row r="85" spans="1:35" ht="25.15" customHeight="1">
      <c r="A85" s="543">
        <v>78</v>
      </c>
      <c r="B85" s="546" t="s">
        <v>1636</v>
      </c>
      <c r="C85" s="667"/>
      <c r="D85" s="542"/>
      <c r="E85" s="542"/>
      <c r="F85" s="542"/>
      <c r="G85" s="542"/>
      <c r="H85" s="542"/>
      <c r="I85" s="542"/>
      <c r="J85" s="542"/>
      <c r="K85" s="542"/>
      <c r="L85" s="542"/>
      <c r="M85" s="542"/>
      <c r="N85" s="554">
        <f t="shared" si="0"/>
        <v>0</v>
      </c>
      <c r="O85" s="554">
        <f t="shared" si="1"/>
        <v>0</v>
      </c>
      <c r="P85" s="555" t="e">
        <f>(O85/O296)*100</f>
        <v>#DIV/0!</v>
      </c>
      <c r="Q85" s="567"/>
      <c r="R85" s="555" t="e">
        <f t="shared" si="2"/>
        <v>#DIV/0!</v>
      </c>
      <c r="S85" s="564"/>
      <c r="T85" s="565"/>
      <c r="U85" s="2560"/>
      <c r="V85" s="571"/>
      <c r="W85" s="566">
        <f t="shared" si="94"/>
        <v>0</v>
      </c>
      <c r="X85" s="566">
        <f t="shared" si="95"/>
        <v>0</v>
      </c>
      <c r="Y85" s="566">
        <f t="shared" si="96"/>
        <v>0</v>
      </c>
      <c r="Z85" s="566">
        <f t="shared" si="97"/>
        <v>0</v>
      </c>
      <c r="AA85" s="566">
        <f t="shared" si="98"/>
        <v>0</v>
      </c>
      <c r="AB85" s="566">
        <f t="shared" si="99"/>
        <v>0</v>
      </c>
      <c r="AC85" s="566">
        <f t="shared" si="100"/>
        <v>0</v>
      </c>
      <c r="AD85" s="566">
        <f t="shared" si="101"/>
        <v>0</v>
      </c>
      <c r="AE85" s="566">
        <f t="shared" si="102"/>
        <v>0</v>
      </c>
      <c r="AF85" s="566">
        <f t="shared" si="103"/>
        <v>0</v>
      </c>
      <c r="AG85" s="573"/>
    </row>
    <row r="86" spans="1:35" ht="25.15" customHeight="1">
      <c r="A86" s="543">
        <v>79</v>
      </c>
      <c r="B86" s="546" t="s">
        <v>1637</v>
      </c>
      <c r="C86" s="667"/>
      <c r="D86" s="542"/>
      <c r="E86" s="542"/>
      <c r="F86" s="542"/>
      <c r="G86" s="542"/>
      <c r="H86" s="542"/>
      <c r="I86" s="542"/>
      <c r="J86" s="542"/>
      <c r="K86" s="542"/>
      <c r="L86" s="542"/>
      <c r="M86" s="542"/>
      <c r="N86" s="554">
        <f t="shared" si="0"/>
        <v>0</v>
      </c>
      <c r="O86" s="554">
        <f t="shared" si="1"/>
        <v>0</v>
      </c>
      <c r="P86" s="555" t="e">
        <f>(O86/O296)*100</f>
        <v>#DIV/0!</v>
      </c>
      <c r="Q86" s="567"/>
      <c r="R86" s="555" t="e">
        <f t="shared" si="2"/>
        <v>#DIV/0!</v>
      </c>
      <c r="S86" s="564"/>
      <c r="T86" s="565"/>
      <c r="U86" s="2560"/>
      <c r="V86" s="571"/>
      <c r="W86" s="566">
        <f t="shared" si="3"/>
        <v>0</v>
      </c>
      <c r="X86" s="566">
        <f t="shared" si="4"/>
        <v>0</v>
      </c>
      <c r="Y86" s="566">
        <f t="shared" si="5"/>
        <v>0</v>
      </c>
      <c r="Z86" s="566">
        <f t="shared" si="6"/>
        <v>0</v>
      </c>
      <c r="AA86" s="566">
        <f t="shared" si="7"/>
        <v>0</v>
      </c>
      <c r="AB86" s="566">
        <f t="shared" si="8"/>
        <v>0</v>
      </c>
      <c r="AC86" s="566">
        <f t="shared" si="9"/>
        <v>0</v>
      </c>
      <c r="AD86" s="566">
        <f t="shared" si="10"/>
        <v>0</v>
      </c>
      <c r="AE86" s="566">
        <f t="shared" si="11"/>
        <v>0</v>
      </c>
      <c r="AF86" s="566">
        <f t="shared" si="12"/>
        <v>0</v>
      </c>
      <c r="AG86" s="573"/>
    </row>
    <row r="87" spans="1:35" ht="25.15" customHeight="1">
      <c r="A87" s="543">
        <v>80</v>
      </c>
      <c r="B87" s="546" t="s">
        <v>1638</v>
      </c>
      <c r="C87" s="667"/>
      <c r="D87" s="542"/>
      <c r="E87" s="542"/>
      <c r="F87" s="542"/>
      <c r="G87" s="542"/>
      <c r="H87" s="542"/>
      <c r="I87" s="542"/>
      <c r="J87" s="542"/>
      <c r="K87" s="542"/>
      <c r="L87" s="542"/>
      <c r="M87" s="542"/>
      <c r="N87" s="554">
        <f t="shared" si="0"/>
        <v>0</v>
      </c>
      <c r="O87" s="554">
        <f t="shared" si="1"/>
        <v>0</v>
      </c>
      <c r="P87" s="555" t="e">
        <f>(O87/O296)*100</f>
        <v>#DIV/0!</v>
      </c>
      <c r="Q87" s="570"/>
      <c r="R87" s="555" t="e">
        <f t="shared" si="2"/>
        <v>#DIV/0!</v>
      </c>
      <c r="S87" s="564"/>
      <c r="T87" s="565"/>
      <c r="U87" s="2560"/>
      <c r="V87" s="571"/>
      <c r="W87" s="566">
        <f t="shared" si="3"/>
        <v>0</v>
      </c>
      <c r="X87" s="566">
        <f t="shared" si="4"/>
        <v>0</v>
      </c>
      <c r="Y87" s="566">
        <f t="shared" si="5"/>
        <v>0</v>
      </c>
      <c r="Z87" s="566">
        <f t="shared" si="6"/>
        <v>0</v>
      </c>
      <c r="AA87" s="566">
        <f t="shared" si="7"/>
        <v>0</v>
      </c>
      <c r="AB87" s="566">
        <f t="shared" si="8"/>
        <v>0</v>
      </c>
      <c r="AC87" s="566">
        <f t="shared" si="9"/>
        <v>0</v>
      </c>
      <c r="AD87" s="566">
        <f t="shared" si="10"/>
        <v>0</v>
      </c>
      <c r="AE87" s="566">
        <f t="shared" si="11"/>
        <v>0</v>
      </c>
      <c r="AF87" s="566">
        <f t="shared" si="12"/>
        <v>0</v>
      </c>
      <c r="AG87" s="573"/>
    </row>
    <row r="88" spans="1:35" ht="25.15" customHeight="1">
      <c r="A88" s="543">
        <v>81</v>
      </c>
      <c r="B88" s="546" t="s">
        <v>1639</v>
      </c>
      <c r="C88" s="667"/>
      <c r="D88" s="542"/>
      <c r="E88" s="542"/>
      <c r="F88" s="542"/>
      <c r="G88" s="542"/>
      <c r="H88" s="542"/>
      <c r="I88" s="542"/>
      <c r="J88" s="542"/>
      <c r="K88" s="542"/>
      <c r="L88" s="542"/>
      <c r="M88" s="542"/>
      <c r="N88" s="554">
        <f t="shared" si="0"/>
        <v>0</v>
      </c>
      <c r="O88" s="554">
        <f t="shared" si="1"/>
        <v>0</v>
      </c>
      <c r="P88" s="555" t="e">
        <f>(O88/O296)*100</f>
        <v>#DIV/0!</v>
      </c>
      <c r="Q88" s="570"/>
      <c r="R88" s="555" t="e">
        <f t="shared" si="2"/>
        <v>#DIV/0!</v>
      </c>
      <c r="S88" s="564"/>
      <c r="T88" s="565"/>
      <c r="U88" s="2560"/>
      <c r="V88" s="571"/>
      <c r="W88" s="566">
        <f t="shared" si="3"/>
        <v>0</v>
      </c>
      <c r="X88" s="566">
        <f t="shared" si="4"/>
        <v>0</v>
      </c>
      <c r="Y88" s="566">
        <f t="shared" si="5"/>
        <v>0</v>
      </c>
      <c r="Z88" s="566">
        <f t="shared" si="6"/>
        <v>0</v>
      </c>
      <c r="AA88" s="566">
        <f t="shared" si="7"/>
        <v>0</v>
      </c>
      <c r="AB88" s="566">
        <f t="shared" si="8"/>
        <v>0</v>
      </c>
      <c r="AC88" s="566">
        <f t="shared" si="9"/>
        <v>0</v>
      </c>
      <c r="AD88" s="566">
        <f t="shared" si="10"/>
        <v>0</v>
      </c>
      <c r="AE88" s="566">
        <f t="shared" si="11"/>
        <v>0</v>
      </c>
      <c r="AF88" s="566">
        <f t="shared" si="12"/>
        <v>0</v>
      </c>
      <c r="AG88" s="573"/>
    </row>
    <row r="89" spans="1:35" ht="25.15" customHeight="1">
      <c r="A89" s="543">
        <v>82</v>
      </c>
      <c r="B89" s="546" t="s">
        <v>1552</v>
      </c>
      <c r="C89" s="667"/>
      <c r="D89" s="542"/>
      <c r="E89" s="542"/>
      <c r="F89" s="542"/>
      <c r="G89" s="542"/>
      <c r="H89" s="542"/>
      <c r="I89" s="542"/>
      <c r="J89" s="542"/>
      <c r="K89" s="542"/>
      <c r="L89" s="542"/>
      <c r="M89" s="542"/>
      <c r="N89" s="554">
        <f t="shared" si="0"/>
        <v>0</v>
      </c>
      <c r="O89" s="554">
        <f t="shared" si="1"/>
        <v>0</v>
      </c>
      <c r="P89" s="555" t="e">
        <f>(O89/O296)*100</f>
        <v>#DIV/0!</v>
      </c>
      <c r="Q89" s="570"/>
      <c r="R89" s="555" t="e">
        <f t="shared" si="2"/>
        <v>#DIV/0!</v>
      </c>
      <c r="S89" s="564"/>
      <c r="T89" s="565"/>
      <c r="U89" s="2560"/>
      <c r="V89" s="571"/>
      <c r="W89" s="566">
        <f t="shared" si="3"/>
        <v>0</v>
      </c>
      <c r="X89" s="566">
        <f t="shared" si="4"/>
        <v>0</v>
      </c>
      <c r="Y89" s="566">
        <f t="shared" si="5"/>
        <v>0</v>
      </c>
      <c r="Z89" s="566">
        <f t="shared" si="6"/>
        <v>0</v>
      </c>
      <c r="AA89" s="566">
        <f t="shared" si="7"/>
        <v>0</v>
      </c>
      <c r="AB89" s="566">
        <f t="shared" si="8"/>
        <v>0</v>
      </c>
      <c r="AC89" s="566">
        <f t="shared" si="9"/>
        <v>0</v>
      </c>
      <c r="AD89" s="566">
        <f t="shared" si="10"/>
        <v>0</v>
      </c>
      <c r="AE89" s="566">
        <f t="shared" si="11"/>
        <v>0</v>
      </c>
      <c r="AF89" s="566">
        <f t="shared" si="12"/>
        <v>0</v>
      </c>
      <c r="AG89" s="573"/>
    </row>
    <row r="90" spans="1:35" ht="25.15" customHeight="1">
      <c r="A90" s="543">
        <v>83</v>
      </c>
      <c r="B90" s="546" t="s">
        <v>1553</v>
      </c>
      <c r="C90" s="667"/>
      <c r="D90" s="542"/>
      <c r="E90" s="542"/>
      <c r="F90" s="542"/>
      <c r="G90" s="542"/>
      <c r="H90" s="542"/>
      <c r="I90" s="542"/>
      <c r="J90" s="542"/>
      <c r="K90" s="542"/>
      <c r="L90" s="542"/>
      <c r="M90" s="542"/>
      <c r="N90" s="554">
        <f t="shared" si="0"/>
        <v>0</v>
      </c>
      <c r="O90" s="554">
        <f t="shared" si="1"/>
        <v>0</v>
      </c>
      <c r="P90" s="555" t="e">
        <f>(O90/O296)*100</f>
        <v>#DIV/0!</v>
      </c>
      <c r="Q90" s="570"/>
      <c r="R90" s="555" t="e">
        <f t="shared" si="2"/>
        <v>#DIV/0!</v>
      </c>
      <c r="S90" s="564"/>
      <c r="T90" s="565"/>
      <c r="U90" s="2560"/>
      <c r="V90" s="571"/>
      <c r="W90" s="566">
        <f t="shared" si="3"/>
        <v>0</v>
      </c>
      <c r="X90" s="566">
        <f t="shared" si="4"/>
        <v>0</v>
      </c>
      <c r="Y90" s="566">
        <f t="shared" si="5"/>
        <v>0</v>
      </c>
      <c r="Z90" s="566">
        <f t="shared" si="6"/>
        <v>0</v>
      </c>
      <c r="AA90" s="566">
        <f t="shared" si="7"/>
        <v>0</v>
      </c>
      <c r="AB90" s="566">
        <f t="shared" si="8"/>
        <v>0</v>
      </c>
      <c r="AC90" s="566">
        <f t="shared" si="9"/>
        <v>0</v>
      </c>
      <c r="AD90" s="566">
        <f t="shared" si="10"/>
        <v>0</v>
      </c>
      <c r="AE90" s="566">
        <f t="shared" si="11"/>
        <v>0</v>
      </c>
      <c r="AF90" s="566">
        <f t="shared" si="12"/>
        <v>0</v>
      </c>
      <c r="AG90" s="573"/>
    </row>
    <row r="91" spans="1:35" ht="25.15" customHeight="1">
      <c r="A91" s="543">
        <v>84</v>
      </c>
      <c r="B91" s="546" t="s">
        <v>1554</v>
      </c>
      <c r="C91" s="667"/>
      <c r="D91" s="542"/>
      <c r="E91" s="542"/>
      <c r="F91" s="542"/>
      <c r="G91" s="542"/>
      <c r="H91" s="542"/>
      <c r="I91" s="542"/>
      <c r="J91" s="542"/>
      <c r="K91" s="542"/>
      <c r="L91" s="542"/>
      <c r="M91" s="542"/>
      <c r="N91" s="554">
        <f t="shared" si="0"/>
        <v>0</v>
      </c>
      <c r="O91" s="554">
        <f t="shared" si="1"/>
        <v>0</v>
      </c>
      <c r="P91" s="555" t="e">
        <f>(O91/O296)*100</f>
        <v>#DIV/0!</v>
      </c>
      <c r="Q91" s="570"/>
      <c r="R91" s="555" t="e">
        <f t="shared" si="2"/>
        <v>#DIV/0!</v>
      </c>
      <c r="S91" s="564"/>
      <c r="T91" s="565"/>
      <c r="U91" s="2560"/>
      <c r="V91" s="571"/>
      <c r="W91" s="566">
        <f t="shared" si="3"/>
        <v>0</v>
      </c>
      <c r="X91" s="566">
        <f t="shared" si="4"/>
        <v>0</v>
      </c>
      <c r="Y91" s="566">
        <f t="shared" si="5"/>
        <v>0</v>
      </c>
      <c r="Z91" s="566">
        <f t="shared" si="6"/>
        <v>0</v>
      </c>
      <c r="AA91" s="566">
        <f t="shared" si="7"/>
        <v>0</v>
      </c>
      <c r="AB91" s="566">
        <f t="shared" si="8"/>
        <v>0</v>
      </c>
      <c r="AC91" s="566">
        <f t="shared" si="9"/>
        <v>0</v>
      </c>
      <c r="AD91" s="566">
        <f t="shared" si="10"/>
        <v>0</v>
      </c>
      <c r="AE91" s="566">
        <f t="shared" si="11"/>
        <v>0</v>
      </c>
      <c r="AF91" s="566">
        <f t="shared" si="12"/>
        <v>0</v>
      </c>
      <c r="AG91" s="573"/>
      <c r="AH91" s="2198"/>
      <c r="AI91" s="2198"/>
    </row>
    <row r="92" spans="1:35" ht="25.15" customHeight="1">
      <c r="A92" s="543">
        <v>85</v>
      </c>
      <c r="B92" s="546"/>
      <c r="C92" s="667"/>
      <c r="D92" s="542"/>
      <c r="E92" s="542"/>
      <c r="F92" s="542"/>
      <c r="G92" s="542"/>
      <c r="H92" s="542"/>
      <c r="I92" s="542"/>
      <c r="J92" s="542"/>
      <c r="K92" s="542"/>
      <c r="L92" s="542"/>
      <c r="M92" s="542"/>
      <c r="N92" s="554">
        <f t="shared" si="0"/>
        <v>0</v>
      </c>
      <c r="O92" s="554">
        <f t="shared" si="1"/>
        <v>0</v>
      </c>
      <c r="P92" s="555" t="e">
        <f>(O92/O296)*100</f>
        <v>#DIV/0!</v>
      </c>
      <c r="Q92" s="570"/>
      <c r="R92" s="555" t="e">
        <f t="shared" si="2"/>
        <v>#DIV/0!</v>
      </c>
      <c r="S92" s="564"/>
      <c r="T92" s="565"/>
      <c r="U92" s="2560"/>
      <c r="V92" s="571"/>
      <c r="W92" s="566">
        <f t="shared" si="3"/>
        <v>0</v>
      </c>
      <c r="X92" s="566">
        <f t="shared" si="4"/>
        <v>0</v>
      </c>
      <c r="Y92" s="566">
        <f t="shared" si="5"/>
        <v>0</v>
      </c>
      <c r="Z92" s="566">
        <f t="shared" si="6"/>
        <v>0</v>
      </c>
      <c r="AA92" s="566">
        <f t="shared" si="7"/>
        <v>0</v>
      </c>
      <c r="AB92" s="566">
        <f t="shared" si="8"/>
        <v>0</v>
      </c>
      <c r="AC92" s="566">
        <f t="shared" si="9"/>
        <v>0</v>
      </c>
      <c r="AD92" s="566">
        <f t="shared" si="10"/>
        <v>0</v>
      </c>
      <c r="AE92" s="566">
        <f t="shared" si="11"/>
        <v>0</v>
      </c>
      <c r="AF92" s="566">
        <f t="shared" si="12"/>
        <v>0</v>
      </c>
      <c r="AG92" s="573"/>
    </row>
    <row r="93" spans="1:35" ht="25.15" customHeight="1">
      <c r="A93" s="543">
        <v>86</v>
      </c>
      <c r="B93" s="546" t="s">
        <v>1640</v>
      </c>
      <c r="C93" s="667"/>
      <c r="D93" s="542"/>
      <c r="E93" s="542"/>
      <c r="F93" s="542"/>
      <c r="G93" s="542"/>
      <c r="H93" s="542"/>
      <c r="I93" s="542"/>
      <c r="J93" s="542"/>
      <c r="K93" s="542"/>
      <c r="L93" s="542"/>
      <c r="M93" s="542"/>
      <c r="N93" s="554">
        <f t="shared" ref="N93:N95" si="104">SUM(D93:M93)</f>
        <v>0</v>
      </c>
      <c r="O93" s="554">
        <f t="shared" ref="O93:O95" si="105">N93*S93</f>
        <v>0</v>
      </c>
      <c r="P93" s="555" t="e">
        <f>(O93/O296)*100</f>
        <v>#DIV/0!</v>
      </c>
      <c r="Q93" s="570"/>
      <c r="R93" s="555" t="e">
        <f t="shared" ref="R93:R95" si="106">P93*Q93</f>
        <v>#DIV/0!</v>
      </c>
      <c r="S93" s="564"/>
      <c r="T93" s="565"/>
      <c r="U93" s="2560"/>
      <c r="V93" s="571"/>
      <c r="W93" s="566">
        <f t="shared" ref="W93:W97" si="107">D93*S93</f>
        <v>0</v>
      </c>
      <c r="X93" s="566">
        <f t="shared" ref="X93:X97" si="108">E93*S93</f>
        <v>0</v>
      </c>
      <c r="Y93" s="566">
        <f t="shared" ref="Y93:Y97" si="109">F93*S93</f>
        <v>0</v>
      </c>
      <c r="Z93" s="566">
        <f t="shared" ref="Z93:Z97" si="110">G93*S93</f>
        <v>0</v>
      </c>
      <c r="AA93" s="566">
        <f t="shared" ref="AA93:AA97" si="111">H93*S93</f>
        <v>0</v>
      </c>
      <c r="AB93" s="566">
        <f t="shared" ref="AB93:AB97" si="112">I93*S93</f>
        <v>0</v>
      </c>
      <c r="AC93" s="566">
        <f t="shared" ref="AC93:AC97" si="113">J93*S93</f>
        <v>0</v>
      </c>
      <c r="AD93" s="566">
        <f t="shared" ref="AD93:AD97" si="114">K93*S93</f>
        <v>0</v>
      </c>
      <c r="AE93" s="566">
        <f t="shared" ref="AE93:AE97" si="115">L93*S93</f>
        <v>0</v>
      </c>
      <c r="AF93" s="566">
        <f t="shared" ref="AF93:AF97" si="116">M93*S93</f>
        <v>0</v>
      </c>
      <c r="AG93" s="573"/>
    </row>
    <row r="94" spans="1:35" ht="25.15" customHeight="1">
      <c r="A94" s="543">
        <v>87</v>
      </c>
      <c r="B94" s="546" t="s">
        <v>1641</v>
      </c>
      <c r="C94" s="667"/>
      <c r="D94" s="542"/>
      <c r="E94" s="542"/>
      <c r="F94" s="542"/>
      <c r="G94" s="542"/>
      <c r="H94" s="542"/>
      <c r="I94" s="542"/>
      <c r="J94" s="542"/>
      <c r="K94" s="542"/>
      <c r="L94" s="542"/>
      <c r="M94" s="542"/>
      <c r="N94" s="554">
        <f t="shared" si="104"/>
        <v>0</v>
      </c>
      <c r="O94" s="554">
        <f t="shared" si="105"/>
        <v>0</v>
      </c>
      <c r="P94" s="555" t="e">
        <f>(O94/O296)*100</f>
        <v>#DIV/0!</v>
      </c>
      <c r="Q94" s="570"/>
      <c r="R94" s="555" t="e">
        <f t="shared" si="106"/>
        <v>#DIV/0!</v>
      </c>
      <c r="S94" s="564"/>
      <c r="T94" s="565"/>
      <c r="U94" s="2560"/>
      <c r="V94" s="571"/>
      <c r="W94" s="566">
        <f t="shared" si="107"/>
        <v>0</v>
      </c>
      <c r="X94" s="566">
        <f t="shared" si="108"/>
        <v>0</v>
      </c>
      <c r="Y94" s="566">
        <f t="shared" si="109"/>
        <v>0</v>
      </c>
      <c r="Z94" s="566">
        <f t="shared" si="110"/>
        <v>0</v>
      </c>
      <c r="AA94" s="566">
        <f t="shared" si="111"/>
        <v>0</v>
      </c>
      <c r="AB94" s="566">
        <f t="shared" si="112"/>
        <v>0</v>
      </c>
      <c r="AC94" s="566">
        <f t="shared" si="113"/>
        <v>0</v>
      </c>
      <c r="AD94" s="566">
        <f t="shared" si="114"/>
        <v>0</v>
      </c>
      <c r="AE94" s="566">
        <f t="shared" si="115"/>
        <v>0</v>
      </c>
      <c r="AF94" s="566">
        <f t="shared" si="116"/>
        <v>0</v>
      </c>
      <c r="AG94" s="573"/>
    </row>
    <row r="95" spans="1:35" ht="25.15" customHeight="1">
      <c r="A95" s="543">
        <v>88</v>
      </c>
      <c r="B95" s="546" t="s">
        <v>1642</v>
      </c>
      <c r="C95" s="667"/>
      <c r="D95" s="542"/>
      <c r="E95" s="542"/>
      <c r="F95" s="542"/>
      <c r="G95" s="542"/>
      <c r="H95" s="542"/>
      <c r="I95" s="542"/>
      <c r="J95" s="542"/>
      <c r="K95" s="542"/>
      <c r="L95" s="542"/>
      <c r="M95" s="542"/>
      <c r="N95" s="554">
        <f t="shared" si="104"/>
        <v>0</v>
      </c>
      <c r="O95" s="554">
        <f t="shared" si="105"/>
        <v>0</v>
      </c>
      <c r="P95" s="555" t="e">
        <f>(O95/O296)*100</f>
        <v>#DIV/0!</v>
      </c>
      <c r="Q95" s="570"/>
      <c r="R95" s="555" t="e">
        <f t="shared" si="106"/>
        <v>#DIV/0!</v>
      </c>
      <c r="S95" s="564"/>
      <c r="T95" s="565"/>
      <c r="U95" s="2560"/>
      <c r="V95" s="571"/>
      <c r="W95" s="566">
        <f t="shared" si="107"/>
        <v>0</v>
      </c>
      <c r="X95" s="566">
        <f t="shared" si="108"/>
        <v>0</v>
      </c>
      <c r="Y95" s="566">
        <f t="shared" si="109"/>
        <v>0</v>
      </c>
      <c r="Z95" s="566">
        <f t="shared" si="110"/>
        <v>0</v>
      </c>
      <c r="AA95" s="566">
        <f t="shared" si="111"/>
        <v>0</v>
      </c>
      <c r="AB95" s="566">
        <f t="shared" si="112"/>
        <v>0</v>
      </c>
      <c r="AC95" s="566">
        <f t="shared" si="113"/>
        <v>0</v>
      </c>
      <c r="AD95" s="566">
        <f t="shared" si="114"/>
        <v>0</v>
      </c>
      <c r="AE95" s="566">
        <f t="shared" si="115"/>
        <v>0</v>
      </c>
      <c r="AF95" s="566">
        <f t="shared" si="116"/>
        <v>0</v>
      </c>
      <c r="AG95" s="573"/>
    </row>
    <row r="96" spans="1:35" ht="25.15" customHeight="1">
      <c r="A96" s="543">
        <v>89</v>
      </c>
      <c r="B96" s="546" t="s">
        <v>1643</v>
      </c>
      <c r="C96" s="667"/>
      <c r="D96" s="542"/>
      <c r="E96" s="542"/>
      <c r="F96" s="542"/>
      <c r="G96" s="542"/>
      <c r="H96" s="542"/>
      <c r="I96" s="542"/>
      <c r="J96" s="542"/>
      <c r="K96" s="542"/>
      <c r="L96" s="542"/>
      <c r="M96" s="542"/>
      <c r="N96" s="554">
        <f t="shared" si="0"/>
        <v>0</v>
      </c>
      <c r="O96" s="554">
        <f t="shared" si="1"/>
        <v>0</v>
      </c>
      <c r="P96" s="555" t="e">
        <f>(O96/O296)*100</f>
        <v>#DIV/0!</v>
      </c>
      <c r="Q96" s="570"/>
      <c r="R96" s="555" t="e">
        <f t="shared" si="2"/>
        <v>#DIV/0!</v>
      </c>
      <c r="S96" s="564"/>
      <c r="T96" s="565"/>
      <c r="U96" s="2560"/>
      <c r="V96" s="571"/>
      <c r="W96" s="566">
        <f t="shared" si="107"/>
        <v>0</v>
      </c>
      <c r="X96" s="566">
        <f t="shared" si="108"/>
        <v>0</v>
      </c>
      <c r="Y96" s="566">
        <f t="shared" si="109"/>
        <v>0</v>
      </c>
      <c r="Z96" s="566">
        <f t="shared" si="110"/>
        <v>0</v>
      </c>
      <c r="AA96" s="566">
        <f t="shared" si="111"/>
        <v>0</v>
      </c>
      <c r="AB96" s="566">
        <f t="shared" si="112"/>
        <v>0</v>
      </c>
      <c r="AC96" s="566">
        <f t="shared" si="113"/>
        <v>0</v>
      </c>
      <c r="AD96" s="566">
        <f t="shared" si="114"/>
        <v>0</v>
      </c>
      <c r="AE96" s="566">
        <f t="shared" si="115"/>
        <v>0</v>
      </c>
      <c r="AF96" s="566">
        <f t="shared" si="116"/>
        <v>0</v>
      </c>
      <c r="AG96" s="573"/>
    </row>
    <row r="97" spans="1:33" ht="25.15" customHeight="1">
      <c r="A97" s="543">
        <v>90</v>
      </c>
      <c r="B97" s="546" t="s">
        <v>1644</v>
      </c>
      <c r="C97" s="667"/>
      <c r="D97" s="542"/>
      <c r="E97" s="542"/>
      <c r="F97" s="542"/>
      <c r="G97" s="542"/>
      <c r="H97" s="542"/>
      <c r="I97" s="542"/>
      <c r="J97" s="542"/>
      <c r="K97" s="542"/>
      <c r="L97" s="542"/>
      <c r="M97" s="542"/>
      <c r="N97" s="554">
        <f t="shared" si="0"/>
        <v>0</v>
      </c>
      <c r="O97" s="554">
        <f t="shared" si="1"/>
        <v>0</v>
      </c>
      <c r="P97" s="555" t="e">
        <f>(O97/O296)*100</f>
        <v>#DIV/0!</v>
      </c>
      <c r="Q97" s="570"/>
      <c r="R97" s="555" t="e">
        <f t="shared" si="2"/>
        <v>#DIV/0!</v>
      </c>
      <c r="S97" s="564"/>
      <c r="T97" s="565"/>
      <c r="U97" s="2560"/>
      <c r="V97" s="571"/>
      <c r="W97" s="566">
        <f t="shared" si="107"/>
        <v>0</v>
      </c>
      <c r="X97" s="566">
        <f t="shared" si="108"/>
        <v>0</v>
      </c>
      <c r="Y97" s="566">
        <f t="shared" si="109"/>
        <v>0</v>
      </c>
      <c r="Z97" s="566">
        <f t="shared" si="110"/>
        <v>0</v>
      </c>
      <c r="AA97" s="566">
        <f t="shared" si="111"/>
        <v>0</v>
      </c>
      <c r="AB97" s="566">
        <f t="shared" si="112"/>
        <v>0</v>
      </c>
      <c r="AC97" s="566">
        <f t="shared" si="113"/>
        <v>0</v>
      </c>
      <c r="AD97" s="566">
        <f t="shared" si="114"/>
        <v>0</v>
      </c>
      <c r="AE97" s="566">
        <f t="shared" si="115"/>
        <v>0</v>
      </c>
      <c r="AF97" s="566">
        <f t="shared" si="116"/>
        <v>0</v>
      </c>
      <c r="AG97" s="573"/>
    </row>
    <row r="98" spans="1:33" ht="25.15" customHeight="1">
      <c r="A98" s="543">
        <v>91</v>
      </c>
      <c r="B98" s="546" t="s">
        <v>1645</v>
      </c>
      <c r="C98" s="667"/>
      <c r="D98" s="542"/>
      <c r="E98" s="542"/>
      <c r="F98" s="542"/>
      <c r="G98" s="542"/>
      <c r="H98" s="542"/>
      <c r="I98" s="542"/>
      <c r="J98" s="542"/>
      <c r="K98" s="542"/>
      <c r="L98" s="542"/>
      <c r="M98" s="542"/>
      <c r="N98" s="554">
        <f t="shared" si="0"/>
        <v>0</v>
      </c>
      <c r="O98" s="554">
        <f t="shared" si="1"/>
        <v>0</v>
      </c>
      <c r="P98" s="555" t="e">
        <f>(O98/O296)*100</f>
        <v>#DIV/0!</v>
      </c>
      <c r="Q98" s="570"/>
      <c r="R98" s="555" t="e">
        <f t="shared" si="2"/>
        <v>#DIV/0!</v>
      </c>
      <c r="S98" s="564"/>
      <c r="T98" s="565"/>
      <c r="U98" s="2560"/>
      <c r="V98" s="571"/>
      <c r="W98" s="566">
        <f t="shared" si="3"/>
        <v>0</v>
      </c>
      <c r="X98" s="566">
        <f t="shared" si="4"/>
        <v>0</v>
      </c>
      <c r="Y98" s="566">
        <f t="shared" si="5"/>
        <v>0</v>
      </c>
      <c r="Z98" s="566">
        <f t="shared" si="6"/>
        <v>0</v>
      </c>
      <c r="AA98" s="566">
        <f t="shared" si="7"/>
        <v>0</v>
      </c>
      <c r="AB98" s="566">
        <f t="shared" si="8"/>
        <v>0</v>
      </c>
      <c r="AC98" s="566">
        <f t="shared" si="9"/>
        <v>0</v>
      </c>
      <c r="AD98" s="566">
        <f t="shared" si="10"/>
        <v>0</v>
      </c>
      <c r="AE98" s="566">
        <f t="shared" si="11"/>
        <v>0</v>
      </c>
      <c r="AF98" s="566">
        <f t="shared" si="12"/>
        <v>0</v>
      </c>
      <c r="AG98" s="573"/>
    </row>
    <row r="99" spans="1:33" ht="25.15" customHeight="1">
      <c r="A99" s="543">
        <v>92</v>
      </c>
      <c r="B99" s="546" t="s">
        <v>1558</v>
      </c>
      <c r="C99" s="667"/>
      <c r="D99" s="542"/>
      <c r="E99" s="542"/>
      <c r="F99" s="542"/>
      <c r="G99" s="542"/>
      <c r="H99" s="542"/>
      <c r="I99" s="542"/>
      <c r="J99" s="542"/>
      <c r="K99" s="542"/>
      <c r="L99" s="542"/>
      <c r="M99" s="542"/>
      <c r="N99" s="554">
        <f t="shared" si="0"/>
        <v>0</v>
      </c>
      <c r="O99" s="554">
        <f t="shared" si="1"/>
        <v>0</v>
      </c>
      <c r="P99" s="555" t="e">
        <f>(O99/O296)*100</f>
        <v>#DIV/0!</v>
      </c>
      <c r="Q99" s="570"/>
      <c r="R99" s="555" t="e">
        <f t="shared" si="2"/>
        <v>#DIV/0!</v>
      </c>
      <c r="S99" s="564"/>
      <c r="T99" s="565"/>
      <c r="U99" s="2560"/>
      <c r="V99" s="571"/>
      <c r="W99" s="566">
        <f t="shared" si="3"/>
        <v>0</v>
      </c>
      <c r="X99" s="566">
        <f t="shared" si="4"/>
        <v>0</v>
      </c>
      <c r="Y99" s="566">
        <f t="shared" si="5"/>
        <v>0</v>
      </c>
      <c r="Z99" s="566">
        <f t="shared" si="6"/>
        <v>0</v>
      </c>
      <c r="AA99" s="566">
        <f t="shared" si="7"/>
        <v>0</v>
      </c>
      <c r="AB99" s="566">
        <f t="shared" si="8"/>
        <v>0</v>
      </c>
      <c r="AC99" s="566">
        <f t="shared" si="9"/>
        <v>0</v>
      </c>
      <c r="AD99" s="566">
        <f t="shared" si="10"/>
        <v>0</v>
      </c>
      <c r="AE99" s="566">
        <f t="shared" si="11"/>
        <v>0</v>
      </c>
      <c r="AF99" s="566">
        <f t="shared" si="12"/>
        <v>0</v>
      </c>
      <c r="AG99" s="573"/>
    </row>
    <row r="100" spans="1:33" ht="25.15" customHeight="1">
      <c r="A100" s="543">
        <v>93</v>
      </c>
      <c r="B100" s="546" t="s">
        <v>1559</v>
      </c>
      <c r="C100" s="667"/>
      <c r="D100" s="542"/>
      <c r="E100" s="542"/>
      <c r="F100" s="542"/>
      <c r="G100" s="542"/>
      <c r="H100" s="542"/>
      <c r="I100" s="542"/>
      <c r="J100" s="542"/>
      <c r="K100" s="542"/>
      <c r="L100" s="542"/>
      <c r="M100" s="542"/>
      <c r="N100" s="554">
        <f t="shared" si="0"/>
        <v>0</v>
      </c>
      <c r="O100" s="554">
        <f t="shared" si="1"/>
        <v>0</v>
      </c>
      <c r="P100" s="555" t="e">
        <f>(O100/O296)*100</f>
        <v>#DIV/0!</v>
      </c>
      <c r="Q100" s="570"/>
      <c r="R100" s="555" t="e">
        <f t="shared" si="2"/>
        <v>#DIV/0!</v>
      </c>
      <c r="S100" s="564"/>
      <c r="T100" s="565"/>
      <c r="U100" s="2560"/>
      <c r="V100" s="571"/>
      <c r="W100" s="566">
        <f t="shared" si="3"/>
        <v>0</v>
      </c>
      <c r="X100" s="566">
        <f t="shared" si="4"/>
        <v>0</v>
      </c>
      <c r="Y100" s="566">
        <f t="shared" si="5"/>
        <v>0</v>
      </c>
      <c r="Z100" s="566">
        <f t="shared" si="6"/>
        <v>0</v>
      </c>
      <c r="AA100" s="566">
        <f t="shared" si="7"/>
        <v>0</v>
      </c>
      <c r="AB100" s="566">
        <f t="shared" si="8"/>
        <v>0</v>
      </c>
      <c r="AC100" s="566">
        <f t="shared" si="9"/>
        <v>0</v>
      </c>
      <c r="AD100" s="566">
        <f t="shared" si="10"/>
        <v>0</v>
      </c>
      <c r="AE100" s="566">
        <f t="shared" si="11"/>
        <v>0</v>
      </c>
      <c r="AF100" s="566">
        <f t="shared" si="12"/>
        <v>0</v>
      </c>
      <c r="AG100" s="573"/>
    </row>
    <row r="101" spans="1:33" ht="25.15" customHeight="1">
      <c r="A101" s="543">
        <v>94</v>
      </c>
      <c r="B101" s="546" t="s">
        <v>1560</v>
      </c>
      <c r="C101" s="667"/>
      <c r="D101" s="542"/>
      <c r="E101" s="542"/>
      <c r="F101" s="542"/>
      <c r="G101" s="542"/>
      <c r="H101" s="542"/>
      <c r="I101" s="542"/>
      <c r="J101" s="542"/>
      <c r="K101" s="542"/>
      <c r="L101" s="542"/>
      <c r="M101" s="542"/>
      <c r="N101" s="554">
        <f t="shared" si="0"/>
        <v>0</v>
      </c>
      <c r="O101" s="554">
        <f t="shared" si="1"/>
        <v>0</v>
      </c>
      <c r="P101" s="555" t="e">
        <f>(O101/O296)*100</f>
        <v>#DIV/0!</v>
      </c>
      <c r="Q101" s="570"/>
      <c r="R101" s="555" t="e">
        <f t="shared" si="2"/>
        <v>#DIV/0!</v>
      </c>
      <c r="S101" s="564"/>
      <c r="T101" s="565"/>
      <c r="U101" s="2560"/>
      <c r="V101" s="571"/>
      <c r="W101" s="566">
        <f t="shared" si="3"/>
        <v>0</v>
      </c>
      <c r="X101" s="566">
        <f t="shared" si="4"/>
        <v>0</v>
      </c>
      <c r="Y101" s="566">
        <f t="shared" si="5"/>
        <v>0</v>
      </c>
      <c r="Z101" s="566">
        <f t="shared" si="6"/>
        <v>0</v>
      </c>
      <c r="AA101" s="566">
        <f t="shared" si="7"/>
        <v>0</v>
      </c>
      <c r="AB101" s="566">
        <f t="shared" si="8"/>
        <v>0</v>
      </c>
      <c r="AC101" s="566">
        <f t="shared" si="9"/>
        <v>0</v>
      </c>
      <c r="AD101" s="566">
        <f t="shared" si="10"/>
        <v>0</v>
      </c>
      <c r="AE101" s="566">
        <f t="shared" si="11"/>
        <v>0</v>
      </c>
      <c r="AF101" s="566">
        <f t="shared" si="12"/>
        <v>0</v>
      </c>
      <c r="AG101" s="573"/>
    </row>
    <row r="102" spans="1:33" ht="25.15" customHeight="1">
      <c r="A102" s="543">
        <v>95</v>
      </c>
      <c r="B102" s="546" t="s">
        <v>1646</v>
      </c>
      <c r="C102" s="667"/>
      <c r="D102" s="542"/>
      <c r="E102" s="542"/>
      <c r="F102" s="542"/>
      <c r="G102" s="542"/>
      <c r="H102" s="542"/>
      <c r="I102" s="542"/>
      <c r="J102" s="542"/>
      <c r="K102" s="542"/>
      <c r="L102" s="542"/>
      <c r="M102" s="542"/>
      <c r="N102" s="554">
        <f t="shared" si="0"/>
        <v>0</v>
      </c>
      <c r="O102" s="554">
        <f t="shared" si="1"/>
        <v>0</v>
      </c>
      <c r="P102" s="555" t="e">
        <f>(O102/O296)*100</f>
        <v>#DIV/0!</v>
      </c>
      <c r="Q102" s="570"/>
      <c r="R102" s="555" t="e">
        <f t="shared" si="2"/>
        <v>#DIV/0!</v>
      </c>
      <c r="S102" s="564"/>
      <c r="T102" s="565"/>
      <c r="U102" s="2560"/>
      <c r="V102" s="571"/>
      <c r="W102" s="566">
        <f t="shared" si="3"/>
        <v>0</v>
      </c>
      <c r="X102" s="566">
        <f t="shared" si="4"/>
        <v>0</v>
      </c>
      <c r="Y102" s="566">
        <f t="shared" si="5"/>
        <v>0</v>
      </c>
      <c r="Z102" s="566">
        <f t="shared" si="6"/>
        <v>0</v>
      </c>
      <c r="AA102" s="566">
        <f t="shared" si="7"/>
        <v>0</v>
      </c>
      <c r="AB102" s="566">
        <f t="shared" si="8"/>
        <v>0</v>
      </c>
      <c r="AC102" s="566">
        <f t="shared" si="9"/>
        <v>0</v>
      </c>
      <c r="AD102" s="566">
        <f t="shared" si="10"/>
        <v>0</v>
      </c>
      <c r="AE102" s="566">
        <f t="shared" si="11"/>
        <v>0</v>
      </c>
      <c r="AF102" s="566">
        <f t="shared" si="12"/>
        <v>0</v>
      </c>
      <c r="AG102" s="573"/>
    </row>
    <row r="103" spans="1:33" ht="25.15" customHeight="1">
      <c r="A103" s="543">
        <v>96</v>
      </c>
      <c r="B103" s="546"/>
      <c r="C103" s="667"/>
      <c r="D103" s="542"/>
      <c r="E103" s="542"/>
      <c r="F103" s="542"/>
      <c r="G103" s="542"/>
      <c r="H103" s="542"/>
      <c r="I103" s="542"/>
      <c r="J103" s="542"/>
      <c r="K103" s="542"/>
      <c r="L103" s="542"/>
      <c r="M103" s="542"/>
      <c r="N103" s="554">
        <f t="shared" si="0"/>
        <v>0</v>
      </c>
      <c r="O103" s="554">
        <f t="shared" si="1"/>
        <v>0</v>
      </c>
      <c r="P103" s="555" t="e">
        <f>(O103/O296)*100</f>
        <v>#DIV/0!</v>
      </c>
      <c r="Q103" s="570"/>
      <c r="R103" s="555" t="e">
        <f t="shared" si="2"/>
        <v>#DIV/0!</v>
      </c>
      <c r="S103" s="564"/>
      <c r="T103" s="565"/>
      <c r="U103" s="2560"/>
      <c r="V103" s="571"/>
      <c r="W103" s="566">
        <f t="shared" si="3"/>
        <v>0</v>
      </c>
      <c r="X103" s="566">
        <f t="shared" si="4"/>
        <v>0</v>
      </c>
      <c r="Y103" s="566">
        <f t="shared" si="5"/>
        <v>0</v>
      </c>
      <c r="Z103" s="566">
        <f t="shared" si="6"/>
        <v>0</v>
      </c>
      <c r="AA103" s="566">
        <f t="shared" si="7"/>
        <v>0</v>
      </c>
      <c r="AB103" s="566">
        <f t="shared" si="8"/>
        <v>0</v>
      </c>
      <c r="AC103" s="566">
        <f t="shared" si="9"/>
        <v>0</v>
      </c>
      <c r="AD103" s="566">
        <f t="shared" si="10"/>
        <v>0</v>
      </c>
      <c r="AE103" s="566">
        <f t="shared" si="11"/>
        <v>0</v>
      </c>
      <c r="AF103" s="566">
        <f t="shared" si="12"/>
        <v>0</v>
      </c>
      <c r="AG103" s="573"/>
    </row>
    <row r="104" spans="1:33" ht="25.15" customHeight="1">
      <c r="A104" s="543">
        <v>97</v>
      </c>
      <c r="B104" s="546" t="s">
        <v>1349</v>
      </c>
      <c r="C104" s="667"/>
      <c r="D104" s="542"/>
      <c r="E104" s="542"/>
      <c r="F104" s="542"/>
      <c r="G104" s="542"/>
      <c r="H104" s="542"/>
      <c r="I104" s="542"/>
      <c r="J104" s="542"/>
      <c r="K104" s="542"/>
      <c r="L104" s="542"/>
      <c r="M104" s="542"/>
      <c r="N104" s="554">
        <f t="shared" ref="N104:N135" si="117">SUM(D104:M104)</f>
        <v>0</v>
      </c>
      <c r="O104" s="554">
        <f t="shared" ref="O104:O135" si="118">N104*S104</f>
        <v>0</v>
      </c>
      <c r="P104" s="555" t="e">
        <f>(O104/O296)*100</f>
        <v>#DIV/0!</v>
      </c>
      <c r="Q104" s="570"/>
      <c r="R104" s="555" t="e">
        <f t="shared" ref="R104:R135" si="119">P104*Q104</f>
        <v>#DIV/0!</v>
      </c>
      <c r="S104" s="564"/>
      <c r="T104" s="565"/>
      <c r="U104" s="2560"/>
      <c r="V104" s="571"/>
      <c r="W104" s="566">
        <f t="shared" ref="W104:W135" si="120">D104*S104</f>
        <v>0</v>
      </c>
      <c r="X104" s="566">
        <f t="shared" ref="X104:X135" si="121">E104*S104</f>
        <v>0</v>
      </c>
      <c r="Y104" s="566">
        <f t="shared" ref="Y104:Y135" si="122">F104*S104</f>
        <v>0</v>
      </c>
      <c r="Z104" s="566">
        <f t="shared" ref="Z104:Z135" si="123">G104*S104</f>
        <v>0</v>
      </c>
      <c r="AA104" s="566">
        <f t="shared" ref="AA104:AA135" si="124">H104*S104</f>
        <v>0</v>
      </c>
      <c r="AB104" s="566">
        <f t="shared" ref="AB104:AB135" si="125">I104*S104</f>
        <v>0</v>
      </c>
      <c r="AC104" s="566">
        <f t="shared" ref="AC104:AC135" si="126">J104*S104</f>
        <v>0</v>
      </c>
      <c r="AD104" s="566">
        <f t="shared" ref="AD104:AD135" si="127">K104*S104</f>
        <v>0</v>
      </c>
      <c r="AE104" s="566">
        <f t="shared" ref="AE104:AE135" si="128">L104*S104</f>
        <v>0</v>
      </c>
      <c r="AF104" s="566">
        <f t="shared" ref="AF104:AF135" si="129">M104*S104</f>
        <v>0</v>
      </c>
      <c r="AG104" s="573"/>
    </row>
    <row r="105" spans="1:33" ht="25.15" customHeight="1">
      <c r="A105" s="543">
        <v>98</v>
      </c>
      <c r="B105" s="546" t="s">
        <v>1350</v>
      </c>
      <c r="C105" s="667"/>
      <c r="D105" s="542"/>
      <c r="E105" s="542"/>
      <c r="F105" s="542"/>
      <c r="G105" s="542"/>
      <c r="H105" s="542"/>
      <c r="I105" s="542"/>
      <c r="J105" s="542"/>
      <c r="K105" s="542"/>
      <c r="L105" s="542"/>
      <c r="M105" s="542"/>
      <c r="N105" s="554">
        <f t="shared" si="117"/>
        <v>0</v>
      </c>
      <c r="O105" s="554">
        <f t="shared" si="118"/>
        <v>0</v>
      </c>
      <c r="P105" s="555" t="e">
        <f>(O105/O296)*100</f>
        <v>#DIV/0!</v>
      </c>
      <c r="Q105" s="570"/>
      <c r="R105" s="555" t="e">
        <f t="shared" si="119"/>
        <v>#DIV/0!</v>
      </c>
      <c r="S105" s="564"/>
      <c r="T105" s="565"/>
      <c r="U105" s="571"/>
      <c r="V105" s="571"/>
      <c r="W105" s="566">
        <f t="shared" si="120"/>
        <v>0</v>
      </c>
      <c r="X105" s="566">
        <f t="shared" si="121"/>
        <v>0</v>
      </c>
      <c r="Y105" s="566">
        <f t="shared" si="122"/>
        <v>0</v>
      </c>
      <c r="Z105" s="566">
        <f t="shared" si="123"/>
        <v>0</v>
      </c>
      <c r="AA105" s="566">
        <f t="shared" si="124"/>
        <v>0</v>
      </c>
      <c r="AB105" s="566">
        <f t="shared" si="125"/>
        <v>0</v>
      </c>
      <c r="AC105" s="566">
        <f t="shared" si="126"/>
        <v>0</v>
      </c>
      <c r="AD105" s="566">
        <f t="shared" si="127"/>
        <v>0</v>
      </c>
      <c r="AE105" s="566">
        <f t="shared" si="128"/>
        <v>0</v>
      </c>
      <c r="AF105" s="566">
        <f t="shared" si="129"/>
        <v>0</v>
      </c>
      <c r="AG105" s="573"/>
    </row>
    <row r="106" spans="1:33" ht="25.15" customHeight="1">
      <c r="A106" s="543">
        <v>99</v>
      </c>
      <c r="B106" s="546" t="s">
        <v>1351</v>
      </c>
      <c r="C106" s="667"/>
      <c r="D106" s="542"/>
      <c r="E106" s="542"/>
      <c r="F106" s="542"/>
      <c r="G106" s="542"/>
      <c r="H106" s="542"/>
      <c r="I106" s="542"/>
      <c r="J106" s="542"/>
      <c r="K106" s="542"/>
      <c r="L106" s="542"/>
      <c r="M106" s="542"/>
      <c r="N106" s="554">
        <f t="shared" si="117"/>
        <v>0</v>
      </c>
      <c r="O106" s="554">
        <f t="shared" si="118"/>
        <v>0</v>
      </c>
      <c r="P106" s="555" t="e">
        <f>(O106/O296)*100</f>
        <v>#DIV/0!</v>
      </c>
      <c r="Q106" s="570"/>
      <c r="R106" s="555" t="e">
        <f t="shared" si="119"/>
        <v>#DIV/0!</v>
      </c>
      <c r="S106" s="564"/>
      <c r="T106" s="571"/>
      <c r="U106" s="571"/>
      <c r="V106" s="571"/>
      <c r="W106" s="566">
        <f t="shared" si="120"/>
        <v>0</v>
      </c>
      <c r="X106" s="566">
        <f t="shared" si="121"/>
        <v>0</v>
      </c>
      <c r="Y106" s="566">
        <f t="shared" si="122"/>
        <v>0</v>
      </c>
      <c r="Z106" s="566">
        <f t="shared" si="123"/>
        <v>0</v>
      </c>
      <c r="AA106" s="566">
        <f t="shared" si="124"/>
        <v>0</v>
      </c>
      <c r="AB106" s="566">
        <f t="shared" si="125"/>
        <v>0</v>
      </c>
      <c r="AC106" s="566">
        <f t="shared" si="126"/>
        <v>0</v>
      </c>
      <c r="AD106" s="566">
        <f t="shared" si="127"/>
        <v>0</v>
      </c>
      <c r="AE106" s="566">
        <f t="shared" si="128"/>
        <v>0</v>
      </c>
      <c r="AF106" s="566">
        <f t="shared" si="129"/>
        <v>0</v>
      </c>
      <c r="AG106" s="573"/>
    </row>
    <row r="107" spans="1:33" ht="25.15" customHeight="1">
      <c r="A107" s="543">
        <v>100</v>
      </c>
      <c r="B107" s="546" t="s">
        <v>1352</v>
      </c>
      <c r="C107" s="667"/>
      <c r="D107" s="542"/>
      <c r="E107" s="542"/>
      <c r="F107" s="542"/>
      <c r="G107" s="542"/>
      <c r="H107" s="542"/>
      <c r="I107" s="542"/>
      <c r="J107" s="542"/>
      <c r="K107" s="542"/>
      <c r="L107" s="542"/>
      <c r="M107" s="542"/>
      <c r="N107" s="554">
        <f t="shared" si="117"/>
        <v>0</v>
      </c>
      <c r="O107" s="554">
        <f t="shared" si="118"/>
        <v>0</v>
      </c>
      <c r="P107" s="555" t="e">
        <f>(O107/O296)*100</f>
        <v>#DIV/0!</v>
      </c>
      <c r="Q107" s="570"/>
      <c r="R107" s="555" t="e">
        <f t="shared" si="119"/>
        <v>#DIV/0!</v>
      </c>
      <c r="S107" s="564"/>
      <c r="T107" s="565"/>
      <c r="U107" s="571"/>
      <c r="V107" s="571"/>
      <c r="W107" s="566">
        <f t="shared" si="120"/>
        <v>0</v>
      </c>
      <c r="X107" s="566">
        <f t="shared" si="121"/>
        <v>0</v>
      </c>
      <c r="Y107" s="566">
        <f t="shared" si="122"/>
        <v>0</v>
      </c>
      <c r="Z107" s="566">
        <f t="shared" si="123"/>
        <v>0</v>
      </c>
      <c r="AA107" s="566">
        <f t="shared" si="124"/>
        <v>0</v>
      </c>
      <c r="AB107" s="566">
        <f t="shared" si="125"/>
        <v>0</v>
      </c>
      <c r="AC107" s="566">
        <f t="shared" si="126"/>
        <v>0</v>
      </c>
      <c r="AD107" s="566">
        <f t="shared" si="127"/>
        <v>0</v>
      </c>
      <c r="AE107" s="566">
        <f t="shared" si="128"/>
        <v>0</v>
      </c>
      <c r="AF107" s="566">
        <f t="shared" si="129"/>
        <v>0</v>
      </c>
      <c r="AG107" s="573"/>
    </row>
    <row r="108" spans="1:33" ht="25.15" customHeight="1">
      <c r="A108" s="543">
        <v>101</v>
      </c>
      <c r="B108" s="546"/>
      <c r="C108" s="667"/>
      <c r="D108" s="669"/>
      <c r="E108" s="670"/>
      <c r="F108" s="670"/>
      <c r="G108" s="670"/>
      <c r="H108" s="670"/>
      <c r="I108" s="670"/>
      <c r="J108" s="670"/>
      <c r="K108" s="670"/>
      <c r="L108" s="670"/>
      <c r="M108" s="673"/>
      <c r="N108" s="554">
        <f t="shared" si="117"/>
        <v>0</v>
      </c>
      <c r="O108" s="554">
        <f t="shared" si="118"/>
        <v>0</v>
      </c>
      <c r="P108" s="555" t="e">
        <f>(O108/O296)*100</f>
        <v>#DIV/0!</v>
      </c>
      <c r="Q108" s="570"/>
      <c r="R108" s="555" t="e">
        <f t="shared" si="119"/>
        <v>#DIV/0!</v>
      </c>
      <c r="S108" s="674"/>
      <c r="T108" s="565"/>
      <c r="U108" s="2569" t="s">
        <v>129</v>
      </c>
      <c r="V108" s="571"/>
      <c r="W108" s="566">
        <f t="shared" si="120"/>
        <v>0</v>
      </c>
      <c r="X108" s="566">
        <f t="shared" si="121"/>
        <v>0</v>
      </c>
      <c r="Y108" s="566">
        <f t="shared" si="122"/>
        <v>0</v>
      </c>
      <c r="Z108" s="566">
        <f t="shared" si="123"/>
        <v>0</v>
      </c>
      <c r="AA108" s="566">
        <f t="shared" si="124"/>
        <v>0</v>
      </c>
      <c r="AB108" s="566">
        <f t="shared" si="125"/>
        <v>0</v>
      </c>
      <c r="AC108" s="566">
        <f t="shared" si="126"/>
        <v>0</v>
      </c>
      <c r="AD108" s="566">
        <f t="shared" si="127"/>
        <v>0</v>
      </c>
      <c r="AE108" s="566">
        <f t="shared" si="128"/>
        <v>0</v>
      </c>
      <c r="AF108" s="566">
        <f t="shared" si="129"/>
        <v>0</v>
      </c>
      <c r="AG108" s="573"/>
    </row>
    <row r="109" spans="1:33" ht="25.15" hidden="1" customHeight="1">
      <c r="A109" s="671">
        <v>102</v>
      </c>
      <c r="B109" s="546" t="s">
        <v>1567</v>
      </c>
      <c r="C109" s="672"/>
      <c r="D109" s="669"/>
      <c r="E109" s="670"/>
      <c r="F109" s="670"/>
      <c r="G109" s="670"/>
      <c r="H109" s="670"/>
      <c r="I109" s="670"/>
      <c r="J109" s="670"/>
      <c r="K109" s="670"/>
      <c r="L109" s="670"/>
      <c r="M109" s="673"/>
      <c r="N109" s="554">
        <f t="shared" si="117"/>
        <v>0</v>
      </c>
      <c r="O109" s="554">
        <f t="shared" si="118"/>
        <v>0</v>
      </c>
      <c r="P109" s="555" t="e">
        <f>(O109/O296)*100</f>
        <v>#DIV/0!</v>
      </c>
      <c r="Q109" s="570"/>
      <c r="R109" s="555" t="e">
        <f t="shared" si="119"/>
        <v>#DIV/0!</v>
      </c>
      <c r="S109" s="674"/>
      <c r="T109" s="565"/>
      <c r="U109" s="2569"/>
      <c r="V109" s="571"/>
      <c r="W109" s="566">
        <f t="shared" si="120"/>
        <v>0</v>
      </c>
      <c r="X109" s="566">
        <f t="shared" si="121"/>
        <v>0</v>
      </c>
      <c r="Y109" s="566">
        <f t="shared" si="122"/>
        <v>0</v>
      </c>
      <c r="Z109" s="566">
        <f t="shared" si="123"/>
        <v>0</v>
      </c>
      <c r="AA109" s="566">
        <f t="shared" si="124"/>
        <v>0</v>
      </c>
      <c r="AB109" s="566">
        <f t="shared" si="125"/>
        <v>0</v>
      </c>
      <c r="AC109" s="566">
        <f t="shared" si="126"/>
        <v>0</v>
      </c>
      <c r="AD109" s="566">
        <f t="shared" si="127"/>
        <v>0</v>
      </c>
      <c r="AE109" s="566">
        <f t="shared" si="128"/>
        <v>0</v>
      </c>
      <c r="AF109" s="566">
        <f t="shared" si="129"/>
        <v>0</v>
      </c>
      <c r="AG109" s="573"/>
    </row>
    <row r="110" spans="1:33" ht="25.15" hidden="1" customHeight="1">
      <c r="A110" s="671">
        <v>103</v>
      </c>
      <c r="B110" s="546" t="s">
        <v>1568</v>
      </c>
      <c r="C110" s="672"/>
      <c r="D110" s="669"/>
      <c r="E110" s="670"/>
      <c r="F110" s="670"/>
      <c r="G110" s="670"/>
      <c r="H110" s="670"/>
      <c r="I110" s="670"/>
      <c r="J110" s="670"/>
      <c r="K110" s="670"/>
      <c r="L110" s="670"/>
      <c r="M110" s="673"/>
      <c r="N110" s="554">
        <f t="shared" si="117"/>
        <v>0</v>
      </c>
      <c r="O110" s="554">
        <f t="shared" si="118"/>
        <v>0</v>
      </c>
      <c r="P110" s="555" t="e">
        <f>(O110/O296)*100</f>
        <v>#DIV/0!</v>
      </c>
      <c r="Q110" s="570"/>
      <c r="R110" s="555" t="e">
        <f t="shared" si="119"/>
        <v>#DIV/0!</v>
      </c>
      <c r="S110" s="674"/>
      <c r="T110" s="565"/>
      <c r="U110" s="2569"/>
      <c r="V110" s="571"/>
      <c r="W110" s="566">
        <f t="shared" si="120"/>
        <v>0</v>
      </c>
      <c r="X110" s="566">
        <f t="shared" si="121"/>
        <v>0</v>
      </c>
      <c r="Y110" s="566">
        <f t="shared" si="122"/>
        <v>0</v>
      </c>
      <c r="Z110" s="566">
        <f t="shared" si="123"/>
        <v>0</v>
      </c>
      <c r="AA110" s="566">
        <f t="shared" si="124"/>
        <v>0</v>
      </c>
      <c r="AB110" s="566">
        <f t="shared" si="125"/>
        <v>0</v>
      </c>
      <c r="AC110" s="566">
        <f t="shared" si="126"/>
        <v>0</v>
      </c>
      <c r="AD110" s="566">
        <f t="shared" si="127"/>
        <v>0</v>
      </c>
      <c r="AE110" s="566">
        <f t="shared" si="128"/>
        <v>0</v>
      </c>
      <c r="AF110" s="566">
        <f t="shared" si="129"/>
        <v>0</v>
      </c>
      <c r="AG110" s="573"/>
    </row>
    <row r="111" spans="1:33" ht="25.15" hidden="1" customHeight="1">
      <c r="A111" s="671">
        <v>104</v>
      </c>
      <c r="B111" s="546" t="s">
        <v>1569</v>
      </c>
      <c r="C111" s="672"/>
      <c r="D111" s="669"/>
      <c r="E111" s="670"/>
      <c r="F111" s="670"/>
      <c r="G111" s="670"/>
      <c r="H111" s="670"/>
      <c r="I111" s="670"/>
      <c r="J111" s="670"/>
      <c r="K111" s="670"/>
      <c r="L111" s="670"/>
      <c r="M111" s="673"/>
      <c r="N111" s="554">
        <f t="shared" si="117"/>
        <v>0</v>
      </c>
      <c r="O111" s="554">
        <f t="shared" si="118"/>
        <v>0</v>
      </c>
      <c r="P111" s="555" t="e">
        <f>(O111/O296)*100</f>
        <v>#DIV/0!</v>
      </c>
      <c r="Q111" s="570"/>
      <c r="R111" s="555" t="e">
        <f t="shared" si="119"/>
        <v>#DIV/0!</v>
      </c>
      <c r="S111" s="674"/>
      <c r="T111" s="565"/>
      <c r="U111" s="2569"/>
      <c r="V111" s="571"/>
      <c r="W111" s="566">
        <f t="shared" si="120"/>
        <v>0</v>
      </c>
      <c r="X111" s="566">
        <f t="shared" si="121"/>
        <v>0</v>
      </c>
      <c r="Y111" s="566">
        <f t="shared" si="122"/>
        <v>0</v>
      </c>
      <c r="Z111" s="566">
        <f t="shared" si="123"/>
        <v>0</v>
      </c>
      <c r="AA111" s="566">
        <f t="shared" si="124"/>
        <v>0</v>
      </c>
      <c r="AB111" s="566">
        <f t="shared" si="125"/>
        <v>0</v>
      </c>
      <c r="AC111" s="566">
        <f t="shared" si="126"/>
        <v>0</v>
      </c>
      <c r="AD111" s="566">
        <f t="shared" si="127"/>
        <v>0</v>
      </c>
      <c r="AE111" s="566">
        <f t="shared" si="128"/>
        <v>0</v>
      </c>
      <c r="AF111" s="566">
        <f t="shared" si="129"/>
        <v>0</v>
      </c>
      <c r="AG111" s="573"/>
    </row>
    <row r="112" spans="1:33" ht="25.15" hidden="1" customHeight="1">
      <c r="A112" s="671">
        <v>105</v>
      </c>
      <c r="B112" s="546" t="s">
        <v>1647</v>
      </c>
      <c r="C112" s="672"/>
      <c r="D112" s="669"/>
      <c r="E112" s="670"/>
      <c r="F112" s="670"/>
      <c r="G112" s="670"/>
      <c r="H112" s="670"/>
      <c r="I112" s="670"/>
      <c r="J112" s="670"/>
      <c r="K112" s="670"/>
      <c r="L112" s="670"/>
      <c r="M112" s="673"/>
      <c r="N112" s="554">
        <f t="shared" si="117"/>
        <v>0</v>
      </c>
      <c r="O112" s="554">
        <f t="shared" si="118"/>
        <v>0</v>
      </c>
      <c r="P112" s="555" t="e">
        <f>(O112/O296)*100</f>
        <v>#DIV/0!</v>
      </c>
      <c r="Q112" s="570"/>
      <c r="R112" s="555" t="e">
        <f t="shared" si="119"/>
        <v>#DIV/0!</v>
      </c>
      <c r="S112" s="674"/>
      <c r="T112" s="565"/>
      <c r="U112" s="2569"/>
      <c r="V112" s="571"/>
      <c r="W112" s="566">
        <f t="shared" si="120"/>
        <v>0</v>
      </c>
      <c r="X112" s="566">
        <f t="shared" si="121"/>
        <v>0</v>
      </c>
      <c r="Y112" s="566">
        <f t="shared" si="122"/>
        <v>0</v>
      </c>
      <c r="Z112" s="566">
        <f t="shared" si="123"/>
        <v>0</v>
      </c>
      <c r="AA112" s="566">
        <f t="shared" si="124"/>
        <v>0</v>
      </c>
      <c r="AB112" s="566">
        <f t="shared" si="125"/>
        <v>0</v>
      </c>
      <c r="AC112" s="566">
        <f t="shared" si="126"/>
        <v>0</v>
      </c>
      <c r="AD112" s="566">
        <f t="shared" si="127"/>
        <v>0</v>
      </c>
      <c r="AE112" s="566">
        <f t="shared" si="128"/>
        <v>0</v>
      </c>
      <c r="AF112" s="566">
        <f t="shared" si="129"/>
        <v>0</v>
      </c>
      <c r="AG112" s="573"/>
    </row>
    <row r="113" spans="1:33" ht="25.15" hidden="1" customHeight="1">
      <c r="A113" s="671">
        <v>106</v>
      </c>
      <c r="B113" s="546"/>
      <c r="C113" s="672"/>
      <c r="D113" s="669"/>
      <c r="E113" s="670"/>
      <c r="F113" s="670"/>
      <c r="G113" s="670"/>
      <c r="H113" s="670"/>
      <c r="I113" s="670"/>
      <c r="J113" s="670"/>
      <c r="K113" s="670"/>
      <c r="L113" s="670"/>
      <c r="M113" s="673"/>
      <c r="N113" s="554">
        <f t="shared" si="117"/>
        <v>0</v>
      </c>
      <c r="O113" s="554">
        <f t="shared" si="118"/>
        <v>0</v>
      </c>
      <c r="P113" s="555" t="e">
        <f>(O113/O296)*100</f>
        <v>#DIV/0!</v>
      </c>
      <c r="Q113" s="570"/>
      <c r="R113" s="555" t="e">
        <f t="shared" si="119"/>
        <v>#DIV/0!</v>
      </c>
      <c r="S113" s="674"/>
      <c r="T113" s="565"/>
      <c r="U113" s="2569"/>
      <c r="V113" s="571"/>
      <c r="W113" s="566">
        <f t="shared" si="120"/>
        <v>0</v>
      </c>
      <c r="X113" s="566">
        <f t="shared" si="121"/>
        <v>0</v>
      </c>
      <c r="Y113" s="566">
        <f t="shared" si="122"/>
        <v>0</v>
      </c>
      <c r="Z113" s="566">
        <f t="shared" si="123"/>
        <v>0</v>
      </c>
      <c r="AA113" s="566">
        <f t="shared" si="124"/>
        <v>0</v>
      </c>
      <c r="AB113" s="566">
        <f t="shared" si="125"/>
        <v>0</v>
      </c>
      <c r="AC113" s="566">
        <f t="shared" si="126"/>
        <v>0</v>
      </c>
      <c r="AD113" s="566">
        <f t="shared" si="127"/>
        <v>0</v>
      </c>
      <c r="AE113" s="566">
        <f t="shared" si="128"/>
        <v>0</v>
      </c>
      <c r="AF113" s="566">
        <f t="shared" si="129"/>
        <v>0</v>
      </c>
      <c r="AG113" s="573"/>
    </row>
    <row r="114" spans="1:33" ht="25.15" hidden="1" customHeight="1">
      <c r="A114" s="671">
        <v>107</v>
      </c>
      <c r="B114" s="546" t="s">
        <v>1357</v>
      </c>
      <c r="C114" s="672"/>
      <c r="D114" s="669"/>
      <c r="E114" s="670"/>
      <c r="F114" s="670"/>
      <c r="G114" s="670"/>
      <c r="H114" s="670"/>
      <c r="I114" s="670"/>
      <c r="J114" s="670"/>
      <c r="K114" s="670"/>
      <c r="L114" s="670"/>
      <c r="M114" s="673"/>
      <c r="N114" s="554">
        <f t="shared" si="117"/>
        <v>0</v>
      </c>
      <c r="O114" s="554">
        <f t="shared" si="118"/>
        <v>0</v>
      </c>
      <c r="P114" s="555" t="e">
        <f>(O114/O296)*100</f>
        <v>#DIV/0!</v>
      </c>
      <c r="Q114" s="570"/>
      <c r="R114" s="555" t="e">
        <f t="shared" si="119"/>
        <v>#DIV/0!</v>
      </c>
      <c r="S114" s="674"/>
      <c r="T114" s="565"/>
      <c r="U114" s="2569"/>
      <c r="V114" s="571"/>
      <c r="W114" s="566">
        <f t="shared" si="120"/>
        <v>0</v>
      </c>
      <c r="X114" s="566">
        <f t="shared" si="121"/>
        <v>0</v>
      </c>
      <c r="Y114" s="566">
        <f t="shared" si="122"/>
        <v>0</v>
      </c>
      <c r="Z114" s="566">
        <f t="shared" si="123"/>
        <v>0</v>
      </c>
      <c r="AA114" s="566">
        <f t="shared" si="124"/>
        <v>0</v>
      </c>
      <c r="AB114" s="566">
        <f t="shared" si="125"/>
        <v>0</v>
      </c>
      <c r="AC114" s="566">
        <f t="shared" si="126"/>
        <v>0</v>
      </c>
      <c r="AD114" s="566">
        <f t="shared" si="127"/>
        <v>0</v>
      </c>
      <c r="AE114" s="566">
        <f t="shared" si="128"/>
        <v>0</v>
      </c>
      <c r="AF114" s="566">
        <f t="shared" si="129"/>
        <v>0</v>
      </c>
      <c r="AG114" s="573"/>
    </row>
    <row r="115" spans="1:33" ht="25.15" hidden="1" customHeight="1">
      <c r="A115" s="671">
        <v>108</v>
      </c>
      <c r="B115" s="546" t="s">
        <v>1358</v>
      </c>
      <c r="C115" s="672"/>
      <c r="D115" s="669"/>
      <c r="E115" s="670"/>
      <c r="F115" s="670"/>
      <c r="G115" s="670"/>
      <c r="H115" s="670"/>
      <c r="I115" s="670"/>
      <c r="J115" s="670"/>
      <c r="K115" s="670"/>
      <c r="L115" s="670"/>
      <c r="M115" s="673"/>
      <c r="N115" s="554">
        <f t="shared" si="117"/>
        <v>0</v>
      </c>
      <c r="O115" s="554">
        <f t="shared" si="118"/>
        <v>0</v>
      </c>
      <c r="P115" s="555" t="e">
        <f>(O115/O296)*100</f>
        <v>#DIV/0!</v>
      </c>
      <c r="Q115" s="570"/>
      <c r="R115" s="555" t="e">
        <f t="shared" si="119"/>
        <v>#DIV/0!</v>
      </c>
      <c r="S115" s="674"/>
      <c r="T115" s="565"/>
      <c r="U115" s="2569"/>
      <c r="V115" s="571"/>
      <c r="W115" s="566">
        <f t="shared" si="120"/>
        <v>0</v>
      </c>
      <c r="X115" s="566">
        <f t="shared" si="121"/>
        <v>0</v>
      </c>
      <c r="Y115" s="566">
        <f t="shared" si="122"/>
        <v>0</v>
      </c>
      <c r="Z115" s="566">
        <f t="shared" si="123"/>
        <v>0</v>
      </c>
      <c r="AA115" s="566">
        <f t="shared" si="124"/>
        <v>0</v>
      </c>
      <c r="AB115" s="566">
        <f t="shared" si="125"/>
        <v>0</v>
      </c>
      <c r="AC115" s="566">
        <f t="shared" si="126"/>
        <v>0</v>
      </c>
      <c r="AD115" s="566">
        <f t="shared" si="127"/>
        <v>0</v>
      </c>
      <c r="AE115" s="566">
        <f t="shared" si="128"/>
        <v>0</v>
      </c>
      <c r="AF115" s="566">
        <f t="shared" si="129"/>
        <v>0</v>
      </c>
      <c r="AG115" s="573"/>
    </row>
    <row r="116" spans="1:33" ht="25.15" hidden="1" customHeight="1">
      <c r="A116" s="671">
        <v>108</v>
      </c>
      <c r="B116" s="546" t="s">
        <v>1359</v>
      </c>
      <c r="C116" s="672"/>
      <c r="D116" s="669"/>
      <c r="E116" s="670"/>
      <c r="F116" s="670"/>
      <c r="G116" s="670"/>
      <c r="H116" s="670"/>
      <c r="I116" s="670"/>
      <c r="J116" s="670"/>
      <c r="K116" s="670"/>
      <c r="L116" s="670"/>
      <c r="M116" s="673"/>
      <c r="N116" s="554">
        <f t="shared" si="117"/>
        <v>0</v>
      </c>
      <c r="O116" s="554">
        <f t="shared" si="118"/>
        <v>0</v>
      </c>
      <c r="P116" s="555" t="e">
        <f>(O116/O296)*100</f>
        <v>#DIV/0!</v>
      </c>
      <c r="Q116" s="570"/>
      <c r="R116" s="555" t="e">
        <f t="shared" si="119"/>
        <v>#DIV/0!</v>
      </c>
      <c r="S116" s="674"/>
      <c r="T116" s="565"/>
      <c r="U116" s="2569"/>
      <c r="V116" s="571"/>
      <c r="W116" s="566">
        <f t="shared" si="120"/>
        <v>0</v>
      </c>
      <c r="X116" s="566">
        <f t="shared" si="121"/>
        <v>0</v>
      </c>
      <c r="Y116" s="566">
        <f t="shared" si="122"/>
        <v>0</v>
      </c>
      <c r="Z116" s="566">
        <f t="shared" si="123"/>
        <v>0</v>
      </c>
      <c r="AA116" s="566">
        <f t="shared" si="124"/>
        <v>0</v>
      </c>
      <c r="AB116" s="566">
        <f t="shared" si="125"/>
        <v>0</v>
      </c>
      <c r="AC116" s="566">
        <f t="shared" si="126"/>
        <v>0</v>
      </c>
      <c r="AD116" s="566">
        <f t="shared" si="127"/>
        <v>0</v>
      </c>
      <c r="AE116" s="566">
        <f t="shared" si="128"/>
        <v>0</v>
      </c>
      <c r="AF116" s="566">
        <f t="shared" si="129"/>
        <v>0</v>
      </c>
      <c r="AG116" s="573"/>
    </row>
    <row r="117" spans="1:33" ht="25.15" hidden="1" customHeight="1">
      <c r="A117" s="671">
        <v>109</v>
      </c>
      <c r="B117" s="546" t="s">
        <v>1360</v>
      </c>
      <c r="C117" s="672"/>
      <c r="D117" s="669"/>
      <c r="E117" s="670"/>
      <c r="F117" s="670"/>
      <c r="G117" s="670"/>
      <c r="H117" s="670"/>
      <c r="I117" s="670"/>
      <c r="J117" s="670"/>
      <c r="K117" s="670"/>
      <c r="L117" s="670"/>
      <c r="M117" s="673"/>
      <c r="N117" s="554">
        <f t="shared" si="117"/>
        <v>0</v>
      </c>
      <c r="O117" s="554">
        <f t="shared" si="118"/>
        <v>0</v>
      </c>
      <c r="P117" s="555" t="e">
        <f>(O117/O296)*100</f>
        <v>#DIV/0!</v>
      </c>
      <c r="Q117" s="570"/>
      <c r="R117" s="555" t="e">
        <f t="shared" si="119"/>
        <v>#DIV/0!</v>
      </c>
      <c r="S117" s="674"/>
      <c r="T117" s="565"/>
      <c r="U117" s="2569"/>
      <c r="V117" s="571"/>
      <c r="W117" s="566">
        <f t="shared" si="120"/>
        <v>0</v>
      </c>
      <c r="X117" s="566">
        <f t="shared" si="121"/>
        <v>0</v>
      </c>
      <c r="Y117" s="566">
        <f t="shared" si="122"/>
        <v>0</v>
      </c>
      <c r="Z117" s="566">
        <f t="shared" si="123"/>
        <v>0</v>
      </c>
      <c r="AA117" s="566">
        <f t="shared" si="124"/>
        <v>0</v>
      </c>
      <c r="AB117" s="566">
        <f t="shared" si="125"/>
        <v>0</v>
      </c>
      <c r="AC117" s="566">
        <f t="shared" si="126"/>
        <v>0</v>
      </c>
      <c r="AD117" s="566">
        <f t="shared" si="127"/>
        <v>0</v>
      </c>
      <c r="AE117" s="566">
        <f t="shared" si="128"/>
        <v>0</v>
      </c>
      <c r="AF117" s="566">
        <f t="shared" si="129"/>
        <v>0</v>
      </c>
      <c r="AG117" s="573"/>
    </row>
    <row r="118" spans="1:33" ht="25.15" hidden="1" customHeight="1">
      <c r="A118" s="671">
        <v>110</v>
      </c>
      <c r="B118" s="546" t="s">
        <v>1361</v>
      </c>
      <c r="C118" s="672"/>
      <c r="D118" s="669"/>
      <c r="E118" s="670"/>
      <c r="F118" s="670"/>
      <c r="G118" s="670"/>
      <c r="H118" s="670"/>
      <c r="I118" s="670"/>
      <c r="J118" s="670"/>
      <c r="K118" s="670"/>
      <c r="L118" s="670"/>
      <c r="M118" s="673"/>
      <c r="N118" s="554">
        <f t="shared" si="117"/>
        <v>0</v>
      </c>
      <c r="O118" s="554">
        <f t="shared" si="118"/>
        <v>0</v>
      </c>
      <c r="P118" s="555" t="e">
        <f>(O118/O296)*100</f>
        <v>#DIV/0!</v>
      </c>
      <c r="Q118" s="570"/>
      <c r="R118" s="555" t="e">
        <f t="shared" si="119"/>
        <v>#DIV/0!</v>
      </c>
      <c r="S118" s="674"/>
      <c r="T118" s="565"/>
      <c r="U118" s="2569"/>
      <c r="V118" s="571"/>
      <c r="W118" s="566">
        <f t="shared" si="120"/>
        <v>0</v>
      </c>
      <c r="X118" s="566">
        <f t="shared" si="121"/>
        <v>0</v>
      </c>
      <c r="Y118" s="566">
        <f t="shared" si="122"/>
        <v>0</v>
      </c>
      <c r="Z118" s="566">
        <f t="shared" si="123"/>
        <v>0</v>
      </c>
      <c r="AA118" s="566">
        <f t="shared" si="124"/>
        <v>0</v>
      </c>
      <c r="AB118" s="566">
        <f t="shared" si="125"/>
        <v>0</v>
      </c>
      <c r="AC118" s="566">
        <f t="shared" si="126"/>
        <v>0</v>
      </c>
      <c r="AD118" s="566">
        <f t="shared" si="127"/>
        <v>0</v>
      </c>
      <c r="AE118" s="566">
        <f t="shared" si="128"/>
        <v>0</v>
      </c>
      <c r="AF118" s="566">
        <f t="shared" si="129"/>
        <v>0</v>
      </c>
      <c r="AG118" s="573"/>
    </row>
    <row r="119" spans="1:33" ht="25.15" hidden="1" customHeight="1">
      <c r="A119" s="671">
        <v>111</v>
      </c>
      <c r="B119" s="546" t="s">
        <v>1362</v>
      </c>
      <c r="C119" s="672"/>
      <c r="D119" s="669"/>
      <c r="E119" s="670"/>
      <c r="F119" s="670"/>
      <c r="G119" s="670"/>
      <c r="H119" s="670"/>
      <c r="I119" s="670"/>
      <c r="J119" s="670"/>
      <c r="K119" s="670"/>
      <c r="L119" s="670"/>
      <c r="M119" s="673"/>
      <c r="N119" s="554">
        <f t="shared" si="117"/>
        <v>0</v>
      </c>
      <c r="O119" s="554">
        <f t="shared" si="118"/>
        <v>0</v>
      </c>
      <c r="P119" s="555" t="e">
        <f>(O119/O296)*100</f>
        <v>#DIV/0!</v>
      </c>
      <c r="Q119" s="570"/>
      <c r="R119" s="555" t="e">
        <f t="shared" si="119"/>
        <v>#DIV/0!</v>
      </c>
      <c r="S119" s="674"/>
      <c r="T119" s="565"/>
      <c r="U119" s="2569"/>
      <c r="V119" s="571"/>
      <c r="W119" s="566">
        <f t="shared" si="120"/>
        <v>0</v>
      </c>
      <c r="X119" s="566">
        <f t="shared" si="121"/>
        <v>0</v>
      </c>
      <c r="Y119" s="566">
        <f t="shared" si="122"/>
        <v>0</v>
      </c>
      <c r="Z119" s="566">
        <f t="shared" si="123"/>
        <v>0</v>
      </c>
      <c r="AA119" s="566">
        <f t="shared" si="124"/>
        <v>0</v>
      </c>
      <c r="AB119" s="566">
        <f t="shared" si="125"/>
        <v>0</v>
      </c>
      <c r="AC119" s="566">
        <f t="shared" si="126"/>
        <v>0</v>
      </c>
      <c r="AD119" s="566">
        <f t="shared" si="127"/>
        <v>0</v>
      </c>
      <c r="AE119" s="566">
        <f t="shared" si="128"/>
        <v>0</v>
      </c>
      <c r="AF119" s="566">
        <f t="shared" si="129"/>
        <v>0</v>
      </c>
      <c r="AG119" s="573"/>
    </row>
    <row r="120" spans="1:33" ht="25.15" hidden="1" customHeight="1">
      <c r="A120" s="671">
        <v>112</v>
      </c>
      <c r="B120" s="546" t="s">
        <v>1363</v>
      </c>
      <c r="C120" s="672"/>
      <c r="D120" s="669"/>
      <c r="E120" s="670"/>
      <c r="F120" s="670"/>
      <c r="G120" s="670"/>
      <c r="H120" s="670"/>
      <c r="I120" s="670"/>
      <c r="J120" s="670"/>
      <c r="K120" s="670"/>
      <c r="L120" s="670"/>
      <c r="M120" s="673"/>
      <c r="N120" s="554">
        <f t="shared" si="117"/>
        <v>0</v>
      </c>
      <c r="O120" s="554">
        <f t="shared" si="118"/>
        <v>0</v>
      </c>
      <c r="P120" s="555" t="e">
        <f>(O120/O296)*100</f>
        <v>#DIV/0!</v>
      </c>
      <c r="Q120" s="570"/>
      <c r="R120" s="555" t="e">
        <f t="shared" si="119"/>
        <v>#DIV/0!</v>
      </c>
      <c r="S120" s="674"/>
      <c r="T120" s="565"/>
      <c r="U120" s="2569"/>
      <c r="V120" s="571"/>
      <c r="W120" s="566">
        <f t="shared" si="120"/>
        <v>0</v>
      </c>
      <c r="X120" s="566">
        <f t="shared" si="121"/>
        <v>0</v>
      </c>
      <c r="Y120" s="566">
        <f t="shared" si="122"/>
        <v>0</v>
      </c>
      <c r="Z120" s="566">
        <f t="shared" si="123"/>
        <v>0</v>
      </c>
      <c r="AA120" s="566">
        <f t="shared" si="124"/>
        <v>0</v>
      </c>
      <c r="AB120" s="566">
        <f t="shared" si="125"/>
        <v>0</v>
      </c>
      <c r="AC120" s="566">
        <f t="shared" si="126"/>
        <v>0</v>
      </c>
      <c r="AD120" s="566">
        <f t="shared" si="127"/>
        <v>0</v>
      </c>
      <c r="AE120" s="566">
        <f t="shared" si="128"/>
        <v>0</v>
      </c>
      <c r="AF120" s="566">
        <f t="shared" si="129"/>
        <v>0</v>
      </c>
      <c r="AG120" s="573"/>
    </row>
    <row r="121" spans="1:33" ht="25.15" hidden="1" customHeight="1">
      <c r="A121" s="671">
        <v>113</v>
      </c>
      <c r="B121" s="546" t="s">
        <v>1364</v>
      </c>
      <c r="C121" s="672"/>
      <c r="D121" s="669"/>
      <c r="E121" s="670"/>
      <c r="F121" s="670"/>
      <c r="G121" s="670"/>
      <c r="H121" s="670"/>
      <c r="I121" s="670"/>
      <c r="J121" s="670"/>
      <c r="K121" s="670"/>
      <c r="L121" s="670"/>
      <c r="M121" s="673"/>
      <c r="N121" s="554">
        <f t="shared" si="117"/>
        <v>0</v>
      </c>
      <c r="O121" s="554">
        <f t="shared" si="118"/>
        <v>0</v>
      </c>
      <c r="P121" s="555" t="e">
        <f>(O121/O296)*100</f>
        <v>#DIV/0!</v>
      </c>
      <c r="Q121" s="570"/>
      <c r="R121" s="555" t="e">
        <f t="shared" si="119"/>
        <v>#DIV/0!</v>
      </c>
      <c r="S121" s="675"/>
      <c r="T121" s="565"/>
      <c r="U121" s="2569"/>
      <c r="V121" s="571"/>
      <c r="W121" s="566">
        <f t="shared" si="120"/>
        <v>0</v>
      </c>
      <c r="X121" s="566">
        <f t="shared" si="121"/>
        <v>0</v>
      </c>
      <c r="Y121" s="566">
        <f t="shared" si="122"/>
        <v>0</v>
      </c>
      <c r="Z121" s="566">
        <f t="shared" si="123"/>
        <v>0</v>
      </c>
      <c r="AA121" s="566">
        <f t="shared" si="124"/>
        <v>0</v>
      </c>
      <c r="AB121" s="566">
        <f t="shared" si="125"/>
        <v>0</v>
      </c>
      <c r="AC121" s="566">
        <f t="shared" si="126"/>
        <v>0</v>
      </c>
      <c r="AD121" s="566">
        <f t="shared" si="127"/>
        <v>0</v>
      </c>
      <c r="AE121" s="566">
        <f t="shared" si="128"/>
        <v>0</v>
      </c>
      <c r="AF121" s="566">
        <f t="shared" si="129"/>
        <v>0</v>
      </c>
      <c r="AG121" s="573"/>
    </row>
    <row r="122" spans="1:33" ht="25.15" hidden="1" customHeight="1">
      <c r="A122" s="671">
        <v>114</v>
      </c>
      <c r="B122" s="546"/>
      <c r="C122" s="672"/>
      <c r="D122" s="669"/>
      <c r="E122" s="670"/>
      <c r="F122" s="670"/>
      <c r="G122" s="670"/>
      <c r="H122" s="670"/>
      <c r="I122" s="670"/>
      <c r="J122" s="670"/>
      <c r="K122" s="670"/>
      <c r="L122" s="670"/>
      <c r="M122" s="673"/>
      <c r="N122" s="554">
        <f t="shared" si="117"/>
        <v>0</v>
      </c>
      <c r="O122" s="554">
        <f t="shared" si="118"/>
        <v>0</v>
      </c>
      <c r="P122" s="555" t="e">
        <f>(O122/O296)*100</f>
        <v>#DIV/0!</v>
      </c>
      <c r="Q122" s="570"/>
      <c r="R122" s="555" t="e">
        <f t="shared" si="119"/>
        <v>#DIV/0!</v>
      </c>
      <c r="S122" s="675"/>
      <c r="T122" s="565"/>
      <c r="U122" s="2569"/>
      <c r="W122" s="566">
        <f t="shared" si="120"/>
        <v>0</v>
      </c>
      <c r="X122" s="566">
        <f t="shared" si="121"/>
        <v>0</v>
      </c>
      <c r="Y122" s="566">
        <f t="shared" si="122"/>
        <v>0</v>
      </c>
      <c r="Z122" s="566">
        <f t="shared" si="123"/>
        <v>0</v>
      </c>
      <c r="AA122" s="566">
        <f t="shared" si="124"/>
        <v>0</v>
      </c>
      <c r="AB122" s="566">
        <f t="shared" si="125"/>
        <v>0</v>
      </c>
      <c r="AC122" s="566">
        <f t="shared" si="126"/>
        <v>0</v>
      </c>
      <c r="AD122" s="566">
        <f t="shared" si="127"/>
        <v>0</v>
      </c>
      <c r="AE122" s="566">
        <f t="shared" si="128"/>
        <v>0</v>
      </c>
      <c r="AF122" s="566">
        <f t="shared" si="129"/>
        <v>0</v>
      </c>
      <c r="AG122" s="573"/>
    </row>
    <row r="123" spans="1:33" ht="25.15" hidden="1" customHeight="1">
      <c r="A123" s="671">
        <v>115</v>
      </c>
      <c r="B123" s="546" t="s">
        <v>1648</v>
      </c>
      <c r="C123" s="672"/>
      <c r="D123" s="669"/>
      <c r="E123" s="670"/>
      <c r="F123" s="670"/>
      <c r="G123" s="670"/>
      <c r="H123" s="670"/>
      <c r="I123" s="670"/>
      <c r="J123" s="670"/>
      <c r="K123" s="670"/>
      <c r="L123" s="670"/>
      <c r="M123" s="673"/>
      <c r="N123" s="554">
        <f t="shared" si="117"/>
        <v>0</v>
      </c>
      <c r="O123" s="554">
        <f t="shared" si="118"/>
        <v>0</v>
      </c>
      <c r="P123" s="555" t="e">
        <f>(O123/O296)*100</f>
        <v>#DIV/0!</v>
      </c>
      <c r="Q123" s="570"/>
      <c r="R123" s="555" t="e">
        <f t="shared" si="119"/>
        <v>#DIV/0!</v>
      </c>
      <c r="S123" s="675">
        <v>70000</v>
      </c>
      <c r="T123" s="565"/>
      <c r="U123" s="2569"/>
      <c r="W123" s="566">
        <f t="shared" si="120"/>
        <v>0</v>
      </c>
      <c r="X123" s="566">
        <f t="shared" si="121"/>
        <v>0</v>
      </c>
      <c r="Y123" s="566">
        <f t="shared" si="122"/>
        <v>0</v>
      </c>
      <c r="Z123" s="566">
        <f t="shared" si="123"/>
        <v>0</v>
      </c>
      <c r="AA123" s="566">
        <f t="shared" si="124"/>
        <v>0</v>
      </c>
      <c r="AB123" s="566">
        <f t="shared" si="125"/>
        <v>0</v>
      </c>
      <c r="AC123" s="566">
        <f t="shared" si="126"/>
        <v>0</v>
      </c>
      <c r="AD123" s="566">
        <f t="shared" si="127"/>
        <v>0</v>
      </c>
      <c r="AE123" s="566">
        <f t="shared" si="128"/>
        <v>0</v>
      </c>
      <c r="AF123" s="566">
        <f t="shared" si="129"/>
        <v>0</v>
      </c>
      <c r="AG123" s="573"/>
    </row>
    <row r="124" spans="1:33" ht="25.15" hidden="1" customHeight="1">
      <c r="A124" s="671">
        <v>116</v>
      </c>
      <c r="B124" s="546" t="s">
        <v>1649</v>
      </c>
      <c r="C124" s="672"/>
      <c r="D124" s="669"/>
      <c r="E124" s="670"/>
      <c r="F124" s="670"/>
      <c r="G124" s="670"/>
      <c r="H124" s="670"/>
      <c r="I124" s="670"/>
      <c r="J124" s="670"/>
      <c r="K124" s="670"/>
      <c r="L124" s="670"/>
      <c r="M124" s="673"/>
      <c r="N124" s="554">
        <f t="shared" si="117"/>
        <v>0</v>
      </c>
      <c r="O124" s="554">
        <f t="shared" si="118"/>
        <v>0</v>
      </c>
      <c r="P124" s="555" t="e">
        <f>(O124/O296)*100</f>
        <v>#DIV/0!</v>
      </c>
      <c r="Q124" s="570"/>
      <c r="R124" s="555" t="e">
        <f t="shared" si="119"/>
        <v>#DIV/0!</v>
      </c>
      <c r="S124" s="675">
        <v>80000</v>
      </c>
      <c r="T124" s="565"/>
      <c r="U124" s="2569"/>
      <c r="W124" s="566">
        <f t="shared" si="120"/>
        <v>0</v>
      </c>
      <c r="X124" s="566">
        <f t="shared" si="121"/>
        <v>0</v>
      </c>
      <c r="Y124" s="566">
        <f t="shared" si="122"/>
        <v>0</v>
      </c>
      <c r="Z124" s="566">
        <f t="shared" si="123"/>
        <v>0</v>
      </c>
      <c r="AA124" s="566">
        <f t="shared" si="124"/>
        <v>0</v>
      </c>
      <c r="AB124" s="566">
        <f t="shared" si="125"/>
        <v>0</v>
      </c>
      <c r="AC124" s="566">
        <f t="shared" si="126"/>
        <v>0</v>
      </c>
      <c r="AD124" s="566">
        <f t="shared" si="127"/>
        <v>0</v>
      </c>
      <c r="AE124" s="566">
        <f t="shared" si="128"/>
        <v>0</v>
      </c>
      <c r="AF124" s="566">
        <f t="shared" si="129"/>
        <v>0</v>
      </c>
      <c r="AG124" s="573"/>
    </row>
    <row r="125" spans="1:33" ht="25.15" hidden="1" customHeight="1">
      <c r="A125" s="671">
        <v>117</v>
      </c>
      <c r="B125" s="546" t="s">
        <v>1650</v>
      </c>
      <c r="C125" s="672"/>
      <c r="D125" s="669"/>
      <c r="E125" s="670"/>
      <c r="F125" s="670"/>
      <c r="G125" s="670"/>
      <c r="H125" s="670"/>
      <c r="I125" s="670"/>
      <c r="J125" s="670"/>
      <c r="K125" s="670"/>
      <c r="L125" s="670"/>
      <c r="M125" s="673"/>
      <c r="N125" s="554">
        <f t="shared" si="117"/>
        <v>0</v>
      </c>
      <c r="O125" s="554">
        <f t="shared" si="118"/>
        <v>0</v>
      </c>
      <c r="P125" s="555" t="e">
        <f>(O125/O296)*100</f>
        <v>#DIV/0!</v>
      </c>
      <c r="Q125" s="570"/>
      <c r="R125" s="555" t="e">
        <f t="shared" si="119"/>
        <v>#DIV/0!</v>
      </c>
      <c r="S125" s="674">
        <v>82000</v>
      </c>
      <c r="T125" s="569"/>
      <c r="U125" s="2569"/>
      <c r="W125" s="566">
        <f t="shared" si="120"/>
        <v>0</v>
      </c>
      <c r="X125" s="566">
        <f t="shared" si="121"/>
        <v>0</v>
      </c>
      <c r="Y125" s="566">
        <f t="shared" si="122"/>
        <v>0</v>
      </c>
      <c r="Z125" s="566">
        <f t="shared" si="123"/>
        <v>0</v>
      </c>
      <c r="AA125" s="566">
        <f t="shared" si="124"/>
        <v>0</v>
      </c>
      <c r="AB125" s="566">
        <f t="shared" si="125"/>
        <v>0</v>
      </c>
      <c r="AC125" s="566">
        <f t="shared" si="126"/>
        <v>0</v>
      </c>
      <c r="AD125" s="566">
        <f t="shared" si="127"/>
        <v>0</v>
      </c>
      <c r="AE125" s="566">
        <f t="shared" si="128"/>
        <v>0</v>
      </c>
      <c r="AF125" s="566">
        <f t="shared" si="129"/>
        <v>0</v>
      </c>
      <c r="AG125" s="573"/>
    </row>
    <row r="126" spans="1:33" ht="25.15" hidden="1" customHeight="1">
      <c r="A126" s="671">
        <v>118</v>
      </c>
      <c r="B126" s="546" t="s">
        <v>1651</v>
      </c>
      <c r="C126" s="672"/>
      <c r="D126" s="669"/>
      <c r="E126" s="670"/>
      <c r="F126" s="670"/>
      <c r="G126" s="670"/>
      <c r="H126" s="670"/>
      <c r="I126" s="670"/>
      <c r="J126" s="670"/>
      <c r="K126" s="670"/>
      <c r="L126" s="670"/>
      <c r="M126" s="673"/>
      <c r="N126" s="554">
        <f t="shared" si="117"/>
        <v>0</v>
      </c>
      <c r="O126" s="554">
        <f t="shared" si="118"/>
        <v>0</v>
      </c>
      <c r="P126" s="555" t="e">
        <f>(O126/O296)*100</f>
        <v>#DIV/0!</v>
      </c>
      <c r="Q126" s="570"/>
      <c r="R126" s="555" t="e">
        <f t="shared" si="119"/>
        <v>#DIV/0!</v>
      </c>
      <c r="S126" s="674"/>
      <c r="T126" s="569"/>
      <c r="U126" s="2569"/>
      <c r="W126" s="566">
        <f t="shared" si="120"/>
        <v>0</v>
      </c>
      <c r="X126" s="566">
        <f t="shared" si="121"/>
        <v>0</v>
      </c>
      <c r="Y126" s="566">
        <f t="shared" si="122"/>
        <v>0</v>
      </c>
      <c r="Z126" s="566">
        <f t="shared" si="123"/>
        <v>0</v>
      </c>
      <c r="AA126" s="566">
        <f t="shared" si="124"/>
        <v>0</v>
      </c>
      <c r="AB126" s="566">
        <f t="shared" si="125"/>
        <v>0</v>
      </c>
      <c r="AC126" s="566">
        <f t="shared" si="126"/>
        <v>0</v>
      </c>
      <c r="AD126" s="566">
        <f t="shared" si="127"/>
        <v>0</v>
      </c>
      <c r="AE126" s="566">
        <f t="shared" si="128"/>
        <v>0</v>
      </c>
      <c r="AF126" s="566">
        <f t="shared" si="129"/>
        <v>0</v>
      </c>
      <c r="AG126" s="573"/>
    </row>
    <row r="127" spans="1:33" ht="25.15" hidden="1" customHeight="1">
      <c r="A127" s="671">
        <v>119</v>
      </c>
      <c r="B127" s="546" t="s">
        <v>1652</v>
      </c>
      <c r="C127" s="672"/>
      <c r="D127" s="669"/>
      <c r="E127" s="670"/>
      <c r="F127" s="670"/>
      <c r="G127" s="670"/>
      <c r="H127" s="670"/>
      <c r="I127" s="670"/>
      <c r="J127" s="670"/>
      <c r="K127" s="670"/>
      <c r="L127" s="670"/>
      <c r="M127" s="673"/>
      <c r="N127" s="554">
        <f t="shared" si="117"/>
        <v>0</v>
      </c>
      <c r="O127" s="554">
        <f t="shared" si="118"/>
        <v>0</v>
      </c>
      <c r="P127" s="555" t="e">
        <f>(O127/O296)*100</f>
        <v>#DIV/0!</v>
      </c>
      <c r="Q127" s="570"/>
      <c r="R127" s="555" t="e">
        <f t="shared" si="119"/>
        <v>#DIV/0!</v>
      </c>
      <c r="S127" s="674"/>
      <c r="T127" s="569"/>
      <c r="U127" s="2569"/>
      <c r="W127" s="566">
        <f t="shared" si="120"/>
        <v>0</v>
      </c>
      <c r="X127" s="566">
        <f t="shared" si="121"/>
        <v>0</v>
      </c>
      <c r="Y127" s="566">
        <f t="shared" si="122"/>
        <v>0</v>
      </c>
      <c r="Z127" s="566">
        <f t="shared" si="123"/>
        <v>0</v>
      </c>
      <c r="AA127" s="566">
        <f t="shared" si="124"/>
        <v>0</v>
      </c>
      <c r="AB127" s="566">
        <f t="shared" si="125"/>
        <v>0</v>
      </c>
      <c r="AC127" s="566">
        <f t="shared" si="126"/>
        <v>0</v>
      </c>
      <c r="AD127" s="566">
        <f t="shared" si="127"/>
        <v>0</v>
      </c>
      <c r="AE127" s="566">
        <f t="shared" si="128"/>
        <v>0</v>
      </c>
      <c r="AF127" s="566">
        <f t="shared" si="129"/>
        <v>0</v>
      </c>
      <c r="AG127" s="573"/>
    </row>
    <row r="128" spans="1:33" ht="25.15" hidden="1" customHeight="1">
      <c r="A128" s="671">
        <v>120</v>
      </c>
      <c r="B128" s="546" t="s">
        <v>1653</v>
      </c>
      <c r="C128" s="672"/>
      <c r="D128" s="669"/>
      <c r="E128" s="670"/>
      <c r="F128" s="670"/>
      <c r="G128" s="670"/>
      <c r="H128" s="670"/>
      <c r="I128" s="670"/>
      <c r="J128" s="670"/>
      <c r="K128" s="670"/>
      <c r="L128" s="670"/>
      <c r="M128" s="673"/>
      <c r="N128" s="554">
        <f t="shared" si="117"/>
        <v>0</v>
      </c>
      <c r="O128" s="554">
        <f t="shared" si="118"/>
        <v>0</v>
      </c>
      <c r="P128" s="555" t="e">
        <f>(O128/O296)*100</f>
        <v>#DIV/0!</v>
      </c>
      <c r="Q128" s="570"/>
      <c r="R128" s="555" t="e">
        <f t="shared" si="119"/>
        <v>#DIV/0!</v>
      </c>
      <c r="S128" s="674"/>
      <c r="T128" s="569"/>
      <c r="U128" s="2569"/>
      <c r="W128" s="566">
        <f t="shared" si="120"/>
        <v>0</v>
      </c>
      <c r="X128" s="566">
        <f t="shared" si="121"/>
        <v>0</v>
      </c>
      <c r="Y128" s="566">
        <f t="shared" si="122"/>
        <v>0</v>
      </c>
      <c r="Z128" s="566">
        <f t="shared" si="123"/>
        <v>0</v>
      </c>
      <c r="AA128" s="566">
        <f t="shared" si="124"/>
        <v>0</v>
      </c>
      <c r="AB128" s="566">
        <f t="shared" si="125"/>
        <v>0</v>
      </c>
      <c r="AC128" s="566">
        <f t="shared" si="126"/>
        <v>0</v>
      </c>
      <c r="AD128" s="566">
        <f t="shared" si="127"/>
        <v>0</v>
      </c>
      <c r="AE128" s="566">
        <f t="shared" si="128"/>
        <v>0</v>
      </c>
      <c r="AF128" s="566">
        <f t="shared" si="129"/>
        <v>0</v>
      </c>
      <c r="AG128" s="573"/>
    </row>
    <row r="129" spans="1:33" ht="25.15" hidden="1" customHeight="1">
      <c r="A129" s="671">
        <v>121</v>
      </c>
      <c r="B129" s="546" t="s">
        <v>1654</v>
      </c>
      <c r="C129" s="672"/>
      <c r="D129" s="669"/>
      <c r="E129" s="670"/>
      <c r="F129" s="670"/>
      <c r="G129" s="670"/>
      <c r="H129" s="670"/>
      <c r="I129" s="670"/>
      <c r="J129" s="670"/>
      <c r="K129" s="670"/>
      <c r="L129" s="670"/>
      <c r="M129" s="673"/>
      <c r="N129" s="554">
        <f t="shared" si="117"/>
        <v>0</v>
      </c>
      <c r="O129" s="554">
        <f t="shared" si="118"/>
        <v>0</v>
      </c>
      <c r="P129" s="555" t="e">
        <f>(O129/O296)*100</f>
        <v>#DIV/0!</v>
      </c>
      <c r="Q129" s="570"/>
      <c r="R129" s="555" t="e">
        <f t="shared" si="119"/>
        <v>#DIV/0!</v>
      </c>
      <c r="S129" s="674"/>
      <c r="T129" s="569"/>
      <c r="U129" s="2569"/>
      <c r="W129" s="566">
        <f t="shared" si="120"/>
        <v>0</v>
      </c>
      <c r="X129" s="566">
        <f t="shared" si="121"/>
        <v>0</v>
      </c>
      <c r="Y129" s="566">
        <f t="shared" si="122"/>
        <v>0</v>
      </c>
      <c r="Z129" s="566">
        <f t="shared" si="123"/>
        <v>0</v>
      </c>
      <c r="AA129" s="566">
        <f t="shared" si="124"/>
        <v>0</v>
      </c>
      <c r="AB129" s="566">
        <f t="shared" si="125"/>
        <v>0</v>
      </c>
      <c r="AC129" s="566">
        <f t="shared" si="126"/>
        <v>0</v>
      </c>
      <c r="AD129" s="566">
        <f t="shared" si="127"/>
        <v>0</v>
      </c>
      <c r="AE129" s="566">
        <f t="shared" si="128"/>
        <v>0</v>
      </c>
      <c r="AF129" s="566">
        <f t="shared" si="129"/>
        <v>0</v>
      </c>
      <c r="AG129" s="573"/>
    </row>
    <row r="130" spans="1:33" ht="25.15" hidden="1" customHeight="1">
      <c r="A130" s="671">
        <v>122</v>
      </c>
      <c r="B130" s="546" t="s">
        <v>1655</v>
      </c>
      <c r="C130" s="672"/>
      <c r="D130" s="669"/>
      <c r="E130" s="670"/>
      <c r="F130" s="670"/>
      <c r="G130" s="670"/>
      <c r="H130" s="670"/>
      <c r="I130" s="670"/>
      <c r="J130" s="670"/>
      <c r="K130" s="670"/>
      <c r="L130" s="670"/>
      <c r="M130" s="673"/>
      <c r="N130" s="554">
        <f t="shared" si="117"/>
        <v>0</v>
      </c>
      <c r="O130" s="554">
        <f t="shared" si="118"/>
        <v>0</v>
      </c>
      <c r="P130" s="555" t="e">
        <f>(O130/O296)*100</f>
        <v>#DIV/0!</v>
      </c>
      <c r="Q130" s="570"/>
      <c r="R130" s="555" t="e">
        <f t="shared" si="119"/>
        <v>#DIV/0!</v>
      </c>
      <c r="S130" s="674"/>
      <c r="T130" s="569"/>
      <c r="U130" s="2569"/>
      <c r="W130" s="566">
        <f t="shared" si="120"/>
        <v>0</v>
      </c>
      <c r="X130" s="566">
        <f t="shared" si="121"/>
        <v>0</v>
      </c>
      <c r="Y130" s="566">
        <f t="shared" si="122"/>
        <v>0</v>
      </c>
      <c r="Z130" s="566">
        <f t="shared" si="123"/>
        <v>0</v>
      </c>
      <c r="AA130" s="566">
        <f t="shared" si="124"/>
        <v>0</v>
      </c>
      <c r="AB130" s="566">
        <f t="shared" si="125"/>
        <v>0</v>
      </c>
      <c r="AC130" s="566">
        <f t="shared" si="126"/>
        <v>0</v>
      </c>
      <c r="AD130" s="566">
        <f t="shared" si="127"/>
        <v>0</v>
      </c>
      <c r="AE130" s="566">
        <f t="shared" si="128"/>
        <v>0</v>
      </c>
      <c r="AF130" s="566">
        <f t="shared" si="129"/>
        <v>0</v>
      </c>
      <c r="AG130" s="573"/>
    </row>
    <row r="131" spans="1:33" ht="25.15" hidden="1" customHeight="1">
      <c r="A131" s="671">
        <v>123</v>
      </c>
      <c r="B131" s="546"/>
      <c r="C131" s="672"/>
      <c r="D131" s="669"/>
      <c r="E131" s="670"/>
      <c r="F131" s="670"/>
      <c r="G131" s="670"/>
      <c r="H131" s="670"/>
      <c r="I131" s="670"/>
      <c r="J131" s="670"/>
      <c r="K131" s="670"/>
      <c r="L131" s="670"/>
      <c r="M131" s="673"/>
      <c r="N131" s="554">
        <f t="shared" si="117"/>
        <v>0</v>
      </c>
      <c r="O131" s="554">
        <f t="shared" si="118"/>
        <v>0</v>
      </c>
      <c r="P131" s="555" t="e">
        <f>(O131/O296)*100</f>
        <v>#DIV/0!</v>
      </c>
      <c r="Q131" s="570"/>
      <c r="R131" s="555" t="e">
        <f t="shared" si="119"/>
        <v>#DIV/0!</v>
      </c>
      <c r="S131" s="674"/>
      <c r="T131" s="569"/>
      <c r="U131" s="2569"/>
      <c r="W131" s="566">
        <f t="shared" si="120"/>
        <v>0</v>
      </c>
      <c r="X131" s="566">
        <f t="shared" si="121"/>
        <v>0</v>
      </c>
      <c r="Y131" s="566">
        <f t="shared" si="122"/>
        <v>0</v>
      </c>
      <c r="Z131" s="566">
        <f t="shared" si="123"/>
        <v>0</v>
      </c>
      <c r="AA131" s="566">
        <f t="shared" si="124"/>
        <v>0</v>
      </c>
      <c r="AB131" s="566">
        <f t="shared" si="125"/>
        <v>0</v>
      </c>
      <c r="AC131" s="566">
        <f t="shared" si="126"/>
        <v>0</v>
      </c>
      <c r="AD131" s="566">
        <f t="shared" si="127"/>
        <v>0</v>
      </c>
      <c r="AE131" s="566">
        <f t="shared" si="128"/>
        <v>0</v>
      </c>
      <c r="AF131" s="566">
        <f t="shared" si="129"/>
        <v>0</v>
      </c>
      <c r="AG131" s="573"/>
    </row>
    <row r="132" spans="1:33" ht="25.15" hidden="1" customHeight="1">
      <c r="A132" s="671">
        <v>124</v>
      </c>
      <c r="B132" s="546" t="s">
        <v>1656</v>
      </c>
      <c r="C132" s="672"/>
      <c r="D132" s="669"/>
      <c r="E132" s="670"/>
      <c r="F132" s="670"/>
      <c r="G132" s="670"/>
      <c r="H132" s="670"/>
      <c r="I132" s="670"/>
      <c r="J132" s="670"/>
      <c r="K132" s="670"/>
      <c r="L132" s="670"/>
      <c r="M132" s="673"/>
      <c r="N132" s="554">
        <f t="shared" si="117"/>
        <v>0</v>
      </c>
      <c r="O132" s="554">
        <f t="shared" si="118"/>
        <v>0</v>
      </c>
      <c r="P132" s="555" t="e">
        <f>(O132/O296)*100</f>
        <v>#DIV/0!</v>
      </c>
      <c r="Q132" s="570"/>
      <c r="R132" s="555" t="e">
        <f t="shared" si="119"/>
        <v>#DIV/0!</v>
      </c>
      <c r="S132" s="674"/>
      <c r="T132" s="569"/>
      <c r="U132" s="2569"/>
      <c r="W132" s="566">
        <f t="shared" si="120"/>
        <v>0</v>
      </c>
      <c r="X132" s="566">
        <f t="shared" si="121"/>
        <v>0</v>
      </c>
      <c r="Y132" s="566">
        <f t="shared" si="122"/>
        <v>0</v>
      </c>
      <c r="Z132" s="566">
        <f t="shared" si="123"/>
        <v>0</v>
      </c>
      <c r="AA132" s="566">
        <f t="shared" si="124"/>
        <v>0</v>
      </c>
      <c r="AB132" s="566">
        <f t="shared" si="125"/>
        <v>0</v>
      </c>
      <c r="AC132" s="566">
        <f t="shared" si="126"/>
        <v>0</v>
      </c>
      <c r="AD132" s="566">
        <f t="shared" si="127"/>
        <v>0</v>
      </c>
      <c r="AE132" s="566">
        <f t="shared" si="128"/>
        <v>0</v>
      </c>
      <c r="AF132" s="566">
        <f t="shared" si="129"/>
        <v>0</v>
      </c>
      <c r="AG132" s="573"/>
    </row>
    <row r="133" spans="1:33" ht="25.15" hidden="1" customHeight="1">
      <c r="A133" s="671">
        <v>125</v>
      </c>
      <c r="B133" s="546" t="s">
        <v>1657</v>
      </c>
      <c r="C133" s="672"/>
      <c r="D133" s="669"/>
      <c r="E133" s="670"/>
      <c r="F133" s="670"/>
      <c r="G133" s="670"/>
      <c r="H133" s="670"/>
      <c r="I133" s="670"/>
      <c r="J133" s="670"/>
      <c r="K133" s="670"/>
      <c r="L133" s="670"/>
      <c r="M133" s="673"/>
      <c r="N133" s="554">
        <f t="shared" si="117"/>
        <v>0</v>
      </c>
      <c r="O133" s="554">
        <f t="shared" si="118"/>
        <v>0</v>
      </c>
      <c r="P133" s="555" t="e">
        <f>(O133/O296)*100</f>
        <v>#DIV/0!</v>
      </c>
      <c r="Q133" s="570"/>
      <c r="R133" s="555" t="e">
        <f t="shared" si="119"/>
        <v>#DIV/0!</v>
      </c>
      <c r="S133" s="674"/>
      <c r="T133" s="569"/>
      <c r="U133" s="2569"/>
      <c r="W133" s="566">
        <f t="shared" si="120"/>
        <v>0</v>
      </c>
      <c r="X133" s="566">
        <f t="shared" si="121"/>
        <v>0</v>
      </c>
      <c r="Y133" s="566">
        <f t="shared" si="122"/>
        <v>0</v>
      </c>
      <c r="Z133" s="566">
        <f t="shared" si="123"/>
        <v>0</v>
      </c>
      <c r="AA133" s="566">
        <f t="shared" si="124"/>
        <v>0</v>
      </c>
      <c r="AB133" s="566">
        <f t="shared" si="125"/>
        <v>0</v>
      </c>
      <c r="AC133" s="566">
        <f t="shared" si="126"/>
        <v>0</v>
      </c>
      <c r="AD133" s="566">
        <f t="shared" si="127"/>
        <v>0</v>
      </c>
      <c r="AE133" s="566">
        <f t="shared" si="128"/>
        <v>0</v>
      </c>
      <c r="AF133" s="566">
        <f t="shared" si="129"/>
        <v>0</v>
      </c>
      <c r="AG133" s="573"/>
    </row>
    <row r="134" spans="1:33" ht="25.15" hidden="1" customHeight="1">
      <c r="A134" s="671">
        <v>126</v>
      </c>
      <c r="B134" s="546" t="s">
        <v>1658</v>
      </c>
      <c r="C134" s="672"/>
      <c r="D134" s="669"/>
      <c r="E134" s="670"/>
      <c r="F134" s="670"/>
      <c r="G134" s="670"/>
      <c r="H134" s="670"/>
      <c r="I134" s="670"/>
      <c r="J134" s="670"/>
      <c r="K134" s="670"/>
      <c r="L134" s="670"/>
      <c r="M134" s="673"/>
      <c r="N134" s="554">
        <f t="shared" si="117"/>
        <v>0</v>
      </c>
      <c r="O134" s="554">
        <f t="shared" si="118"/>
        <v>0</v>
      </c>
      <c r="P134" s="555" t="e">
        <f>(O134/O296)*100</f>
        <v>#DIV/0!</v>
      </c>
      <c r="Q134" s="570"/>
      <c r="R134" s="555" t="e">
        <f t="shared" si="119"/>
        <v>#DIV/0!</v>
      </c>
      <c r="S134" s="674"/>
      <c r="T134" s="569"/>
      <c r="U134" s="2569"/>
      <c r="W134" s="566">
        <f t="shared" si="120"/>
        <v>0</v>
      </c>
      <c r="X134" s="566">
        <f t="shared" si="121"/>
        <v>0</v>
      </c>
      <c r="Y134" s="566">
        <f t="shared" si="122"/>
        <v>0</v>
      </c>
      <c r="Z134" s="566">
        <f t="shared" si="123"/>
        <v>0</v>
      </c>
      <c r="AA134" s="566">
        <f t="shared" si="124"/>
        <v>0</v>
      </c>
      <c r="AB134" s="566">
        <f t="shared" si="125"/>
        <v>0</v>
      </c>
      <c r="AC134" s="566">
        <f t="shared" si="126"/>
        <v>0</v>
      </c>
      <c r="AD134" s="566">
        <f t="shared" si="127"/>
        <v>0</v>
      </c>
      <c r="AE134" s="566">
        <f t="shared" si="128"/>
        <v>0</v>
      </c>
      <c r="AF134" s="566">
        <f t="shared" si="129"/>
        <v>0</v>
      </c>
      <c r="AG134" s="573"/>
    </row>
    <row r="135" spans="1:33" ht="25.15" hidden="1" customHeight="1">
      <c r="A135" s="671">
        <v>127</v>
      </c>
      <c r="B135" s="546" t="s">
        <v>1659</v>
      </c>
      <c r="C135" s="672"/>
      <c r="D135" s="669"/>
      <c r="E135" s="670"/>
      <c r="F135" s="670"/>
      <c r="G135" s="670"/>
      <c r="H135" s="670"/>
      <c r="I135" s="670"/>
      <c r="J135" s="670"/>
      <c r="K135" s="670"/>
      <c r="L135" s="670"/>
      <c r="M135" s="673"/>
      <c r="N135" s="554">
        <f t="shared" si="117"/>
        <v>0</v>
      </c>
      <c r="O135" s="554">
        <f t="shared" si="118"/>
        <v>0</v>
      </c>
      <c r="P135" s="555" t="e">
        <f>(O135/O296)*100</f>
        <v>#DIV/0!</v>
      </c>
      <c r="Q135" s="570"/>
      <c r="R135" s="555" t="e">
        <f t="shared" si="119"/>
        <v>#DIV/0!</v>
      </c>
      <c r="S135" s="674"/>
      <c r="T135" s="569"/>
      <c r="U135" s="2569"/>
      <c r="W135" s="566">
        <f t="shared" si="120"/>
        <v>0</v>
      </c>
      <c r="X135" s="566">
        <f t="shared" si="121"/>
        <v>0</v>
      </c>
      <c r="Y135" s="566">
        <f t="shared" si="122"/>
        <v>0</v>
      </c>
      <c r="Z135" s="566">
        <f t="shared" si="123"/>
        <v>0</v>
      </c>
      <c r="AA135" s="566">
        <f t="shared" si="124"/>
        <v>0</v>
      </c>
      <c r="AB135" s="566">
        <f t="shared" si="125"/>
        <v>0</v>
      </c>
      <c r="AC135" s="566">
        <f t="shared" si="126"/>
        <v>0</v>
      </c>
      <c r="AD135" s="566">
        <f t="shared" si="127"/>
        <v>0</v>
      </c>
      <c r="AE135" s="566">
        <f t="shared" si="128"/>
        <v>0</v>
      </c>
      <c r="AF135" s="566">
        <f t="shared" si="129"/>
        <v>0</v>
      </c>
      <c r="AG135" s="573"/>
    </row>
    <row r="136" spans="1:33" ht="25.15" hidden="1" customHeight="1">
      <c r="A136" s="671">
        <v>128</v>
      </c>
      <c r="B136" s="546" t="s">
        <v>1660</v>
      </c>
      <c r="C136" s="672"/>
      <c r="D136" s="669"/>
      <c r="E136" s="670"/>
      <c r="F136" s="670"/>
      <c r="G136" s="670"/>
      <c r="H136" s="670"/>
      <c r="I136" s="670"/>
      <c r="J136" s="670"/>
      <c r="K136" s="670"/>
      <c r="L136" s="670"/>
      <c r="M136" s="673"/>
      <c r="N136" s="554">
        <f t="shared" ref="N136:N167" si="130">SUM(D136:M136)</f>
        <v>0</v>
      </c>
      <c r="O136" s="554">
        <f t="shared" ref="O136:O167" si="131">N136*S136</f>
        <v>0</v>
      </c>
      <c r="P136" s="555" t="e">
        <f>(O136/O296)*100</f>
        <v>#DIV/0!</v>
      </c>
      <c r="Q136" s="570"/>
      <c r="R136" s="555" t="e">
        <f t="shared" ref="R136:R167" si="132">P136*Q136</f>
        <v>#DIV/0!</v>
      </c>
      <c r="S136" s="674"/>
      <c r="T136" s="569"/>
      <c r="U136" s="2569"/>
      <c r="W136" s="566">
        <f t="shared" ref="W136:W167" si="133">D136*S136</f>
        <v>0</v>
      </c>
      <c r="X136" s="566">
        <f t="shared" ref="X136:X167" si="134">E136*S136</f>
        <v>0</v>
      </c>
      <c r="Y136" s="566">
        <f t="shared" ref="Y136:Y167" si="135">F136*S136</f>
        <v>0</v>
      </c>
      <c r="Z136" s="566">
        <f t="shared" ref="Z136:Z167" si="136">G136*S136</f>
        <v>0</v>
      </c>
      <c r="AA136" s="566">
        <f t="shared" ref="AA136:AA167" si="137">H136*S136</f>
        <v>0</v>
      </c>
      <c r="AB136" s="566">
        <f t="shared" ref="AB136:AB167" si="138">I136*S136</f>
        <v>0</v>
      </c>
      <c r="AC136" s="566">
        <f t="shared" ref="AC136:AC167" si="139">J136*S136</f>
        <v>0</v>
      </c>
      <c r="AD136" s="566">
        <f t="shared" ref="AD136:AD167" si="140">K136*S136</f>
        <v>0</v>
      </c>
      <c r="AE136" s="566">
        <f t="shared" ref="AE136:AE167" si="141">L136*S136</f>
        <v>0</v>
      </c>
      <c r="AF136" s="566">
        <f t="shared" ref="AF136:AF167" si="142">M136*S136</f>
        <v>0</v>
      </c>
      <c r="AG136" s="573"/>
    </row>
    <row r="137" spans="1:33" ht="25.15" hidden="1" customHeight="1">
      <c r="A137" s="671">
        <v>129</v>
      </c>
      <c r="B137" s="546" t="s">
        <v>1661</v>
      </c>
      <c r="C137" s="672"/>
      <c r="D137" s="669"/>
      <c r="E137" s="670"/>
      <c r="F137" s="670"/>
      <c r="G137" s="670"/>
      <c r="H137" s="670"/>
      <c r="I137" s="670"/>
      <c r="J137" s="670"/>
      <c r="K137" s="670"/>
      <c r="L137" s="670"/>
      <c r="M137" s="673"/>
      <c r="N137" s="554">
        <f t="shared" si="130"/>
        <v>0</v>
      </c>
      <c r="O137" s="554">
        <f t="shared" si="131"/>
        <v>0</v>
      </c>
      <c r="P137" s="555" t="e">
        <f>(O137/O296)*100</f>
        <v>#DIV/0!</v>
      </c>
      <c r="Q137" s="570"/>
      <c r="R137" s="555" t="e">
        <f t="shared" si="132"/>
        <v>#DIV/0!</v>
      </c>
      <c r="S137" s="674"/>
      <c r="T137" s="569"/>
      <c r="U137" s="2569"/>
      <c r="W137" s="566">
        <f t="shared" si="133"/>
        <v>0</v>
      </c>
      <c r="X137" s="566">
        <f t="shared" si="134"/>
        <v>0</v>
      </c>
      <c r="Y137" s="566">
        <f t="shared" si="135"/>
        <v>0</v>
      </c>
      <c r="Z137" s="566">
        <f t="shared" si="136"/>
        <v>0</v>
      </c>
      <c r="AA137" s="566">
        <f t="shared" si="137"/>
        <v>0</v>
      </c>
      <c r="AB137" s="566">
        <f t="shared" si="138"/>
        <v>0</v>
      </c>
      <c r="AC137" s="566">
        <f t="shared" si="139"/>
        <v>0</v>
      </c>
      <c r="AD137" s="566">
        <f t="shared" si="140"/>
        <v>0</v>
      </c>
      <c r="AE137" s="566">
        <f t="shared" si="141"/>
        <v>0</v>
      </c>
      <c r="AF137" s="566">
        <f t="shared" si="142"/>
        <v>0</v>
      </c>
      <c r="AG137" s="573"/>
    </row>
    <row r="138" spans="1:33" ht="25.15" hidden="1" customHeight="1">
      <c r="A138" s="671">
        <v>130</v>
      </c>
      <c r="B138" s="546" t="s">
        <v>1662</v>
      </c>
      <c r="C138" s="672"/>
      <c r="D138" s="669"/>
      <c r="E138" s="670"/>
      <c r="F138" s="670"/>
      <c r="G138" s="670"/>
      <c r="H138" s="670"/>
      <c r="I138" s="670"/>
      <c r="J138" s="670"/>
      <c r="K138" s="670"/>
      <c r="L138" s="670"/>
      <c r="M138" s="673"/>
      <c r="N138" s="554">
        <f t="shared" si="130"/>
        <v>0</v>
      </c>
      <c r="O138" s="554">
        <f t="shared" si="131"/>
        <v>0</v>
      </c>
      <c r="P138" s="555" t="e">
        <f>(O138/O296)*100</f>
        <v>#DIV/0!</v>
      </c>
      <c r="Q138" s="570"/>
      <c r="R138" s="555" t="e">
        <f t="shared" si="132"/>
        <v>#DIV/0!</v>
      </c>
      <c r="S138" s="674"/>
      <c r="T138" s="569"/>
      <c r="U138" s="2569"/>
      <c r="W138" s="566">
        <f t="shared" si="133"/>
        <v>0</v>
      </c>
      <c r="X138" s="566">
        <f t="shared" si="134"/>
        <v>0</v>
      </c>
      <c r="Y138" s="566">
        <f t="shared" si="135"/>
        <v>0</v>
      </c>
      <c r="Z138" s="566">
        <f t="shared" si="136"/>
        <v>0</v>
      </c>
      <c r="AA138" s="566">
        <f t="shared" si="137"/>
        <v>0</v>
      </c>
      <c r="AB138" s="566">
        <f t="shared" si="138"/>
        <v>0</v>
      </c>
      <c r="AC138" s="566">
        <f t="shared" si="139"/>
        <v>0</v>
      </c>
      <c r="AD138" s="566">
        <f t="shared" si="140"/>
        <v>0</v>
      </c>
      <c r="AE138" s="566">
        <f t="shared" si="141"/>
        <v>0</v>
      </c>
      <c r="AF138" s="566">
        <f t="shared" si="142"/>
        <v>0</v>
      </c>
      <c r="AG138" s="573"/>
    </row>
    <row r="139" spans="1:33" ht="25.15" hidden="1" customHeight="1">
      <c r="A139" s="671">
        <v>131</v>
      </c>
      <c r="B139" s="546"/>
      <c r="C139" s="672"/>
      <c r="D139" s="669"/>
      <c r="E139" s="670"/>
      <c r="F139" s="670"/>
      <c r="G139" s="670"/>
      <c r="H139" s="670"/>
      <c r="I139" s="670"/>
      <c r="J139" s="670"/>
      <c r="K139" s="670"/>
      <c r="L139" s="670"/>
      <c r="M139" s="673"/>
      <c r="N139" s="554">
        <f t="shared" si="130"/>
        <v>0</v>
      </c>
      <c r="O139" s="554">
        <f t="shared" si="131"/>
        <v>0</v>
      </c>
      <c r="P139" s="555" t="e">
        <f>(O139/O296)*100</f>
        <v>#DIV/0!</v>
      </c>
      <c r="Q139" s="570"/>
      <c r="R139" s="555" t="e">
        <f t="shared" si="132"/>
        <v>#DIV/0!</v>
      </c>
      <c r="S139" s="674"/>
      <c r="T139" s="569"/>
      <c r="U139" s="2569"/>
      <c r="W139" s="566">
        <f t="shared" si="133"/>
        <v>0</v>
      </c>
      <c r="X139" s="566">
        <f t="shared" si="134"/>
        <v>0</v>
      </c>
      <c r="Y139" s="566">
        <f t="shared" si="135"/>
        <v>0</v>
      </c>
      <c r="Z139" s="566">
        <f t="shared" si="136"/>
        <v>0</v>
      </c>
      <c r="AA139" s="566">
        <f t="shared" si="137"/>
        <v>0</v>
      </c>
      <c r="AB139" s="566">
        <f t="shared" si="138"/>
        <v>0</v>
      </c>
      <c r="AC139" s="566">
        <f t="shared" si="139"/>
        <v>0</v>
      </c>
      <c r="AD139" s="566">
        <f t="shared" si="140"/>
        <v>0</v>
      </c>
      <c r="AE139" s="566">
        <f t="shared" si="141"/>
        <v>0</v>
      </c>
      <c r="AF139" s="566">
        <f t="shared" si="142"/>
        <v>0</v>
      </c>
      <c r="AG139" s="573"/>
    </row>
    <row r="140" spans="1:33" ht="25.15" hidden="1" customHeight="1">
      <c r="A140" s="671">
        <v>132</v>
      </c>
      <c r="B140" s="546" t="s">
        <v>1663</v>
      </c>
      <c r="C140" s="672"/>
      <c r="D140" s="669"/>
      <c r="E140" s="670"/>
      <c r="F140" s="670"/>
      <c r="G140" s="670"/>
      <c r="H140" s="670"/>
      <c r="I140" s="670"/>
      <c r="J140" s="670"/>
      <c r="K140" s="670"/>
      <c r="L140" s="670"/>
      <c r="M140" s="673"/>
      <c r="N140" s="554">
        <f t="shared" si="130"/>
        <v>0</v>
      </c>
      <c r="O140" s="554">
        <f t="shared" si="131"/>
        <v>0</v>
      </c>
      <c r="P140" s="555" t="e">
        <f>(O140/O296)*100</f>
        <v>#DIV/0!</v>
      </c>
      <c r="Q140" s="570"/>
      <c r="R140" s="555" t="e">
        <f t="shared" si="132"/>
        <v>#DIV/0!</v>
      </c>
      <c r="S140" s="674"/>
      <c r="T140" s="569"/>
      <c r="U140" s="2569"/>
      <c r="W140" s="566">
        <f t="shared" si="133"/>
        <v>0</v>
      </c>
      <c r="X140" s="566">
        <f t="shared" si="134"/>
        <v>0</v>
      </c>
      <c r="Y140" s="566">
        <f t="shared" si="135"/>
        <v>0</v>
      </c>
      <c r="Z140" s="566">
        <f t="shared" si="136"/>
        <v>0</v>
      </c>
      <c r="AA140" s="566">
        <f t="shared" si="137"/>
        <v>0</v>
      </c>
      <c r="AB140" s="566">
        <f t="shared" si="138"/>
        <v>0</v>
      </c>
      <c r="AC140" s="566">
        <f t="shared" si="139"/>
        <v>0</v>
      </c>
      <c r="AD140" s="566">
        <f t="shared" si="140"/>
        <v>0</v>
      </c>
      <c r="AE140" s="566">
        <f t="shared" si="141"/>
        <v>0</v>
      </c>
      <c r="AF140" s="566">
        <f t="shared" si="142"/>
        <v>0</v>
      </c>
      <c r="AG140" s="573"/>
    </row>
    <row r="141" spans="1:33" ht="25.15" hidden="1" customHeight="1">
      <c r="A141" s="671">
        <v>133</v>
      </c>
      <c r="B141" s="546" t="s">
        <v>1381</v>
      </c>
      <c r="C141" s="672"/>
      <c r="D141" s="669"/>
      <c r="E141" s="670"/>
      <c r="F141" s="670"/>
      <c r="G141" s="670"/>
      <c r="H141" s="670"/>
      <c r="I141" s="670"/>
      <c r="J141" s="670"/>
      <c r="K141" s="670"/>
      <c r="L141" s="670"/>
      <c r="M141" s="673"/>
      <c r="N141" s="554">
        <f t="shared" si="130"/>
        <v>0</v>
      </c>
      <c r="O141" s="554">
        <f t="shared" si="131"/>
        <v>0</v>
      </c>
      <c r="P141" s="555" t="e">
        <f>(O141/O296)*100</f>
        <v>#DIV/0!</v>
      </c>
      <c r="Q141" s="570"/>
      <c r="R141" s="555" t="e">
        <f t="shared" si="132"/>
        <v>#DIV/0!</v>
      </c>
      <c r="S141" s="674"/>
      <c r="T141" s="569"/>
      <c r="U141" s="2569"/>
      <c r="W141" s="566">
        <f t="shared" si="133"/>
        <v>0</v>
      </c>
      <c r="X141" s="566">
        <f t="shared" si="134"/>
        <v>0</v>
      </c>
      <c r="Y141" s="566">
        <f t="shared" si="135"/>
        <v>0</v>
      </c>
      <c r="Z141" s="566">
        <f t="shared" si="136"/>
        <v>0</v>
      </c>
      <c r="AA141" s="566">
        <f t="shared" si="137"/>
        <v>0</v>
      </c>
      <c r="AB141" s="566">
        <f t="shared" si="138"/>
        <v>0</v>
      </c>
      <c r="AC141" s="566">
        <f t="shared" si="139"/>
        <v>0</v>
      </c>
      <c r="AD141" s="566">
        <f t="shared" si="140"/>
        <v>0</v>
      </c>
      <c r="AE141" s="566">
        <f t="shared" si="141"/>
        <v>0</v>
      </c>
      <c r="AF141" s="566">
        <f t="shared" si="142"/>
        <v>0</v>
      </c>
      <c r="AG141" s="573"/>
    </row>
    <row r="142" spans="1:33" ht="25.15" hidden="1" customHeight="1">
      <c r="A142" s="671">
        <v>134</v>
      </c>
      <c r="B142" s="546" t="s">
        <v>1382</v>
      </c>
      <c r="C142" s="672"/>
      <c r="D142" s="669"/>
      <c r="E142" s="670"/>
      <c r="F142" s="670"/>
      <c r="G142" s="670"/>
      <c r="H142" s="670"/>
      <c r="I142" s="670"/>
      <c r="J142" s="670"/>
      <c r="K142" s="670"/>
      <c r="L142" s="670"/>
      <c r="M142" s="673"/>
      <c r="N142" s="554">
        <f t="shared" si="130"/>
        <v>0</v>
      </c>
      <c r="O142" s="554">
        <f t="shared" si="131"/>
        <v>0</v>
      </c>
      <c r="P142" s="555" t="e">
        <f>(O142/O296)*100</f>
        <v>#DIV/0!</v>
      </c>
      <c r="Q142" s="570"/>
      <c r="R142" s="555" t="e">
        <f t="shared" si="132"/>
        <v>#DIV/0!</v>
      </c>
      <c r="S142" s="674"/>
      <c r="T142" s="569"/>
      <c r="U142" s="2569"/>
      <c r="W142" s="566">
        <f t="shared" si="133"/>
        <v>0</v>
      </c>
      <c r="X142" s="566">
        <f t="shared" si="134"/>
        <v>0</v>
      </c>
      <c r="Y142" s="566">
        <f t="shared" si="135"/>
        <v>0</v>
      </c>
      <c r="Z142" s="566">
        <f t="shared" si="136"/>
        <v>0</v>
      </c>
      <c r="AA142" s="566">
        <f t="shared" si="137"/>
        <v>0</v>
      </c>
      <c r="AB142" s="566">
        <f t="shared" si="138"/>
        <v>0</v>
      </c>
      <c r="AC142" s="566">
        <f t="shared" si="139"/>
        <v>0</v>
      </c>
      <c r="AD142" s="566">
        <f t="shared" si="140"/>
        <v>0</v>
      </c>
      <c r="AE142" s="566">
        <f t="shared" si="141"/>
        <v>0</v>
      </c>
      <c r="AF142" s="566">
        <f t="shared" si="142"/>
        <v>0</v>
      </c>
      <c r="AG142" s="573"/>
    </row>
    <row r="143" spans="1:33" ht="25.15" hidden="1" customHeight="1">
      <c r="A143" s="671">
        <v>135</v>
      </c>
      <c r="B143" s="546" t="s">
        <v>1383</v>
      </c>
      <c r="C143" s="672"/>
      <c r="D143" s="669"/>
      <c r="E143" s="670"/>
      <c r="F143" s="670"/>
      <c r="G143" s="670"/>
      <c r="H143" s="670"/>
      <c r="I143" s="670"/>
      <c r="J143" s="670"/>
      <c r="K143" s="670"/>
      <c r="L143" s="670"/>
      <c r="M143" s="673"/>
      <c r="N143" s="554">
        <f t="shared" si="130"/>
        <v>0</v>
      </c>
      <c r="O143" s="554">
        <f t="shared" si="131"/>
        <v>0</v>
      </c>
      <c r="P143" s="555" t="e">
        <f>(O143/O296)*100</f>
        <v>#DIV/0!</v>
      </c>
      <c r="Q143" s="570"/>
      <c r="R143" s="555" t="e">
        <f t="shared" si="132"/>
        <v>#DIV/0!</v>
      </c>
      <c r="S143" s="674"/>
      <c r="T143" s="569"/>
      <c r="U143" s="2569"/>
      <c r="W143" s="566">
        <f t="shared" si="133"/>
        <v>0</v>
      </c>
      <c r="X143" s="566">
        <f t="shared" si="134"/>
        <v>0</v>
      </c>
      <c r="Y143" s="566">
        <f t="shared" si="135"/>
        <v>0</v>
      </c>
      <c r="Z143" s="566">
        <f t="shared" si="136"/>
        <v>0</v>
      </c>
      <c r="AA143" s="566">
        <f t="shared" si="137"/>
        <v>0</v>
      </c>
      <c r="AB143" s="566">
        <f t="shared" si="138"/>
        <v>0</v>
      </c>
      <c r="AC143" s="566">
        <f t="shared" si="139"/>
        <v>0</v>
      </c>
      <c r="AD143" s="566">
        <f t="shared" si="140"/>
        <v>0</v>
      </c>
      <c r="AE143" s="566">
        <f t="shared" si="141"/>
        <v>0</v>
      </c>
      <c r="AF143" s="566">
        <f t="shared" si="142"/>
        <v>0</v>
      </c>
      <c r="AG143" s="573"/>
    </row>
    <row r="144" spans="1:33" ht="25.15" hidden="1" customHeight="1">
      <c r="A144" s="671">
        <v>136</v>
      </c>
      <c r="B144" s="546" t="s">
        <v>1384</v>
      </c>
      <c r="C144" s="672"/>
      <c r="D144" s="669"/>
      <c r="E144" s="670"/>
      <c r="F144" s="670"/>
      <c r="G144" s="670"/>
      <c r="H144" s="670"/>
      <c r="I144" s="670"/>
      <c r="J144" s="670"/>
      <c r="K144" s="670"/>
      <c r="L144" s="670"/>
      <c r="M144" s="673"/>
      <c r="N144" s="554">
        <f t="shared" si="130"/>
        <v>0</v>
      </c>
      <c r="O144" s="554">
        <f t="shared" si="131"/>
        <v>0</v>
      </c>
      <c r="P144" s="555" t="e">
        <f>(O144/O296)*100</f>
        <v>#DIV/0!</v>
      </c>
      <c r="Q144" s="570"/>
      <c r="R144" s="555" t="e">
        <f t="shared" si="132"/>
        <v>#DIV/0!</v>
      </c>
      <c r="S144" s="674"/>
      <c r="T144" s="569"/>
      <c r="U144" s="2569"/>
      <c r="W144" s="566">
        <f t="shared" si="133"/>
        <v>0</v>
      </c>
      <c r="X144" s="566">
        <f t="shared" si="134"/>
        <v>0</v>
      </c>
      <c r="Y144" s="566">
        <f t="shared" si="135"/>
        <v>0</v>
      </c>
      <c r="Z144" s="566">
        <f t="shared" si="136"/>
        <v>0</v>
      </c>
      <c r="AA144" s="566">
        <f t="shared" si="137"/>
        <v>0</v>
      </c>
      <c r="AB144" s="566">
        <f t="shared" si="138"/>
        <v>0</v>
      </c>
      <c r="AC144" s="566">
        <f t="shared" si="139"/>
        <v>0</v>
      </c>
      <c r="AD144" s="566">
        <f t="shared" si="140"/>
        <v>0</v>
      </c>
      <c r="AE144" s="566">
        <f t="shared" si="141"/>
        <v>0</v>
      </c>
      <c r="AF144" s="566">
        <f t="shared" si="142"/>
        <v>0</v>
      </c>
      <c r="AG144" s="573"/>
    </row>
    <row r="145" spans="1:33" ht="25.15" hidden="1" customHeight="1">
      <c r="A145" s="671">
        <v>137</v>
      </c>
      <c r="B145" s="546" t="s">
        <v>1385</v>
      </c>
      <c r="C145" s="672"/>
      <c r="D145" s="669"/>
      <c r="E145" s="670"/>
      <c r="F145" s="670"/>
      <c r="G145" s="670"/>
      <c r="H145" s="670"/>
      <c r="I145" s="670"/>
      <c r="J145" s="670"/>
      <c r="K145" s="670"/>
      <c r="L145" s="670"/>
      <c r="M145" s="673"/>
      <c r="N145" s="554">
        <f t="shared" si="130"/>
        <v>0</v>
      </c>
      <c r="O145" s="554">
        <f t="shared" si="131"/>
        <v>0</v>
      </c>
      <c r="P145" s="555" t="e">
        <f>(O145/O296)*100</f>
        <v>#DIV/0!</v>
      </c>
      <c r="Q145" s="570"/>
      <c r="R145" s="555" t="e">
        <f t="shared" si="132"/>
        <v>#DIV/0!</v>
      </c>
      <c r="S145" s="674"/>
      <c r="T145" s="569"/>
      <c r="U145" s="2569"/>
      <c r="W145" s="566">
        <f t="shared" si="133"/>
        <v>0</v>
      </c>
      <c r="X145" s="566">
        <f t="shared" si="134"/>
        <v>0</v>
      </c>
      <c r="Y145" s="566">
        <f t="shared" si="135"/>
        <v>0</v>
      </c>
      <c r="Z145" s="566">
        <f t="shared" si="136"/>
        <v>0</v>
      </c>
      <c r="AA145" s="566">
        <f t="shared" si="137"/>
        <v>0</v>
      </c>
      <c r="AB145" s="566">
        <f t="shared" si="138"/>
        <v>0</v>
      </c>
      <c r="AC145" s="566">
        <f t="shared" si="139"/>
        <v>0</v>
      </c>
      <c r="AD145" s="566">
        <f t="shared" si="140"/>
        <v>0</v>
      </c>
      <c r="AE145" s="566">
        <f t="shared" si="141"/>
        <v>0</v>
      </c>
      <c r="AF145" s="566">
        <f t="shared" si="142"/>
        <v>0</v>
      </c>
      <c r="AG145" s="573"/>
    </row>
    <row r="146" spans="1:33" ht="25.15" hidden="1" customHeight="1">
      <c r="A146" s="671">
        <v>138</v>
      </c>
      <c r="B146" s="546" t="s">
        <v>1664</v>
      </c>
      <c r="C146" s="672"/>
      <c r="D146" s="669"/>
      <c r="E146" s="670"/>
      <c r="F146" s="670"/>
      <c r="G146" s="670"/>
      <c r="H146" s="670"/>
      <c r="I146" s="670"/>
      <c r="J146" s="670"/>
      <c r="K146" s="670"/>
      <c r="L146" s="670"/>
      <c r="M146" s="673"/>
      <c r="N146" s="554">
        <f t="shared" si="130"/>
        <v>0</v>
      </c>
      <c r="O146" s="554">
        <f t="shared" si="131"/>
        <v>0</v>
      </c>
      <c r="P146" s="555" t="e">
        <f>(O146/O296)*100</f>
        <v>#DIV/0!</v>
      </c>
      <c r="Q146" s="570"/>
      <c r="R146" s="555" t="e">
        <f t="shared" si="132"/>
        <v>#DIV/0!</v>
      </c>
      <c r="S146" s="674"/>
      <c r="T146" s="569"/>
      <c r="U146" s="2569"/>
      <c r="W146" s="566">
        <f t="shared" si="133"/>
        <v>0</v>
      </c>
      <c r="X146" s="566">
        <f t="shared" si="134"/>
        <v>0</v>
      </c>
      <c r="Y146" s="566">
        <f t="shared" si="135"/>
        <v>0</v>
      </c>
      <c r="Z146" s="566">
        <f t="shared" si="136"/>
        <v>0</v>
      </c>
      <c r="AA146" s="566">
        <f t="shared" si="137"/>
        <v>0</v>
      </c>
      <c r="AB146" s="566">
        <f t="shared" si="138"/>
        <v>0</v>
      </c>
      <c r="AC146" s="566">
        <f t="shared" si="139"/>
        <v>0</v>
      </c>
      <c r="AD146" s="566">
        <f t="shared" si="140"/>
        <v>0</v>
      </c>
      <c r="AE146" s="566">
        <f t="shared" si="141"/>
        <v>0</v>
      </c>
      <c r="AF146" s="566">
        <f t="shared" si="142"/>
        <v>0</v>
      </c>
      <c r="AG146" s="573"/>
    </row>
    <row r="147" spans="1:33" ht="25.15" hidden="1" customHeight="1">
      <c r="A147" s="671">
        <v>139</v>
      </c>
      <c r="B147" s="546" t="s">
        <v>1665</v>
      </c>
      <c r="C147" s="672"/>
      <c r="D147" s="669"/>
      <c r="E147" s="670"/>
      <c r="F147" s="670"/>
      <c r="G147" s="670"/>
      <c r="H147" s="670"/>
      <c r="I147" s="670"/>
      <c r="J147" s="670"/>
      <c r="K147" s="670"/>
      <c r="L147" s="670"/>
      <c r="M147" s="673"/>
      <c r="N147" s="554">
        <f t="shared" si="130"/>
        <v>0</v>
      </c>
      <c r="O147" s="554">
        <f t="shared" si="131"/>
        <v>0</v>
      </c>
      <c r="P147" s="555" t="e">
        <f>(O147/O296)*100</f>
        <v>#DIV/0!</v>
      </c>
      <c r="Q147" s="570"/>
      <c r="R147" s="555" t="e">
        <f t="shared" si="132"/>
        <v>#DIV/0!</v>
      </c>
      <c r="S147" s="674"/>
      <c r="T147" s="569"/>
      <c r="U147" s="2569"/>
      <c r="W147" s="566">
        <f t="shared" si="133"/>
        <v>0</v>
      </c>
      <c r="X147" s="566">
        <f t="shared" si="134"/>
        <v>0</v>
      </c>
      <c r="Y147" s="566">
        <f t="shared" si="135"/>
        <v>0</v>
      </c>
      <c r="Z147" s="566">
        <f t="shared" si="136"/>
        <v>0</v>
      </c>
      <c r="AA147" s="566">
        <f t="shared" si="137"/>
        <v>0</v>
      </c>
      <c r="AB147" s="566">
        <f t="shared" si="138"/>
        <v>0</v>
      </c>
      <c r="AC147" s="566">
        <f t="shared" si="139"/>
        <v>0</v>
      </c>
      <c r="AD147" s="566">
        <f t="shared" si="140"/>
        <v>0</v>
      </c>
      <c r="AE147" s="566">
        <f t="shared" si="141"/>
        <v>0</v>
      </c>
      <c r="AF147" s="566">
        <f t="shared" si="142"/>
        <v>0</v>
      </c>
      <c r="AG147" s="573"/>
    </row>
    <row r="148" spans="1:33" ht="25.15" hidden="1" customHeight="1">
      <c r="A148" s="671">
        <v>140</v>
      </c>
      <c r="B148" s="546" t="s">
        <v>1666</v>
      </c>
      <c r="C148" s="672"/>
      <c r="D148" s="669"/>
      <c r="E148" s="670"/>
      <c r="F148" s="670"/>
      <c r="G148" s="670"/>
      <c r="H148" s="670"/>
      <c r="I148" s="670"/>
      <c r="J148" s="670"/>
      <c r="K148" s="670"/>
      <c r="L148" s="670"/>
      <c r="M148" s="673"/>
      <c r="N148" s="554">
        <f t="shared" si="130"/>
        <v>0</v>
      </c>
      <c r="O148" s="554">
        <f t="shared" si="131"/>
        <v>0</v>
      </c>
      <c r="P148" s="555" t="e">
        <f>(O148/O296)*100</f>
        <v>#DIV/0!</v>
      </c>
      <c r="Q148" s="570"/>
      <c r="R148" s="555" t="e">
        <f t="shared" si="132"/>
        <v>#DIV/0!</v>
      </c>
      <c r="S148" s="674"/>
      <c r="T148" s="569"/>
      <c r="U148" s="2569"/>
      <c r="W148" s="566">
        <f t="shared" si="133"/>
        <v>0</v>
      </c>
      <c r="X148" s="566">
        <f t="shared" si="134"/>
        <v>0</v>
      </c>
      <c r="Y148" s="566">
        <f t="shared" si="135"/>
        <v>0</v>
      </c>
      <c r="Z148" s="566">
        <f t="shared" si="136"/>
        <v>0</v>
      </c>
      <c r="AA148" s="566">
        <f t="shared" si="137"/>
        <v>0</v>
      </c>
      <c r="AB148" s="566">
        <f t="shared" si="138"/>
        <v>0</v>
      </c>
      <c r="AC148" s="566">
        <f t="shared" si="139"/>
        <v>0</v>
      </c>
      <c r="AD148" s="566">
        <f t="shared" si="140"/>
        <v>0</v>
      </c>
      <c r="AE148" s="566">
        <f t="shared" si="141"/>
        <v>0</v>
      </c>
      <c r="AF148" s="566">
        <f t="shared" si="142"/>
        <v>0</v>
      </c>
      <c r="AG148" s="573"/>
    </row>
    <row r="149" spans="1:33" ht="25.15" hidden="1" customHeight="1">
      <c r="A149" s="671">
        <v>141</v>
      </c>
      <c r="B149" s="546" t="s">
        <v>1667</v>
      </c>
      <c r="C149" s="672"/>
      <c r="D149" s="669"/>
      <c r="E149" s="670"/>
      <c r="F149" s="670"/>
      <c r="G149" s="670"/>
      <c r="H149" s="670"/>
      <c r="I149" s="670"/>
      <c r="J149" s="670"/>
      <c r="K149" s="670"/>
      <c r="L149" s="670"/>
      <c r="M149" s="670"/>
      <c r="N149" s="554">
        <f t="shared" si="130"/>
        <v>0</v>
      </c>
      <c r="O149" s="554">
        <f t="shared" si="131"/>
        <v>0</v>
      </c>
      <c r="P149" s="555" t="e">
        <f>(O149/O296)*100</f>
        <v>#DIV/0!</v>
      </c>
      <c r="Q149" s="570">
        <v>0.52</v>
      </c>
      <c r="R149" s="555" t="e">
        <f t="shared" si="132"/>
        <v>#DIV/0!</v>
      </c>
      <c r="S149" s="674"/>
      <c r="T149" s="569"/>
      <c r="U149" s="2569"/>
      <c r="W149" s="566">
        <f t="shared" si="133"/>
        <v>0</v>
      </c>
      <c r="X149" s="566">
        <f t="shared" si="134"/>
        <v>0</v>
      </c>
      <c r="Y149" s="566">
        <f t="shared" si="135"/>
        <v>0</v>
      </c>
      <c r="Z149" s="566">
        <f t="shared" si="136"/>
        <v>0</v>
      </c>
      <c r="AA149" s="566">
        <f t="shared" si="137"/>
        <v>0</v>
      </c>
      <c r="AB149" s="566">
        <f t="shared" si="138"/>
        <v>0</v>
      </c>
      <c r="AC149" s="566">
        <f t="shared" si="139"/>
        <v>0</v>
      </c>
      <c r="AD149" s="566">
        <f t="shared" si="140"/>
        <v>0</v>
      </c>
      <c r="AE149" s="566">
        <f t="shared" si="141"/>
        <v>0</v>
      </c>
      <c r="AF149" s="566">
        <f t="shared" si="142"/>
        <v>0</v>
      </c>
      <c r="AG149" s="573"/>
    </row>
    <row r="150" spans="1:33" ht="25.15" hidden="1" customHeight="1">
      <c r="A150" s="671">
        <v>142</v>
      </c>
      <c r="B150" s="546" t="s">
        <v>1668</v>
      </c>
      <c r="C150" s="672"/>
      <c r="D150" s="669"/>
      <c r="E150" s="670"/>
      <c r="F150" s="670"/>
      <c r="G150" s="670"/>
      <c r="H150" s="670"/>
      <c r="I150" s="670"/>
      <c r="J150" s="670"/>
      <c r="K150" s="670"/>
      <c r="L150" s="670"/>
      <c r="M150" s="670"/>
      <c r="N150" s="554">
        <f t="shared" si="130"/>
        <v>0</v>
      </c>
      <c r="O150" s="554">
        <f t="shared" si="131"/>
        <v>0</v>
      </c>
      <c r="P150" s="555" t="e">
        <f>(O150/O296)*100</f>
        <v>#DIV/0!</v>
      </c>
      <c r="Q150" s="570">
        <v>0.52</v>
      </c>
      <c r="R150" s="555" t="e">
        <f t="shared" si="132"/>
        <v>#DIV/0!</v>
      </c>
      <c r="S150" s="674"/>
      <c r="T150" s="569"/>
      <c r="U150" s="2569"/>
      <c r="W150" s="566">
        <f t="shared" si="133"/>
        <v>0</v>
      </c>
      <c r="X150" s="566">
        <f t="shared" si="134"/>
        <v>0</v>
      </c>
      <c r="Y150" s="566">
        <f t="shared" si="135"/>
        <v>0</v>
      </c>
      <c r="Z150" s="566">
        <f t="shared" si="136"/>
        <v>0</v>
      </c>
      <c r="AA150" s="566">
        <f t="shared" si="137"/>
        <v>0</v>
      </c>
      <c r="AB150" s="566">
        <f t="shared" si="138"/>
        <v>0</v>
      </c>
      <c r="AC150" s="566">
        <f t="shared" si="139"/>
        <v>0</v>
      </c>
      <c r="AD150" s="566">
        <f t="shared" si="140"/>
        <v>0</v>
      </c>
      <c r="AE150" s="566">
        <f t="shared" si="141"/>
        <v>0</v>
      </c>
      <c r="AF150" s="566">
        <f t="shared" si="142"/>
        <v>0</v>
      </c>
      <c r="AG150" s="573"/>
    </row>
    <row r="151" spans="1:33" ht="25.15" hidden="1" customHeight="1">
      <c r="A151" s="671">
        <v>143</v>
      </c>
      <c r="B151" s="546" t="s">
        <v>1669</v>
      </c>
      <c r="C151" s="672"/>
      <c r="D151" s="669"/>
      <c r="E151" s="670"/>
      <c r="F151" s="670"/>
      <c r="G151" s="670"/>
      <c r="H151" s="670"/>
      <c r="I151" s="670"/>
      <c r="J151" s="670"/>
      <c r="K151" s="670"/>
      <c r="L151" s="670"/>
      <c r="M151" s="670"/>
      <c r="N151" s="554">
        <f t="shared" si="130"/>
        <v>0</v>
      </c>
      <c r="O151" s="554">
        <f t="shared" si="131"/>
        <v>0</v>
      </c>
      <c r="P151" s="555" t="e">
        <f>(O151/O296)*100</f>
        <v>#DIV/0!</v>
      </c>
      <c r="Q151" s="570">
        <v>0.52</v>
      </c>
      <c r="R151" s="555" t="e">
        <f t="shared" si="132"/>
        <v>#DIV/0!</v>
      </c>
      <c r="S151" s="674"/>
      <c r="T151" s="569"/>
      <c r="U151" s="2569"/>
      <c r="W151" s="566">
        <f t="shared" si="133"/>
        <v>0</v>
      </c>
      <c r="X151" s="566">
        <f t="shared" si="134"/>
        <v>0</v>
      </c>
      <c r="Y151" s="566">
        <f t="shared" si="135"/>
        <v>0</v>
      </c>
      <c r="Z151" s="566">
        <f t="shared" si="136"/>
        <v>0</v>
      </c>
      <c r="AA151" s="566">
        <f t="shared" si="137"/>
        <v>0</v>
      </c>
      <c r="AB151" s="566">
        <f t="shared" si="138"/>
        <v>0</v>
      </c>
      <c r="AC151" s="566">
        <f t="shared" si="139"/>
        <v>0</v>
      </c>
      <c r="AD151" s="566">
        <f t="shared" si="140"/>
        <v>0</v>
      </c>
      <c r="AE151" s="566">
        <f t="shared" si="141"/>
        <v>0</v>
      </c>
      <c r="AF151" s="566">
        <f t="shared" si="142"/>
        <v>0</v>
      </c>
      <c r="AG151" s="573"/>
    </row>
    <row r="152" spans="1:33" ht="25.15" hidden="1" customHeight="1">
      <c r="A152" s="671">
        <v>144</v>
      </c>
      <c r="B152" s="546"/>
      <c r="C152" s="672"/>
      <c r="D152" s="669"/>
      <c r="E152" s="670"/>
      <c r="F152" s="670"/>
      <c r="G152" s="670"/>
      <c r="H152" s="670"/>
      <c r="I152" s="670"/>
      <c r="J152" s="670"/>
      <c r="K152" s="670"/>
      <c r="L152" s="670"/>
      <c r="M152" s="670"/>
      <c r="N152" s="554">
        <f t="shared" si="130"/>
        <v>0</v>
      </c>
      <c r="O152" s="554">
        <f t="shared" si="131"/>
        <v>0</v>
      </c>
      <c r="P152" s="555" t="e">
        <f>(O152/O296)*100</f>
        <v>#DIV/0!</v>
      </c>
      <c r="Q152" s="570">
        <v>0.52</v>
      </c>
      <c r="R152" s="555" t="e">
        <f t="shared" si="132"/>
        <v>#DIV/0!</v>
      </c>
      <c r="S152" s="674"/>
      <c r="T152" s="569"/>
      <c r="U152" s="2569"/>
      <c r="W152" s="566">
        <f t="shared" si="133"/>
        <v>0</v>
      </c>
      <c r="X152" s="566">
        <f t="shared" si="134"/>
        <v>0</v>
      </c>
      <c r="Y152" s="566">
        <f t="shared" si="135"/>
        <v>0</v>
      </c>
      <c r="Z152" s="566">
        <f t="shared" si="136"/>
        <v>0</v>
      </c>
      <c r="AA152" s="566">
        <f t="shared" si="137"/>
        <v>0</v>
      </c>
      <c r="AB152" s="566">
        <f t="shared" si="138"/>
        <v>0</v>
      </c>
      <c r="AC152" s="566">
        <f t="shared" si="139"/>
        <v>0</v>
      </c>
      <c r="AD152" s="566">
        <f t="shared" si="140"/>
        <v>0</v>
      </c>
      <c r="AE152" s="566">
        <f t="shared" si="141"/>
        <v>0</v>
      </c>
      <c r="AF152" s="566">
        <f t="shared" si="142"/>
        <v>0</v>
      </c>
      <c r="AG152" s="573"/>
    </row>
    <row r="153" spans="1:33" ht="25.15" hidden="1" customHeight="1">
      <c r="A153" s="671">
        <v>145</v>
      </c>
      <c r="B153" s="546" t="s">
        <v>1670</v>
      </c>
      <c r="C153" s="672"/>
      <c r="D153" s="669"/>
      <c r="E153" s="670"/>
      <c r="F153" s="670"/>
      <c r="G153" s="670"/>
      <c r="H153" s="670"/>
      <c r="I153" s="670"/>
      <c r="J153" s="670"/>
      <c r="K153" s="670"/>
      <c r="L153" s="670"/>
      <c r="M153" s="670"/>
      <c r="N153" s="554">
        <f t="shared" si="130"/>
        <v>0</v>
      </c>
      <c r="O153" s="554">
        <f t="shared" si="131"/>
        <v>0</v>
      </c>
      <c r="P153" s="555" t="e">
        <f>(O153/O296)*100</f>
        <v>#DIV/0!</v>
      </c>
      <c r="Q153" s="570">
        <v>0.52</v>
      </c>
      <c r="R153" s="555" t="e">
        <f t="shared" si="132"/>
        <v>#DIV/0!</v>
      </c>
      <c r="S153" s="674"/>
      <c r="T153" s="569"/>
      <c r="U153" s="2569"/>
      <c r="W153" s="566">
        <f t="shared" si="133"/>
        <v>0</v>
      </c>
      <c r="X153" s="566">
        <f t="shared" si="134"/>
        <v>0</v>
      </c>
      <c r="Y153" s="566">
        <f t="shared" si="135"/>
        <v>0</v>
      </c>
      <c r="Z153" s="566">
        <f t="shared" si="136"/>
        <v>0</v>
      </c>
      <c r="AA153" s="566">
        <f t="shared" si="137"/>
        <v>0</v>
      </c>
      <c r="AB153" s="566">
        <f t="shared" si="138"/>
        <v>0</v>
      </c>
      <c r="AC153" s="566">
        <f t="shared" si="139"/>
        <v>0</v>
      </c>
      <c r="AD153" s="566">
        <f t="shared" si="140"/>
        <v>0</v>
      </c>
      <c r="AE153" s="566">
        <f t="shared" si="141"/>
        <v>0</v>
      </c>
      <c r="AF153" s="566">
        <f t="shared" si="142"/>
        <v>0</v>
      </c>
      <c r="AG153" s="573"/>
    </row>
    <row r="154" spans="1:33" ht="25.15" hidden="1" customHeight="1">
      <c r="A154" s="671">
        <v>146</v>
      </c>
      <c r="B154" s="546" t="s">
        <v>1671</v>
      </c>
      <c r="C154" s="672"/>
      <c r="D154" s="669"/>
      <c r="E154" s="670"/>
      <c r="F154" s="670"/>
      <c r="G154" s="670"/>
      <c r="H154" s="670"/>
      <c r="I154" s="670"/>
      <c r="J154" s="670"/>
      <c r="K154" s="670"/>
      <c r="L154" s="670"/>
      <c r="M154" s="670"/>
      <c r="N154" s="554">
        <f t="shared" si="130"/>
        <v>0</v>
      </c>
      <c r="O154" s="554">
        <f t="shared" si="131"/>
        <v>0</v>
      </c>
      <c r="P154" s="555" t="e">
        <f>(O154/O296)*100</f>
        <v>#DIV/0!</v>
      </c>
      <c r="Q154" s="570">
        <v>0.52</v>
      </c>
      <c r="R154" s="555" t="e">
        <f t="shared" si="132"/>
        <v>#DIV/0!</v>
      </c>
      <c r="S154" s="674"/>
      <c r="T154" s="569"/>
      <c r="U154" s="2569"/>
      <c r="W154" s="566">
        <f t="shared" si="133"/>
        <v>0</v>
      </c>
      <c r="X154" s="566">
        <f t="shared" si="134"/>
        <v>0</v>
      </c>
      <c r="Y154" s="566">
        <f t="shared" si="135"/>
        <v>0</v>
      </c>
      <c r="Z154" s="566">
        <f t="shared" si="136"/>
        <v>0</v>
      </c>
      <c r="AA154" s="566">
        <f t="shared" si="137"/>
        <v>0</v>
      </c>
      <c r="AB154" s="566">
        <f t="shared" si="138"/>
        <v>0</v>
      </c>
      <c r="AC154" s="566">
        <f t="shared" si="139"/>
        <v>0</v>
      </c>
      <c r="AD154" s="566">
        <f t="shared" si="140"/>
        <v>0</v>
      </c>
      <c r="AE154" s="566">
        <f t="shared" si="141"/>
        <v>0</v>
      </c>
      <c r="AF154" s="566">
        <f t="shared" si="142"/>
        <v>0</v>
      </c>
      <c r="AG154" s="573"/>
    </row>
    <row r="155" spans="1:33" ht="25.15" hidden="1" customHeight="1">
      <c r="A155" s="671">
        <v>147</v>
      </c>
      <c r="B155" s="546" t="s">
        <v>1672</v>
      </c>
      <c r="C155" s="672"/>
      <c r="D155" s="669"/>
      <c r="E155" s="670"/>
      <c r="F155" s="670"/>
      <c r="G155" s="670"/>
      <c r="H155" s="670"/>
      <c r="I155" s="670"/>
      <c r="J155" s="670"/>
      <c r="K155" s="670"/>
      <c r="L155" s="670"/>
      <c r="M155" s="670"/>
      <c r="N155" s="554">
        <f t="shared" si="130"/>
        <v>0</v>
      </c>
      <c r="O155" s="554">
        <f t="shared" si="131"/>
        <v>0</v>
      </c>
      <c r="P155" s="555" t="e">
        <f>(O155/O296)*100</f>
        <v>#DIV/0!</v>
      </c>
      <c r="Q155" s="570">
        <v>0.52</v>
      </c>
      <c r="R155" s="555" t="e">
        <f t="shared" si="132"/>
        <v>#DIV/0!</v>
      </c>
      <c r="S155" s="674"/>
      <c r="T155" s="569"/>
      <c r="U155" s="2569"/>
      <c r="W155" s="566">
        <f t="shared" si="133"/>
        <v>0</v>
      </c>
      <c r="X155" s="566">
        <f t="shared" si="134"/>
        <v>0</v>
      </c>
      <c r="Y155" s="566">
        <f t="shared" si="135"/>
        <v>0</v>
      </c>
      <c r="Z155" s="566">
        <f t="shared" si="136"/>
        <v>0</v>
      </c>
      <c r="AA155" s="566">
        <f t="shared" si="137"/>
        <v>0</v>
      </c>
      <c r="AB155" s="566">
        <f t="shared" si="138"/>
        <v>0</v>
      </c>
      <c r="AC155" s="566">
        <f t="shared" si="139"/>
        <v>0</v>
      </c>
      <c r="AD155" s="566">
        <f t="shared" si="140"/>
        <v>0</v>
      </c>
      <c r="AE155" s="566">
        <f t="shared" si="141"/>
        <v>0</v>
      </c>
      <c r="AF155" s="566">
        <f t="shared" si="142"/>
        <v>0</v>
      </c>
      <c r="AG155" s="573"/>
    </row>
    <row r="156" spans="1:33" ht="25.15" hidden="1" customHeight="1">
      <c r="A156" s="671">
        <v>148</v>
      </c>
      <c r="B156" s="546" t="s">
        <v>1673</v>
      </c>
      <c r="C156" s="672"/>
      <c r="D156" s="669"/>
      <c r="E156" s="670"/>
      <c r="F156" s="670"/>
      <c r="G156" s="670"/>
      <c r="H156" s="670"/>
      <c r="I156" s="670"/>
      <c r="J156" s="670"/>
      <c r="K156" s="670"/>
      <c r="L156" s="670"/>
      <c r="M156" s="670"/>
      <c r="N156" s="554">
        <f t="shared" si="130"/>
        <v>0</v>
      </c>
      <c r="O156" s="554">
        <f t="shared" si="131"/>
        <v>0</v>
      </c>
      <c r="P156" s="555" t="e">
        <f>(O156/O296)*100</f>
        <v>#DIV/0!</v>
      </c>
      <c r="Q156" s="570">
        <v>0.52</v>
      </c>
      <c r="R156" s="555" t="e">
        <f t="shared" si="132"/>
        <v>#DIV/0!</v>
      </c>
      <c r="S156" s="674"/>
      <c r="T156" s="569"/>
      <c r="U156" s="2569"/>
      <c r="W156" s="566">
        <f t="shared" si="133"/>
        <v>0</v>
      </c>
      <c r="X156" s="566">
        <f t="shared" si="134"/>
        <v>0</v>
      </c>
      <c r="Y156" s="566">
        <f t="shared" si="135"/>
        <v>0</v>
      </c>
      <c r="Z156" s="566">
        <f t="shared" si="136"/>
        <v>0</v>
      </c>
      <c r="AA156" s="566">
        <f t="shared" si="137"/>
        <v>0</v>
      </c>
      <c r="AB156" s="566">
        <f t="shared" si="138"/>
        <v>0</v>
      </c>
      <c r="AC156" s="566">
        <f t="shared" si="139"/>
        <v>0</v>
      </c>
      <c r="AD156" s="566">
        <f t="shared" si="140"/>
        <v>0</v>
      </c>
      <c r="AE156" s="566">
        <f t="shared" si="141"/>
        <v>0</v>
      </c>
      <c r="AF156" s="566">
        <f t="shared" si="142"/>
        <v>0</v>
      </c>
      <c r="AG156" s="573"/>
    </row>
    <row r="157" spans="1:33" ht="25.15" hidden="1" customHeight="1">
      <c r="A157" s="671">
        <v>149</v>
      </c>
      <c r="B157" s="546" t="s">
        <v>1674</v>
      </c>
      <c r="C157" s="672"/>
      <c r="D157" s="669"/>
      <c r="E157" s="670"/>
      <c r="F157" s="670"/>
      <c r="G157" s="670"/>
      <c r="H157" s="670"/>
      <c r="I157" s="670"/>
      <c r="J157" s="670"/>
      <c r="K157" s="670"/>
      <c r="L157" s="670"/>
      <c r="M157" s="670"/>
      <c r="N157" s="554">
        <f t="shared" si="130"/>
        <v>0</v>
      </c>
      <c r="O157" s="554">
        <f t="shared" si="131"/>
        <v>0</v>
      </c>
      <c r="P157" s="555" t="e">
        <f>(O157/O296)*100</f>
        <v>#DIV/0!</v>
      </c>
      <c r="Q157" s="570">
        <v>0.52</v>
      </c>
      <c r="R157" s="555" t="e">
        <f t="shared" si="132"/>
        <v>#DIV/0!</v>
      </c>
      <c r="S157" s="674"/>
      <c r="T157" s="569"/>
      <c r="U157" s="2569"/>
      <c r="W157" s="566">
        <f t="shared" si="133"/>
        <v>0</v>
      </c>
      <c r="X157" s="566">
        <f t="shared" si="134"/>
        <v>0</v>
      </c>
      <c r="Y157" s="566">
        <f t="shared" si="135"/>
        <v>0</v>
      </c>
      <c r="Z157" s="566">
        <f t="shared" si="136"/>
        <v>0</v>
      </c>
      <c r="AA157" s="566">
        <f t="shared" si="137"/>
        <v>0</v>
      </c>
      <c r="AB157" s="566">
        <f t="shared" si="138"/>
        <v>0</v>
      </c>
      <c r="AC157" s="566">
        <f t="shared" si="139"/>
        <v>0</v>
      </c>
      <c r="AD157" s="566">
        <f t="shared" si="140"/>
        <v>0</v>
      </c>
      <c r="AE157" s="566">
        <f t="shared" si="141"/>
        <v>0</v>
      </c>
      <c r="AF157" s="566">
        <f t="shared" si="142"/>
        <v>0</v>
      </c>
      <c r="AG157" s="573"/>
    </row>
    <row r="158" spans="1:33" customFormat="1" ht="25.15" hidden="1" customHeight="1">
      <c r="A158" s="671">
        <v>150</v>
      </c>
      <c r="B158" s="546" t="s">
        <v>1675</v>
      </c>
      <c r="C158" s="672"/>
      <c r="D158" s="669"/>
      <c r="E158" s="670"/>
      <c r="F158" s="670"/>
      <c r="G158" s="670"/>
      <c r="H158" s="670"/>
      <c r="I158" s="670"/>
      <c r="J158" s="670"/>
      <c r="K158" s="670"/>
      <c r="L158" s="670"/>
      <c r="M158" s="670"/>
      <c r="N158" s="554">
        <f t="shared" si="130"/>
        <v>0</v>
      </c>
      <c r="O158" s="554">
        <f t="shared" si="131"/>
        <v>0</v>
      </c>
      <c r="P158" s="555" t="e">
        <f>(O158/O296)*100</f>
        <v>#DIV/0!</v>
      </c>
      <c r="Q158" s="570">
        <v>0.52</v>
      </c>
      <c r="R158" s="555" t="e">
        <f t="shared" si="132"/>
        <v>#DIV/0!</v>
      </c>
      <c r="S158" s="674"/>
      <c r="T158" s="569"/>
      <c r="U158" s="2569"/>
      <c r="W158" s="566">
        <f t="shared" si="133"/>
        <v>0</v>
      </c>
      <c r="X158" s="566">
        <f t="shared" si="134"/>
        <v>0</v>
      </c>
      <c r="Y158" s="566">
        <f t="shared" si="135"/>
        <v>0</v>
      </c>
      <c r="Z158" s="566">
        <f t="shared" si="136"/>
        <v>0</v>
      </c>
      <c r="AA158" s="566">
        <f t="shared" si="137"/>
        <v>0</v>
      </c>
      <c r="AB158" s="566">
        <f t="shared" si="138"/>
        <v>0</v>
      </c>
      <c r="AC158" s="566">
        <f t="shared" si="139"/>
        <v>0</v>
      </c>
      <c r="AD158" s="566">
        <f t="shared" si="140"/>
        <v>0</v>
      </c>
      <c r="AE158" s="566">
        <f t="shared" si="141"/>
        <v>0</v>
      </c>
      <c r="AF158" s="566">
        <f t="shared" si="142"/>
        <v>0</v>
      </c>
      <c r="AG158" s="573"/>
    </row>
    <row r="159" spans="1:33" customFormat="1" ht="25.15" hidden="1" customHeight="1">
      <c r="A159" s="671">
        <v>151</v>
      </c>
      <c r="B159" s="546" t="s">
        <v>865</v>
      </c>
      <c r="C159" s="672"/>
      <c r="D159" s="669"/>
      <c r="E159" s="670"/>
      <c r="F159" s="670"/>
      <c r="G159" s="670"/>
      <c r="H159" s="670"/>
      <c r="I159" s="670"/>
      <c r="J159" s="670"/>
      <c r="K159" s="670"/>
      <c r="L159" s="670"/>
      <c r="M159" s="670"/>
      <c r="N159" s="554">
        <f t="shared" si="130"/>
        <v>0</v>
      </c>
      <c r="O159" s="554">
        <f t="shared" si="131"/>
        <v>0</v>
      </c>
      <c r="P159" s="555" t="e">
        <f>(O159/O296)*100</f>
        <v>#DIV/0!</v>
      </c>
      <c r="Q159" s="570">
        <v>0.52</v>
      </c>
      <c r="R159" s="555" t="e">
        <f t="shared" si="132"/>
        <v>#DIV/0!</v>
      </c>
      <c r="S159" s="674"/>
      <c r="T159" s="569"/>
      <c r="U159" s="2569"/>
      <c r="W159" s="566">
        <f t="shared" si="133"/>
        <v>0</v>
      </c>
      <c r="X159" s="566">
        <f t="shared" si="134"/>
        <v>0</v>
      </c>
      <c r="Y159" s="566">
        <f t="shared" si="135"/>
        <v>0</v>
      </c>
      <c r="Z159" s="566">
        <f t="shared" si="136"/>
        <v>0</v>
      </c>
      <c r="AA159" s="566">
        <f t="shared" si="137"/>
        <v>0</v>
      </c>
      <c r="AB159" s="566">
        <f t="shared" si="138"/>
        <v>0</v>
      </c>
      <c r="AC159" s="566">
        <f t="shared" si="139"/>
        <v>0</v>
      </c>
      <c r="AD159" s="566">
        <f t="shared" si="140"/>
        <v>0</v>
      </c>
      <c r="AE159" s="566">
        <f t="shared" si="141"/>
        <v>0</v>
      </c>
      <c r="AF159" s="566">
        <f t="shared" si="142"/>
        <v>0</v>
      </c>
      <c r="AG159" s="573"/>
    </row>
    <row r="160" spans="1:33" customFormat="1" ht="25.15" hidden="1" customHeight="1">
      <c r="A160" s="671">
        <v>152</v>
      </c>
      <c r="B160" s="546"/>
      <c r="C160" s="672"/>
      <c r="D160" s="669"/>
      <c r="E160" s="670"/>
      <c r="F160" s="670"/>
      <c r="G160" s="670"/>
      <c r="H160" s="670"/>
      <c r="I160" s="670"/>
      <c r="J160" s="670"/>
      <c r="K160" s="670"/>
      <c r="L160" s="670"/>
      <c r="M160" s="670"/>
      <c r="N160" s="554">
        <f t="shared" si="130"/>
        <v>0</v>
      </c>
      <c r="O160" s="554">
        <f t="shared" si="131"/>
        <v>0</v>
      </c>
      <c r="P160" s="555" t="e">
        <f>(O160/O296)*100</f>
        <v>#DIV/0!</v>
      </c>
      <c r="Q160" s="570">
        <v>0.52</v>
      </c>
      <c r="R160" s="555" t="e">
        <f t="shared" si="132"/>
        <v>#DIV/0!</v>
      </c>
      <c r="S160" s="674"/>
      <c r="T160" s="569"/>
      <c r="U160" s="2569"/>
      <c r="W160" s="566">
        <f t="shared" si="133"/>
        <v>0</v>
      </c>
      <c r="X160" s="566">
        <f t="shared" si="134"/>
        <v>0</v>
      </c>
      <c r="Y160" s="566">
        <f t="shared" si="135"/>
        <v>0</v>
      </c>
      <c r="Z160" s="566">
        <f t="shared" si="136"/>
        <v>0</v>
      </c>
      <c r="AA160" s="566">
        <f t="shared" si="137"/>
        <v>0</v>
      </c>
      <c r="AB160" s="566">
        <f t="shared" si="138"/>
        <v>0</v>
      </c>
      <c r="AC160" s="566">
        <f t="shared" si="139"/>
        <v>0</v>
      </c>
      <c r="AD160" s="566">
        <f t="shared" si="140"/>
        <v>0</v>
      </c>
      <c r="AE160" s="566">
        <f t="shared" si="141"/>
        <v>0</v>
      </c>
      <c r="AF160" s="566">
        <f t="shared" si="142"/>
        <v>0</v>
      </c>
      <c r="AG160" s="573"/>
    </row>
    <row r="161" spans="1:33" customFormat="1" ht="25.15" hidden="1" customHeight="1">
      <c r="A161" s="671">
        <v>153</v>
      </c>
      <c r="B161" s="546" t="s">
        <v>1676</v>
      </c>
      <c r="C161" s="672"/>
      <c r="D161" s="669"/>
      <c r="E161" s="670"/>
      <c r="F161" s="670"/>
      <c r="G161" s="670"/>
      <c r="H161" s="670"/>
      <c r="I161" s="670"/>
      <c r="J161" s="670"/>
      <c r="K161" s="670"/>
      <c r="L161" s="670"/>
      <c r="M161" s="670"/>
      <c r="N161" s="554">
        <f t="shared" si="130"/>
        <v>0</v>
      </c>
      <c r="O161" s="554">
        <f t="shared" si="131"/>
        <v>0</v>
      </c>
      <c r="P161" s="555" t="e">
        <f>(O161/O296)*100</f>
        <v>#DIV/0!</v>
      </c>
      <c r="Q161" s="570">
        <v>0.52</v>
      </c>
      <c r="R161" s="555" t="e">
        <f t="shared" si="132"/>
        <v>#DIV/0!</v>
      </c>
      <c r="S161" s="674">
        <v>110000</v>
      </c>
      <c r="T161" s="569"/>
      <c r="U161" s="2569"/>
      <c r="W161" s="566">
        <f t="shared" si="133"/>
        <v>0</v>
      </c>
      <c r="X161" s="566">
        <f t="shared" si="134"/>
        <v>0</v>
      </c>
      <c r="Y161" s="566">
        <f t="shared" si="135"/>
        <v>0</v>
      </c>
      <c r="Z161" s="566">
        <f t="shared" si="136"/>
        <v>0</v>
      </c>
      <c r="AA161" s="566">
        <f t="shared" si="137"/>
        <v>0</v>
      </c>
      <c r="AB161" s="566">
        <f t="shared" si="138"/>
        <v>0</v>
      </c>
      <c r="AC161" s="566">
        <f t="shared" si="139"/>
        <v>0</v>
      </c>
      <c r="AD161" s="566">
        <f t="shared" si="140"/>
        <v>0</v>
      </c>
      <c r="AE161" s="566">
        <f t="shared" si="141"/>
        <v>0</v>
      </c>
      <c r="AF161" s="566">
        <f t="shared" si="142"/>
        <v>0</v>
      </c>
      <c r="AG161" s="573"/>
    </row>
    <row r="162" spans="1:33" customFormat="1" ht="25.15" hidden="1" customHeight="1">
      <c r="A162" s="671">
        <v>154</v>
      </c>
      <c r="B162" s="546" t="s">
        <v>1677</v>
      </c>
      <c r="C162" s="672"/>
      <c r="D162" s="669"/>
      <c r="E162" s="670"/>
      <c r="F162" s="670"/>
      <c r="G162" s="670"/>
      <c r="H162" s="670"/>
      <c r="I162" s="670"/>
      <c r="J162" s="670"/>
      <c r="K162" s="670"/>
      <c r="L162" s="670"/>
      <c r="M162" s="670"/>
      <c r="N162" s="554">
        <f t="shared" si="130"/>
        <v>0</v>
      </c>
      <c r="O162" s="554">
        <f t="shared" si="131"/>
        <v>0</v>
      </c>
      <c r="P162" s="555" t="e">
        <f>(O162/O296)*100</f>
        <v>#DIV/0!</v>
      </c>
      <c r="Q162" s="570">
        <v>0.52</v>
      </c>
      <c r="R162" s="555" t="e">
        <f t="shared" si="132"/>
        <v>#DIV/0!</v>
      </c>
      <c r="S162" s="674">
        <v>140000</v>
      </c>
      <c r="T162" s="569"/>
      <c r="U162" s="2569"/>
      <c r="W162" s="566">
        <f t="shared" si="133"/>
        <v>0</v>
      </c>
      <c r="X162" s="566">
        <f t="shared" si="134"/>
        <v>0</v>
      </c>
      <c r="Y162" s="566">
        <f t="shared" si="135"/>
        <v>0</v>
      </c>
      <c r="Z162" s="566">
        <f t="shared" si="136"/>
        <v>0</v>
      </c>
      <c r="AA162" s="566">
        <f t="shared" si="137"/>
        <v>0</v>
      </c>
      <c r="AB162" s="566">
        <f t="shared" si="138"/>
        <v>0</v>
      </c>
      <c r="AC162" s="566">
        <f t="shared" si="139"/>
        <v>0</v>
      </c>
      <c r="AD162" s="566">
        <f t="shared" si="140"/>
        <v>0</v>
      </c>
      <c r="AE162" s="566">
        <f t="shared" si="141"/>
        <v>0</v>
      </c>
      <c r="AF162" s="566">
        <f t="shared" si="142"/>
        <v>0</v>
      </c>
      <c r="AG162" s="573"/>
    </row>
    <row r="163" spans="1:33" customFormat="1" ht="25.15" hidden="1" customHeight="1">
      <c r="A163" s="671">
        <v>155</v>
      </c>
      <c r="B163" s="546" t="s">
        <v>1678</v>
      </c>
      <c r="C163" s="672"/>
      <c r="D163" s="669"/>
      <c r="E163" s="670"/>
      <c r="F163" s="670"/>
      <c r="G163" s="670"/>
      <c r="H163" s="670"/>
      <c r="I163" s="670"/>
      <c r="J163" s="670"/>
      <c r="K163" s="670"/>
      <c r="L163" s="670"/>
      <c r="M163" s="670"/>
      <c r="N163" s="554">
        <f t="shared" si="130"/>
        <v>0</v>
      </c>
      <c r="O163" s="554">
        <f t="shared" si="131"/>
        <v>0</v>
      </c>
      <c r="P163" s="555" t="e">
        <f>(O163/O296)*100</f>
        <v>#DIV/0!</v>
      </c>
      <c r="Q163" s="570">
        <v>0.52</v>
      </c>
      <c r="R163" s="555" t="e">
        <f t="shared" si="132"/>
        <v>#DIV/0!</v>
      </c>
      <c r="S163" s="674"/>
      <c r="T163" s="569"/>
      <c r="U163" s="2569"/>
      <c r="W163" s="566">
        <f t="shared" si="133"/>
        <v>0</v>
      </c>
      <c r="X163" s="566">
        <f t="shared" si="134"/>
        <v>0</v>
      </c>
      <c r="Y163" s="566">
        <f t="shared" si="135"/>
        <v>0</v>
      </c>
      <c r="Z163" s="566">
        <f t="shared" si="136"/>
        <v>0</v>
      </c>
      <c r="AA163" s="566">
        <f t="shared" si="137"/>
        <v>0</v>
      </c>
      <c r="AB163" s="566">
        <f t="shared" si="138"/>
        <v>0</v>
      </c>
      <c r="AC163" s="566">
        <f t="shared" si="139"/>
        <v>0</v>
      </c>
      <c r="AD163" s="566">
        <f t="shared" si="140"/>
        <v>0</v>
      </c>
      <c r="AE163" s="566">
        <f t="shared" si="141"/>
        <v>0</v>
      </c>
      <c r="AF163" s="566">
        <f t="shared" si="142"/>
        <v>0</v>
      </c>
      <c r="AG163" s="573"/>
    </row>
    <row r="164" spans="1:33" customFormat="1" ht="25.15" hidden="1" customHeight="1">
      <c r="A164" s="671">
        <v>156</v>
      </c>
      <c r="B164" s="546" t="s">
        <v>1679</v>
      </c>
      <c r="C164" s="672"/>
      <c r="D164" s="669"/>
      <c r="E164" s="670"/>
      <c r="F164" s="670"/>
      <c r="G164" s="670"/>
      <c r="H164" s="670"/>
      <c r="I164" s="670"/>
      <c r="J164" s="670"/>
      <c r="K164" s="670"/>
      <c r="L164" s="670"/>
      <c r="M164" s="670"/>
      <c r="N164" s="554">
        <f t="shared" si="130"/>
        <v>0</v>
      </c>
      <c r="O164" s="554">
        <f t="shared" si="131"/>
        <v>0</v>
      </c>
      <c r="P164" s="555" t="e">
        <f>(O164/O296)*100</f>
        <v>#DIV/0!</v>
      </c>
      <c r="Q164" s="570">
        <v>0.52</v>
      </c>
      <c r="R164" s="555" t="e">
        <f t="shared" si="132"/>
        <v>#DIV/0!</v>
      </c>
      <c r="S164" s="674"/>
      <c r="T164" s="569"/>
      <c r="U164" s="2569"/>
      <c r="W164" s="566">
        <f t="shared" si="133"/>
        <v>0</v>
      </c>
      <c r="X164" s="566">
        <f t="shared" si="134"/>
        <v>0</v>
      </c>
      <c r="Y164" s="566">
        <f t="shared" si="135"/>
        <v>0</v>
      </c>
      <c r="Z164" s="566">
        <f t="shared" si="136"/>
        <v>0</v>
      </c>
      <c r="AA164" s="566">
        <f t="shared" si="137"/>
        <v>0</v>
      </c>
      <c r="AB164" s="566">
        <f t="shared" si="138"/>
        <v>0</v>
      </c>
      <c r="AC164" s="566">
        <f t="shared" si="139"/>
        <v>0</v>
      </c>
      <c r="AD164" s="566">
        <f t="shared" si="140"/>
        <v>0</v>
      </c>
      <c r="AE164" s="566">
        <f t="shared" si="141"/>
        <v>0</v>
      </c>
      <c r="AF164" s="566">
        <f t="shared" si="142"/>
        <v>0</v>
      </c>
      <c r="AG164" s="573"/>
    </row>
    <row r="165" spans="1:33" customFormat="1" ht="25.15" hidden="1" customHeight="1">
      <c r="A165" s="671">
        <v>157</v>
      </c>
      <c r="B165" s="546"/>
      <c r="C165" s="672"/>
      <c r="D165" s="669"/>
      <c r="E165" s="670"/>
      <c r="F165" s="670"/>
      <c r="G165" s="670"/>
      <c r="H165" s="670"/>
      <c r="I165" s="670"/>
      <c r="J165" s="670"/>
      <c r="K165" s="670"/>
      <c r="L165" s="670"/>
      <c r="M165" s="670"/>
      <c r="N165" s="554">
        <f t="shared" si="130"/>
        <v>0</v>
      </c>
      <c r="O165" s="554">
        <f t="shared" si="131"/>
        <v>0</v>
      </c>
      <c r="P165" s="555" t="e">
        <f>(O165/O296)*100</f>
        <v>#DIV/0!</v>
      </c>
      <c r="Q165" s="570">
        <v>0.52</v>
      </c>
      <c r="R165" s="555" t="e">
        <f t="shared" si="132"/>
        <v>#DIV/0!</v>
      </c>
      <c r="S165" s="674"/>
      <c r="T165" s="569"/>
      <c r="U165" s="2569"/>
      <c r="W165" s="566">
        <f t="shared" si="133"/>
        <v>0</v>
      </c>
      <c r="X165" s="566">
        <f t="shared" si="134"/>
        <v>0</v>
      </c>
      <c r="Y165" s="566">
        <f t="shared" si="135"/>
        <v>0</v>
      </c>
      <c r="Z165" s="566">
        <f t="shared" si="136"/>
        <v>0</v>
      </c>
      <c r="AA165" s="566">
        <f t="shared" si="137"/>
        <v>0</v>
      </c>
      <c r="AB165" s="566">
        <f t="shared" si="138"/>
        <v>0</v>
      </c>
      <c r="AC165" s="566">
        <f t="shared" si="139"/>
        <v>0</v>
      </c>
      <c r="AD165" s="566">
        <f t="shared" si="140"/>
        <v>0</v>
      </c>
      <c r="AE165" s="566">
        <f t="shared" si="141"/>
        <v>0</v>
      </c>
      <c r="AF165" s="566">
        <f t="shared" si="142"/>
        <v>0</v>
      </c>
      <c r="AG165" s="573"/>
    </row>
    <row r="166" spans="1:33" customFormat="1" ht="25.15" hidden="1" customHeight="1">
      <c r="A166" s="671">
        <v>158</v>
      </c>
      <c r="B166" s="546" t="s">
        <v>1680</v>
      </c>
      <c r="C166" s="672"/>
      <c r="D166" s="669"/>
      <c r="E166" s="670"/>
      <c r="F166" s="670"/>
      <c r="G166" s="670"/>
      <c r="H166" s="670"/>
      <c r="I166" s="670"/>
      <c r="J166" s="670"/>
      <c r="K166" s="670"/>
      <c r="L166" s="670"/>
      <c r="M166" s="670"/>
      <c r="N166" s="554">
        <f t="shared" si="130"/>
        <v>0</v>
      </c>
      <c r="O166" s="554">
        <f t="shared" si="131"/>
        <v>0</v>
      </c>
      <c r="P166" s="555" t="e">
        <f>(O166/O296)*100</f>
        <v>#DIV/0!</v>
      </c>
      <c r="Q166" s="570">
        <v>0.52</v>
      </c>
      <c r="R166" s="555" t="e">
        <f t="shared" si="132"/>
        <v>#DIV/0!</v>
      </c>
      <c r="S166" s="674"/>
      <c r="T166" s="569"/>
      <c r="U166" s="2569"/>
      <c r="W166" s="566">
        <f t="shared" si="133"/>
        <v>0</v>
      </c>
      <c r="X166" s="566">
        <f t="shared" si="134"/>
        <v>0</v>
      </c>
      <c r="Y166" s="566">
        <f t="shared" si="135"/>
        <v>0</v>
      </c>
      <c r="Z166" s="566">
        <f t="shared" si="136"/>
        <v>0</v>
      </c>
      <c r="AA166" s="566">
        <f t="shared" si="137"/>
        <v>0</v>
      </c>
      <c r="AB166" s="566">
        <f t="shared" si="138"/>
        <v>0</v>
      </c>
      <c r="AC166" s="566">
        <f t="shared" si="139"/>
        <v>0</v>
      </c>
      <c r="AD166" s="566">
        <f t="shared" si="140"/>
        <v>0</v>
      </c>
      <c r="AE166" s="566">
        <f t="shared" si="141"/>
        <v>0</v>
      </c>
      <c r="AF166" s="566">
        <f t="shared" si="142"/>
        <v>0</v>
      </c>
      <c r="AG166" s="573"/>
    </row>
    <row r="167" spans="1:33" customFormat="1" ht="25.15" hidden="1" customHeight="1">
      <c r="A167" s="671">
        <v>159</v>
      </c>
      <c r="B167" s="546" t="s">
        <v>1681</v>
      </c>
      <c r="C167" s="672"/>
      <c r="D167" s="669"/>
      <c r="E167" s="670"/>
      <c r="F167" s="670"/>
      <c r="G167" s="670"/>
      <c r="H167" s="670"/>
      <c r="I167" s="670"/>
      <c r="J167" s="670"/>
      <c r="K167" s="670"/>
      <c r="L167" s="670"/>
      <c r="M167" s="670"/>
      <c r="N167" s="554">
        <f t="shared" si="130"/>
        <v>0</v>
      </c>
      <c r="O167" s="554">
        <f t="shared" si="131"/>
        <v>0</v>
      </c>
      <c r="P167" s="555" t="e">
        <f>(O167/O296)*100</f>
        <v>#DIV/0!</v>
      </c>
      <c r="Q167" s="570">
        <v>0.52</v>
      </c>
      <c r="R167" s="555" t="e">
        <f t="shared" si="132"/>
        <v>#DIV/0!</v>
      </c>
      <c r="S167" s="674"/>
      <c r="T167" s="569"/>
      <c r="U167" s="2569"/>
      <c r="W167" s="566">
        <f t="shared" si="133"/>
        <v>0</v>
      </c>
      <c r="X167" s="566">
        <f t="shared" si="134"/>
        <v>0</v>
      </c>
      <c r="Y167" s="566">
        <f t="shared" si="135"/>
        <v>0</v>
      </c>
      <c r="Z167" s="566">
        <f t="shared" si="136"/>
        <v>0</v>
      </c>
      <c r="AA167" s="566">
        <f t="shared" si="137"/>
        <v>0</v>
      </c>
      <c r="AB167" s="566">
        <f t="shared" si="138"/>
        <v>0</v>
      </c>
      <c r="AC167" s="566">
        <f t="shared" si="139"/>
        <v>0</v>
      </c>
      <c r="AD167" s="566">
        <f t="shared" si="140"/>
        <v>0</v>
      </c>
      <c r="AE167" s="566">
        <f t="shared" si="141"/>
        <v>0</v>
      </c>
      <c r="AF167" s="566">
        <f t="shared" si="142"/>
        <v>0</v>
      </c>
      <c r="AG167" s="573"/>
    </row>
    <row r="168" spans="1:33" customFormat="1" ht="25.15" hidden="1" customHeight="1">
      <c r="A168" s="671">
        <v>160</v>
      </c>
      <c r="B168" s="546" t="s">
        <v>1682</v>
      </c>
      <c r="C168" s="672"/>
      <c r="D168" s="669"/>
      <c r="E168" s="670"/>
      <c r="F168" s="670"/>
      <c r="G168" s="670"/>
      <c r="H168" s="670"/>
      <c r="I168" s="670"/>
      <c r="J168" s="670"/>
      <c r="K168" s="670"/>
      <c r="L168" s="670"/>
      <c r="M168" s="670"/>
      <c r="N168" s="554">
        <f t="shared" ref="N168:N237" si="143">SUM(D168:M168)</f>
        <v>0</v>
      </c>
      <c r="O168" s="554">
        <f t="shared" ref="O168:O237" si="144">N168*S168</f>
        <v>0</v>
      </c>
      <c r="P168" s="555" t="e">
        <f>(O168/O296)*100</f>
        <v>#DIV/0!</v>
      </c>
      <c r="Q168" s="570">
        <v>0.52</v>
      </c>
      <c r="R168" s="555" t="e">
        <f t="shared" ref="R168:R237" si="145">P168*Q168</f>
        <v>#DIV/0!</v>
      </c>
      <c r="S168" s="674"/>
      <c r="T168" s="569"/>
      <c r="U168" s="2569"/>
      <c r="W168" s="566">
        <f t="shared" ref="W168:W237" si="146">D168*S168</f>
        <v>0</v>
      </c>
      <c r="X168" s="566">
        <f t="shared" ref="X168:X237" si="147">E168*S168</f>
        <v>0</v>
      </c>
      <c r="Y168" s="566">
        <f t="shared" ref="Y168:Y237" si="148">F168*S168</f>
        <v>0</v>
      </c>
      <c r="Z168" s="566">
        <f t="shared" ref="Z168:Z237" si="149">G168*S168</f>
        <v>0</v>
      </c>
      <c r="AA168" s="566">
        <f t="shared" ref="AA168:AA237" si="150">H168*S168</f>
        <v>0</v>
      </c>
      <c r="AB168" s="566">
        <f t="shared" ref="AB168:AB237" si="151">I168*S168</f>
        <v>0</v>
      </c>
      <c r="AC168" s="566">
        <f t="shared" ref="AC168:AC237" si="152">J168*S168</f>
        <v>0</v>
      </c>
      <c r="AD168" s="566">
        <f t="shared" ref="AD168:AD237" si="153">K168*S168</f>
        <v>0</v>
      </c>
      <c r="AE168" s="566">
        <f t="shared" ref="AE168:AE237" si="154">L168*S168</f>
        <v>0</v>
      </c>
      <c r="AF168" s="566">
        <f t="shared" ref="AF168:AF237" si="155">M168*S168</f>
        <v>0</v>
      </c>
      <c r="AG168" s="573"/>
    </row>
    <row r="169" spans="1:33" customFormat="1" ht="25.15" hidden="1" customHeight="1">
      <c r="A169" s="671">
        <v>161</v>
      </c>
      <c r="B169" s="546" t="s">
        <v>1683</v>
      </c>
      <c r="C169" s="672"/>
      <c r="D169" s="669"/>
      <c r="E169" s="670"/>
      <c r="F169" s="670"/>
      <c r="G169" s="670"/>
      <c r="H169" s="670"/>
      <c r="I169" s="670"/>
      <c r="J169" s="670"/>
      <c r="K169" s="670"/>
      <c r="L169" s="670"/>
      <c r="M169" s="670"/>
      <c r="N169" s="554">
        <f t="shared" si="143"/>
        <v>0</v>
      </c>
      <c r="O169" s="554">
        <f t="shared" si="144"/>
        <v>0</v>
      </c>
      <c r="P169" s="555" t="e">
        <f>(O169/O296)*100</f>
        <v>#DIV/0!</v>
      </c>
      <c r="Q169" s="570">
        <v>0.52</v>
      </c>
      <c r="R169" s="555" t="e">
        <f t="shared" si="145"/>
        <v>#DIV/0!</v>
      </c>
      <c r="S169" s="674"/>
      <c r="T169" s="569"/>
      <c r="U169" s="2569"/>
      <c r="W169" s="566">
        <f t="shared" si="146"/>
        <v>0</v>
      </c>
      <c r="X169" s="566">
        <f t="shared" si="147"/>
        <v>0</v>
      </c>
      <c r="Y169" s="566">
        <f t="shared" si="148"/>
        <v>0</v>
      </c>
      <c r="Z169" s="566">
        <f t="shared" si="149"/>
        <v>0</v>
      </c>
      <c r="AA169" s="566">
        <f t="shared" si="150"/>
        <v>0</v>
      </c>
      <c r="AB169" s="566">
        <f t="shared" si="151"/>
        <v>0</v>
      </c>
      <c r="AC169" s="566">
        <f t="shared" si="152"/>
        <v>0</v>
      </c>
      <c r="AD169" s="566">
        <f t="shared" si="153"/>
        <v>0</v>
      </c>
      <c r="AE169" s="566">
        <f t="shared" si="154"/>
        <v>0</v>
      </c>
      <c r="AF169" s="566">
        <f t="shared" si="155"/>
        <v>0</v>
      </c>
      <c r="AG169" s="573"/>
    </row>
    <row r="170" spans="1:33" customFormat="1" ht="25.15" hidden="1" customHeight="1">
      <c r="A170" s="671">
        <v>162</v>
      </c>
      <c r="B170" s="546" t="s">
        <v>1684</v>
      </c>
      <c r="C170" s="672"/>
      <c r="D170" s="669"/>
      <c r="E170" s="670"/>
      <c r="F170" s="670"/>
      <c r="G170" s="670"/>
      <c r="H170" s="670"/>
      <c r="I170" s="670"/>
      <c r="J170" s="670"/>
      <c r="K170" s="670"/>
      <c r="L170" s="670"/>
      <c r="M170" s="670"/>
      <c r="N170" s="554">
        <f t="shared" si="143"/>
        <v>0</v>
      </c>
      <c r="O170" s="554">
        <f t="shared" si="144"/>
        <v>0</v>
      </c>
      <c r="P170" s="555" t="e">
        <f>(O170/O296)*100</f>
        <v>#DIV/0!</v>
      </c>
      <c r="Q170" s="570">
        <v>0.52</v>
      </c>
      <c r="R170" s="555" t="e">
        <f t="shared" si="145"/>
        <v>#DIV/0!</v>
      </c>
      <c r="S170" s="674"/>
      <c r="T170" s="569"/>
      <c r="U170" s="2569"/>
      <c r="W170" s="566">
        <f t="shared" si="146"/>
        <v>0</v>
      </c>
      <c r="X170" s="566">
        <f t="shared" si="147"/>
        <v>0</v>
      </c>
      <c r="Y170" s="566">
        <f t="shared" si="148"/>
        <v>0</v>
      </c>
      <c r="Z170" s="566">
        <f t="shared" si="149"/>
        <v>0</v>
      </c>
      <c r="AA170" s="566">
        <f t="shared" si="150"/>
        <v>0</v>
      </c>
      <c r="AB170" s="566">
        <f t="shared" si="151"/>
        <v>0</v>
      </c>
      <c r="AC170" s="566">
        <f t="shared" si="152"/>
        <v>0</v>
      </c>
      <c r="AD170" s="566">
        <f t="shared" si="153"/>
        <v>0</v>
      </c>
      <c r="AE170" s="566">
        <f t="shared" si="154"/>
        <v>0</v>
      </c>
      <c r="AF170" s="566">
        <f t="shared" si="155"/>
        <v>0</v>
      </c>
      <c r="AG170" s="573"/>
    </row>
    <row r="171" spans="1:33" customFormat="1" ht="25.15" hidden="1" customHeight="1">
      <c r="A171" s="671">
        <v>163</v>
      </c>
      <c r="B171" s="546" t="s">
        <v>1685</v>
      </c>
      <c r="C171" s="672"/>
      <c r="D171" s="669"/>
      <c r="E171" s="670"/>
      <c r="F171" s="670"/>
      <c r="G171" s="670"/>
      <c r="H171" s="670"/>
      <c r="I171" s="670"/>
      <c r="J171" s="670"/>
      <c r="K171" s="670"/>
      <c r="L171" s="670"/>
      <c r="M171" s="670"/>
      <c r="N171" s="554">
        <f t="shared" si="143"/>
        <v>0</v>
      </c>
      <c r="O171" s="554">
        <f t="shared" si="144"/>
        <v>0</v>
      </c>
      <c r="P171" s="555" t="e">
        <f>(O171/O296)*100</f>
        <v>#DIV/0!</v>
      </c>
      <c r="Q171" s="570">
        <v>0.52</v>
      </c>
      <c r="R171" s="555" t="e">
        <f t="shared" si="145"/>
        <v>#DIV/0!</v>
      </c>
      <c r="S171" s="674"/>
      <c r="T171" s="569"/>
      <c r="U171" s="2569"/>
      <c r="W171" s="566">
        <f t="shared" si="146"/>
        <v>0</v>
      </c>
      <c r="X171" s="566">
        <f t="shared" si="147"/>
        <v>0</v>
      </c>
      <c r="Y171" s="566">
        <f t="shared" si="148"/>
        <v>0</v>
      </c>
      <c r="Z171" s="566">
        <f t="shared" si="149"/>
        <v>0</v>
      </c>
      <c r="AA171" s="566">
        <f t="shared" si="150"/>
        <v>0</v>
      </c>
      <c r="AB171" s="566">
        <f t="shared" si="151"/>
        <v>0</v>
      </c>
      <c r="AC171" s="566">
        <f t="shared" si="152"/>
        <v>0</v>
      </c>
      <c r="AD171" s="566">
        <f t="shared" si="153"/>
        <v>0</v>
      </c>
      <c r="AE171" s="566">
        <f t="shared" si="154"/>
        <v>0</v>
      </c>
      <c r="AF171" s="566">
        <f t="shared" si="155"/>
        <v>0</v>
      </c>
      <c r="AG171" s="573"/>
    </row>
    <row r="172" spans="1:33" customFormat="1" ht="25.15" hidden="1" customHeight="1">
      <c r="A172" s="671">
        <v>164</v>
      </c>
      <c r="B172" s="546"/>
      <c r="C172" s="672"/>
      <c r="D172" s="669"/>
      <c r="E172" s="670"/>
      <c r="F172" s="670"/>
      <c r="G172" s="670"/>
      <c r="H172" s="670"/>
      <c r="I172" s="670"/>
      <c r="J172" s="670"/>
      <c r="K172" s="670"/>
      <c r="L172" s="670"/>
      <c r="M172" s="670"/>
      <c r="N172" s="554">
        <f t="shared" si="143"/>
        <v>0</v>
      </c>
      <c r="O172" s="554">
        <f t="shared" si="144"/>
        <v>0</v>
      </c>
      <c r="P172" s="555" t="e">
        <f>(O172/O296)*100</f>
        <v>#DIV/0!</v>
      </c>
      <c r="Q172" s="570">
        <v>0.52</v>
      </c>
      <c r="R172" s="555" t="e">
        <f t="shared" si="145"/>
        <v>#DIV/0!</v>
      </c>
      <c r="S172" s="674"/>
      <c r="T172" s="569"/>
      <c r="U172" s="2569"/>
      <c r="W172" s="566">
        <f t="shared" si="146"/>
        <v>0</v>
      </c>
      <c r="X172" s="566">
        <f t="shared" si="147"/>
        <v>0</v>
      </c>
      <c r="Y172" s="566">
        <f t="shared" si="148"/>
        <v>0</v>
      </c>
      <c r="Z172" s="566">
        <f t="shared" si="149"/>
        <v>0</v>
      </c>
      <c r="AA172" s="566">
        <f t="shared" si="150"/>
        <v>0</v>
      </c>
      <c r="AB172" s="566">
        <f t="shared" si="151"/>
        <v>0</v>
      </c>
      <c r="AC172" s="566">
        <f t="shared" si="152"/>
        <v>0</v>
      </c>
      <c r="AD172" s="566">
        <f t="shared" si="153"/>
        <v>0</v>
      </c>
      <c r="AE172" s="566">
        <f t="shared" si="154"/>
        <v>0</v>
      </c>
      <c r="AF172" s="566">
        <f t="shared" si="155"/>
        <v>0</v>
      </c>
      <c r="AG172" s="573"/>
    </row>
    <row r="173" spans="1:33" customFormat="1" ht="25.15" hidden="1" customHeight="1">
      <c r="A173" s="671">
        <v>165</v>
      </c>
      <c r="B173" s="546" t="s">
        <v>1398</v>
      </c>
      <c r="C173" s="672"/>
      <c r="D173" s="669"/>
      <c r="E173" s="670"/>
      <c r="F173" s="670"/>
      <c r="G173" s="670"/>
      <c r="H173" s="670"/>
      <c r="I173" s="670"/>
      <c r="J173" s="670"/>
      <c r="K173" s="670"/>
      <c r="L173" s="670"/>
      <c r="M173" s="670"/>
      <c r="N173" s="554">
        <f t="shared" si="143"/>
        <v>0</v>
      </c>
      <c r="O173" s="554">
        <f t="shared" si="144"/>
        <v>0</v>
      </c>
      <c r="P173" s="555" t="e">
        <f>(O173/O296)*100</f>
        <v>#DIV/0!</v>
      </c>
      <c r="Q173" s="570">
        <v>0.52</v>
      </c>
      <c r="R173" s="555" t="e">
        <f t="shared" si="145"/>
        <v>#DIV/0!</v>
      </c>
      <c r="S173" s="674"/>
      <c r="T173" s="569"/>
      <c r="U173" s="2569"/>
      <c r="W173" s="566">
        <f t="shared" si="146"/>
        <v>0</v>
      </c>
      <c r="X173" s="566">
        <f t="shared" si="147"/>
        <v>0</v>
      </c>
      <c r="Y173" s="566">
        <f t="shared" si="148"/>
        <v>0</v>
      </c>
      <c r="Z173" s="566">
        <f t="shared" si="149"/>
        <v>0</v>
      </c>
      <c r="AA173" s="566">
        <f t="shared" si="150"/>
        <v>0</v>
      </c>
      <c r="AB173" s="566">
        <f t="shared" si="151"/>
        <v>0</v>
      </c>
      <c r="AC173" s="566">
        <f t="shared" si="152"/>
        <v>0</v>
      </c>
      <c r="AD173" s="566">
        <f t="shared" si="153"/>
        <v>0</v>
      </c>
      <c r="AE173" s="566">
        <f t="shared" si="154"/>
        <v>0</v>
      </c>
      <c r="AF173" s="566">
        <f t="shared" si="155"/>
        <v>0</v>
      </c>
      <c r="AG173" s="573"/>
    </row>
    <row r="174" spans="1:33" customFormat="1" ht="25.15" hidden="1" customHeight="1">
      <c r="A174" s="671">
        <v>166</v>
      </c>
      <c r="B174" s="546" t="s">
        <v>1399</v>
      </c>
      <c r="C174" s="672"/>
      <c r="D174" s="669"/>
      <c r="E174" s="670"/>
      <c r="F174" s="670"/>
      <c r="G174" s="670"/>
      <c r="H174" s="670"/>
      <c r="I174" s="670"/>
      <c r="J174" s="670"/>
      <c r="K174" s="670"/>
      <c r="L174" s="670"/>
      <c r="M174" s="670"/>
      <c r="N174" s="554">
        <f t="shared" si="143"/>
        <v>0</v>
      </c>
      <c r="O174" s="554">
        <f t="shared" si="144"/>
        <v>0</v>
      </c>
      <c r="P174" s="555" t="e">
        <f>(O174/O296)*100</f>
        <v>#DIV/0!</v>
      </c>
      <c r="Q174" s="570">
        <v>0.52</v>
      </c>
      <c r="R174" s="555" t="e">
        <f t="shared" si="145"/>
        <v>#DIV/0!</v>
      </c>
      <c r="S174" s="674"/>
      <c r="T174" s="569"/>
      <c r="U174" s="2569"/>
      <c r="W174" s="566">
        <f t="shared" si="146"/>
        <v>0</v>
      </c>
      <c r="X174" s="566">
        <f t="shared" si="147"/>
        <v>0</v>
      </c>
      <c r="Y174" s="566">
        <f t="shared" si="148"/>
        <v>0</v>
      </c>
      <c r="Z174" s="566">
        <f t="shared" si="149"/>
        <v>0</v>
      </c>
      <c r="AA174" s="566">
        <f t="shared" si="150"/>
        <v>0</v>
      </c>
      <c r="AB174" s="566">
        <f t="shared" si="151"/>
        <v>0</v>
      </c>
      <c r="AC174" s="566">
        <f t="shared" si="152"/>
        <v>0</v>
      </c>
      <c r="AD174" s="566">
        <f t="shared" si="153"/>
        <v>0</v>
      </c>
      <c r="AE174" s="566">
        <f t="shared" si="154"/>
        <v>0</v>
      </c>
      <c r="AF174" s="566">
        <f t="shared" si="155"/>
        <v>0</v>
      </c>
      <c r="AG174" s="573"/>
    </row>
    <row r="175" spans="1:33" customFormat="1" ht="25.15" hidden="1" customHeight="1">
      <c r="A175" s="671">
        <v>167</v>
      </c>
      <c r="B175" s="546"/>
      <c r="C175" s="672"/>
      <c r="D175" s="669"/>
      <c r="E175" s="670"/>
      <c r="F175" s="670"/>
      <c r="G175" s="670"/>
      <c r="H175" s="670"/>
      <c r="I175" s="670"/>
      <c r="J175" s="670"/>
      <c r="K175" s="670"/>
      <c r="L175" s="670"/>
      <c r="M175" s="670"/>
      <c r="N175" s="554">
        <f t="shared" si="143"/>
        <v>0</v>
      </c>
      <c r="O175" s="554">
        <f t="shared" si="144"/>
        <v>0</v>
      </c>
      <c r="P175" s="555" t="e">
        <f>(O175/O296)*100</f>
        <v>#DIV/0!</v>
      </c>
      <c r="Q175" s="570">
        <v>0.52</v>
      </c>
      <c r="R175" s="555" t="e">
        <f t="shared" si="145"/>
        <v>#DIV/0!</v>
      </c>
      <c r="S175" s="674"/>
      <c r="T175" s="569"/>
      <c r="U175" s="2569"/>
      <c r="W175" s="566">
        <f t="shared" si="146"/>
        <v>0</v>
      </c>
      <c r="X175" s="566">
        <f t="shared" si="147"/>
        <v>0</v>
      </c>
      <c r="Y175" s="566">
        <f t="shared" si="148"/>
        <v>0</v>
      </c>
      <c r="Z175" s="566">
        <f t="shared" si="149"/>
        <v>0</v>
      </c>
      <c r="AA175" s="566">
        <f t="shared" si="150"/>
        <v>0</v>
      </c>
      <c r="AB175" s="566">
        <f t="shared" si="151"/>
        <v>0</v>
      </c>
      <c r="AC175" s="566">
        <f t="shared" si="152"/>
        <v>0</v>
      </c>
      <c r="AD175" s="566">
        <f t="shared" si="153"/>
        <v>0</v>
      </c>
      <c r="AE175" s="566">
        <f t="shared" si="154"/>
        <v>0</v>
      </c>
      <c r="AF175" s="566">
        <f t="shared" si="155"/>
        <v>0</v>
      </c>
      <c r="AG175" s="573"/>
    </row>
    <row r="176" spans="1:33" customFormat="1" ht="25.15" hidden="1" customHeight="1">
      <c r="A176" s="671">
        <v>168</v>
      </c>
      <c r="B176" s="546" t="s">
        <v>1400</v>
      </c>
      <c r="C176" s="672"/>
      <c r="D176" s="669"/>
      <c r="E176" s="670"/>
      <c r="F176" s="670"/>
      <c r="G176" s="670"/>
      <c r="H176" s="670"/>
      <c r="I176" s="670"/>
      <c r="J176" s="670"/>
      <c r="K176" s="670"/>
      <c r="L176" s="670"/>
      <c r="M176" s="670"/>
      <c r="N176" s="554">
        <f t="shared" si="143"/>
        <v>0</v>
      </c>
      <c r="O176" s="554">
        <f t="shared" si="144"/>
        <v>0</v>
      </c>
      <c r="P176" s="555" t="e">
        <f>(O176/O296)*100</f>
        <v>#DIV/0!</v>
      </c>
      <c r="Q176" s="570">
        <v>0.52</v>
      </c>
      <c r="R176" s="555" t="e">
        <f t="shared" si="145"/>
        <v>#DIV/0!</v>
      </c>
      <c r="S176" s="674"/>
      <c r="T176" s="569"/>
      <c r="U176" s="2569"/>
      <c r="W176" s="566">
        <f t="shared" si="146"/>
        <v>0</v>
      </c>
      <c r="X176" s="566">
        <f t="shared" si="147"/>
        <v>0</v>
      </c>
      <c r="Y176" s="566">
        <f t="shared" si="148"/>
        <v>0</v>
      </c>
      <c r="Z176" s="566">
        <f t="shared" si="149"/>
        <v>0</v>
      </c>
      <c r="AA176" s="566">
        <f t="shared" si="150"/>
        <v>0</v>
      </c>
      <c r="AB176" s="566">
        <f t="shared" si="151"/>
        <v>0</v>
      </c>
      <c r="AC176" s="566">
        <f t="shared" si="152"/>
        <v>0</v>
      </c>
      <c r="AD176" s="566">
        <f t="shared" si="153"/>
        <v>0</v>
      </c>
      <c r="AE176" s="566">
        <f t="shared" si="154"/>
        <v>0</v>
      </c>
      <c r="AF176" s="566">
        <f t="shared" si="155"/>
        <v>0</v>
      </c>
      <c r="AG176" s="573"/>
    </row>
    <row r="177" spans="1:33" customFormat="1" ht="25.15" hidden="1" customHeight="1">
      <c r="A177" s="671">
        <v>169</v>
      </c>
      <c r="B177" s="546" t="s">
        <v>1401</v>
      </c>
      <c r="C177" s="672"/>
      <c r="D177" s="669"/>
      <c r="E177" s="670"/>
      <c r="F177" s="670"/>
      <c r="G177" s="670"/>
      <c r="H177" s="670"/>
      <c r="I177" s="670"/>
      <c r="J177" s="670"/>
      <c r="K177" s="670"/>
      <c r="L177" s="670"/>
      <c r="M177" s="670"/>
      <c r="N177" s="554">
        <f t="shared" si="143"/>
        <v>0</v>
      </c>
      <c r="O177" s="554">
        <f t="shared" si="144"/>
        <v>0</v>
      </c>
      <c r="P177" s="555" t="e">
        <f>(O177/O296)*100</f>
        <v>#DIV/0!</v>
      </c>
      <c r="Q177" s="570">
        <v>0.52</v>
      </c>
      <c r="R177" s="555" t="e">
        <f t="shared" si="145"/>
        <v>#DIV/0!</v>
      </c>
      <c r="S177" s="674"/>
      <c r="T177" s="569"/>
      <c r="U177" s="2569"/>
      <c r="W177" s="566">
        <f t="shared" si="146"/>
        <v>0</v>
      </c>
      <c r="X177" s="566">
        <f t="shared" si="147"/>
        <v>0</v>
      </c>
      <c r="Y177" s="566">
        <f t="shared" si="148"/>
        <v>0</v>
      </c>
      <c r="Z177" s="566">
        <f t="shared" si="149"/>
        <v>0</v>
      </c>
      <c r="AA177" s="566">
        <f t="shared" si="150"/>
        <v>0</v>
      </c>
      <c r="AB177" s="566">
        <f t="shared" si="151"/>
        <v>0</v>
      </c>
      <c r="AC177" s="566">
        <f t="shared" si="152"/>
        <v>0</v>
      </c>
      <c r="AD177" s="566">
        <f t="shared" si="153"/>
        <v>0</v>
      </c>
      <c r="AE177" s="566">
        <f t="shared" si="154"/>
        <v>0</v>
      </c>
      <c r="AF177" s="566">
        <f t="shared" si="155"/>
        <v>0</v>
      </c>
      <c r="AG177" s="573"/>
    </row>
    <row r="178" spans="1:33" customFormat="1" ht="25.15" hidden="1" customHeight="1">
      <c r="A178" s="671">
        <v>170</v>
      </c>
      <c r="B178" s="546" t="s">
        <v>1402</v>
      </c>
      <c r="C178" s="672"/>
      <c r="D178" s="669"/>
      <c r="E178" s="670"/>
      <c r="F178" s="670"/>
      <c r="G178" s="670"/>
      <c r="H178" s="670"/>
      <c r="I178" s="670"/>
      <c r="J178" s="670"/>
      <c r="K178" s="670"/>
      <c r="L178" s="670"/>
      <c r="M178" s="670"/>
      <c r="N178" s="554">
        <f t="shared" si="143"/>
        <v>0</v>
      </c>
      <c r="O178" s="554">
        <f t="shared" si="144"/>
        <v>0</v>
      </c>
      <c r="P178" s="555" t="e">
        <f>(O178/O296)*100</f>
        <v>#DIV/0!</v>
      </c>
      <c r="Q178" s="570">
        <v>0.52</v>
      </c>
      <c r="R178" s="555" t="e">
        <f t="shared" si="145"/>
        <v>#DIV/0!</v>
      </c>
      <c r="S178" s="674"/>
      <c r="T178" s="569"/>
      <c r="U178" s="2569"/>
      <c r="W178" s="566">
        <f t="shared" si="146"/>
        <v>0</v>
      </c>
      <c r="X178" s="566">
        <f t="shared" si="147"/>
        <v>0</v>
      </c>
      <c r="Y178" s="566">
        <f t="shared" si="148"/>
        <v>0</v>
      </c>
      <c r="Z178" s="566">
        <f t="shared" si="149"/>
        <v>0</v>
      </c>
      <c r="AA178" s="566">
        <f t="shared" si="150"/>
        <v>0</v>
      </c>
      <c r="AB178" s="566">
        <f t="shared" si="151"/>
        <v>0</v>
      </c>
      <c r="AC178" s="566">
        <f t="shared" si="152"/>
        <v>0</v>
      </c>
      <c r="AD178" s="566">
        <f t="shared" si="153"/>
        <v>0</v>
      </c>
      <c r="AE178" s="566">
        <f t="shared" si="154"/>
        <v>0</v>
      </c>
      <c r="AF178" s="566">
        <f t="shared" si="155"/>
        <v>0</v>
      </c>
      <c r="AG178" s="573"/>
    </row>
    <row r="179" spans="1:33" customFormat="1" ht="25.15" hidden="1" customHeight="1">
      <c r="A179" s="671">
        <v>171</v>
      </c>
      <c r="B179" s="546"/>
      <c r="C179" s="676"/>
      <c r="D179" s="669"/>
      <c r="E179" s="670"/>
      <c r="F179" s="670"/>
      <c r="G179" s="670"/>
      <c r="H179" s="670"/>
      <c r="I179" s="670"/>
      <c r="J179" s="670"/>
      <c r="K179" s="670"/>
      <c r="L179" s="670"/>
      <c r="M179" s="670"/>
      <c r="N179" s="554">
        <f t="shared" si="143"/>
        <v>0</v>
      </c>
      <c r="O179" s="554">
        <f t="shared" si="144"/>
        <v>0</v>
      </c>
      <c r="P179" s="555" t="e">
        <f>(O179/O296)*100</f>
        <v>#DIV/0!</v>
      </c>
      <c r="Q179" s="570">
        <v>0.52</v>
      </c>
      <c r="R179" s="555" t="e">
        <f t="shared" si="145"/>
        <v>#DIV/0!</v>
      </c>
      <c r="S179" s="674"/>
      <c r="T179" s="569"/>
      <c r="U179" s="2569"/>
      <c r="W179" s="566">
        <f t="shared" si="146"/>
        <v>0</v>
      </c>
      <c r="X179" s="566">
        <f t="shared" si="147"/>
        <v>0</v>
      </c>
      <c r="Y179" s="566">
        <f t="shared" si="148"/>
        <v>0</v>
      </c>
      <c r="Z179" s="566">
        <f t="shared" si="149"/>
        <v>0</v>
      </c>
      <c r="AA179" s="566">
        <f t="shared" si="150"/>
        <v>0</v>
      </c>
      <c r="AB179" s="566">
        <f t="shared" si="151"/>
        <v>0</v>
      </c>
      <c r="AC179" s="566">
        <f t="shared" si="152"/>
        <v>0</v>
      </c>
      <c r="AD179" s="566">
        <f t="shared" si="153"/>
        <v>0</v>
      </c>
      <c r="AE179" s="566">
        <f t="shared" si="154"/>
        <v>0</v>
      </c>
      <c r="AF179" s="566">
        <f t="shared" si="155"/>
        <v>0</v>
      </c>
      <c r="AG179" s="573"/>
    </row>
    <row r="180" spans="1:33" customFormat="1" ht="25.15" hidden="1" customHeight="1">
      <c r="A180" s="671">
        <v>172</v>
      </c>
      <c r="B180" s="677" t="s">
        <v>1686</v>
      </c>
      <c r="C180" s="676"/>
      <c r="D180" s="669"/>
      <c r="E180" s="670"/>
      <c r="F180" s="670"/>
      <c r="G180" s="670"/>
      <c r="H180" s="670"/>
      <c r="I180" s="670"/>
      <c r="J180" s="670"/>
      <c r="K180" s="670"/>
      <c r="L180" s="670"/>
      <c r="M180" s="670"/>
      <c r="N180" s="554">
        <f t="shared" si="143"/>
        <v>0</v>
      </c>
      <c r="O180" s="554">
        <f t="shared" si="144"/>
        <v>0</v>
      </c>
      <c r="P180" s="555" t="e">
        <f>(O180/O296)*100</f>
        <v>#DIV/0!</v>
      </c>
      <c r="Q180" s="570">
        <v>0.52</v>
      </c>
      <c r="R180" s="555" t="e">
        <f t="shared" si="145"/>
        <v>#DIV/0!</v>
      </c>
      <c r="S180" s="674"/>
      <c r="T180" s="569"/>
      <c r="U180" s="2569"/>
      <c r="W180" s="566">
        <f t="shared" si="146"/>
        <v>0</v>
      </c>
      <c r="X180" s="566">
        <f t="shared" si="147"/>
        <v>0</v>
      </c>
      <c r="Y180" s="566">
        <f t="shared" si="148"/>
        <v>0</v>
      </c>
      <c r="Z180" s="566">
        <f t="shared" si="149"/>
        <v>0</v>
      </c>
      <c r="AA180" s="566">
        <f t="shared" si="150"/>
        <v>0</v>
      </c>
      <c r="AB180" s="566">
        <f t="shared" si="151"/>
        <v>0</v>
      </c>
      <c r="AC180" s="566">
        <f t="shared" si="152"/>
        <v>0</v>
      </c>
      <c r="AD180" s="566">
        <f t="shared" si="153"/>
        <v>0</v>
      </c>
      <c r="AE180" s="566">
        <f t="shared" si="154"/>
        <v>0</v>
      </c>
      <c r="AF180" s="566">
        <f t="shared" si="155"/>
        <v>0</v>
      </c>
      <c r="AG180" s="573"/>
    </row>
    <row r="181" spans="1:33" customFormat="1" ht="25.15" hidden="1" customHeight="1">
      <c r="A181" s="671">
        <v>173</v>
      </c>
      <c r="B181" s="677" t="s">
        <v>1687</v>
      </c>
      <c r="C181" s="676"/>
      <c r="D181" s="669"/>
      <c r="E181" s="670"/>
      <c r="F181" s="670"/>
      <c r="G181" s="670"/>
      <c r="H181" s="670"/>
      <c r="I181" s="670"/>
      <c r="J181" s="670"/>
      <c r="K181" s="670"/>
      <c r="L181" s="670"/>
      <c r="M181" s="670"/>
      <c r="N181" s="554">
        <f t="shared" si="143"/>
        <v>0</v>
      </c>
      <c r="O181" s="554">
        <f t="shared" si="144"/>
        <v>0</v>
      </c>
      <c r="P181" s="555" t="e">
        <f>(O181/O296)*100</f>
        <v>#DIV/0!</v>
      </c>
      <c r="Q181" s="570">
        <v>0.52</v>
      </c>
      <c r="R181" s="555" t="e">
        <f t="shared" si="145"/>
        <v>#DIV/0!</v>
      </c>
      <c r="S181" s="674"/>
      <c r="T181" s="569"/>
      <c r="U181" s="2569"/>
      <c r="W181" s="566">
        <f t="shared" si="146"/>
        <v>0</v>
      </c>
      <c r="X181" s="566">
        <f t="shared" si="147"/>
        <v>0</v>
      </c>
      <c r="Y181" s="566">
        <f t="shared" si="148"/>
        <v>0</v>
      </c>
      <c r="Z181" s="566">
        <f t="shared" si="149"/>
        <v>0</v>
      </c>
      <c r="AA181" s="566">
        <f t="shared" si="150"/>
        <v>0</v>
      </c>
      <c r="AB181" s="566">
        <f t="shared" si="151"/>
        <v>0</v>
      </c>
      <c r="AC181" s="566">
        <f t="shared" si="152"/>
        <v>0</v>
      </c>
      <c r="AD181" s="566">
        <f t="shared" si="153"/>
        <v>0</v>
      </c>
      <c r="AE181" s="566">
        <f t="shared" si="154"/>
        <v>0</v>
      </c>
      <c r="AF181" s="566">
        <f t="shared" si="155"/>
        <v>0</v>
      </c>
      <c r="AG181" s="573"/>
    </row>
    <row r="182" spans="1:33" customFormat="1" ht="25.15" hidden="1" customHeight="1">
      <c r="A182" s="671">
        <v>174</v>
      </c>
      <c r="B182" s="677" t="s">
        <v>1688</v>
      </c>
      <c r="C182" s="676"/>
      <c r="D182" s="669"/>
      <c r="E182" s="670"/>
      <c r="F182" s="670"/>
      <c r="G182" s="670"/>
      <c r="H182" s="670"/>
      <c r="I182" s="670"/>
      <c r="J182" s="670"/>
      <c r="K182" s="670"/>
      <c r="L182" s="670"/>
      <c r="M182" s="670"/>
      <c r="N182" s="554">
        <f t="shared" si="143"/>
        <v>0</v>
      </c>
      <c r="O182" s="554">
        <f t="shared" si="144"/>
        <v>0</v>
      </c>
      <c r="P182" s="555" t="e">
        <f>(O182/O296)*100</f>
        <v>#DIV/0!</v>
      </c>
      <c r="Q182" s="570">
        <v>0.52</v>
      </c>
      <c r="R182" s="555" t="e">
        <f t="shared" si="145"/>
        <v>#DIV/0!</v>
      </c>
      <c r="S182" s="674"/>
      <c r="T182" s="569"/>
      <c r="U182" s="2569"/>
      <c r="W182" s="566">
        <f t="shared" si="146"/>
        <v>0</v>
      </c>
      <c r="X182" s="566">
        <f t="shared" si="147"/>
        <v>0</v>
      </c>
      <c r="Y182" s="566">
        <f t="shared" si="148"/>
        <v>0</v>
      </c>
      <c r="Z182" s="566">
        <f t="shared" si="149"/>
        <v>0</v>
      </c>
      <c r="AA182" s="566">
        <f t="shared" si="150"/>
        <v>0</v>
      </c>
      <c r="AB182" s="566">
        <f t="shared" si="151"/>
        <v>0</v>
      </c>
      <c r="AC182" s="566">
        <f t="shared" si="152"/>
        <v>0</v>
      </c>
      <c r="AD182" s="566">
        <f t="shared" si="153"/>
        <v>0</v>
      </c>
      <c r="AE182" s="566">
        <f t="shared" si="154"/>
        <v>0</v>
      </c>
      <c r="AF182" s="566">
        <f t="shared" si="155"/>
        <v>0</v>
      </c>
      <c r="AG182" s="573"/>
    </row>
    <row r="183" spans="1:33" customFormat="1" ht="25.15" hidden="1" customHeight="1">
      <c r="A183" s="671">
        <v>175</v>
      </c>
      <c r="B183" s="677" t="s">
        <v>1689</v>
      </c>
      <c r="C183" s="676"/>
      <c r="D183" s="669"/>
      <c r="E183" s="670"/>
      <c r="F183" s="670"/>
      <c r="G183" s="670"/>
      <c r="H183" s="670"/>
      <c r="I183" s="670"/>
      <c r="J183" s="670"/>
      <c r="K183" s="670"/>
      <c r="L183" s="670"/>
      <c r="M183" s="670"/>
      <c r="N183" s="554">
        <f t="shared" si="143"/>
        <v>0</v>
      </c>
      <c r="O183" s="554">
        <f t="shared" si="144"/>
        <v>0</v>
      </c>
      <c r="P183" s="555" t="e">
        <f>(O183/O296)*100</f>
        <v>#DIV/0!</v>
      </c>
      <c r="Q183" s="570">
        <v>0.52</v>
      </c>
      <c r="R183" s="555" t="e">
        <f t="shared" si="145"/>
        <v>#DIV/0!</v>
      </c>
      <c r="S183" s="674"/>
      <c r="T183" s="569"/>
      <c r="U183" s="2569"/>
      <c r="W183" s="566">
        <f t="shared" si="146"/>
        <v>0</v>
      </c>
      <c r="X183" s="566">
        <f t="shared" si="147"/>
        <v>0</v>
      </c>
      <c r="Y183" s="566">
        <f t="shared" si="148"/>
        <v>0</v>
      </c>
      <c r="Z183" s="566">
        <f t="shared" si="149"/>
        <v>0</v>
      </c>
      <c r="AA183" s="566">
        <f t="shared" si="150"/>
        <v>0</v>
      </c>
      <c r="AB183" s="566">
        <f t="shared" si="151"/>
        <v>0</v>
      </c>
      <c r="AC183" s="566">
        <f t="shared" si="152"/>
        <v>0</v>
      </c>
      <c r="AD183" s="566">
        <f t="shared" si="153"/>
        <v>0</v>
      </c>
      <c r="AE183" s="566">
        <f t="shared" si="154"/>
        <v>0</v>
      </c>
      <c r="AF183" s="566">
        <f t="shared" si="155"/>
        <v>0</v>
      </c>
      <c r="AG183" s="573"/>
    </row>
    <row r="184" spans="1:33" customFormat="1" ht="25.15" hidden="1" customHeight="1">
      <c r="A184" s="671">
        <v>176</v>
      </c>
      <c r="B184" s="677" t="s">
        <v>1690</v>
      </c>
      <c r="C184" s="676"/>
      <c r="D184" s="669"/>
      <c r="E184" s="670"/>
      <c r="F184" s="670"/>
      <c r="G184" s="670"/>
      <c r="H184" s="670"/>
      <c r="I184" s="670"/>
      <c r="J184" s="670"/>
      <c r="K184" s="670"/>
      <c r="L184" s="670"/>
      <c r="M184" s="670"/>
      <c r="N184" s="554">
        <f t="shared" si="143"/>
        <v>0</v>
      </c>
      <c r="O184" s="554">
        <f t="shared" si="144"/>
        <v>0</v>
      </c>
      <c r="P184" s="555" t="e">
        <f>(O184/O296)*100</f>
        <v>#DIV/0!</v>
      </c>
      <c r="Q184" s="570">
        <v>0.52</v>
      </c>
      <c r="R184" s="555" t="e">
        <f t="shared" si="145"/>
        <v>#DIV/0!</v>
      </c>
      <c r="S184" s="674"/>
      <c r="T184" s="569"/>
      <c r="U184" s="2569"/>
      <c r="W184" s="566">
        <f t="shared" si="146"/>
        <v>0</v>
      </c>
      <c r="X184" s="566">
        <f t="shared" si="147"/>
        <v>0</v>
      </c>
      <c r="Y184" s="566">
        <f t="shared" si="148"/>
        <v>0</v>
      </c>
      <c r="Z184" s="566">
        <f t="shared" si="149"/>
        <v>0</v>
      </c>
      <c r="AA184" s="566">
        <f t="shared" si="150"/>
        <v>0</v>
      </c>
      <c r="AB184" s="566">
        <f t="shared" si="151"/>
        <v>0</v>
      </c>
      <c r="AC184" s="566">
        <f t="shared" si="152"/>
        <v>0</v>
      </c>
      <c r="AD184" s="566">
        <f t="shared" si="153"/>
        <v>0</v>
      </c>
      <c r="AE184" s="566">
        <f t="shared" si="154"/>
        <v>0</v>
      </c>
      <c r="AF184" s="566">
        <f t="shared" si="155"/>
        <v>0</v>
      </c>
      <c r="AG184" s="573"/>
    </row>
    <row r="185" spans="1:33" customFormat="1" ht="25.15" hidden="1" customHeight="1">
      <c r="A185" s="671">
        <v>177</v>
      </c>
      <c r="B185" s="677" t="s">
        <v>1691</v>
      </c>
      <c r="C185" s="676"/>
      <c r="D185" s="669"/>
      <c r="E185" s="670"/>
      <c r="F185" s="670"/>
      <c r="G185" s="670"/>
      <c r="H185" s="670"/>
      <c r="I185" s="670"/>
      <c r="J185" s="670"/>
      <c r="K185" s="670"/>
      <c r="L185" s="670"/>
      <c r="M185" s="670"/>
      <c r="N185" s="554">
        <f t="shared" si="143"/>
        <v>0</v>
      </c>
      <c r="O185" s="554">
        <f t="shared" si="144"/>
        <v>0</v>
      </c>
      <c r="P185" s="555" t="e">
        <f>(O185/O296)*100</f>
        <v>#DIV/0!</v>
      </c>
      <c r="Q185" s="570">
        <v>0.52</v>
      </c>
      <c r="R185" s="555" t="e">
        <f t="shared" si="145"/>
        <v>#DIV/0!</v>
      </c>
      <c r="S185" s="674"/>
      <c r="T185" s="569"/>
      <c r="U185" s="2569"/>
      <c r="W185" s="566">
        <f t="shared" si="146"/>
        <v>0</v>
      </c>
      <c r="X185" s="566">
        <f t="shared" si="147"/>
        <v>0</v>
      </c>
      <c r="Y185" s="566">
        <f t="shared" si="148"/>
        <v>0</v>
      </c>
      <c r="Z185" s="566">
        <f t="shared" si="149"/>
        <v>0</v>
      </c>
      <c r="AA185" s="566">
        <f t="shared" si="150"/>
        <v>0</v>
      </c>
      <c r="AB185" s="566">
        <f t="shared" si="151"/>
        <v>0</v>
      </c>
      <c r="AC185" s="566">
        <f t="shared" si="152"/>
        <v>0</v>
      </c>
      <c r="AD185" s="566">
        <f t="shared" si="153"/>
        <v>0</v>
      </c>
      <c r="AE185" s="566">
        <f t="shared" si="154"/>
        <v>0</v>
      </c>
      <c r="AF185" s="566">
        <f t="shared" si="155"/>
        <v>0</v>
      </c>
      <c r="AG185" s="573"/>
    </row>
    <row r="186" spans="1:33" customFormat="1" ht="25.15" hidden="1" customHeight="1">
      <c r="A186" s="671">
        <v>178</v>
      </c>
      <c r="B186" s="677" t="s">
        <v>1692</v>
      </c>
      <c r="C186" s="676"/>
      <c r="D186" s="669"/>
      <c r="E186" s="670"/>
      <c r="F186" s="670"/>
      <c r="G186" s="670"/>
      <c r="H186" s="670"/>
      <c r="I186" s="670"/>
      <c r="J186" s="670"/>
      <c r="K186" s="670"/>
      <c r="L186" s="670"/>
      <c r="M186" s="670"/>
      <c r="N186" s="554">
        <f t="shared" si="143"/>
        <v>0</v>
      </c>
      <c r="O186" s="554">
        <f t="shared" si="144"/>
        <v>0</v>
      </c>
      <c r="P186" s="555" t="e">
        <f>(O186/O296)*100</f>
        <v>#DIV/0!</v>
      </c>
      <c r="Q186" s="570">
        <v>0.52</v>
      </c>
      <c r="R186" s="555" t="e">
        <f t="shared" si="145"/>
        <v>#DIV/0!</v>
      </c>
      <c r="S186" s="674"/>
      <c r="T186" s="569"/>
      <c r="U186" s="2569"/>
      <c r="W186" s="566">
        <f t="shared" si="146"/>
        <v>0</v>
      </c>
      <c r="X186" s="566">
        <f t="shared" si="147"/>
        <v>0</v>
      </c>
      <c r="Y186" s="566">
        <f t="shared" si="148"/>
        <v>0</v>
      </c>
      <c r="Z186" s="566">
        <f t="shared" si="149"/>
        <v>0</v>
      </c>
      <c r="AA186" s="566">
        <f t="shared" si="150"/>
        <v>0</v>
      </c>
      <c r="AB186" s="566">
        <f t="shared" si="151"/>
        <v>0</v>
      </c>
      <c r="AC186" s="566">
        <f t="shared" si="152"/>
        <v>0</v>
      </c>
      <c r="AD186" s="566">
        <f t="shared" si="153"/>
        <v>0</v>
      </c>
      <c r="AE186" s="566">
        <f t="shared" si="154"/>
        <v>0</v>
      </c>
      <c r="AF186" s="566">
        <f t="shared" si="155"/>
        <v>0</v>
      </c>
      <c r="AG186" s="573"/>
    </row>
    <row r="187" spans="1:33" customFormat="1" ht="25.15" hidden="1" customHeight="1">
      <c r="A187" s="671">
        <v>179</v>
      </c>
      <c r="B187" s="677" t="s">
        <v>1693</v>
      </c>
      <c r="C187" s="676"/>
      <c r="D187" s="669"/>
      <c r="E187" s="670"/>
      <c r="F187" s="670"/>
      <c r="G187" s="670"/>
      <c r="H187" s="670"/>
      <c r="I187" s="670"/>
      <c r="J187" s="670"/>
      <c r="K187" s="670"/>
      <c r="L187" s="670"/>
      <c r="M187" s="670"/>
      <c r="N187" s="554">
        <f t="shared" si="143"/>
        <v>0</v>
      </c>
      <c r="O187" s="554">
        <f t="shared" si="144"/>
        <v>0</v>
      </c>
      <c r="P187" s="555" t="e">
        <f>(O187/O296)*100</f>
        <v>#DIV/0!</v>
      </c>
      <c r="Q187" s="570">
        <v>0.52</v>
      </c>
      <c r="R187" s="555" t="e">
        <f t="shared" si="145"/>
        <v>#DIV/0!</v>
      </c>
      <c r="S187" s="674"/>
      <c r="T187" s="569"/>
      <c r="U187" s="2569"/>
      <c r="W187" s="566">
        <f t="shared" si="146"/>
        <v>0</v>
      </c>
      <c r="X187" s="566">
        <f t="shared" si="147"/>
        <v>0</v>
      </c>
      <c r="Y187" s="566">
        <f t="shared" si="148"/>
        <v>0</v>
      </c>
      <c r="Z187" s="566">
        <f t="shared" si="149"/>
        <v>0</v>
      </c>
      <c r="AA187" s="566">
        <f t="shared" si="150"/>
        <v>0</v>
      </c>
      <c r="AB187" s="566">
        <f t="shared" si="151"/>
        <v>0</v>
      </c>
      <c r="AC187" s="566">
        <f t="shared" si="152"/>
        <v>0</v>
      </c>
      <c r="AD187" s="566">
        <f t="shared" si="153"/>
        <v>0</v>
      </c>
      <c r="AE187" s="566">
        <f t="shared" si="154"/>
        <v>0</v>
      </c>
      <c r="AF187" s="566">
        <f t="shared" si="155"/>
        <v>0</v>
      </c>
      <c r="AG187" s="573"/>
    </row>
    <row r="188" spans="1:33" customFormat="1" ht="25.15" hidden="1" customHeight="1">
      <c r="A188" s="671">
        <v>180</v>
      </c>
      <c r="B188" s="677"/>
      <c r="C188" s="676"/>
      <c r="D188" s="669"/>
      <c r="E188" s="670"/>
      <c r="F188" s="670"/>
      <c r="G188" s="670"/>
      <c r="H188" s="670"/>
      <c r="I188" s="670"/>
      <c r="J188" s="670"/>
      <c r="K188" s="670"/>
      <c r="L188" s="670"/>
      <c r="M188" s="670"/>
      <c r="N188" s="554">
        <f t="shared" si="143"/>
        <v>0</v>
      </c>
      <c r="O188" s="554">
        <f t="shared" si="144"/>
        <v>0</v>
      </c>
      <c r="P188" s="555" t="e">
        <f>(O188/O296)*100</f>
        <v>#DIV/0!</v>
      </c>
      <c r="Q188" s="570">
        <v>0.52</v>
      </c>
      <c r="R188" s="555" t="e">
        <f t="shared" si="145"/>
        <v>#DIV/0!</v>
      </c>
      <c r="S188" s="674"/>
      <c r="T188" s="569"/>
      <c r="U188" s="2569"/>
      <c r="W188" s="566">
        <f t="shared" si="146"/>
        <v>0</v>
      </c>
      <c r="X188" s="566">
        <f t="shared" si="147"/>
        <v>0</v>
      </c>
      <c r="Y188" s="566">
        <f t="shared" si="148"/>
        <v>0</v>
      </c>
      <c r="Z188" s="566">
        <f t="shared" si="149"/>
        <v>0</v>
      </c>
      <c r="AA188" s="566">
        <f t="shared" si="150"/>
        <v>0</v>
      </c>
      <c r="AB188" s="566">
        <f t="shared" si="151"/>
        <v>0</v>
      </c>
      <c r="AC188" s="566">
        <f t="shared" si="152"/>
        <v>0</v>
      </c>
      <c r="AD188" s="566">
        <f t="shared" si="153"/>
        <v>0</v>
      </c>
      <c r="AE188" s="566">
        <f t="shared" si="154"/>
        <v>0</v>
      </c>
      <c r="AF188" s="566">
        <f t="shared" si="155"/>
        <v>0</v>
      </c>
      <c r="AG188" s="573"/>
    </row>
    <row r="189" spans="1:33" customFormat="1" ht="25.15" hidden="1" customHeight="1">
      <c r="A189" s="671">
        <v>181</v>
      </c>
      <c r="B189" s="677" t="s">
        <v>1694</v>
      </c>
      <c r="C189" s="676"/>
      <c r="D189" s="669"/>
      <c r="E189" s="670"/>
      <c r="F189" s="670"/>
      <c r="G189" s="670"/>
      <c r="H189" s="670"/>
      <c r="I189" s="670"/>
      <c r="J189" s="670"/>
      <c r="K189" s="670"/>
      <c r="L189" s="670"/>
      <c r="M189" s="670"/>
      <c r="N189" s="554">
        <f t="shared" si="143"/>
        <v>0</v>
      </c>
      <c r="O189" s="554">
        <f t="shared" si="144"/>
        <v>0</v>
      </c>
      <c r="P189" s="555" t="e">
        <f>(O189/O296)*100</f>
        <v>#DIV/0!</v>
      </c>
      <c r="Q189" s="570">
        <v>0.52</v>
      </c>
      <c r="R189" s="555" t="e">
        <f t="shared" si="145"/>
        <v>#DIV/0!</v>
      </c>
      <c r="S189" s="674"/>
      <c r="T189" s="569"/>
      <c r="U189" s="2569"/>
      <c r="W189" s="566">
        <f t="shared" si="146"/>
        <v>0</v>
      </c>
      <c r="X189" s="566">
        <f t="shared" si="147"/>
        <v>0</v>
      </c>
      <c r="Y189" s="566">
        <f t="shared" si="148"/>
        <v>0</v>
      </c>
      <c r="Z189" s="566">
        <f t="shared" si="149"/>
        <v>0</v>
      </c>
      <c r="AA189" s="566">
        <f t="shared" si="150"/>
        <v>0</v>
      </c>
      <c r="AB189" s="566">
        <f t="shared" si="151"/>
        <v>0</v>
      </c>
      <c r="AC189" s="566">
        <f t="shared" si="152"/>
        <v>0</v>
      </c>
      <c r="AD189" s="566">
        <f t="shared" si="153"/>
        <v>0</v>
      </c>
      <c r="AE189" s="566">
        <f t="shared" si="154"/>
        <v>0</v>
      </c>
      <c r="AF189" s="566">
        <f t="shared" si="155"/>
        <v>0</v>
      </c>
      <c r="AG189" s="573"/>
    </row>
    <row r="190" spans="1:33" customFormat="1" ht="25.15" hidden="1" customHeight="1">
      <c r="A190" s="671">
        <v>182</v>
      </c>
      <c r="B190" s="677" t="s">
        <v>1695</v>
      </c>
      <c r="C190" s="676"/>
      <c r="D190" s="669"/>
      <c r="E190" s="670"/>
      <c r="F190" s="670"/>
      <c r="G190" s="670"/>
      <c r="H190" s="670"/>
      <c r="I190" s="670"/>
      <c r="J190" s="670"/>
      <c r="K190" s="670"/>
      <c r="L190" s="670"/>
      <c r="M190" s="670"/>
      <c r="N190" s="554">
        <f t="shared" si="143"/>
        <v>0</v>
      </c>
      <c r="O190" s="554">
        <f t="shared" si="144"/>
        <v>0</v>
      </c>
      <c r="P190" s="555" t="e">
        <f>(O190/O296)*100</f>
        <v>#DIV/0!</v>
      </c>
      <c r="Q190" s="570">
        <v>0.52</v>
      </c>
      <c r="R190" s="555" t="e">
        <f t="shared" si="145"/>
        <v>#DIV/0!</v>
      </c>
      <c r="S190" s="674"/>
      <c r="T190" s="569"/>
      <c r="U190" s="2569"/>
      <c r="W190" s="566">
        <f t="shared" si="146"/>
        <v>0</v>
      </c>
      <c r="X190" s="566">
        <f t="shared" si="147"/>
        <v>0</v>
      </c>
      <c r="Y190" s="566">
        <f t="shared" si="148"/>
        <v>0</v>
      </c>
      <c r="Z190" s="566">
        <f t="shared" si="149"/>
        <v>0</v>
      </c>
      <c r="AA190" s="566">
        <f t="shared" si="150"/>
        <v>0</v>
      </c>
      <c r="AB190" s="566">
        <f t="shared" si="151"/>
        <v>0</v>
      </c>
      <c r="AC190" s="566">
        <f t="shared" si="152"/>
        <v>0</v>
      </c>
      <c r="AD190" s="566">
        <f t="shared" si="153"/>
        <v>0</v>
      </c>
      <c r="AE190" s="566">
        <f t="shared" si="154"/>
        <v>0</v>
      </c>
      <c r="AF190" s="566">
        <f t="shared" si="155"/>
        <v>0</v>
      </c>
      <c r="AG190" s="573"/>
    </row>
    <row r="191" spans="1:33" customFormat="1" ht="25.15" hidden="1" customHeight="1">
      <c r="A191" s="671">
        <v>183</v>
      </c>
      <c r="B191" s="677" t="s">
        <v>1696</v>
      </c>
      <c r="C191" s="676"/>
      <c r="D191" s="669"/>
      <c r="E191" s="670"/>
      <c r="F191" s="670"/>
      <c r="G191" s="670"/>
      <c r="H191" s="670"/>
      <c r="I191" s="670"/>
      <c r="J191" s="670"/>
      <c r="K191" s="670"/>
      <c r="L191" s="670"/>
      <c r="M191" s="670"/>
      <c r="N191" s="554">
        <f t="shared" si="143"/>
        <v>0</v>
      </c>
      <c r="O191" s="554">
        <f t="shared" si="144"/>
        <v>0</v>
      </c>
      <c r="P191" s="555" t="e">
        <f>(O191/O296)*100</f>
        <v>#DIV/0!</v>
      </c>
      <c r="Q191" s="570">
        <v>0.52</v>
      </c>
      <c r="R191" s="555" t="e">
        <f t="shared" si="145"/>
        <v>#DIV/0!</v>
      </c>
      <c r="S191" s="674"/>
      <c r="T191" s="569"/>
      <c r="U191" s="2569"/>
      <c r="W191" s="566">
        <f t="shared" si="146"/>
        <v>0</v>
      </c>
      <c r="X191" s="566">
        <f t="shared" si="147"/>
        <v>0</v>
      </c>
      <c r="Y191" s="566">
        <f t="shared" si="148"/>
        <v>0</v>
      </c>
      <c r="Z191" s="566">
        <f t="shared" si="149"/>
        <v>0</v>
      </c>
      <c r="AA191" s="566">
        <f t="shared" si="150"/>
        <v>0</v>
      </c>
      <c r="AB191" s="566">
        <f t="shared" si="151"/>
        <v>0</v>
      </c>
      <c r="AC191" s="566">
        <f t="shared" si="152"/>
        <v>0</v>
      </c>
      <c r="AD191" s="566">
        <f t="shared" si="153"/>
        <v>0</v>
      </c>
      <c r="AE191" s="566">
        <f t="shared" si="154"/>
        <v>0</v>
      </c>
      <c r="AF191" s="566">
        <f t="shared" si="155"/>
        <v>0</v>
      </c>
      <c r="AG191" s="573"/>
    </row>
    <row r="192" spans="1:33" customFormat="1" ht="25.15" hidden="1" customHeight="1">
      <c r="A192" s="671">
        <v>184</v>
      </c>
      <c r="B192" s="677" t="s">
        <v>1697</v>
      </c>
      <c r="C192" s="676"/>
      <c r="D192" s="669"/>
      <c r="E192" s="670"/>
      <c r="F192" s="670"/>
      <c r="G192" s="670"/>
      <c r="H192" s="670"/>
      <c r="I192" s="670"/>
      <c r="J192" s="670"/>
      <c r="K192" s="670"/>
      <c r="L192" s="670"/>
      <c r="M192" s="670"/>
      <c r="N192" s="554">
        <f t="shared" si="143"/>
        <v>0</v>
      </c>
      <c r="O192" s="554">
        <f t="shared" si="144"/>
        <v>0</v>
      </c>
      <c r="P192" s="555" t="e">
        <f>(O192/O296)*100</f>
        <v>#DIV/0!</v>
      </c>
      <c r="Q192" s="570">
        <v>0.52</v>
      </c>
      <c r="R192" s="555" t="e">
        <f t="shared" si="145"/>
        <v>#DIV/0!</v>
      </c>
      <c r="S192" s="674"/>
      <c r="T192" s="569"/>
      <c r="U192" s="2569"/>
      <c r="W192" s="566">
        <f t="shared" si="146"/>
        <v>0</v>
      </c>
      <c r="X192" s="566">
        <f t="shared" si="147"/>
        <v>0</v>
      </c>
      <c r="Y192" s="566">
        <f t="shared" si="148"/>
        <v>0</v>
      </c>
      <c r="Z192" s="566">
        <f t="shared" si="149"/>
        <v>0</v>
      </c>
      <c r="AA192" s="566">
        <f t="shared" si="150"/>
        <v>0</v>
      </c>
      <c r="AB192" s="566">
        <f t="shared" si="151"/>
        <v>0</v>
      </c>
      <c r="AC192" s="566">
        <f t="shared" si="152"/>
        <v>0</v>
      </c>
      <c r="AD192" s="566">
        <f t="shared" si="153"/>
        <v>0</v>
      </c>
      <c r="AE192" s="566">
        <f t="shared" si="154"/>
        <v>0</v>
      </c>
      <c r="AF192" s="566">
        <f t="shared" si="155"/>
        <v>0</v>
      </c>
      <c r="AG192" s="573"/>
    </row>
    <row r="193" spans="1:33" customFormat="1" ht="25.15" hidden="1" customHeight="1">
      <c r="A193" s="671">
        <v>185</v>
      </c>
      <c r="B193" s="677"/>
      <c r="C193" s="676"/>
      <c r="D193" s="669"/>
      <c r="E193" s="670"/>
      <c r="F193" s="670"/>
      <c r="G193" s="670"/>
      <c r="H193" s="670"/>
      <c r="I193" s="670"/>
      <c r="J193" s="670"/>
      <c r="K193" s="670"/>
      <c r="L193" s="670"/>
      <c r="M193" s="670"/>
      <c r="N193" s="554">
        <f t="shared" si="143"/>
        <v>0</v>
      </c>
      <c r="O193" s="554">
        <f t="shared" si="144"/>
        <v>0</v>
      </c>
      <c r="P193" s="555" t="e">
        <f>(O193/O296)*100</f>
        <v>#DIV/0!</v>
      </c>
      <c r="Q193" s="570">
        <v>0.52</v>
      </c>
      <c r="R193" s="555" t="e">
        <f t="shared" si="145"/>
        <v>#DIV/0!</v>
      </c>
      <c r="S193" s="674"/>
      <c r="T193" s="569"/>
      <c r="U193" s="2569"/>
      <c r="W193" s="566">
        <f t="shared" ref="W193:W194" si="156">D193*S193</f>
        <v>0</v>
      </c>
      <c r="X193" s="566">
        <f t="shared" ref="X193:X194" si="157">E193*S193</f>
        <v>0</v>
      </c>
      <c r="Y193" s="566">
        <f t="shared" ref="Y193:Y194" si="158">F193*S193</f>
        <v>0</v>
      </c>
      <c r="Z193" s="566">
        <f t="shared" ref="Z193:Z194" si="159">G193*S193</f>
        <v>0</v>
      </c>
      <c r="AA193" s="566">
        <f t="shared" ref="AA193:AA194" si="160">H193*S193</f>
        <v>0</v>
      </c>
      <c r="AB193" s="566">
        <f t="shared" ref="AB193:AB194" si="161">I193*S193</f>
        <v>0</v>
      </c>
      <c r="AC193" s="566">
        <f t="shared" ref="AC193:AC194" si="162">J193*S193</f>
        <v>0</v>
      </c>
      <c r="AD193" s="566">
        <f t="shared" ref="AD193:AD194" si="163">K193*S193</f>
        <v>0</v>
      </c>
      <c r="AE193" s="566">
        <f t="shared" ref="AE193:AE194" si="164">L193*S193</f>
        <v>0</v>
      </c>
      <c r="AF193" s="566">
        <f t="shared" ref="AF193:AF194" si="165">M193*S193</f>
        <v>0</v>
      </c>
      <c r="AG193" s="573"/>
    </row>
    <row r="194" spans="1:33" customFormat="1" ht="25.15" hidden="1" customHeight="1">
      <c r="A194" s="671">
        <v>186</v>
      </c>
      <c r="B194" s="546"/>
      <c r="C194" s="678"/>
      <c r="D194" s="669"/>
      <c r="E194" s="670"/>
      <c r="F194" s="670"/>
      <c r="G194" s="670"/>
      <c r="H194" s="670"/>
      <c r="I194" s="670"/>
      <c r="J194" s="670"/>
      <c r="K194" s="670"/>
      <c r="L194" s="670"/>
      <c r="M194" s="670"/>
      <c r="N194" s="554">
        <f t="shared" si="143"/>
        <v>0</v>
      </c>
      <c r="O194" s="554">
        <f t="shared" si="144"/>
        <v>0</v>
      </c>
      <c r="P194" s="555" t="e">
        <f>(O194/O296)*100</f>
        <v>#DIV/0!</v>
      </c>
      <c r="Q194" s="570">
        <v>0.52</v>
      </c>
      <c r="R194" s="555" t="e">
        <f t="shared" si="145"/>
        <v>#DIV/0!</v>
      </c>
      <c r="S194" s="674"/>
      <c r="T194" s="569"/>
      <c r="U194" s="2569"/>
      <c r="W194" s="566">
        <f t="shared" si="156"/>
        <v>0</v>
      </c>
      <c r="X194" s="566">
        <f t="shared" si="157"/>
        <v>0</v>
      </c>
      <c r="Y194" s="566">
        <f t="shared" si="158"/>
        <v>0</v>
      </c>
      <c r="Z194" s="566">
        <f t="shared" si="159"/>
        <v>0</v>
      </c>
      <c r="AA194" s="566">
        <f t="shared" si="160"/>
        <v>0</v>
      </c>
      <c r="AB194" s="566">
        <f t="shared" si="161"/>
        <v>0</v>
      </c>
      <c r="AC194" s="566">
        <f t="shared" si="162"/>
        <v>0</v>
      </c>
      <c r="AD194" s="566">
        <f t="shared" si="163"/>
        <v>0</v>
      </c>
      <c r="AE194" s="566">
        <f t="shared" si="164"/>
        <v>0</v>
      </c>
      <c r="AF194" s="566">
        <f t="shared" si="165"/>
        <v>0</v>
      </c>
      <c r="AG194" s="573"/>
    </row>
    <row r="195" spans="1:33" customFormat="1" ht="25.15" hidden="1" customHeight="1">
      <c r="A195" s="671">
        <v>187</v>
      </c>
      <c r="B195" s="546"/>
      <c r="C195" s="678"/>
      <c r="D195" s="669"/>
      <c r="E195" s="670"/>
      <c r="F195" s="670"/>
      <c r="G195" s="670"/>
      <c r="H195" s="670"/>
      <c r="I195" s="670"/>
      <c r="J195" s="670"/>
      <c r="K195" s="670"/>
      <c r="L195" s="670"/>
      <c r="M195" s="670"/>
      <c r="N195" s="554">
        <f t="shared" si="143"/>
        <v>0</v>
      </c>
      <c r="O195" s="554">
        <f t="shared" si="144"/>
        <v>0</v>
      </c>
      <c r="P195" s="555" t="e">
        <f>(O195/O296)*100</f>
        <v>#DIV/0!</v>
      </c>
      <c r="Q195" s="570">
        <v>0.52</v>
      </c>
      <c r="R195" s="555" t="e">
        <f t="shared" si="145"/>
        <v>#DIV/0!</v>
      </c>
      <c r="S195" s="674"/>
      <c r="T195" s="569"/>
      <c r="U195" s="2569"/>
      <c r="W195" s="566">
        <f t="shared" si="146"/>
        <v>0</v>
      </c>
      <c r="X195" s="566">
        <f t="shared" si="147"/>
        <v>0</v>
      </c>
      <c r="Y195" s="566">
        <f t="shared" si="148"/>
        <v>0</v>
      </c>
      <c r="Z195" s="566">
        <f t="shared" si="149"/>
        <v>0</v>
      </c>
      <c r="AA195" s="566">
        <f t="shared" si="150"/>
        <v>0</v>
      </c>
      <c r="AB195" s="566">
        <f t="shared" si="151"/>
        <v>0</v>
      </c>
      <c r="AC195" s="566">
        <f t="shared" si="152"/>
        <v>0</v>
      </c>
      <c r="AD195" s="566">
        <f t="shared" si="153"/>
        <v>0</v>
      </c>
      <c r="AE195" s="566">
        <f t="shared" si="154"/>
        <v>0</v>
      </c>
      <c r="AF195" s="566">
        <f t="shared" si="155"/>
        <v>0</v>
      </c>
      <c r="AG195" s="573"/>
    </row>
    <row r="196" spans="1:33" customFormat="1" ht="25.15" hidden="1" customHeight="1">
      <c r="A196" s="671">
        <v>188</v>
      </c>
      <c r="B196" s="546"/>
      <c r="C196" s="678"/>
      <c r="D196" s="669"/>
      <c r="E196" s="670"/>
      <c r="F196" s="670"/>
      <c r="G196" s="670"/>
      <c r="H196" s="670"/>
      <c r="I196" s="670"/>
      <c r="J196" s="670"/>
      <c r="K196" s="670"/>
      <c r="L196" s="670"/>
      <c r="M196" s="670"/>
      <c r="N196" s="554">
        <f t="shared" si="143"/>
        <v>0</v>
      </c>
      <c r="O196" s="554">
        <f t="shared" si="144"/>
        <v>0</v>
      </c>
      <c r="P196" s="555" t="e">
        <f>(O196/O296)*100</f>
        <v>#DIV/0!</v>
      </c>
      <c r="Q196" s="570">
        <v>0.52</v>
      </c>
      <c r="R196" s="555" t="e">
        <f t="shared" si="145"/>
        <v>#DIV/0!</v>
      </c>
      <c r="S196" s="674"/>
      <c r="T196" s="569"/>
      <c r="U196" s="2569"/>
      <c r="W196" s="566">
        <f t="shared" si="146"/>
        <v>0</v>
      </c>
      <c r="X196" s="566">
        <f t="shared" si="147"/>
        <v>0</v>
      </c>
      <c r="Y196" s="566">
        <f t="shared" si="148"/>
        <v>0</v>
      </c>
      <c r="Z196" s="566">
        <f t="shared" si="149"/>
        <v>0</v>
      </c>
      <c r="AA196" s="566">
        <f t="shared" si="150"/>
        <v>0</v>
      </c>
      <c r="AB196" s="566">
        <f t="shared" si="151"/>
        <v>0</v>
      </c>
      <c r="AC196" s="566">
        <f t="shared" si="152"/>
        <v>0</v>
      </c>
      <c r="AD196" s="566">
        <f t="shared" si="153"/>
        <v>0</v>
      </c>
      <c r="AE196" s="566">
        <f t="shared" si="154"/>
        <v>0</v>
      </c>
      <c r="AF196" s="566">
        <f t="shared" si="155"/>
        <v>0</v>
      </c>
      <c r="AG196" s="573"/>
    </row>
    <row r="197" spans="1:33" customFormat="1" ht="25.15" hidden="1" customHeight="1">
      <c r="A197" s="671">
        <v>189</v>
      </c>
      <c r="B197" s="546"/>
      <c r="C197" s="678"/>
      <c r="D197" s="669"/>
      <c r="E197" s="670"/>
      <c r="F197" s="670"/>
      <c r="G197" s="670"/>
      <c r="H197" s="670"/>
      <c r="I197" s="670"/>
      <c r="J197" s="670"/>
      <c r="K197" s="670"/>
      <c r="L197" s="670"/>
      <c r="M197" s="670"/>
      <c r="N197" s="554">
        <f t="shared" si="143"/>
        <v>0</v>
      </c>
      <c r="O197" s="554">
        <f t="shared" si="144"/>
        <v>0</v>
      </c>
      <c r="P197" s="555" t="e">
        <f>(O197/O296)*100</f>
        <v>#DIV/0!</v>
      </c>
      <c r="Q197" s="570">
        <v>0.52</v>
      </c>
      <c r="R197" s="555" t="e">
        <f t="shared" si="145"/>
        <v>#DIV/0!</v>
      </c>
      <c r="S197" s="674"/>
      <c r="T197" s="569"/>
      <c r="U197" s="2569"/>
      <c r="W197" s="566">
        <f t="shared" si="146"/>
        <v>0</v>
      </c>
      <c r="X197" s="566">
        <f t="shared" si="147"/>
        <v>0</v>
      </c>
      <c r="Y197" s="566">
        <f t="shared" si="148"/>
        <v>0</v>
      </c>
      <c r="Z197" s="566">
        <f t="shared" si="149"/>
        <v>0</v>
      </c>
      <c r="AA197" s="566">
        <f t="shared" si="150"/>
        <v>0</v>
      </c>
      <c r="AB197" s="566">
        <f t="shared" si="151"/>
        <v>0</v>
      </c>
      <c r="AC197" s="566">
        <f t="shared" si="152"/>
        <v>0</v>
      </c>
      <c r="AD197" s="566">
        <f t="shared" si="153"/>
        <v>0</v>
      </c>
      <c r="AE197" s="566">
        <f t="shared" si="154"/>
        <v>0</v>
      </c>
      <c r="AF197" s="566">
        <f t="shared" si="155"/>
        <v>0</v>
      </c>
      <c r="AG197" s="573"/>
    </row>
    <row r="198" spans="1:33" customFormat="1" ht="25.15" hidden="1" customHeight="1">
      <c r="A198" s="671">
        <v>190</v>
      </c>
      <c r="B198" s="546"/>
      <c r="C198" s="678"/>
      <c r="D198" s="669"/>
      <c r="E198" s="670"/>
      <c r="F198" s="670"/>
      <c r="G198" s="670"/>
      <c r="H198" s="670"/>
      <c r="I198" s="670"/>
      <c r="J198" s="670"/>
      <c r="K198" s="670"/>
      <c r="L198" s="670"/>
      <c r="M198" s="670"/>
      <c r="N198" s="554">
        <f t="shared" si="143"/>
        <v>0</v>
      </c>
      <c r="O198" s="554">
        <f t="shared" si="144"/>
        <v>0</v>
      </c>
      <c r="P198" s="555" t="e">
        <f>(O198/O296)*100</f>
        <v>#DIV/0!</v>
      </c>
      <c r="Q198" s="570">
        <v>0.52</v>
      </c>
      <c r="R198" s="555" t="e">
        <f t="shared" si="145"/>
        <v>#DIV/0!</v>
      </c>
      <c r="S198" s="674"/>
      <c r="T198" s="569"/>
      <c r="U198" s="2569"/>
      <c r="W198" s="566">
        <f t="shared" si="146"/>
        <v>0</v>
      </c>
      <c r="X198" s="566">
        <f t="shared" si="147"/>
        <v>0</v>
      </c>
      <c r="Y198" s="566">
        <f t="shared" si="148"/>
        <v>0</v>
      </c>
      <c r="Z198" s="566">
        <f t="shared" si="149"/>
        <v>0</v>
      </c>
      <c r="AA198" s="566">
        <f t="shared" si="150"/>
        <v>0</v>
      </c>
      <c r="AB198" s="566">
        <f t="shared" si="151"/>
        <v>0</v>
      </c>
      <c r="AC198" s="566">
        <f t="shared" si="152"/>
        <v>0</v>
      </c>
      <c r="AD198" s="566">
        <f t="shared" si="153"/>
        <v>0</v>
      </c>
      <c r="AE198" s="566">
        <f t="shared" si="154"/>
        <v>0</v>
      </c>
      <c r="AF198" s="566">
        <f t="shared" si="155"/>
        <v>0</v>
      </c>
      <c r="AG198" s="573"/>
    </row>
    <row r="199" spans="1:33" customFormat="1" ht="25.15" hidden="1" customHeight="1">
      <c r="A199" s="671">
        <v>191</v>
      </c>
      <c r="B199" s="546"/>
      <c r="C199" s="678"/>
      <c r="D199" s="669"/>
      <c r="E199" s="670"/>
      <c r="F199" s="670"/>
      <c r="G199" s="670"/>
      <c r="H199" s="670"/>
      <c r="I199" s="670"/>
      <c r="J199" s="670"/>
      <c r="K199" s="670"/>
      <c r="L199" s="670"/>
      <c r="M199" s="670"/>
      <c r="N199" s="554">
        <f t="shared" si="143"/>
        <v>0</v>
      </c>
      <c r="O199" s="554">
        <f t="shared" si="144"/>
        <v>0</v>
      </c>
      <c r="P199" s="555" t="e">
        <f>(O199/O296)*100</f>
        <v>#DIV/0!</v>
      </c>
      <c r="Q199" s="570">
        <v>0.52</v>
      </c>
      <c r="R199" s="555" t="e">
        <f t="shared" si="145"/>
        <v>#DIV/0!</v>
      </c>
      <c r="S199" s="674"/>
      <c r="T199" s="569"/>
      <c r="U199" s="2569"/>
      <c r="W199" s="566">
        <f t="shared" si="146"/>
        <v>0</v>
      </c>
      <c r="X199" s="566">
        <f t="shared" si="147"/>
        <v>0</v>
      </c>
      <c r="Y199" s="566">
        <f t="shared" si="148"/>
        <v>0</v>
      </c>
      <c r="Z199" s="566">
        <f t="shared" si="149"/>
        <v>0</v>
      </c>
      <c r="AA199" s="566">
        <f t="shared" si="150"/>
        <v>0</v>
      </c>
      <c r="AB199" s="566">
        <f t="shared" si="151"/>
        <v>0</v>
      </c>
      <c r="AC199" s="566">
        <f t="shared" si="152"/>
        <v>0</v>
      </c>
      <c r="AD199" s="566">
        <f t="shared" si="153"/>
        <v>0</v>
      </c>
      <c r="AE199" s="566">
        <f t="shared" si="154"/>
        <v>0</v>
      </c>
      <c r="AF199" s="566">
        <f t="shared" si="155"/>
        <v>0</v>
      </c>
      <c r="AG199" s="573"/>
    </row>
    <row r="200" spans="1:33" customFormat="1" ht="25.15" hidden="1" customHeight="1">
      <c r="A200" s="671">
        <v>192</v>
      </c>
      <c r="B200" s="546"/>
      <c r="C200" s="678"/>
      <c r="D200" s="669"/>
      <c r="E200" s="670"/>
      <c r="F200" s="670"/>
      <c r="G200" s="670"/>
      <c r="H200" s="670"/>
      <c r="I200" s="670"/>
      <c r="J200" s="670"/>
      <c r="K200" s="670"/>
      <c r="L200" s="670"/>
      <c r="M200" s="670"/>
      <c r="N200" s="554">
        <f t="shared" si="143"/>
        <v>0</v>
      </c>
      <c r="O200" s="554">
        <f t="shared" si="144"/>
        <v>0</v>
      </c>
      <c r="P200" s="555" t="e">
        <f>(O200/O296)*100</f>
        <v>#DIV/0!</v>
      </c>
      <c r="Q200" s="570">
        <v>0.52</v>
      </c>
      <c r="R200" s="555" t="e">
        <f t="shared" si="145"/>
        <v>#DIV/0!</v>
      </c>
      <c r="S200" s="674"/>
      <c r="T200" s="569"/>
      <c r="U200" s="2569"/>
      <c r="W200" s="566">
        <f t="shared" si="146"/>
        <v>0</v>
      </c>
      <c r="X200" s="566">
        <f t="shared" si="147"/>
        <v>0</v>
      </c>
      <c r="Y200" s="566">
        <f t="shared" si="148"/>
        <v>0</v>
      </c>
      <c r="Z200" s="566">
        <f t="shared" si="149"/>
        <v>0</v>
      </c>
      <c r="AA200" s="566">
        <f t="shared" si="150"/>
        <v>0</v>
      </c>
      <c r="AB200" s="566">
        <f t="shared" si="151"/>
        <v>0</v>
      </c>
      <c r="AC200" s="566">
        <f t="shared" si="152"/>
        <v>0</v>
      </c>
      <c r="AD200" s="566">
        <f t="shared" si="153"/>
        <v>0</v>
      </c>
      <c r="AE200" s="566">
        <f t="shared" si="154"/>
        <v>0</v>
      </c>
      <c r="AF200" s="566">
        <f t="shared" si="155"/>
        <v>0</v>
      </c>
      <c r="AG200" s="573"/>
    </row>
    <row r="201" spans="1:33" customFormat="1" ht="25.15" hidden="1" customHeight="1">
      <c r="A201" s="671">
        <v>193</v>
      </c>
      <c r="B201" s="546"/>
      <c r="C201" s="678"/>
      <c r="D201" s="669"/>
      <c r="E201" s="670"/>
      <c r="F201" s="670"/>
      <c r="G201" s="670"/>
      <c r="H201" s="670"/>
      <c r="I201" s="670"/>
      <c r="J201" s="670"/>
      <c r="K201" s="670"/>
      <c r="L201" s="670"/>
      <c r="M201" s="670"/>
      <c r="N201" s="554">
        <f t="shared" si="143"/>
        <v>0</v>
      </c>
      <c r="O201" s="554">
        <f t="shared" si="144"/>
        <v>0</v>
      </c>
      <c r="P201" s="555" t="e">
        <f>(O201/O296)*100</f>
        <v>#DIV/0!</v>
      </c>
      <c r="Q201" s="570">
        <v>0.52</v>
      </c>
      <c r="R201" s="555" t="e">
        <f t="shared" si="145"/>
        <v>#DIV/0!</v>
      </c>
      <c r="S201" s="674"/>
      <c r="T201" s="569"/>
      <c r="U201" s="2569"/>
      <c r="W201" s="566">
        <f t="shared" si="146"/>
        <v>0</v>
      </c>
      <c r="X201" s="566">
        <f t="shared" si="147"/>
        <v>0</v>
      </c>
      <c r="Y201" s="566">
        <f t="shared" si="148"/>
        <v>0</v>
      </c>
      <c r="Z201" s="566">
        <f t="shared" si="149"/>
        <v>0</v>
      </c>
      <c r="AA201" s="566">
        <f t="shared" si="150"/>
        <v>0</v>
      </c>
      <c r="AB201" s="566">
        <f t="shared" si="151"/>
        <v>0</v>
      </c>
      <c r="AC201" s="566">
        <f t="shared" si="152"/>
        <v>0</v>
      </c>
      <c r="AD201" s="566">
        <f t="shared" si="153"/>
        <v>0</v>
      </c>
      <c r="AE201" s="566">
        <f t="shared" si="154"/>
        <v>0</v>
      </c>
      <c r="AF201" s="566">
        <f t="shared" si="155"/>
        <v>0</v>
      </c>
      <c r="AG201" s="573"/>
    </row>
    <row r="202" spans="1:33" customFormat="1" ht="25.15" hidden="1" customHeight="1">
      <c r="A202" s="671">
        <v>194</v>
      </c>
      <c r="B202" s="546"/>
      <c r="C202" s="678"/>
      <c r="D202" s="669"/>
      <c r="E202" s="670"/>
      <c r="F202" s="670"/>
      <c r="G202" s="670"/>
      <c r="H202" s="670"/>
      <c r="I202" s="670"/>
      <c r="J202" s="670"/>
      <c r="K202" s="670"/>
      <c r="L202" s="670"/>
      <c r="M202" s="670"/>
      <c r="N202" s="554">
        <f t="shared" si="143"/>
        <v>0</v>
      </c>
      <c r="O202" s="554">
        <f t="shared" si="144"/>
        <v>0</v>
      </c>
      <c r="P202" s="555" t="e">
        <f>(O202/O296)*100</f>
        <v>#DIV/0!</v>
      </c>
      <c r="Q202" s="570">
        <v>0.52</v>
      </c>
      <c r="R202" s="555" t="e">
        <f t="shared" si="145"/>
        <v>#DIV/0!</v>
      </c>
      <c r="S202" s="674"/>
      <c r="T202" s="569"/>
      <c r="U202" s="2569"/>
      <c r="W202" s="566">
        <f t="shared" si="146"/>
        <v>0</v>
      </c>
      <c r="X202" s="566">
        <f t="shared" si="147"/>
        <v>0</v>
      </c>
      <c r="Y202" s="566">
        <f t="shared" si="148"/>
        <v>0</v>
      </c>
      <c r="Z202" s="566">
        <f t="shared" si="149"/>
        <v>0</v>
      </c>
      <c r="AA202" s="566">
        <f t="shared" si="150"/>
        <v>0</v>
      </c>
      <c r="AB202" s="566">
        <f t="shared" si="151"/>
        <v>0</v>
      </c>
      <c r="AC202" s="566">
        <f t="shared" si="152"/>
        <v>0</v>
      </c>
      <c r="AD202" s="566">
        <f t="shared" si="153"/>
        <v>0</v>
      </c>
      <c r="AE202" s="566">
        <f t="shared" si="154"/>
        <v>0</v>
      </c>
      <c r="AF202" s="566">
        <f t="shared" si="155"/>
        <v>0</v>
      </c>
      <c r="AG202" s="573"/>
    </row>
    <row r="203" spans="1:33" customFormat="1" ht="25.15" hidden="1" customHeight="1">
      <c r="A203" s="671">
        <v>195</v>
      </c>
      <c r="B203" s="546"/>
      <c r="C203" s="678"/>
      <c r="D203" s="669"/>
      <c r="E203" s="670"/>
      <c r="F203" s="670"/>
      <c r="G203" s="670"/>
      <c r="H203" s="670"/>
      <c r="I203" s="670"/>
      <c r="J203" s="670"/>
      <c r="K203" s="670"/>
      <c r="L203" s="670"/>
      <c r="M203" s="670"/>
      <c r="N203" s="554">
        <f t="shared" si="143"/>
        <v>0</v>
      </c>
      <c r="O203" s="554">
        <f t="shared" si="144"/>
        <v>0</v>
      </c>
      <c r="P203" s="555" t="e">
        <f>(O203/O296)*100</f>
        <v>#DIV/0!</v>
      </c>
      <c r="Q203" s="570">
        <v>0.52</v>
      </c>
      <c r="R203" s="555" t="e">
        <f t="shared" si="145"/>
        <v>#DIV/0!</v>
      </c>
      <c r="S203" s="674"/>
      <c r="T203" s="569"/>
      <c r="U203" s="2569"/>
      <c r="W203" s="566">
        <f t="shared" si="146"/>
        <v>0</v>
      </c>
      <c r="X203" s="566">
        <f t="shared" si="147"/>
        <v>0</v>
      </c>
      <c r="Y203" s="566">
        <f t="shared" si="148"/>
        <v>0</v>
      </c>
      <c r="Z203" s="566">
        <f t="shared" si="149"/>
        <v>0</v>
      </c>
      <c r="AA203" s="566">
        <f t="shared" si="150"/>
        <v>0</v>
      </c>
      <c r="AB203" s="566">
        <f t="shared" si="151"/>
        <v>0</v>
      </c>
      <c r="AC203" s="566">
        <f t="shared" si="152"/>
        <v>0</v>
      </c>
      <c r="AD203" s="566">
        <f t="shared" si="153"/>
        <v>0</v>
      </c>
      <c r="AE203" s="566">
        <f t="shared" si="154"/>
        <v>0</v>
      </c>
      <c r="AF203" s="566">
        <f t="shared" si="155"/>
        <v>0</v>
      </c>
      <c r="AG203" s="573"/>
    </row>
    <row r="204" spans="1:33" customFormat="1" ht="25.15" hidden="1" customHeight="1">
      <c r="A204" s="671">
        <v>196</v>
      </c>
      <c r="B204" s="546"/>
      <c r="C204" s="678"/>
      <c r="D204" s="669"/>
      <c r="E204" s="670"/>
      <c r="F204" s="670"/>
      <c r="G204" s="670"/>
      <c r="H204" s="670"/>
      <c r="I204" s="670"/>
      <c r="J204" s="670"/>
      <c r="K204" s="670"/>
      <c r="L204" s="670"/>
      <c r="M204" s="670"/>
      <c r="N204" s="554">
        <f t="shared" si="143"/>
        <v>0</v>
      </c>
      <c r="O204" s="554">
        <f t="shared" si="144"/>
        <v>0</v>
      </c>
      <c r="P204" s="555" t="e">
        <f>(O204/O296)*100</f>
        <v>#DIV/0!</v>
      </c>
      <c r="Q204" s="570">
        <v>0.52</v>
      </c>
      <c r="R204" s="555" t="e">
        <f t="shared" si="145"/>
        <v>#DIV/0!</v>
      </c>
      <c r="S204" s="674"/>
      <c r="T204" s="569"/>
      <c r="U204" s="2569"/>
      <c r="W204" s="566">
        <f t="shared" si="146"/>
        <v>0</v>
      </c>
      <c r="X204" s="566">
        <f t="shared" si="147"/>
        <v>0</v>
      </c>
      <c r="Y204" s="566">
        <f t="shared" si="148"/>
        <v>0</v>
      </c>
      <c r="Z204" s="566">
        <f t="shared" si="149"/>
        <v>0</v>
      </c>
      <c r="AA204" s="566">
        <f t="shared" si="150"/>
        <v>0</v>
      </c>
      <c r="AB204" s="566">
        <f t="shared" si="151"/>
        <v>0</v>
      </c>
      <c r="AC204" s="566">
        <f t="shared" si="152"/>
        <v>0</v>
      </c>
      <c r="AD204" s="566">
        <f t="shared" si="153"/>
        <v>0</v>
      </c>
      <c r="AE204" s="566">
        <f t="shared" si="154"/>
        <v>0</v>
      </c>
      <c r="AF204" s="566">
        <f t="shared" si="155"/>
        <v>0</v>
      </c>
      <c r="AG204" s="573"/>
    </row>
    <row r="205" spans="1:33" customFormat="1" ht="25.15" hidden="1" customHeight="1">
      <c r="A205" s="671">
        <v>197</v>
      </c>
      <c r="B205" s="546"/>
      <c r="C205" s="678"/>
      <c r="D205" s="669"/>
      <c r="E205" s="670"/>
      <c r="F205" s="670"/>
      <c r="G205" s="670"/>
      <c r="H205" s="670"/>
      <c r="I205" s="670"/>
      <c r="J205" s="670"/>
      <c r="K205" s="670"/>
      <c r="L205" s="670"/>
      <c r="M205" s="670"/>
      <c r="N205" s="554">
        <f t="shared" si="143"/>
        <v>0</v>
      </c>
      <c r="O205" s="554">
        <f t="shared" si="144"/>
        <v>0</v>
      </c>
      <c r="P205" s="555" t="e">
        <f>(O205/O296)*100</f>
        <v>#DIV/0!</v>
      </c>
      <c r="Q205" s="570">
        <v>0.52</v>
      </c>
      <c r="R205" s="555" t="e">
        <f t="shared" si="145"/>
        <v>#DIV/0!</v>
      </c>
      <c r="S205" s="674"/>
      <c r="T205" s="569"/>
      <c r="U205" s="2569"/>
      <c r="W205" s="566">
        <f t="shared" si="146"/>
        <v>0</v>
      </c>
      <c r="X205" s="566">
        <f t="shared" si="147"/>
        <v>0</v>
      </c>
      <c r="Y205" s="566">
        <f t="shared" si="148"/>
        <v>0</v>
      </c>
      <c r="Z205" s="566">
        <f t="shared" si="149"/>
        <v>0</v>
      </c>
      <c r="AA205" s="566">
        <f t="shared" si="150"/>
        <v>0</v>
      </c>
      <c r="AB205" s="566">
        <f t="shared" si="151"/>
        <v>0</v>
      </c>
      <c r="AC205" s="566">
        <f t="shared" si="152"/>
        <v>0</v>
      </c>
      <c r="AD205" s="566">
        <f t="shared" si="153"/>
        <v>0</v>
      </c>
      <c r="AE205" s="566">
        <f t="shared" si="154"/>
        <v>0</v>
      </c>
      <c r="AF205" s="566">
        <f t="shared" si="155"/>
        <v>0</v>
      </c>
      <c r="AG205" s="573"/>
    </row>
    <row r="206" spans="1:33" customFormat="1" ht="25.15" hidden="1" customHeight="1">
      <c r="A206" s="671">
        <v>198</v>
      </c>
      <c r="B206" s="546"/>
      <c r="C206" s="678"/>
      <c r="D206" s="669"/>
      <c r="E206" s="670"/>
      <c r="F206" s="670"/>
      <c r="G206" s="670"/>
      <c r="H206" s="670"/>
      <c r="I206" s="670"/>
      <c r="J206" s="670"/>
      <c r="K206" s="670"/>
      <c r="L206" s="670"/>
      <c r="M206" s="670"/>
      <c r="N206" s="554">
        <f t="shared" si="143"/>
        <v>0</v>
      </c>
      <c r="O206" s="554">
        <f t="shared" si="144"/>
        <v>0</v>
      </c>
      <c r="P206" s="555" t="e">
        <f>(O206/O296)*100</f>
        <v>#DIV/0!</v>
      </c>
      <c r="Q206" s="570">
        <v>0.52</v>
      </c>
      <c r="R206" s="555" t="e">
        <f t="shared" si="145"/>
        <v>#DIV/0!</v>
      </c>
      <c r="S206" s="674"/>
      <c r="T206" s="569"/>
      <c r="U206" s="2569"/>
      <c r="W206" s="566">
        <f t="shared" si="146"/>
        <v>0</v>
      </c>
      <c r="X206" s="566">
        <f t="shared" si="147"/>
        <v>0</v>
      </c>
      <c r="Y206" s="566">
        <f t="shared" si="148"/>
        <v>0</v>
      </c>
      <c r="Z206" s="566">
        <f t="shared" si="149"/>
        <v>0</v>
      </c>
      <c r="AA206" s="566">
        <f t="shared" si="150"/>
        <v>0</v>
      </c>
      <c r="AB206" s="566">
        <f t="shared" si="151"/>
        <v>0</v>
      </c>
      <c r="AC206" s="566">
        <f t="shared" si="152"/>
        <v>0</v>
      </c>
      <c r="AD206" s="566">
        <f t="shared" si="153"/>
        <v>0</v>
      </c>
      <c r="AE206" s="566">
        <f t="shared" si="154"/>
        <v>0</v>
      </c>
      <c r="AF206" s="566">
        <f t="shared" si="155"/>
        <v>0</v>
      </c>
      <c r="AG206" s="573"/>
    </row>
    <row r="207" spans="1:33" customFormat="1" ht="25.15" hidden="1" customHeight="1">
      <c r="A207" s="671">
        <v>199</v>
      </c>
      <c r="B207" s="546"/>
      <c r="C207" s="678"/>
      <c r="D207" s="669"/>
      <c r="E207" s="670"/>
      <c r="F207" s="670"/>
      <c r="G207" s="670"/>
      <c r="H207" s="670"/>
      <c r="I207" s="670"/>
      <c r="J207" s="670"/>
      <c r="K207" s="670"/>
      <c r="L207" s="670"/>
      <c r="M207" s="670"/>
      <c r="N207" s="554">
        <f t="shared" si="143"/>
        <v>0</v>
      </c>
      <c r="O207" s="554">
        <f t="shared" si="144"/>
        <v>0</v>
      </c>
      <c r="P207" s="555" t="e">
        <f>(O207/O296)*100</f>
        <v>#DIV/0!</v>
      </c>
      <c r="Q207" s="570">
        <v>0.52</v>
      </c>
      <c r="R207" s="555" t="e">
        <f t="shared" si="145"/>
        <v>#DIV/0!</v>
      </c>
      <c r="S207" s="674"/>
      <c r="T207" s="569"/>
      <c r="U207" s="2569"/>
      <c r="W207" s="566">
        <f t="shared" si="146"/>
        <v>0</v>
      </c>
      <c r="X207" s="566">
        <f t="shared" si="147"/>
        <v>0</v>
      </c>
      <c r="Y207" s="566">
        <f t="shared" si="148"/>
        <v>0</v>
      </c>
      <c r="Z207" s="566">
        <f t="shared" si="149"/>
        <v>0</v>
      </c>
      <c r="AA207" s="566">
        <f t="shared" si="150"/>
        <v>0</v>
      </c>
      <c r="AB207" s="566">
        <f t="shared" si="151"/>
        <v>0</v>
      </c>
      <c r="AC207" s="566">
        <f t="shared" si="152"/>
        <v>0</v>
      </c>
      <c r="AD207" s="566">
        <f t="shared" si="153"/>
        <v>0</v>
      </c>
      <c r="AE207" s="566">
        <f t="shared" si="154"/>
        <v>0</v>
      </c>
      <c r="AF207" s="566">
        <f t="shared" si="155"/>
        <v>0</v>
      </c>
      <c r="AG207" s="573"/>
    </row>
    <row r="208" spans="1:33" customFormat="1" ht="25.15" hidden="1" customHeight="1">
      <c r="A208" s="671">
        <v>200</v>
      </c>
      <c r="B208" s="546"/>
      <c r="C208" s="678"/>
      <c r="D208" s="669"/>
      <c r="E208" s="670"/>
      <c r="F208" s="670"/>
      <c r="G208" s="670"/>
      <c r="H208" s="670"/>
      <c r="I208" s="670"/>
      <c r="J208" s="670"/>
      <c r="K208" s="670"/>
      <c r="L208" s="670"/>
      <c r="M208" s="670"/>
      <c r="N208" s="554">
        <f t="shared" si="143"/>
        <v>0</v>
      </c>
      <c r="O208" s="554">
        <f t="shared" si="144"/>
        <v>0</v>
      </c>
      <c r="P208" s="555" t="e">
        <f>(O208/O296)*100</f>
        <v>#DIV/0!</v>
      </c>
      <c r="Q208" s="570">
        <v>0.52</v>
      </c>
      <c r="R208" s="555" t="e">
        <f t="shared" si="145"/>
        <v>#DIV/0!</v>
      </c>
      <c r="S208" s="674"/>
      <c r="T208" s="569"/>
      <c r="U208" s="2569"/>
      <c r="W208" s="566">
        <f t="shared" si="146"/>
        <v>0</v>
      </c>
      <c r="X208" s="566">
        <f t="shared" si="147"/>
        <v>0</v>
      </c>
      <c r="Y208" s="566">
        <f t="shared" si="148"/>
        <v>0</v>
      </c>
      <c r="Z208" s="566">
        <f t="shared" si="149"/>
        <v>0</v>
      </c>
      <c r="AA208" s="566">
        <f t="shared" si="150"/>
        <v>0</v>
      </c>
      <c r="AB208" s="566">
        <f t="shared" si="151"/>
        <v>0</v>
      </c>
      <c r="AC208" s="566">
        <f t="shared" si="152"/>
        <v>0</v>
      </c>
      <c r="AD208" s="566">
        <f t="shared" si="153"/>
        <v>0</v>
      </c>
      <c r="AE208" s="566">
        <f t="shared" si="154"/>
        <v>0</v>
      </c>
      <c r="AF208" s="566">
        <f t="shared" si="155"/>
        <v>0</v>
      </c>
      <c r="AG208" s="573"/>
    </row>
    <row r="209" spans="1:33" customFormat="1" ht="25.15" hidden="1" customHeight="1">
      <c r="A209" s="671">
        <v>201</v>
      </c>
      <c r="B209" s="546"/>
      <c r="C209" s="678"/>
      <c r="D209" s="669"/>
      <c r="E209" s="670"/>
      <c r="F209" s="670"/>
      <c r="G209" s="670"/>
      <c r="H209" s="670"/>
      <c r="I209" s="670"/>
      <c r="J209" s="670"/>
      <c r="K209" s="670"/>
      <c r="L209" s="670"/>
      <c r="M209" s="670"/>
      <c r="N209" s="554">
        <f t="shared" si="143"/>
        <v>0</v>
      </c>
      <c r="O209" s="554">
        <f t="shared" si="144"/>
        <v>0</v>
      </c>
      <c r="P209" s="555" t="e">
        <f>(O209/O296)*100</f>
        <v>#DIV/0!</v>
      </c>
      <c r="Q209" s="570">
        <v>0.52</v>
      </c>
      <c r="R209" s="555" t="e">
        <f t="shared" si="145"/>
        <v>#DIV/0!</v>
      </c>
      <c r="S209" s="674"/>
      <c r="T209" s="569"/>
      <c r="U209" s="2569"/>
      <c r="W209" s="566">
        <f t="shared" si="146"/>
        <v>0</v>
      </c>
      <c r="X209" s="566">
        <f t="shared" si="147"/>
        <v>0</v>
      </c>
      <c r="Y209" s="566">
        <f t="shared" si="148"/>
        <v>0</v>
      </c>
      <c r="Z209" s="566">
        <f t="shared" si="149"/>
        <v>0</v>
      </c>
      <c r="AA209" s="566">
        <f t="shared" si="150"/>
        <v>0</v>
      </c>
      <c r="AB209" s="566">
        <f t="shared" si="151"/>
        <v>0</v>
      </c>
      <c r="AC209" s="566">
        <f t="shared" si="152"/>
        <v>0</v>
      </c>
      <c r="AD209" s="566">
        <f t="shared" si="153"/>
        <v>0</v>
      </c>
      <c r="AE209" s="566">
        <f t="shared" si="154"/>
        <v>0</v>
      </c>
      <c r="AF209" s="566">
        <f t="shared" si="155"/>
        <v>0</v>
      </c>
      <c r="AG209" s="573"/>
    </row>
    <row r="210" spans="1:33" customFormat="1" ht="25.15" hidden="1" customHeight="1">
      <c r="A210" s="671">
        <v>202</v>
      </c>
      <c r="B210" s="546"/>
      <c r="C210" s="678"/>
      <c r="D210" s="669"/>
      <c r="E210" s="670"/>
      <c r="F210" s="670"/>
      <c r="G210" s="670"/>
      <c r="H210" s="670"/>
      <c r="I210" s="670"/>
      <c r="J210" s="670"/>
      <c r="K210" s="670"/>
      <c r="L210" s="670"/>
      <c r="M210" s="670"/>
      <c r="N210" s="554">
        <f t="shared" si="143"/>
        <v>0</v>
      </c>
      <c r="O210" s="554">
        <f t="shared" si="144"/>
        <v>0</v>
      </c>
      <c r="P210" s="555" t="e">
        <f>(O210/O296)*100</f>
        <v>#DIV/0!</v>
      </c>
      <c r="Q210" s="570">
        <v>0.52</v>
      </c>
      <c r="R210" s="555" t="e">
        <f t="shared" si="145"/>
        <v>#DIV/0!</v>
      </c>
      <c r="S210" s="674"/>
      <c r="T210" s="569"/>
      <c r="U210" s="2569"/>
      <c r="W210" s="566">
        <f t="shared" si="146"/>
        <v>0</v>
      </c>
      <c r="X210" s="566">
        <f t="shared" si="147"/>
        <v>0</v>
      </c>
      <c r="Y210" s="566">
        <f t="shared" si="148"/>
        <v>0</v>
      </c>
      <c r="Z210" s="566">
        <f t="shared" si="149"/>
        <v>0</v>
      </c>
      <c r="AA210" s="566">
        <f t="shared" si="150"/>
        <v>0</v>
      </c>
      <c r="AB210" s="566">
        <f t="shared" si="151"/>
        <v>0</v>
      </c>
      <c r="AC210" s="566">
        <f t="shared" si="152"/>
        <v>0</v>
      </c>
      <c r="AD210" s="566">
        <f t="shared" si="153"/>
        <v>0</v>
      </c>
      <c r="AE210" s="566">
        <f t="shared" si="154"/>
        <v>0</v>
      </c>
      <c r="AF210" s="566">
        <f t="shared" si="155"/>
        <v>0</v>
      </c>
      <c r="AG210" s="573"/>
    </row>
    <row r="211" spans="1:33" customFormat="1" ht="25.15" hidden="1" customHeight="1">
      <c r="A211" s="671">
        <v>203</v>
      </c>
      <c r="B211" s="546"/>
      <c r="C211" s="678"/>
      <c r="D211" s="669"/>
      <c r="E211" s="670"/>
      <c r="F211" s="670"/>
      <c r="G211" s="670"/>
      <c r="H211" s="670"/>
      <c r="I211" s="670"/>
      <c r="J211" s="670"/>
      <c r="K211" s="670"/>
      <c r="L211" s="670"/>
      <c r="M211" s="670"/>
      <c r="N211" s="554">
        <f t="shared" si="143"/>
        <v>0</v>
      </c>
      <c r="O211" s="554">
        <f t="shared" si="144"/>
        <v>0</v>
      </c>
      <c r="P211" s="555" t="e">
        <f>(O211/O296)*100</f>
        <v>#DIV/0!</v>
      </c>
      <c r="Q211" s="570">
        <v>0.52</v>
      </c>
      <c r="R211" s="555" t="e">
        <f t="shared" si="145"/>
        <v>#DIV/0!</v>
      </c>
      <c r="S211" s="674"/>
      <c r="T211" s="569"/>
      <c r="U211" s="2569"/>
      <c r="W211" s="566">
        <f t="shared" si="146"/>
        <v>0</v>
      </c>
      <c r="X211" s="566">
        <f t="shared" si="147"/>
        <v>0</v>
      </c>
      <c r="Y211" s="566">
        <f t="shared" si="148"/>
        <v>0</v>
      </c>
      <c r="Z211" s="566">
        <f t="shared" si="149"/>
        <v>0</v>
      </c>
      <c r="AA211" s="566">
        <f t="shared" si="150"/>
        <v>0</v>
      </c>
      <c r="AB211" s="566">
        <f t="shared" si="151"/>
        <v>0</v>
      </c>
      <c r="AC211" s="566">
        <f t="shared" si="152"/>
        <v>0</v>
      </c>
      <c r="AD211" s="566">
        <f t="shared" si="153"/>
        <v>0</v>
      </c>
      <c r="AE211" s="566">
        <f t="shared" si="154"/>
        <v>0</v>
      </c>
      <c r="AF211" s="566">
        <f t="shared" si="155"/>
        <v>0</v>
      </c>
      <c r="AG211" s="573"/>
    </row>
    <row r="212" spans="1:33" customFormat="1" ht="25.15" hidden="1" customHeight="1">
      <c r="A212" s="671">
        <v>204</v>
      </c>
      <c r="B212" s="546"/>
      <c r="C212" s="678"/>
      <c r="D212" s="669"/>
      <c r="E212" s="670"/>
      <c r="F212" s="670"/>
      <c r="G212" s="670"/>
      <c r="H212" s="670"/>
      <c r="I212" s="670"/>
      <c r="J212" s="670"/>
      <c r="K212" s="670"/>
      <c r="L212" s="670"/>
      <c r="M212" s="670"/>
      <c r="N212" s="554">
        <f t="shared" si="143"/>
        <v>0</v>
      </c>
      <c r="O212" s="554">
        <f t="shared" si="144"/>
        <v>0</v>
      </c>
      <c r="P212" s="555" t="e">
        <f>(O212/O296)*100</f>
        <v>#DIV/0!</v>
      </c>
      <c r="Q212" s="570">
        <v>0.52</v>
      </c>
      <c r="R212" s="555" t="e">
        <f t="shared" si="145"/>
        <v>#DIV/0!</v>
      </c>
      <c r="S212" s="674"/>
      <c r="T212" s="569"/>
      <c r="U212" s="2569"/>
      <c r="W212" s="566">
        <f t="shared" si="146"/>
        <v>0</v>
      </c>
      <c r="X212" s="566">
        <f t="shared" si="147"/>
        <v>0</v>
      </c>
      <c r="Y212" s="566">
        <f t="shared" si="148"/>
        <v>0</v>
      </c>
      <c r="Z212" s="566">
        <f t="shared" si="149"/>
        <v>0</v>
      </c>
      <c r="AA212" s="566">
        <f t="shared" si="150"/>
        <v>0</v>
      </c>
      <c r="AB212" s="566">
        <f t="shared" si="151"/>
        <v>0</v>
      </c>
      <c r="AC212" s="566">
        <f t="shared" si="152"/>
        <v>0</v>
      </c>
      <c r="AD212" s="566">
        <f t="shared" si="153"/>
        <v>0</v>
      </c>
      <c r="AE212" s="566">
        <f t="shared" si="154"/>
        <v>0</v>
      </c>
      <c r="AF212" s="566">
        <f t="shared" si="155"/>
        <v>0</v>
      </c>
      <c r="AG212" s="573"/>
    </row>
    <row r="213" spans="1:33" customFormat="1" ht="25.15" hidden="1" customHeight="1">
      <c r="A213" s="671">
        <v>205</v>
      </c>
      <c r="B213" s="546"/>
      <c r="C213" s="678"/>
      <c r="D213" s="669"/>
      <c r="E213" s="670"/>
      <c r="F213" s="670"/>
      <c r="G213" s="670"/>
      <c r="H213" s="670"/>
      <c r="I213" s="670"/>
      <c r="J213" s="670"/>
      <c r="K213" s="670"/>
      <c r="L213" s="670"/>
      <c r="M213" s="670"/>
      <c r="N213" s="554">
        <f t="shared" si="143"/>
        <v>0</v>
      </c>
      <c r="O213" s="554">
        <f t="shared" si="144"/>
        <v>0</v>
      </c>
      <c r="P213" s="555" t="e">
        <f>(O213/O296)*100</f>
        <v>#DIV/0!</v>
      </c>
      <c r="Q213" s="570">
        <v>0.52</v>
      </c>
      <c r="R213" s="555" t="e">
        <f t="shared" si="145"/>
        <v>#DIV/0!</v>
      </c>
      <c r="S213" s="674"/>
      <c r="T213" s="569"/>
      <c r="U213" s="2569"/>
      <c r="W213" s="566">
        <f t="shared" si="146"/>
        <v>0</v>
      </c>
      <c r="X213" s="566">
        <f t="shared" si="147"/>
        <v>0</v>
      </c>
      <c r="Y213" s="566">
        <f t="shared" si="148"/>
        <v>0</v>
      </c>
      <c r="Z213" s="566">
        <f t="shared" si="149"/>
        <v>0</v>
      </c>
      <c r="AA213" s="566">
        <f t="shared" si="150"/>
        <v>0</v>
      </c>
      <c r="AB213" s="566">
        <f t="shared" si="151"/>
        <v>0</v>
      </c>
      <c r="AC213" s="566">
        <f t="shared" si="152"/>
        <v>0</v>
      </c>
      <c r="AD213" s="566">
        <f t="shared" si="153"/>
        <v>0</v>
      </c>
      <c r="AE213" s="566">
        <f t="shared" si="154"/>
        <v>0</v>
      </c>
      <c r="AF213" s="566">
        <f t="shared" si="155"/>
        <v>0</v>
      </c>
      <c r="AG213" s="573"/>
    </row>
    <row r="214" spans="1:33" customFormat="1" ht="25.15" hidden="1" customHeight="1">
      <c r="A214" s="671">
        <v>206</v>
      </c>
      <c r="B214" s="546"/>
      <c r="C214" s="678"/>
      <c r="D214" s="669"/>
      <c r="E214" s="670"/>
      <c r="F214" s="670"/>
      <c r="G214" s="670"/>
      <c r="H214" s="670"/>
      <c r="I214" s="670"/>
      <c r="J214" s="670"/>
      <c r="K214" s="670"/>
      <c r="L214" s="670"/>
      <c r="M214" s="670"/>
      <c r="N214" s="554">
        <f t="shared" si="143"/>
        <v>0</v>
      </c>
      <c r="O214" s="554">
        <f t="shared" si="144"/>
        <v>0</v>
      </c>
      <c r="P214" s="555" t="e">
        <f>(O214/O296)*100</f>
        <v>#DIV/0!</v>
      </c>
      <c r="Q214" s="570">
        <v>0.52</v>
      </c>
      <c r="R214" s="555" t="e">
        <f t="shared" si="145"/>
        <v>#DIV/0!</v>
      </c>
      <c r="S214" s="674"/>
      <c r="T214" s="569"/>
      <c r="U214" s="2569"/>
      <c r="W214" s="566">
        <f t="shared" si="146"/>
        <v>0</v>
      </c>
      <c r="X214" s="566">
        <f t="shared" si="147"/>
        <v>0</v>
      </c>
      <c r="Y214" s="566">
        <f t="shared" si="148"/>
        <v>0</v>
      </c>
      <c r="Z214" s="566">
        <f t="shared" si="149"/>
        <v>0</v>
      </c>
      <c r="AA214" s="566">
        <f t="shared" si="150"/>
        <v>0</v>
      </c>
      <c r="AB214" s="566">
        <f t="shared" si="151"/>
        <v>0</v>
      </c>
      <c r="AC214" s="566">
        <f t="shared" si="152"/>
        <v>0</v>
      </c>
      <c r="AD214" s="566">
        <f t="shared" si="153"/>
        <v>0</v>
      </c>
      <c r="AE214" s="566">
        <f t="shared" si="154"/>
        <v>0</v>
      </c>
      <c r="AF214" s="566">
        <f t="shared" si="155"/>
        <v>0</v>
      </c>
      <c r="AG214" s="573"/>
    </row>
    <row r="215" spans="1:33" customFormat="1" ht="25.15" hidden="1" customHeight="1">
      <c r="A215" s="671">
        <v>207</v>
      </c>
      <c r="B215" s="546"/>
      <c r="C215" s="678"/>
      <c r="D215" s="669"/>
      <c r="E215" s="670"/>
      <c r="F215" s="670"/>
      <c r="G215" s="670"/>
      <c r="H215" s="670"/>
      <c r="I215" s="670"/>
      <c r="J215" s="670"/>
      <c r="K215" s="670"/>
      <c r="L215" s="670"/>
      <c r="M215" s="670"/>
      <c r="N215" s="554">
        <f t="shared" si="143"/>
        <v>0</v>
      </c>
      <c r="O215" s="554">
        <f t="shared" si="144"/>
        <v>0</v>
      </c>
      <c r="P215" s="555" t="e">
        <f>(O215/O296)*100</f>
        <v>#DIV/0!</v>
      </c>
      <c r="Q215" s="570">
        <v>0.52</v>
      </c>
      <c r="R215" s="555" t="e">
        <f t="shared" si="145"/>
        <v>#DIV/0!</v>
      </c>
      <c r="S215" s="674"/>
      <c r="T215" s="569"/>
      <c r="U215" s="2569"/>
      <c r="W215" s="566">
        <f t="shared" si="146"/>
        <v>0</v>
      </c>
      <c r="X215" s="566">
        <f t="shared" si="147"/>
        <v>0</v>
      </c>
      <c r="Y215" s="566">
        <f t="shared" si="148"/>
        <v>0</v>
      </c>
      <c r="Z215" s="566">
        <f t="shared" si="149"/>
        <v>0</v>
      </c>
      <c r="AA215" s="566">
        <f t="shared" si="150"/>
        <v>0</v>
      </c>
      <c r="AB215" s="566">
        <f t="shared" si="151"/>
        <v>0</v>
      </c>
      <c r="AC215" s="566">
        <f t="shared" si="152"/>
        <v>0</v>
      </c>
      <c r="AD215" s="566">
        <f t="shared" si="153"/>
        <v>0</v>
      </c>
      <c r="AE215" s="566">
        <f t="shared" si="154"/>
        <v>0</v>
      </c>
      <c r="AF215" s="566">
        <f t="shared" si="155"/>
        <v>0</v>
      </c>
      <c r="AG215" s="573"/>
    </row>
    <row r="216" spans="1:33" customFormat="1" ht="25.15" hidden="1" customHeight="1">
      <c r="A216" s="671">
        <v>208</v>
      </c>
      <c r="B216" s="546"/>
      <c r="C216" s="678"/>
      <c r="D216" s="669"/>
      <c r="E216" s="670"/>
      <c r="F216" s="670"/>
      <c r="G216" s="670"/>
      <c r="H216" s="670"/>
      <c r="I216" s="670"/>
      <c r="J216" s="670"/>
      <c r="K216" s="670"/>
      <c r="L216" s="670"/>
      <c r="M216" s="670"/>
      <c r="N216" s="554">
        <f t="shared" si="143"/>
        <v>0</v>
      </c>
      <c r="O216" s="554">
        <f t="shared" si="144"/>
        <v>0</v>
      </c>
      <c r="P216" s="555" t="e">
        <f>(O216/O296)*100</f>
        <v>#DIV/0!</v>
      </c>
      <c r="Q216" s="570">
        <v>0.52</v>
      </c>
      <c r="R216" s="555" t="e">
        <f t="shared" si="145"/>
        <v>#DIV/0!</v>
      </c>
      <c r="S216" s="674"/>
      <c r="T216" s="569"/>
      <c r="U216" s="2569"/>
      <c r="W216" s="566">
        <f t="shared" si="146"/>
        <v>0</v>
      </c>
      <c r="X216" s="566">
        <f t="shared" si="147"/>
        <v>0</v>
      </c>
      <c r="Y216" s="566">
        <f t="shared" si="148"/>
        <v>0</v>
      </c>
      <c r="Z216" s="566">
        <f t="shared" si="149"/>
        <v>0</v>
      </c>
      <c r="AA216" s="566">
        <f t="shared" si="150"/>
        <v>0</v>
      </c>
      <c r="AB216" s="566">
        <f t="shared" si="151"/>
        <v>0</v>
      </c>
      <c r="AC216" s="566">
        <f t="shared" si="152"/>
        <v>0</v>
      </c>
      <c r="AD216" s="566">
        <f t="shared" si="153"/>
        <v>0</v>
      </c>
      <c r="AE216" s="566">
        <f t="shared" si="154"/>
        <v>0</v>
      </c>
      <c r="AF216" s="566">
        <f t="shared" si="155"/>
        <v>0</v>
      </c>
      <c r="AG216" s="573"/>
    </row>
    <row r="217" spans="1:33" customFormat="1" ht="25.15" hidden="1" customHeight="1">
      <c r="A217" s="671">
        <v>209</v>
      </c>
      <c r="B217" s="546"/>
      <c r="C217" s="678"/>
      <c r="D217" s="669"/>
      <c r="E217" s="670"/>
      <c r="F217" s="670"/>
      <c r="G217" s="670"/>
      <c r="H217" s="670"/>
      <c r="I217" s="670"/>
      <c r="J217" s="670"/>
      <c r="K217" s="670"/>
      <c r="L217" s="670"/>
      <c r="M217" s="670"/>
      <c r="N217" s="554">
        <f t="shared" si="143"/>
        <v>0</v>
      </c>
      <c r="O217" s="554">
        <f t="shared" si="144"/>
        <v>0</v>
      </c>
      <c r="P217" s="555" t="e">
        <f>(O217/O296)*100</f>
        <v>#DIV/0!</v>
      </c>
      <c r="Q217" s="570">
        <v>0.52</v>
      </c>
      <c r="R217" s="555" t="e">
        <f t="shared" si="145"/>
        <v>#DIV/0!</v>
      </c>
      <c r="S217" s="674"/>
      <c r="T217" s="569"/>
      <c r="U217" s="2569"/>
      <c r="W217" s="566">
        <f t="shared" si="146"/>
        <v>0</v>
      </c>
      <c r="X217" s="566">
        <f t="shared" si="147"/>
        <v>0</v>
      </c>
      <c r="Y217" s="566">
        <f t="shared" si="148"/>
        <v>0</v>
      </c>
      <c r="Z217" s="566">
        <f t="shared" si="149"/>
        <v>0</v>
      </c>
      <c r="AA217" s="566">
        <f t="shared" si="150"/>
        <v>0</v>
      </c>
      <c r="AB217" s="566">
        <f t="shared" si="151"/>
        <v>0</v>
      </c>
      <c r="AC217" s="566">
        <f t="shared" si="152"/>
        <v>0</v>
      </c>
      <c r="AD217" s="566">
        <f t="shared" si="153"/>
        <v>0</v>
      </c>
      <c r="AE217" s="566">
        <f t="shared" si="154"/>
        <v>0</v>
      </c>
      <c r="AF217" s="566">
        <f t="shared" si="155"/>
        <v>0</v>
      </c>
      <c r="AG217" s="573"/>
    </row>
    <row r="218" spans="1:33" ht="25.15" hidden="1" customHeight="1">
      <c r="A218" s="671">
        <v>210</v>
      </c>
      <c r="B218" s="546"/>
      <c r="C218" s="678"/>
      <c r="D218" s="669"/>
      <c r="E218" s="670"/>
      <c r="F218" s="670"/>
      <c r="G218" s="670"/>
      <c r="H218" s="670"/>
      <c r="I218" s="670"/>
      <c r="J218" s="670"/>
      <c r="K218" s="670"/>
      <c r="L218" s="670"/>
      <c r="M218" s="670"/>
      <c r="N218" s="554">
        <f t="shared" si="143"/>
        <v>0</v>
      </c>
      <c r="O218" s="554">
        <f t="shared" si="144"/>
        <v>0</v>
      </c>
      <c r="P218" s="555" t="e">
        <f>(O218/O296)*100</f>
        <v>#DIV/0!</v>
      </c>
      <c r="Q218" s="570">
        <v>0.52</v>
      </c>
      <c r="R218" s="555" t="e">
        <f t="shared" si="145"/>
        <v>#DIV/0!</v>
      </c>
      <c r="S218" s="674"/>
      <c r="T218" s="569"/>
      <c r="U218" s="2569"/>
      <c r="W218" s="566">
        <f t="shared" si="146"/>
        <v>0</v>
      </c>
      <c r="X218" s="566">
        <f t="shared" si="147"/>
        <v>0</v>
      </c>
      <c r="Y218" s="566">
        <f t="shared" si="148"/>
        <v>0</v>
      </c>
      <c r="Z218" s="566">
        <f t="shared" si="149"/>
        <v>0</v>
      </c>
      <c r="AA218" s="566">
        <f t="shared" si="150"/>
        <v>0</v>
      </c>
      <c r="AB218" s="566">
        <f t="shared" si="151"/>
        <v>0</v>
      </c>
      <c r="AC218" s="566">
        <f t="shared" si="152"/>
        <v>0</v>
      </c>
      <c r="AD218" s="566">
        <f t="shared" si="153"/>
        <v>0</v>
      </c>
      <c r="AE218" s="566">
        <f t="shared" si="154"/>
        <v>0</v>
      </c>
      <c r="AF218" s="566">
        <f t="shared" si="155"/>
        <v>0</v>
      </c>
      <c r="AG218" s="573"/>
    </row>
    <row r="219" spans="1:33" ht="25.15" hidden="1" customHeight="1">
      <c r="A219" s="671">
        <v>211</v>
      </c>
      <c r="B219" s="546"/>
      <c r="C219" s="678"/>
      <c r="D219" s="669"/>
      <c r="E219" s="670"/>
      <c r="F219" s="670"/>
      <c r="G219" s="670"/>
      <c r="H219" s="670"/>
      <c r="I219" s="670"/>
      <c r="J219" s="670"/>
      <c r="K219" s="670"/>
      <c r="L219" s="670"/>
      <c r="M219" s="670"/>
      <c r="N219" s="554">
        <f t="shared" si="143"/>
        <v>0</v>
      </c>
      <c r="O219" s="554">
        <f t="shared" si="144"/>
        <v>0</v>
      </c>
      <c r="P219" s="555" t="e">
        <f>(O219/O296)*100</f>
        <v>#DIV/0!</v>
      </c>
      <c r="Q219" s="570">
        <v>0.52</v>
      </c>
      <c r="R219" s="555" t="e">
        <f t="shared" si="145"/>
        <v>#DIV/0!</v>
      </c>
      <c r="S219" s="674"/>
      <c r="T219" s="569"/>
      <c r="U219" s="2569"/>
      <c r="W219" s="566">
        <f t="shared" si="146"/>
        <v>0</v>
      </c>
      <c r="X219" s="566">
        <f t="shared" si="147"/>
        <v>0</v>
      </c>
      <c r="Y219" s="566">
        <f t="shared" si="148"/>
        <v>0</v>
      </c>
      <c r="Z219" s="566">
        <f t="shared" si="149"/>
        <v>0</v>
      </c>
      <c r="AA219" s="566">
        <f t="shared" si="150"/>
        <v>0</v>
      </c>
      <c r="AB219" s="566">
        <f t="shared" si="151"/>
        <v>0</v>
      </c>
      <c r="AC219" s="566">
        <f t="shared" si="152"/>
        <v>0</v>
      </c>
      <c r="AD219" s="566">
        <f t="shared" si="153"/>
        <v>0</v>
      </c>
      <c r="AE219" s="566">
        <f t="shared" si="154"/>
        <v>0</v>
      </c>
      <c r="AF219" s="566">
        <f t="shared" si="155"/>
        <v>0</v>
      </c>
      <c r="AG219" s="573"/>
    </row>
    <row r="220" spans="1:33" ht="25.15" hidden="1" customHeight="1">
      <c r="A220" s="671">
        <v>212</v>
      </c>
      <c r="B220" s="546"/>
      <c r="C220" s="678"/>
      <c r="D220" s="669"/>
      <c r="E220" s="670"/>
      <c r="F220" s="670"/>
      <c r="G220" s="670"/>
      <c r="H220" s="670"/>
      <c r="I220" s="670"/>
      <c r="J220" s="670"/>
      <c r="K220" s="670"/>
      <c r="L220" s="670"/>
      <c r="M220" s="670"/>
      <c r="N220" s="554">
        <f t="shared" si="143"/>
        <v>0</v>
      </c>
      <c r="O220" s="554">
        <f t="shared" si="144"/>
        <v>0</v>
      </c>
      <c r="P220" s="555" t="e">
        <f>(O220/O296)*100</f>
        <v>#DIV/0!</v>
      </c>
      <c r="Q220" s="570">
        <v>0.52</v>
      </c>
      <c r="R220" s="555" t="e">
        <f t="shared" si="145"/>
        <v>#DIV/0!</v>
      </c>
      <c r="S220" s="674"/>
      <c r="T220" s="569"/>
      <c r="U220" s="2569"/>
      <c r="W220" s="566">
        <f t="shared" si="146"/>
        <v>0</v>
      </c>
      <c r="X220" s="566">
        <f t="shared" si="147"/>
        <v>0</v>
      </c>
      <c r="Y220" s="566">
        <f t="shared" si="148"/>
        <v>0</v>
      </c>
      <c r="Z220" s="566">
        <f t="shared" si="149"/>
        <v>0</v>
      </c>
      <c r="AA220" s="566">
        <f t="shared" si="150"/>
        <v>0</v>
      </c>
      <c r="AB220" s="566">
        <f t="shared" si="151"/>
        <v>0</v>
      </c>
      <c r="AC220" s="566">
        <f t="shared" si="152"/>
        <v>0</v>
      </c>
      <c r="AD220" s="566">
        <f t="shared" si="153"/>
        <v>0</v>
      </c>
      <c r="AE220" s="566">
        <f t="shared" si="154"/>
        <v>0</v>
      </c>
      <c r="AF220" s="566">
        <f t="shared" si="155"/>
        <v>0</v>
      </c>
      <c r="AG220" s="573"/>
    </row>
    <row r="221" spans="1:33" ht="25.15" hidden="1" customHeight="1">
      <c r="A221" s="671">
        <v>213</v>
      </c>
      <c r="B221" s="546"/>
      <c r="C221" s="678"/>
      <c r="D221" s="669"/>
      <c r="E221" s="670"/>
      <c r="F221" s="670"/>
      <c r="G221" s="670"/>
      <c r="H221" s="670"/>
      <c r="I221" s="670"/>
      <c r="J221" s="670"/>
      <c r="K221" s="670"/>
      <c r="L221" s="670"/>
      <c r="M221" s="670"/>
      <c r="N221" s="554">
        <f t="shared" si="143"/>
        <v>0</v>
      </c>
      <c r="O221" s="554">
        <f t="shared" si="144"/>
        <v>0</v>
      </c>
      <c r="P221" s="555" t="e">
        <f>(O221/O296)*100</f>
        <v>#DIV/0!</v>
      </c>
      <c r="Q221" s="570">
        <v>0.52</v>
      </c>
      <c r="R221" s="555" t="e">
        <f t="shared" si="145"/>
        <v>#DIV/0!</v>
      </c>
      <c r="S221" s="674"/>
      <c r="T221" s="569"/>
      <c r="U221" s="2569"/>
      <c r="W221" s="566">
        <f t="shared" si="146"/>
        <v>0</v>
      </c>
      <c r="X221" s="566">
        <f t="shared" si="147"/>
        <v>0</v>
      </c>
      <c r="Y221" s="566">
        <f t="shared" si="148"/>
        <v>0</v>
      </c>
      <c r="Z221" s="566">
        <f t="shared" si="149"/>
        <v>0</v>
      </c>
      <c r="AA221" s="566">
        <f t="shared" si="150"/>
        <v>0</v>
      </c>
      <c r="AB221" s="566">
        <f t="shared" si="151"/>
        <v>0</v>
      </c>
      <c r="AC221" s="566">
        <f t="shared" si="152"/>
        <v>0</v>
      </c>
      <c r="AD221" s="566">
        <f t="shared" si="153"/>
        <v>0</v>
      </c>
      <c r="AE221" s="566">
        <f t="shared" si="154"/>
        <v>0</v>
      </c>
      <c r="AF221" s="566">
        <f t="shared" si="155"/>
        <v>0</v>
      </c>
      <c r="AG221" s="573"/>
    </row>
    <row r="222" spans="1:33" ht="25.15" hidden="1" customHeight="1">
      <c r="A222" s="671">
        <v>214</v>
      </c>
      <c r="B222" s="546"/>
      <c r="C222" s="678"/>
      <c r="D222" s="669"/>
      <c r="E222" s="670"/>
      <c r="F222" s="670"/>
      <c r="G222" s="670"/>
      <c r="H222" s="670"/>
      <c r="I222" s="670"/>
      <c r="J222" s="670"/>
      <c r="K222" s="670"/>
      <c r="L222" s="670"/>
      <c r="M222" s="670"/>
      <c r="N222" s="554">
        <f t="shared" si="143"/>
        <v>0</v>
      </c>
      <c r="O222" s="554">
        <f t="shared" si="144"/>
        <v>0</v>
      </c>
      <c r="P222" s="555" t="e">
        <f>(O222/O296)*100</f>
        <v>#DIV/0!</v>
      </c>
      <c r="Q222" s="570">
        <v>0.52</v>
      </c>
      <c r="R222" s="555" t="e">
        <f t="shared" si="145"/>
        <v>#DIV/0!</v>
      </c>
      <c r="S222" s="674"/>
      <c r="T222" s="569"/>
      <c r="U222" s="2569"/>
      <c r="W222" s="566">
        <f t="shared" si="146"/>
        <v>0</v>
      </c>
      <c r="X222" s="566">
        <f t="shared" si="147"/>
        <v>0</v>
      </c>
      <c r="Y222" s="566">
        <f t="shared" si="148"/>
        <v>0</v>
      </c>
      <c r="Z222" s="566">
        <f t="shared" si="149"/>
        <v>0</v>
      </c>
      <c r="AA222" s="566">
        <f t="shared" si="150"/>
        <v>0</v>
      </c>
      <c r="AB222" s="566">
        <f t="shared" si="151"/>
        <v>0</v>
      </c>
      <c r="AC222" s="566">
        <f t="shared" si="152"/>
        <v>0</v>
      </c>
      <c r="AD222" s="566">
        <f t="shared" si="153"/>
        <v>0</v>
      </c>
      <c r="AE222" s="566">
        <f t="shared" si="154"/>
        <v>0</v>
      </c>
      <c r="AF222" s="566">
        <f t="shared" si="155"/>
        <v>0</v>
      </c>
      <c r="AG222" s="573"/>
    </row>
    <row r="223" spans="1:33" ht="25.15" hidden="1" customHeight="1">
      <c r="A223" s="671">
        <v>215</v>
      </c>
      <c r="B223" s="546"/>
      <c r="C223" s="678"/>
      <c r="D223" s="669"/>
      <c r="E223" s="670"/>
      <c r="F223" s="670"/>
      <c r="G223" s="670"/>
      <c r="H223" s="670"/>
      <c r="I223" s="670"/>
      <c r="J223" s="670"/>
      <c r="K223" s="670"/>
      <c r="L223" s="670"/>
      <c r="M223" s="670"/>
      <c r="N223" s="554">
        <f t="shared" si="143"/>
        <v>0</v>
      </c>
      <c r="O223" s="554">
        <f t="shared" si="144"/>
        <v>0</v>
      </c>
      <c r="P223" s="555" t="e">
        <f>(O223/O296)*100</f>
        <v>#DIV/0!</v>
      </c>
      <c r="Q223" s="570">
        <v>0.52</v>
      </c>
      <c r="R223" s="555" t="e">
        <f t="shared" si="145"/>
        <v>#DIV/0!</v>
      </c>
      <c r="S223" s="674"/>
      <c r="T223" s="569"/>
      <c r="U223" s="2569"/>
      <c r="W223" s="566">
        <f t="shared" si="146"/>
        <v>0</v>
      </c>
      <c r="X223" s="566">
        <f t="shared" si="147"/>
        <v>0</v>
      </c>
      <c r="Y223" s="566">
        <f t="shared" si="148"/>
        <v>0</v>
      </c>
      <c r="Z223" s="566">
        <f t="shared" si="149"/>
        <v>0</v>
      </c>
      <c r="AA223" s="566">
        <f t="shared" si="150"/>
        <v>0</v>
      </c>
      <c r="AB223" s="566">
        <f t="shared" si="151"/>
        <v>0</v>
      </c>
      <c r="AC223" s="566">
        <f t="shared" si="152"/>
        <v>0</v>
      </c>
      <c r="AD223" s="566">
        <f t="shared" si="153"/>
        <v>0</v>
      </c>
      <c r="AE223" s="566">
        <f t="shared" si="154"/>
        <v>0</v>
      </c>
      <c r="AF223" s="566">
        <f t="shared" si="155"/>
        <v>0</v>
      </c>
      <c r="AG223" s="573"/>
    </row>
    <row r="224" spans="1:33" ht="25.15" hidden="1" customHeight="1">
      <c r="A224" s="671">
        <v>216</v>
      </c>
      <c r="B224" s="546"/>
      <c r="C224" s="678"/>
      <c r="D224" s="669"/>
      <c r="E224" s="670"/>
      <c r="F224" s="670"/>
      <c r="G224" s="670"/>
      <c r="H224" s="670"/>
      <c r="I224" s="670"/>
      <c r="J224" s="670"/>
      <c r="K224" s="670"/>
      <c r="L224" s="670"/>
      <c r="M224" s="670"/>
      <c r="N224" s="554">
        <f t="shared" si="143"/>
        <v>0</v>
      </c>
      <c r="O224" s="554">
        <f t="shared" si="144"/>
        <v>0</v>
      </c>
      <c r="P224" s="555" t="e">
        <f>(O224/O296)*100</f>
        <v>#DIV/0!</v>
      </c>
      <c r="Q224" s="570">
        <v>0.52</v>
      </c>
      <c r="R224" s="555" t="e">
        <f t="shared" si="145"/>
        <v>#DIV/0!</v>
      </c>
      <c r="S224" s="674"/>
      <c r="T224" s="569"/>
      <c r="U224" s="2569"/>
      <c r="W224" s="566">
        <f t="shared" si="146"/>
        <v>0</v>
      </c>
      <c r="X224" s="566">
        <f t="shared" si="147"/>
        <v>0</v>
      </c>
      <c r="Y224" s="566">
        <f t="shared" si="148"/>
        <v>0</v>
      </c>
      <c r="Z224" s="566">
        <f t="shared" si="149"/>
        <v>0</v>
      </c>
      <c r="AA224" s="566">
        <f t="shared" si="150"/>
        <v>0</v>
      </c>
      <c r="AB224" s="566">
        <f t="shared" si="151"/>
        <v>0</v>
      </c>
      <c r="AC224" s="566">
        <f t="shared" si="152"/>
        <v>0</v>
      </c>
      <c r="AD224" s="566">
        <f t="shared" si="153"/>
        <v>0</v>
      </c>
      <c r="AE224" s="566">
        <f t="shared" si="154"/>
        <v>0</v>
      </c>
      <c r="AF224" s="566">
        <f t="shared" si="155"/>
        <v>0</v>
      </c>
      <c r="AG224" s="573"/>
    </row>
    <row r="225" spans="1:33" ht="25.15" hidden="1" customHeight="1">
      <c r="A225" s="671">
        <v>217</v>
      </c>
      <c r="B225" s="546"/>
      <c r="C225" s="678"/>
      <c r="D225" s="669"/>
      <c r="E225" s="670"/>
      <c r="F225" s="670"/>
      <c r="G225" s="670"/>
      <c r="H225" s="670"/>
      <c r="I225" s="670"/>
      <c r="J225" s="670"/>
      <c r="K225" s="670"/>
      <c r="L225" s="670"/>
      <c r="M225" s="670"/>
      <c r="N225" s="554">
        <f t="shared" si="143"/>
        <v>0</v>
      </c>
      <c r="O225" s="554">
        <f t="shared" si="144"/>
        <v>0</v>
      </c>
      <c r="P225" s="555" t="e">
        <f>(O225/O296)*100</f>
        <v>#DIV/0!</v>
      </c>
      <c r="Q225" s="570">
        <v>0.52</v>
      </c>
      <c r="R225" s="555" t="e">
        <f t="shared" si="145"/>
        <v>#DIV/0!</v>
      </c>
      <c r="S225" s="674"/>
      <c r="T225" s="569"/>
      <c r="U225" s="2569"/>
      <c r="W225" s="566">
        <f t="shared" si="146"/>
        <v>0</v>
      </c>
      <c r="X225" s="566">
        <f t="shared" si="147"/>
        <v>0</v>
      </c>
      <c r="Y225" s="566">
        <f t="shared" si="148"/>
        <v>0</v>
      </c>
      <c r="Z225" s="566">
        <f t="shared" si="149"/>
        <v>0</v>
      </c>
      <c r="AA225" s="566">
        <f t="shared" si="150"/>
        <v>0</v>
      </c>
      <c r="AB225" s="566">
        <f t="shared" si="151"/>
        <v>0</v>
      </c>
      <c r="AC225" s="566">
        <f t="shared" si="152"/>
        <v>0</v>
      </c>
      <c r="AD225" s="566">
        <f t="shared" si="153"/>
        <v>0</v>
      </c>
      <c r="AE225" s="566">
        <f t="shared" si="154"/>
        <v>0</v>
      </c>
      <c r="AF225" s="566">
        <f t="shared" si="155"/>
        <v>0</v>
      </c>
      <c r="AG225" s="573"/>
    </row>
    <row r="226" spans="1:33" ht="25.15" hidden="1" customHeight="1">
      <c r="A226" s="671">
        <v>218</v>
      </c>
      <c r="B226" s="546"/>
      <c r="C226" s="678"/>
      <c r="D226" s="669"/>
      <c r="E226" s="670"/>
      <c r="F226" s="670"/>
      <c r="G226" s="670"/>
      <c r="H226" s="670"/>
      <c r="I226" s="670"/>
      <c r="J226" s="670"/>
      <c r="K226" s="670"/>
      <c r="L226" s="670"/>
      <c r="M226" s="670"/>
      <c r="N226" s="554">
        <f t="shared" si="143"/>
        <v>0</v>
      </c>
      <c r="O226" s="554">
        <f t="shared" si="144"/>
        <v>0</v>
      </c>
      <c r="P226" s="555" t="e">
        <f>(O226/O296)*100</f>
        <v>#DIV/0!</v>
      </c>
      <c r="Q226" s="570">
        <v>0.52</v>
      </c>
      <c r="R226" s="555" t="e">
        <f t="shared" si="145"/>
        <v>#DIV/0!</v>
      </c>
      <c r="S226" s="674"/>
      <c r="T226" s="569"/>
      <c r="U226" s="2569"/>
      <c r="W226" s="566">
        <f t="shared" si="146"/>
        <v>0</v>
      </c>
      <c r="X226" s="566">
        <f t="shared" si="147"/>
        <v>0</v>
      </c>
      <c r="Y226" s="566">
        <f t="shared" si="148"/>
        <v>0</v>
      </c>
      <c r="Z226" s="566">
        <f t="shared" si="149"/>
        <v>0</v>
      </c>
      <c r="AA226" s="566">
        <f t="shared" si="150"/>
        <v>0</v>
      </c>
      <c r="AB226" s="566">
        <f t="shared" si="151"/>
        <v>0</v>
      </c>
      <c r="AC226" s="566">
        <f t="shared" si="152"/>
        <v>0</v>
      </c>
      <c r="AD226" s="566">
        <f t="shared" si="153"/>
        <v>0</v>
      </c>
      <c r="AE226" s="566">
        <f t="shared" si="154"/>
        <v>0</v>
      </c>
      <c r="AF226" s="566">
        <f t="shared" si="155"/>
        <v>0</v>
      </c>
      <c r="AG226" s="573"/>
    </row>
    <row r="227" spans="1:33" ht="25.15" hidden="1" customHeight="1">
      <c r="A227" s="671">
        <v>219</v>
      </c>
      <c r="B227" s="546"/>
      <c r="C227" s="678"/>
      <c r="D227" s="669"/>
      <c r="E227" s="670"/>
      <c r="F227" s="670"/>
      <c r="G227" s="670"/>
      <c r="H227" s="670"/>
      <c r="I227" s="670"/>
      <c r="J227" s="670"/>
      <c r="K227" s="670"/>
      <c r="L227" s="670"/>
      <c r="M227" s="670"/>
      <c r="N227" s="554">
        <f t="shared" si="143"/>
        <v>0</v>
      </c>
      <c r="O227" s="554">
        <f t="shared" si="144"/>
        <v>0</v>
      </c>
      <c r="P227" s="555" t="e">
        <f>(O227/O296)*100</f>
        <v>#DIV/0!</v>
      </c>
      <c r="Q227" s="570">
        <v>0.52</v>
      </c>
      <c r="R227" s="555" t="e">
        <f t="shared" si="145"/>
        <v>#DIV/0!</v>
      </c>
      <c r="S227" s="674"/>
      <c r="T227" s="569"/>
      <c r="U227" s="2569"/>
      <c r="W227" s="566">
        <f t="shared" si="146"/>
        <v>0</v>
      </c>
      <c r="X227" s="566">
        <f t="shared" si="147"/>
        <v>0</v>
      </c>
      <c r="Y227" s="566">
        <f t="shared" si="148"/>
        <v>0</v>
      </c>
      <c r="Z227" s="566">
        <f t="shared" si="149"/>
        <v>0</v>
      </c>
      <c r="AA227" s="566">
        <f t="shared" si="150"/>
        <v>0</v>
      </c>
      <c r="AB227" s="566">
        <f t="shared" si="151"/>
        <v>0</v>
      </c>
      <c r="AC227" s="566">
        <f t="shared" si="152"/>
        <v>0</v>
      </c>
      <c r="AD227" s="566">
        <f t="shared" si="153"/>
        <v>0</v>
      </c>
      <c r="AE227" s="566">
        <f t="shared" si="154"/>
        <v>0</v>
      </c>
      <c r="AF227" s="566">
        <f t="shared" si="155"/>
        <v>0</v>
      </c>
      <c r="AG227" s="573"/>
    </row>
    <row r="228" spans="1:33" ht="25.15" hidden="1" customHeight="1">
      <c r="A228" s="671">
        <v>220</v>
      </c>
      <c r="B228" s="546"/>
      <c r="C228" s="678"/>
      <c r="D228" s="669"/>
      <c r="E228" s="670"/>
      <c r="F228" s="670"/>
      <c r="G228" s="670"/>
      <c r="H228" s="670"/>
      <c r="I228" s="670"/>
      <c r="J228" s="670"/>
      <c r="K228" s="670"/>
      <c r="L228" s="670"/>
      <c r="M228" s="670"/>
      <c r="N228" s="554">
        <f t="shared" si="143"/>
        <v>0</v>
      </c>
      <c r="O228" s="554">
        <f t="shared" si="144"/>
        <v>0</v>
      </c>
      <c r="P228" s="555" t="e">
        <f>(O228/O296)*100</f>
        <v>#DIV/0!</v>
      </c>
      <c r="Q228" s="570">
        <v>0.52</v>
      </c>
      <c r="R228" s="555" t="e">
        <f t="shared" si="145"/>
        <v>#DIV/0!</v>
      </c>
      <c r="S228" s="674"/>
      <c r="T228" s="569"/>
      <c r="U228" s="2569"/>
      <c r="W228" s="566">
        <f t="shared" si="146"/>
        <v>0</v>
      </c>
      <c r="X228" s="566">
        <f t="shared" si="147"/>
        <v>0</v>
      </c>
      <c r="Y228" s="566">
        <f t="shared" si="148"/>
        <v>0</v>
      </c>
      <c r="Z228" s="566">
        <f t="shared" si="149"/>
        <v>0</v>
      </c>
      <c r="AA228" s="566">
        <f t="shared" si="150"/>
        <v>0</v>
      </c>
      <c r="AB228" s="566">
        <f t="shared" si="151"/>
        <v>0</v>
      </c>
      <c r="AC228" s="566">
        <f t="shared" si="152"/>
        <v>0</v>
      </c>
      <c r="AD228" s="566">
        <f t="shared" si="153"/>
        <v>0</v>
      </c>
      <c r="AE228" s="566">
        <f t="shared" si="154"/>
        <v>0</v>
      </c>
      <c r="AF228" s="566">
        <f t="shared" si="155"/>
        <v>0</v>
      </c>
      <c r="AG228" s="573"/>
    </row>
    <row r="229" spans="1:33" ht="25.15" hidden="1" customHeight="1">
      <c r="A229" s="671">
        <v>221</v>
      </c>
      <c r="B229" s="546"/>
      <c r="C229" s="678"/>
      <c r="D229" s="669"/>
      <c r="E229" s="670"/>
      <c r="F229" s="670"/>
      <c r="G229" s="670"/>
      <c r="H229" s="670"/>
      <c r="I229" s="670"/>
      <c r="J229" s="670"/>
      <c r="K229" s="670"/>
      <c r="L229" s="670"/>
      <c r="M229" s="670"/>
      <c r="N229" s="554">
        <f t="shared" si="143"/>
        <v>0</v>
      </c>
      <c r="O229" s="554">
        <f t="shared" si="144"/>
        <v>0</v>
      </c>
      <c r="P229" s="555" t="e">
        <f>(O229/O296)*100</f>
        <v>#DIV/0!</v>
      </c>
      <c r="Q229" s="570">
        <v>0.52</v>
      </c>
      <c r="R229" s="555" t="e">
        <f t="shared" si="145"/>
        <v>#DIV/0!</v>
      </c>
      <c r="S229" s="674"/>
      <c r="T229" s="569"/>
      <c r="U229" s="2569"/>
      <c r="W229" s="566">
        <f t="shared" si="146"/>
        <v>0</v>
      </c>
      <c r="X229" s="566">
        <f t="shared" si="147"/>
        <v>0</v>
      </c>
      <c r="Y229" s="566">
        <f t="shared" si="148"/>
        <v>0</v>
      </c>
      <c r="Z229" s="566">
        <f t="shared" si="149"/>
        <v>0</v>
      </c>
      <c r="AA229" s="566">
        <f t="shared" si="150"/>
        <v>0</v>
      </c>
      <c r="AB229" s="566">
        <f t="shared" si="151"/>
        <v>0</v>
      </c>
      <c r="AC229" s="566">
        <f t="shared" si="152"/>
        <v>0</v>
      </c>
      <c r="AD229" s="566">
        <f t="shared" si="153"/>
        <v>0</v>
      </c>
      <c r="AE229" s="566">
        <f t="shared" si="154"/>
        <v>0</v>
      </c>
      <c r="AF229" s="566">
        <f t="shared" si="155"/>
        <v>0</v>
      </c>
      <c r="AG229" s="573"/>
    </row>
    <row r="230" spans="1:33" ht="25.15" hidden="1" customHeight="1">
      <c r="A230" s="671">
        <v>222</v>
      </c>
      <c r="B230" s="546"/>
      <c r="C230" s="678"/>
      <c r="D230" s="669"/>
      <c r="E230" s="670"/>
      <c r="F230" s="670"/>
      <c r="G230" s="670"/>
      <c r="H230" s="670"/>
      <c r="I230" s="670"/>
      <c r="J230" s="670"/>
      <c r="K230" s="670"/>
      <c r="L230" s="670"/>
      <c r="M230" s="670"/>
      <c r="N230" s="554">
        <f t="shared" si="143"/>
        <v>0</v>
      </c>
      <c r="O230" s="554">
        <f t="shared" si="144"/>
        <v>0</v>
      </c>
      <c r="P230" s="555" t="e">
        <f>(O230/O296)*100</f>
        <v>#DIV/0!</v>
      </c>
      <c r="Q230" s="570">
        <v>0.52</v>
      </c>
      <c r="R230" s="555" t="e">
        <f t="shared" si="145"/>
        <v>#DIV/0!</v>
      </c>
      <c r="S230" s="674"/>
      <c r="T230" s="569"/>
      <c r="U230" s="2569"/>
      <c r="W230" s="566">
        <f t="shared" si="146"/>
        <v>0</v>
      </c>
      <c r="X230" s="566">
        <f t="shared" si="147"/>
        <v>0</v>
      </c>
      <c r="Y230" s="566">
        <f t="shared" si="148"/>
        <v>0</v>
      </c>
      <c r="Z230" s="566">
        <f t="shared" si="149"/>
        <v>0</v>
      </c>
      <c r="AA230" s="566">
        <f t="shared" si="150"/>
        <v>0</v>
      </c>
      <c r="AB230" s="566">
        <f t="shared" si="151"/>
        <v>0</v>
      </c>
      <c r="AC230" s="566">
        <f t="shared" si="152"/>
        <v>0</v>
      </c>
      <c r="AD230" s="566">
        <f t="shared" si="153"/>
        <v>0</v>
      </c>
      <c r="AE230" s="566">
        <f t="shared" si="154"/>
        <v>0</v>
      </c>
      <c r="AF230" s="566">
        <f t="shared" si="155"/>
        <v>0</v>
      </c>
      <c r="AG230" s="573"/>
    </row>
    <row r="231" spans="1:33" ht="25.15" hidden="1" customHeight="1">
      <c r="A231" s="671">
        <v>223</v>
      </c>
      <c r="B231" s="546"/>
      <c r="C231" s="678"/>
      <c r="D231" s="669"/>
      <c r="E231" s="670"/>
      <c r="F231" s="670"/>
      <c r="G231" s="670"/>
      <c r="H231" s="670"/>
      <c r="I231" s="670"/>
      <c r="J231" s="670"/>
      <c r="K231" s="670"/>
      <c r="L231" s="670"/>
      <c r="M231" s="670"/>
      <c r="N231" s="554">
        <f t="shared" si="143"/>
        <v>0</v>
      </c>
      <c r="O231" s="554">
        <f t="shared" si="144"/>
        <v>0</v>
      </c>
      <c r="P231" s="555" t="e">
        <f>(O231/O296)*100</f>
        <v>#DIV/0!</v>
      </c>
      <c r="Q231" s="570">
        <v>0.52</v>
      </c>
      <c r="R231" s="555" t="e">
        <f t="shared" si="145"/>
        <v>#DIV/0!</v>
      </c>
      <c r="S231" s="674"/>
      <c r="T231" s="569"/>
      <c r="U231" s="2569"/>
      <c r="W231" s="566">
        <f t="shared" si="146"/>
        <v>0</v>
      </c>
      <c r="X231" s="566">
        <f t="shared" si="147"/>
        <v>0</v>
      </c>
      <c r="Y231" s="566">
        <f t="shared" si="148"/>
        <v>0</v>
      </c>
      <c r="Z231" s="566">
        <f t="shared" si="149"/>
        <v>0</v>
      </c>
      <c r="AA231" s="566">
        <f t="shared" si="150"/>
        <v>0</v>
      </c>
      <c r="AB231" s="566">
        <f t="shared" si="151"/>
        <v>0</v>
      </c>
      <c r="AC231" s="566">
        <f t="shared" si="152"/>
        <v>0</v>
      </c>
      <c r="AD231" s="566">
        <f t="shared" si="153"/>
        <v>0</v>
      </c>
      <c r="AE231" s="566">
        <f t="shared" si="154"/>
        <v>0</v>
      </c>
      <c r="AF231" s="566">
        <f t="shared" si="155"/>
        <v>0</v>
      </c>
      <c r="AG231" s="573"/>
    </row>
    <row r="232" spans="1:33" ht="25.15" hidden="1" customHeight="1">
      <c r="A232" s="671">
        <v>224</v>
      </c>
      <c r="B232" s="546"/>
      <c r="C232" s="678"/>
      <c r="D232" s="669"/>
      <c r="E232" s="670"/>
      <c r="F232" s="670"/>
      <c r="G232" s="670"/>
      <c r="H232" s="670"/>
      <c r="I232" s="670"/>
      <c r="J232" s="670"/>
      <c r="K232" s="670"/>
      <c r="L232" s="670"/>
      <c r="M232" s="670"/>
      <c r="N232" s="554">
        <f t="shared" si="143"/>
        <v>0</v>
      </c>
      <c r="O232" s="554">
        <f t="shared" si="144"/>
        <v>0</v>
      </c>
      <c r="P232" s="555" t="e">
        <f>(O232/O296)*100</f>
        <v>#DIV/0!</v>
      </c>
      <c r="Q232" s="570">
        <v>0.52</v>
      </c>
      <c r="R232" s="555" t="e">
        <f t="shared" si="145"/>
        <v>#DIV/0!</v>
      </c>
      <c r="S232" s="674"/>
      <c r="T232" s="569"/>
      <c r="U232" s="2569"/>
      <c r="W232" s="566">
        <f t="shared" si="146"/>
        <v>0</v>
      </c>
      <c r="X232" s="566">
        <f t="shared" si="147"/>
        <v>0</v>
      </c>
      <c r="Y232" s="566">
        <f t="shared" si="148"/>
        <v>0</v>
      </c>
      <c r="Z232" s="566">
        <f t="shared" si="149"/>
        <v>0</v>
      </c>
      <c r="AA232" s="566">
        <f t="shared" si="150"/>
        <v>0</v>
      </c>
      <c r="AB232" s="566">
        <f t="shared" si="151"/>
        <v>0</v>
      </c>
      <c r="AC232" s="566">
        <f t="shared" si="152"/>
        <v>0</v>
      </c>
      <c r="AD232" s="566">
        <f t="shared" si="153"/>
        <v>0</v>
      </c>
      <c r="AE232" s="566">
        <f t="shared" si="154"/>
        <v>0</v>
      </c>
      <c r="AF232" s="566">
        <f t="shared" si="155"/>
        <v>0</v>
      </c>
      <c r="AG232" s="573"/>
    </row>
    <row r="233" spans="1:33" ht="25.15" hidden="1" customHeight="1">
      <c r="A233" s="671">
        <v>225</v>
      </c>
      <c r="B233" s="546"/>
      <c r="C233" s="678"/>
      <c r="D233" s="669"/>
      <c r="E233" s="670"/>
      <c r="F233" s="670"/>
      <c r="G233" s="670"/>
      <c r="H233" s="670"/>
      <c r="I233" s="670"/>
      <c r="J233" s="670"/>
      <c r="K233" s="670"/>
      <c r="L233" s="670"/>
      <c r="M233" s="670"/>
      <c r="N233" s="554">
        <f t="shared" si="143"/>
        <v>0</v>
      </c>
      <c r="O233" s="554">
        <f t="shared" si="144"/>
        <v>0</v>
      </c>
      <c r="P233" s="555" t="e">
        <f>(O233/O296)*100</f>
        <v>#DIV/0!</v>
      </c>
      <c r="Q233" s="570">
        <v>0.52</v>
      </c>
      <c r="R233" s="555" t="e">
        <f t="shared" si="145"/>
        <v>#DIV/0!</v>
      </c>
      <c r="S233" s="674"/>
      <c r="T233" s="569"/>
      <c r="U233" s="2569"/>
      <c r="W233" s="566">
        <f t="shared" si="146"/>
        <v>0</v>
      </c>
      <c r="X233" s="566">
        <f t="shared" si="147"/>
        <v>0</v>
      </c>
      <c r="Y233" s="566">
        <f t="shared" si="148"/>
        <v>0</v>
      </c>
      <c r="Z233" s="566">
        <f t="shared" si="149"/>
        <v>0</v>
      </c>
      <c r="AA233" s="566">
        <f t="shared" si="150"/>
        <v>0</v>
      </c>
      <c r="AB233" s="566">
        <f t="shared" si="151"/>
        <v>0</v>
      </c>
      <c r="AC233" s="566">
        <f t="shared" si="152"/>
        <v>0</v>
      </c>
      <c r="AD233" s="566">
        <f t="shared" si="153"/>
        <v>0</v>
      </c>
      <c r="AE233" s="566">
        <f t="shared" si="154"/>
        <v>0</v>
      </c>
      <c r="AF233" s="566">
        <f t="shared" si="155"/>
        <v>0</v>
      </c>
      <c r="AG233" s="573"/>
    </row>
    <row r="234" spans="1:33" ht="25.15" hidden="1" customHeight="1">
      <c r="A234" s="671">
        <v>226</v>
      </c>
      <c r="B234" s="546"/>
      <c r="C234" s="678"/>
      <c r="D234" s="669"/>
      <c r="E234" s="670"/>
      <c r="F234" s="670"/>
      <c r="G234" s="670"/>
      <c r="H234" s="670"/>
      <c r="I234" s="670"/>
      <c r="J234" s="670"/>
      <c r="K234" s="670"/>
      <c r="L234" s="670"/>
      <c r="M234" s="670"/>
      <c r="N234" s="554">
        <f t="shared" si="143"/>
        <v>0</v>
      </c>
      <c r="O234" s="554">
        <f t="shared" si="144"/>
        <v>0</v>
      </c>
      <c r="P234" s="555" t="e">
        <f>(O234/O296)*100</f>
        <v>#DIV/0!</v>
      </c>
      <c r="Q234" s="570">
        <v>0.52</v>
      </c>
      <c r="R234" s="555" t="e">
        <f t="shared" si="145"/>
        <v>#DIV/0!</v>
      </c>
      <c r="S234" s="674"/>
      <c r="T234" s="569"/>
      <c r="U234" s="2569"/>
      <c r="W234" s="566">
        <f t="shared" si="146"/>
        <v>0</v>
      </c>
      <c r="X234" s="566">
        <f t="shared" si="147"/>
        <v>0</v>
      </c>
      <c r="Y234" s="566">
        <f t="shared" si="148"/>
        <v>0</v>
      </c>
      <c r="Z234" s="566">
        <f t="shared" si="149"/>
        <v>0</v>
      </c>
      <c r="AA234" s="566">
        <f t="shared" si="150"/>
        <v>0</v>
      </c>
      <c r="AB234" s="566">
        <f t="shared" si="151"/>
        <v>0</v>
      </c>
      <c r="AC234" s="566">
        <f t="shared" si="152"/>
        <v>0</v>
      </c>
      <c r="AD234" s="566">
        <f t="shared" si="153"/>
        <v>0</v>
      </c>
      <c r="AE234" s="566">
        <f t="shared" si="154"/>
        <v>0</v>
      </c>
      <c r="AF234" s="566">
        <f t="shared" si="155"/>
        <v>0</v>
      </c>
      <c r="AG234" s="573"/>
    </row>
    <row r="235" spans="1:33" ht="25.15" hidden="1" customHeight="1">
      <c r="A235" s="671">
        <v>227</v>
      </c>
      <c r="B235" s="546"/>
      <c r="C235" s="678"/>
      <c r="D235" s="669"/>
      <c r="E235" s="670"/>
      <c r="F235" s="670"/>
      <c r="G235" s="670"/>
      <c r="H235" s="670"/>
      <c r="I235" s="670"/>
      <c r="J235" s="670"/>
      <c r="K235" s="670"/>
      <c r="L235" s="670"/>
      <c r="M235" s="670"/>
      <c r="N235" s="554">
        <f t="shared" si="143"/>
        <v>0</v>
      </c>
      <c r="O235" s="554">
        <f t="shared" si="144"/>
        <v>0</v>
      </c>
      <c r="P235" s="555" t="e">
        <f>(O235/O296)*100</f>
        <v>#DIV/0!</v>
      </c>
      <c r="Q235" s="570">
        <v>0.52</v>
      </c>
      <c r="R235" s="555" t="e">
        <f t="shared" si="145"/>
        <v>#DIV/0!</v>
      </c>
      <c r="S235" s="674"/>
      <c r="T235" s="569"/>
      <c r="U235" s="2569"/>
      <c r="W235" s="566">
        <f t="shared" si="146"/>
        <v>0</v>
      </c>
      <c r="X235" s="566">
        <f t="shared" si="147"/>
        <v>0</v>
      </c>
      <c r="Y235" s="566">
        <f t="shared" si="148"/>
        <v>0</v>
      </c>
      <c r="Z235" s="566">
        <f t="shared" si="149"/>
        <v>0</v>
      </c>
      <c r="AA235" s="566">
        <f t="shared" si="150"/>
        <v>0</v>
      </c>
      <c r="AB235" s="566">
        <f t="shared" si="151"/>
        <v>0</v>
      </c>
      <c r="AC235" s="566">
        <f t="shared" si="152"/>
        <v>0</v>
      </c>
      <c r="AD235" s="566">
        <f t="shared" si="153"/>
        <v>0</v>
      </c>
      <c r="AE235" s="566">
        <f t="shared" si="154"/>
        <v>0</v>
      </c>
      <c r="AF235" s="566">
        <f t="shared" si="155"/>
        <v>0</v>
      </c>
      <c r="AG235" s="573"/>
    </row>
    <row r="236" spans="1:33" ht="25.15" hidden="1" customHeight="1">
      <c r="A236" s="671">
        <v>228</v>
      </c>
      <c r="B236" s="546"/>
      <c r="C236" s="678"/>
      <c r="D236" s="669"/>
      <c r="E236" s="670"/>
      <c r="F236" s="670"/>
      <c r="G236" s="670"/>
      <c r="H236" s="670"/>
      <c r="I236" s="670"/>
      <c r="J236" s="670"/>
      <c r="K236" s="670"/>
      <c r="L236" s="670"/>
      <c r="M236" s="670"/>
      <c r="N236" s="554">
        <f t="shared" si="143"/>
        <v>0</v>
      </c>
      <c r="O236" s="554">
        <f t="shared" si="144"/>
        <v>0</v>
      </c>
      <c r="P236" s="555" t="e">
        <f>(O236/O296)*100</f>
        <v>#DIV/0!</v>
      </c>
      <c r="Q236" s="570">
        <v>0.52</v>
      </c>
      <c r="R236" s="555" t="e">
        <f t="shared" si="145"/>
        <v>#DIV/0!</v>
      </c>
      <c r="S236" s="674"/>
      <c r="T236" s="569"/>
      <c r="U236" s="2569"/>
      <c r="W236" s="566">
        <f t="shared" si="146"/>
        <v>0</v>
      </c>
      <c r="X236" s="566">
        <f t="shared" si="147"/>
        <v>0</v>
      </c>
      <c r="Y236" s="566">
        <f t="shared" si="148"/>
        <v>0</v>
      </c>
      <c r="Z236" s="566">
        <f t="shared" si="149"/>
        <v>0</v>
      </c>
      <c r="AA236" s="566">
        <f t="shared" si="150"/>
        <v>0</v>
      </c>
      <c r="AB236" s="566">
        <f t="shared" si="151"/>
        <v>0</v>
      </c>
      <c r="AC236" s="566">
        <f t="shared" si="152"/>
        <v>0</v>
      </c>
      <c r="AD236" s="566">
        <f t="shared" si="153"/>
        <v>0</v>
      </c>
      <c r="AE236" s="566">
        <f t="shared" si="154"/>
        <v>0</v>
      </c>
      <c r="AF236" s="566">
        <f t="shared" si="155"/>
        <v>0</v>
      </c>
      <c r="AG236" s="573"/>
    </row>
    <row r="237" spans="1:33" ht="25.15" hidden="1" customHeight="1">
      <c r="A237" s="679">
        <v>229</v>
      </c>
      <c r="B237" s="576"/>
      <c r="C237" s="680"/>
      <c r="D237" s="681"/>
      <c r="E237" s="682"/>
      <c r="F237" s="682"/>
      <c r="G237" s="682"/>
      <c r="H237" s="682"/>
      <c r="I237" s="682"/>
      <c r="J237" s="682"/>
      <c r="K237" s="682"/>
      <c r="L237" s="682"/>
      <c r="M237" s="683"/>
      <c r="N237" s="590">
        <f t="shared" si="143"/>
        <v>0</v>
      </c>
      <c r="O237" s="590">
        <f t="shared" si="144"/>
        <v>0</v>
      </c>
      <c r="P237" s="591" t="e">
        <f>(O237/O296)*100</f>
        <v>#DIV/0!</v>
      </c>
      <c r="Q237" s="602">
        <v>0.52</v>
      </c>
      <c r="R237" s="591" t="e">
        <f t="shared" si="145"/>
        <v>#DIV/0!</v>
      </c>
      <c r="S237" s="684"/>
      <c r="T237" s="569"/>
      <c r="U237" s="2569"/>
      <c r="W237" s="566">
        <f t="shared" si="146"/>
        <v>0</v>
      </c>
      <c r="X237" s="566">
        <f t="shared" si="147"/>
        <v>0</v>
      </c>
      <c r="Y237" s="566">
        <f t="shared" si="148"/>
        <v>0</v>
      </c>
      <c r="Z237" s="566">
        <f t="shared" si="149"/>
        <v>0</v>
      </c>
      <c r="AA237" s="566">
        <f t="shared" si="150"/>
        <v>0</v>
      </c>
      <c r="AB237" s="566">
        <f t="shared" si="151"/>
        <v>0</v>
      </c>
      <c r="AC237" s="566">
        <f t="shared" si="152"/>
        <v>0</v>
      </c>
      <c r="AD237" s="566">
        <f t="shared" si="153"/>
        <v>0</v>
      </c>
      <c r="AE237" s="566">
        <f t="shared" si="154"/>
        <v>0</v>
      </c>
      <c r="AF237" s="566">
        <f t="shared" si="155"/>
        <v>0</v>
      </c>
      <c r="AG237" s="573"/>
    </row>
    <row r="238" spans="1:33" ht="114" customHeight="1">
      <c r="A238" s="2561" t="s">
        <v>300</v>
      </c>
      <c r="B238" s="2562"/>
      <c r="C238" s="2563"/>
      <c r="D238" s="577">
        <f t="shared" ref="D238:M238" si="166">W238</f>
        <v>0</v>
      </c>
      <c r="E238" s="578">
        <f t="shared" si="166"/>
        <v>0</v>
      </c>
      <c r="F238" s="578">
        <f t="shared" si="166"/>
        <v>0</v>
      </c>
      <c r="G238" s="578">
        <f t="shared" si="166"/>
        <v>0</v>
      </c>
      <c r="H238" s="578">
        <f t="shared" si="166"/>
        <v>0</v>
      </c>
      <c r="I238" s="578">
        <f t="shared" si="166"/>
        <v>0</v>
      </c>
      <c r="J238" s="578">
        <f t="shared" si="166"/>
        <v>0</v>
      </c>
      <c r="K238" s="578">
        <f t="shared" si="166"/>
        <v>0</v>
      </c>
      <c r="L238" s="578">
        <f t="shared" si="166"/>
        <v>0</v>
      </c>
      <c r="M238" s="578">
        <f t="shared" si="166"/>
        <v>0</v>
      </c>
      <c r="N238" s="578"/>
      <c r="O238" s="592">
        <f>SUM(D238:M238)</f>
        <v>0</v>
      </c>
      <c r="P238" s="593" t="e">
        <f>SUM(P8:P237)/100</f>
        <v>#DIV/0!</v>
      </c>
      <c r="Q238" s="604"/>
      <c r="R238" s="605" t="e">
        <f>SUM(R8:R237)/100</f>
        <v>#DIV/0!</v>
      </c>
      <c r="S238" s="607"/>
      <c r="T238" s="608"/>
      <c r="U238" s="573"/>
      <c r="W238" s="609">
        <f t="shared" ref="W238:AF238" si="167">SUM(W8:W237)</f>
        <v>0</v>
      </c>
      <c r="X238" s="609">
        <f t="shared" si="167"/>
        <v>0</v>
      </c>
      <c r="Y238" s="609">
        <f t="shared" si="167"/>
        <v>0</v>
      </c>
      <c r="Z238" s="609">
        <f t="shared" si="167"/>
        <v>0</v>
      </c>
      <c r="AA238" s="609">
        <f t="shared" si="167"/>
        <v>0</v>
      </c>
      <c r="AB238" s="609">
        <f t="shared" si="167"/>
        <v>0</v>
      </c>
      <c r="AC238" s="609">
        <f t="shared" si="167"/>
        <v>0</v>
      </c>
      <c r="AD238" s="609">
        <f t="shared" si="167"/>
        <v>0</v>
      </c>
      <c r="AE238" s="609">
        <f t="shared" si="167"/>
        <v>0</v>
      </c>
      <c r="AF238" s="609">
        <f t="shared" si="167"/>
        <v>0</v>
      </c>
      <c r="AG238" s="573"/>
    </row>
    <row r="239" spans="1:33" ht="45" customHeight="1">
      <c r="A239" s="579"/>
      <c r="B239" s="579"/>
      <c r="C239" s="579"/>
      <c r="D239" s="573"/>
      <c r="E239" s="573"/>
      <c r="F239" s="573"/>
      <c r="G239" s="573"/>
      <c r="H239" s="573"/>
      <c r="I239" s="573"/>
      <c r="J239" s="573"/>
      <c r="K239" s="573"/>
      <c r="L239" s="573"/>
      <c r="M239" s="573"/>
      <c r="N239" s="573"/>
      <c r="O239" s="573"/>
      <c r="Q239" s="610"/>
      <c r="R239" s="611"/>
      <c r="S239" s="612"/>
      <c r="T239" s="573"/>
      <c r="U239" s="573"/>
      <c r="W239" s="573"/>
      <c r="X239" s="573"/>
      <c r="Y239" s="573"/>
      <c r="Z239" s="573"/>
      <c r="AA239" s="573"/>
      <c r="AB239" s="573"/>
      <c r="AC239" s="573"/>
      <c r="AD239" s="573"/>
      <c r="AE239" s="573"/>
      <c r="AF239" s="573"/>
      <c r="AG239" s="573"/>
    </row>
    <row r="240" spans="1:33" ht="45" customHeight="1">
      <c r="A240" s="580" t="s">
        <v>65</v>
      </c>
      <c r="B240" s="580" t="s">
        <v>1465</v>
      </c>
      <c r="C240" s="580" t="str">
        <f t="shared" ref="C240" si="168">B240</f>
        <v>BEVERAGES</v>
      </c>
      <c r="D240" s="581">
        <f>'LAP. PENJUALAN '!D6</f>
        <v>46030</v>
      </c>
      <c r="E240" s="581">
        <f>'LAP. PENJUALAN '!E6</f>
        <v>46031</v>
      </c>
      <c r="F240" s="581">
        <f>'LAP. PENJUALAN '!F6</f>
        <v>46032</v>
      </c>
      <c r="G240" s="581">
        <f>'LAP. PENJUALAN '!G6</f>
        <v>46033</v>
      </c>
      <c r="H240" s="581">
        <f>'LAP. PENJUALAN '!H6</f>
        <v>46034</v>
      </c>
      <c r="I240" s="581">
        <f>'LAP. PENJUALAN '!I6</f>
        <v>46035</v>
      </c>
      <c r="J240" s="581">
        <f>'LAP. PENJUALAN '!J6</f>
        <v>46036</v>
      </c>
      <c r="K240" s="581">
        <f>'LAP. PENJUALAN '!K6</f>
        <v>0</v>
      </c>
      <c r="L240" s="581">
        <f>'LAP. PENJUALAN '!L6</f>
        <v>0</v>
      </c>
      <c r="M240" s="581">
        <f>'LAP. PENJUALAN '!M6</f>
        <v>0</v>
      </c>
      <c r="N240" s="594" t="s">
        <v>67</v>
      </c>
      <c r="O240" s="594" t="s">
        <v>415</v>
      </c>
      <c r="P240" s="595" t="s">
        <v>1154</v>
      </c>
      <c r="Q240" s="613" t="s">
        <v>1280</v>
      </c>
      <c r="R240" s="613" t="s">
        <v>1281</v>
      </c>
      <c r="S240" s="615" t="s">
        <v>1466</v>
      </c>
      <c r="T240" s="616"/>
      <c r="U240" s="2570" t="s">
        <v>180</v>
      </c>
      <c r="W240" s="573"/>
      <c r="X240" s="573"/>
      <c r="Y240" s="573"/>
      <c r="Z240" s="573"/>
      <c r="AA240" s="573"/>
      <c r="AB240" s="573"/>
      <c r="AC240" s="573"/>
      <c r="AD240" s="573"/>
      <c r="AE240" s="573"/>
      <c r="AF240" s="573"/>
      <c r="AG240" s="573"/>
    </row>
    <row r="241" spans="1:33" ht="25.15" customHeight="1">
      <c r="A241" s="582">
        <v>1</v>
      </c>
      <c r="B241" s="583" t="s">
        <v>1575</v>
      </c>
      <c r="C241" s="583"/>
      <c r="D241" s="584"/>
      <c r="E241" s="584"/>
      <c r="F241" s="584"/>
      <c r="G241" s="584"/>
      <c r="H241" s="584"/>
      <c r="I241" s="584"/>
      <c r="J241" s="584"/>
      <c r="K241" s="584"/>
      <c r="L241" s="584"/>
      <c r="M241" s="584"/>
      <c r="N241" s="596">
        <f t="shared" ref="N241:N272" si="169">SUM(D241:M241)</f>
        <v>0</v>
      </c>
      <c r="O241" s="597">
        <f t="shared" ref="O241:O272" si="170">N241*S241</f>
        <v>0</v>
      </c>
      <c r="P241" s="598" t="e">
        <f>(O241/O296)*100</f>
        <v>#DIV/0!</v>
      </c>
      <c r="Q241" s="617"/>
      <c r="R241" s="685" t="e">
        <f t="shared" ref="R241:R272" si="171">P241*Q241</f>
        <v>#DIV/0!</v>
      </c>
      <c r="S241" s="584"/>
      <c r="T241" s="569"/>
      <c r="U241" s="2570"/>
      <c r="W241" s="566">
        <f t="shared" ref="W241:W272" si="172">D241*S241</f>
        <v>0</v>
      </c>
      <c r="X241" s="566">
        <f t="shared" ref="X241:X272" si="173">E241*S241</f>
        <v>0</v>
      </c>
      <c r="Y241" s="566">
        <f t="shared" ref="Y241:Y272" si="174">F241*S241</f>
        <v>0</v>
      </c>
      <c r="Z241" s="566">
        <f t="shared" ref="Z241:Z272" si="175">G241*S241</f>
        <v>0</v>
      </c>
      <c r="AA241" s="566">
        <f t="shared" ref="AA241:AA272" si="176">H241*S241</f>
        <v>0</v>
      </c>
      <c r="AB241" s="566">
        <f t="shared" ref="AB241:AB272" si="177">I241*S241</f>
        <v>0</v>
      </c>
      <c r="AC241" s="566">
        <f t="shared" ref="AC241:AC272" si="178">J241*S241</f>
        <v>0</v>
      </c>
      <c r="AD241" s="566">
        <f t="shared" ref="AD241:AD272" si="179">K241*S241</f>
        <v>0</v>
      </c>
      <c r="AE241" s="566">
        <f t="shared" ref="AE241:AE272" si="180">L241*S241</f>
        <v>0</v>
      </c>
      <c r="AF241" s="566">
        <f t="shared" ref="AF241:AF272" si="181">M241*S241</f>
        <v>0</v>
      </c>
      <c r="AG241" s="573"/>
    </row>
    <row r="242" spans="1:33" ht="25.15" customHeight="1">
      <c r="A242" s="585">
        <v>2</v>
      </c>
      <c r="B242" s="586" t="s">
        <v>1469</v>
      </c>
      <c r="C242" s="583"/>
      <c r="D242" s="584"/>
      <c r="E242" s="584"/>
      <c r="F242" s="584"/>
      <c r="G242" s="584"/>
      <c r="H242" s="584"/>
      <c r="I242" s="584"/>
      <c r="J242" s="584"/>
      <c r="K242" s="584"/>
      <c r="L242" s="584"/>
      <c r="M242" s="584"/>
      <c r="N242" s="596">
        <f t="shared" si="169"/>
        <v>0</v>
      </c>
      <c r="O242" s="597">
        <f t="shared" si="170"/>
        <v>0</v>
      </c>
      <c r="P242" s="598" t="e">
        <f>(O242/O296)*100</f>
        <v>#DIV/0!</v>
      </c>
      <c r="Q242" s="620"/>
      <c r="R242" s="686" t="e">
        <f t="shared" si="171"/>
        <v>#DIV/0!</v>
      </c>
      <c r="S242" s="584"/>
      <c r="T242" s="569"/>
      <c r="U242" s="2570"/>
      <c r="V242" s="532" t="s">
        <v>61</v>
      </c>
      <c r="W242" s="566">
        <f t="shared" si="172"/>
        <v>0</v>
      </c>
      <c r="X242" s="566">
        <f t="shared" si="173"/>
        <v>0</v>
      </c>
      <c r="Y242" s="566">
        <f t="shared" si="174"/>
        <v>0</v>
      </c>
      <c r="Z242" s="566">
        <f t="shared" si="175"/>
        <v>0</v>
      </c>
      <c r="AA242" s="566">
        <f t="shared" si="176"/>
        <v>0</v>
      </c>
      <c r="AB242" s="566">
        <f t="shared" si="177"/>
        <v>0</v>
      </c>
      <c r="AC242" s="566">
        <f t="shared" si="178"/>
        <v>0</v>
      </c>
      <c r="AD242" s="566">
        <f t="shared" si="179"/>
        <v>0</v>
      </c>
      <c r="AE242" s="566">
        <f t="shared" si="180"/>
        <v>0</v>
      </c>
      <c r="AF242" s="566">
        <f t="shared" si="181"/>
        <v>0</v>
      </c>
      <c r="AG242" s="573"/>
    </row>
    <row r="243" spans="1:33" ht="25.15" customHeight="1">
      <c r="A243" s="585">
        <v>3</v>
      </c>
      <c r="B243" s="586" t="s">
        <v>1470</v>
      </c>
      <c r="C243" s="583"/>
      <c r="D243" s="584"/>
      <c r="E243" s="584"/>
      <c r="F243" s="584"/>
      <c r="G243" s="584"/>
      <c r="H243" s="584"/>
      <c r="I243" s="584"/>
      <c r="J243" s="584"/>
      <c r="K243" s="584"/>
      <c r="L243" s="584"/>
      <c r="M243" s="584"/>
      <c r="N243" s="596">
        <f t="shared" si="169"/>
        <v>0</v>
      </c>
      <c r="O243" s="597">
        <f t="shared" si="170"/>
        <v>0</v>
      </c>
      <c r="P243" s="598" t="e">
        <f>(O243/O296)*100</f>
        <v>#DIV/0!</v>
      </c>
      <c r="Q243" s="623"/>
      <c r="R243" s="686" t="e">
        <f t="shared" si="171"/>
        <v>#DIV/0!</v>
      </c>
      <c r="S243" s="584"/>
      <c r="T243" s="569"/>
      <c r="U243" s="2570"/>
      <c r="W243" s="566">
        <f t="shared" si="172"/>
        <v>0</v>
      </c>
      <c r="X243" s="566">
        <f t="shared" si="173"/>
        <v>0</v>
      </c>
      <c r="Y243" s="566">
        <f t="shared" si="174"/>
        <v>0</v>
      </c>
      <c r="Z243" s="566">
        <f t="shared" si="175"/>
        <v>0</v>
      </c>
      <c r="AA243" s="566">
        <f t="shared" si="176"/>
        <v>0</v>
      </c>
      <c r="AB243" s="566">
        <f t="shared" si="177"/>
        <v>0</v>
      </c>
      <c r="AC243" s="566">
        <f t="shared" si="178"/>
        <v>0</v>
      </c>
      <c r="AD243" s="566">
        <f t="shared" si="179"/>
        <v>0</v>
      </c>
      <c r="AE243" s="566">
        <f t="shared" si="180"/>
        <v>0</v>
      </c>
      <c r="AF243" s="566">
        <f t="shared" si="181"/>
        <v>0</v>
      </c>
      <c r="AG243" s="573"/>
    </row>
    <row r="244" spans="1:33" ht="25.15" customHeight="1">
      <c r="A244" s="585">
        <v>4</v>
      </c>
      <c r="B244" s="586" t="s">
        <v>1471</v>
      </c>
      <c r="C244" s="583"/>
      <c r="D244" s="584"/>
      <c r="E244" s="584"/>
      <c r="F244" s="584"/>
      <c r="G244" s="584"/>
      <c r="H244" s="584"/>
      <c r="I244" s="584"/>
      <c r="J244" s="584"/>
      <c r="K244" s="584"/>
      <c r="L244" s="584"/>
      <c r="M244" s="584"/>
      <c r="N244" s="596">
        <f t="shared" si="169"/>
        <v>0</v>
      </c>
      <c r="O244" s="597">
        <f t="shared" si="170"/>
        <v>0</v>
      </c>
      <c r="P244" s="598" t="e">
        <f>(O244/O296)*100</f>
        <v>#DIV/0!</v>
      </c>
      <c r="Q244" s="620"/>
      <c r="R244" s="686" t="e">
        <f t="shared" si="171"/>
        <v>#DIV/0!</v>
      </c>
      <c r="S244" s="584"/>
      <c r="T244" s="569"/>
      <c r="U244" s="2570"/>
      <c r="W244" s="566">
        <f t="shared" si="172"/>
        <v>0</v>
      </c>
      <c r="X244" s="566">
        <f t="shared" si="173"/>
        <v>0</v>
      </c>
      <c r="Y244" s="566">
        <f t="shared" si="174"/>
        <v>0</v>
      </c>
      <c r="Z244" s="566">
        <f t="shared" si="175"/>
        <v>0</v>
      </c>
      <c r="AA244" s="566">
        <f t="shared" si="176"/>
        <v>0</v>
      </c>
      <c r="AB244" s="566">
        <f t="shared" si="177"/>
        <v>0</v>
      </c>
      <c r="AC244" s="566">
        <f t="shared" si="178"/>
        <v>0</v>
      </c>
      <c r="AD244" s="566">
        <f t="shared" si="179"/>
        <v>0</v>
      </c>
      <c r="AE244" s="566">
        <f t="shared" si="180"/>
        <v>0</v>
      </c>
      <c r="AF244" s="566">
        <f t="shared" si="181"/>
        <v>0</v>
      </c>
      <c r="AG244" s="573"/>
    </row>
    <row r="245" spans="1:33" ht="25.15" customHeight="1">
      <c r="A245" s="585">
        <v>5</v>
      </c>
      <c r="B245" s="586" t="s">
        <v>1472</v>
      </c>
      <c r="C245" s="583"/>
      <c r="D245" s="584"/>
      <c r="E245" s="584"/>
      <c r="F245" s="584"/>
      <c r="G245" s="584"/>
      <c r="H245" s="584"/>
      <c r="I245" s="584"/>
      <c r="J245" s="584"/>
      <c r="K245" s="584"/>
      <c r="L245" s="584"/>
      <c r="M245" s="584"/>
      <c r="N245" s="596">
        <f t="shared" si="169"/>
        <v>0</v>
      </c>
      <c r="O245" s="597">
        <f t="shared" si="170"/>
        <v>0</v>
      </c>
      <c r="P245" s="599" t="e">
        <f>(O245/O296)*100</f>
        <v>#DIV/0!</v>
      </c>
      <c r="Q245" s="620"/>
      <c r="R245" s="686" t="e">
        <f t="shared" si="171"/>
        <v>#DIV/0!</v>
      </c>
      <c r="S245" s="584"/>
      <c r="T245" s="569"/>
      <c r="U245" s="2570"/>
      <c r="W245" s="566">
        <f t="shared" si="172"/>
        <v>0</v>
      </c>
      <c r="X245" s="566">
        <f t="shared" si="173"/>
        <v>0</v>
      </c>
      <c r="Y245" s="566">
        <f t="shared" si="174"/>
        <v>0</v>
      </c>
      <c r="Z245" s="566">
        <f t="shared" si="175"/>
        <v>0</v>
      </c>
      <c r="AA245" s="566">
        <f t="shared" si="176"/>
        <v>0</v>
      </c>
      <c r="AB245" s="566">
        <f t="shared" si="177"/>
        <v>0</v>
      </c>
      <c r="AC245" s="566">
        <f t="shared" si="178"/>
        <v>0</v>
      </c>
      <c r="AD245" s="566">
        <f t="shared" si="179"/>
        <v>0</v>
      </c>
      <c r="AE245" s="566">
        <f t="shared" si="180"/>
        <v>0</v>
      </c>
      <c r="AF245" s="566">
        <f t="shared" si="181"/>
        <v>0</v>
      </c>
      <c r="AG245" s="573"/>
    </row>
    <row r="246" spans="1:33" ht="25.15" customHeight="1">
      <c r="A246" s="585">
        <v>6</v>
      </c>
      <c r="B246" s="586" t="s">
        <v>1473</v>
      </c>
      <c r="C246" s="583"/>
      <c r="D246" s="584"/>
      <c r="E246" s="584"/>
      <c r="F246" s="584"/>
      <c r="G246" s="584"/>
      <c r="H246" s="584"/>
      <c r="I246" s="584"/>
      <c r="J246" s="584"/>
      <c r="K246" s="584"/>
      <c r="L246" s="584"/>
      <c r="M246" s="584"/>
      <c r="N246" s="596">
        <f t="shared" si="169"/>
        <v>0</v>
      </c>
      <c r="O246" s="597">
        <f t="shared" si="170"/>
        <v>0</v>
      </c>
      <c r="P246" s="599" t="e">
        <f>(O246/O296)*100</f>
        <v>#DIV/0!</v>
      </c>
      <c r="Q246" s="620"/>
      <c r="R246" s="686" t="e">
        <f t="shared" si="171"/>
        <v>#DIV/0!</v>
      </c>
      <c r="S246" s="584"/>
      <c r="T246" s="569"/>
      <c r="U246" s="2570"/>
      <c r="W246" s="566">
        <f t="shared" si="172"/>
        <v>0</v>
      </c>
      <c r="X246" s="566">
        <f t="shared" si="173"/>
        <v>0</v>
      </c>
      <c r="Y246" s="566">
        <f t="shared" si="174"/>
        <v>0</v>
      </c>
      <c r="Z246" s="566">
        <f t="shared" si="175"/>
        <v>0</v>
      </c>
      <c r="AA246" s="566">
        <f t="shared" si="176"/>
        <v>0</v>
      </c>
      <c r="AB246" s="566">
        <f t="shared" si="177"/>
        <v>0</v>
      </c>
      <c r="AC246" s="566">
        <f t="shared" si="178"/>
        <v>0</v>
      </c>
      <c r="AD246" s="566">
        <f t="shared" si="179"/>
        <v>0</v>
      </c>
      <c r="AE246" s="566">
        <f t="shared" si="180"/>
        <v>0</v>
      </c>
      <c r="AF246" s="566">
        <f t="shared" si="181"/>
        <v>0</v>
      </c>
      <c r="AG246" s="573"/>
    </row>
    <row r="247" spans="1:33" ht="25.15" customHeight="1">
      <c r="A247" s="585">
        <v>7</v>
      </c>
      <c r="B247" s="586" t="s">
        <v>1474</v>
      </c>
      <c r="C247" s="583"/>
      <c r="D247" s="584"/>
      <c r="E247" s="584"/>
      <c r="F247" s="584"/>
      <c r="G247" s="584"/>
      <c r="H247" s="584"/>
      <c r="I247" s="584"/>
      <c r="J247" s="584"/>
      <c r="K247" s="584"/>
      <c r="L247" s="584"/>
      <c r="M247" s="584"/>
      <c r="N247" s="596">
        <f t="shared" si="169"/>
        <v>0</v>
      </c>
      <c r="O247" s="597">
        <f t="shared" si="170"/>
        <v>0</v>
      </c>
      <c r="P247" s="599" t="e">
        <f>(O247/O296)*100</f>
        <v>#DIV/0!</v>
      </c>
      <c r="Q247" s="620"/>
      <c r="R247" s="686" t="e">
        <f t="shared" si="171"/>
        <v>#DIV/0!</v>
      </c>
      <c r="S247" s="584"/>
      <c r="T247" s="569"/>
      <c r="U247" s="2570"/>
      <c r="W247" s="566">
        <f t="shared" si="172"/>
        <v>0</v>
      </c>
      <c r="X247" s="566">
        <f t="shared" si="173"/>
        <v>0</v>
      </c>
      <c r="Y247" s="566">
        <f t="shared" si="174"/>
        <v>0</v>
      </c>
      <c r="Z247" s="566">
        <f t="shared" si="175"/>
        <v>0</v>
      </c>
      <c r="AA247" s="566">
        <f t="shared" si="176"/>
        <v>0</v>
      </c>
      <c r="AB247" s="566">
        <f t="shared" si="177"/>
        <v>0</v>
      </c>
      <c r="AC247" s="566">
        <f t="shared" si="178"/>
        <v>0</v>
      </c>
      <c r="AD247" s="566">
        <f t="shared" si="179"/>
        <v>0</v>
      </c>
      <c r="AE247" s="566">
        <f t="shared" si="180"/>
        <v>0</v>
      </c>
      <c r="AF247" s="566">
        <f t="shared" si="181"/>
        <v>0</v>
      </c>
      <c r="AG247" s="573"/>
    </row>
    <row r="248" spans="1:33" ht="25.15" customHeight="1">
      <c r="A248" s="585">
        <v>8</v>
      </c>
      <c r="B248" s="586" t="s">
        <v>170</v>
      </c>
      <c r="C248" s="583"/>
      <c r="D248" s="584"/>
      <c r="E248" s="584"/>
      <c r="F248" s="584"/>
      <c r="G248" s="584"/>
      <c r="H248" s="584"/>
      <c r="I248" s="584"/>
      <c r="J248" s="584"/>
      <c r="K248" s="584"/>
      <c r="L248" s="584"/>
      <c r="M248" s="584"/>
      <c r="N248" s="596">
        <f t="shared" si="169"/>
        <v>0</v>
      </c>
      <c r="O248" s="597">
        <f t="shared" si="170"/>
        <v>0</v>
      </c>
      <c r="P248" s="599" t="e">
        <f>(O248/O296)*100</f>
        <v>#DIV/0!</v>
      </c>
      <c r="Q248" s="620"/>
      <c r="R248" s="686" t="e">
        <f t="shared" si="171"/>
        <v>#DIV/0!</v>
      </c>
      <c r="S248" s="584"/>
      <c r="T248" s="569"/>
      <c r="U248" s="2570"/>
      <c r="W248" s="566">
        <f t="shared" si="172"/>
        <v>0</v>
      </c>
      <c r="X248" s="566">
        <f t="shared" si="173"/>
        <v>0</v>
      </c>
      <c r="Y248" s="566">
        <f t="shared" si="174"/>
        <v>0</v>
      </c>
      <c r="Z248" s="566">
        <f t="shared" si="175"/>
        <v>0</v>
      </c>
      <c r="AA248" s="566">
        <f t="shared" si="176"/>
        <v>0</v>
      </c>
      <c r="AB248" s="566">
        <f t="shared" si="177"/>
        <v>0</v>
      </c>
      <c r="AC248" s="566">
        <f t="shared" si="178"/>
        <v>0</v>
      </c>
      <c r="AD248" s="566">
        <f t="shared" si="179"/>
        <v>0</v>
      </c>
      <c r="AE248" s="566">
        <f t="shared" si="180"/>
        <v>0</v>
      </c>
      <c r="AF248" s="566">
        <f t="shared" si="181"/>
        <v>0</v>
      </c>
      <c r="AG248" s="573"/>
    </row>
    <row r="249" spans="1:33" ht="25.15" customHeight="1">
      <c r="A249" s="585">
        <v>9</v>
      </c>
      <c r="B249" s="586"/>
      <c r="C249" s="583"/>
      <c r="D249" s="584"/>
      <c r="E249" s="584"/>
      <c r="F249" s="584"/>
      <c r="G249" s="584"/>
      <c r="H249" s="584"/>
      <c r="I249" s="584"/>
      <c r="J249" s="584"/>
      <c r="K249" s="584"/>
      <c r="L249" s="584"/>
      <c r="M249" s="584"/>
      <c r="N249" s="596">
        <f t="shared" si="169"/>
        <v>0</v>
      </c>
      <c r="O249" s="597">
        <f t="shared" si="170"/>
        <v>0</v>
      </c>
      <c r="P249" s="599" t="e">
        <f>(O249/O296)*100</f>
        <v>#DIV/0!</v>
      </c>
      <c r="Q249" s="620"/>
      <c r="R249" s="686" t="e">
        <f t="shared" si="171"/>
        <v>#DIV/0!</v>
      </c>
      <c r="S249" s="584"/>
      <c r="T249" s="569"/>
      <c r="U249" s="2570"/>
      <c r="W249" s="566">
        <f t="shared" si="172"/>
        <v>0</v>
      </c>
      <c r="X249" s="566">
        <f t="shared" si="173"/>
        <v>0</v>
      </c>
      <c r="Y249" s="566">
        <f t="shared" si="174"/>
        <v>0</v>
      </c>
      <c r="Z249" s="566">
        <f t="shared" si="175"/>
        <v>0</v>
      </c>
      <c r="AA249" s="566">
        <f t="shared" si="176"/>
        <v>0</v>
      </c>
      <c r="AB249" s="566">
        <f t="shared" si="177"/>
        <v>0</v>
      </c>
      <c r="AC249" s="566">
        <f t="shared" si="178"/>
        <v>0</v>
      </c>
      <c r="AD249" s="566">
        <f t="shared" si="179"/>
        <v>0</v>
      </c>
      <c r="AE249" s="566">
        <f t="shared" si="180"/>
        <v>0</v>
      </c>
      <c r="AF249" s="566">
        <f t="shared" si="181"/>
        <v>0</v>
      </c>
      <c r="AG249" s="573"/>
    </row>
    <row r="250" spans="1:33" ht="25.15" customHeight="1">
      <c r="A250" s="585">
        <v>10</v>
      </c>
      <c r="B250" s="586" t="s">
        <v>1476</v>
      </c>
      <c r="C250" s="583"/>
      <c r="D250" s="584"/>
      <c r="E250" s="584"/>
      <c r="F250" s="584"/>
      <c r="G250" s="584"/>
      <c r="H250" s="584"/>
      <c r="I250" s="584"/>
      <c r="J250" s="584"/>
      <c r="K250" s="584"/>
      <c r="L250" s="584"/>
      <c r="M250" s="584"/>
      <c r="N250" s="596">
        <f t="shared" si="169"/>
        <v>0</v>
      </c>
      <c r="O250" s="597">
        <f t="shared" si="170"/>
        <v>0</v>
      </c>
      <c r="P250" s="599" t="e">
        <f>(O250/O296)*100</f>
        <v>#DIV/0!</v>
      </c>
      <c r="Q250" s="620"/>
      <c r="R250" s="686" t="e">
        <f t="shared" si="171"/>
        <v>#DIV/0!</v>
      </c>
      <c r="S250" s="584"/>
      <c r="T250" s="569"/>
      <c r="U250" s="2570"/>
      <c r="W250" s="566">
        <f t="shared" si="172"/>
        <v>0</v>
      </c>
      <c r="X250" s="566">
        <f t="shared" si="173"/>
        <v>0</v>
      </c>
      <c r="Y250" s="566">
        <f t="shared" si="174"/>
        <v>0</v>
      </c>
      <c r="Z250" s="566">
        <f t="shared" si="175"/>
        <v>0</v>
      </c>
      <c r="AA250" s="566">
        <f t="shared" si="176"/>
        <v>0</v>
      </c>
      <c r="AB250" s="566">
        <f t="shared" si="177"/>
        <v>0</v>
      </c>
      <c r="AC250" s="566">
        <f t="shared" si="178"/>
        <v>0</v>
      </c>
      <c r="AD250" s="566">
        <f t="shared" si="179"/>
        <v>0</v>
      </c>
      <c r="AE250" s="566">
        <f t="shared" si="180"/>
        <v>0</v>
      </c>
      <c r="AF250" s="566">
        <f t="shared" si="181"/>
        <v>0</v>
      </c>
      <c r="AG250" s="573"/>
    </row>
    <row r="251" spans="1:33" ht="25.15" customHeight="1">
      <c r="A251" s="585">
        <v>11</v>
      </c>
      <c r="B251" s="586" t="s">
        <v>1477</v>
      </c>
      <c r="C251" s="583"/>
      <c r="D251" s="584"/>
      <c r="E251" s="584"/>
      <c r="F251" s="584"/>
      <c r="G251" s="584"/>
      <c r="H251" s="584"/>
      <c r="I251" s="584"/>
      <c r="J251" s="584"/>
      <c r="K251" s="584"/>
      <c r="L251" s="584"/>
      <c r="M251" s="584"/>
      <c r="N251" s="596">
        <f t="shared" si="169"/>
        <v>0</v>
      </c>
      <c r="O251" s="597">
        <f t="shared" si="170"/>
        <v>0</v>
      </c>
      <c r="P251" s="599" t="e">
        <f>(O251/O296)*100</f>
        <v>#DIV/0!</v>
      </c>
      <c r="Q251" s="620"/>
      <c r="R251" s="686" t="e">
        <f t="shared" si="171"/>
        <v>#DIV/0!</v>
      </c>
      <c r="S251" s="584"/>
      <c r="T251" s="569"/>
      <c r="U251" s="2570"/>
      <c r="W251" s="566">
        <f t="shared" si="172"/>
        <v>0</v>
      </c>
      <c r="X251" s="566">
        <f t="shared" si="173"/>
        <v>0</v>
      </c>
      <c r="Y251" s="566">
        <f t="shared" si="174"/>
        <v>0</v>
      </c>
      <c r="Z251" s="566">
        <f t="shared" si="175"/>
        <v>0</v>
      </c>
      <c r="AA251" s="566">
        <f t="shared" si="176"/>
        <v>0</v>
      </c>
      <c r="AB251" s="566">
        <f t="shared" si="177"/>
        <v>0</v>
      </c>
      <c r="AC251" s="566">
        <f t="shared" si="178"/>
        <v>0</v>
      </c>
      <c r="AD251" s="566">
        <f t="shared" si="179"/>
        <v>0</v>
      </c>
      <c r="AE251" s="566">
        <f t="shared" si="180"/>
        <v>0</v>
      </c>
      <c r="AF251" s="566">
        <f t="shared" si="181"/>
        <v>0</v>
      </c>
      <c r="AG251" s="573"/>
    </row>
    <row r="252" spans="1:33" ht="25.15" customHeight="1">
      <c r="A252" s="585">
        <v>12</v>
      </c>
      <c r="B252" s="586" t="s">
        <v>1478</v>
      </c>
      <c r="C252" s="583"/>
      <c r="D252" s="584"/>
      <c r="E252" s="584"/>
      <c r="F252" s="584"/>
      <c r="G252" s="584"/>
      <c r="H252" s="584"/>
      <c r="I252" s="584"/>
      <c r="J252" s="584"/>
      <c r="K252" s="584"/>
      <c r="L252" s="584"/>
      <c r="M252" s="584"/>
      <c r="N252" s="596">
        <f t="shared" si="169"/>
        <v>0</v>
      </c>
      <c r="O252" s="597">
        <f t="shared" si="170"/>
        <v>0</v>
      </c>
      <c r="P252" s="599" t="e">
        <f>(O252/O296)*100</f>
        <v>#DIV/0!</v>
      </c>
      <c r="Q252" s="620"/>
      <c r="R252" s="686" t="e">
        <f t="shared" si="171"/>
        <v>#DIV/0!</v>
      </c>
      <c r="S252" s="584"/>
      <c r="T252" s="569"/>
      <c r="U252" s="2570"/>
      <c r="W252" s="566">
        <f t="shared" si="172"/>
        <v>0</v>
      </c>
      <c r="X252" s="566">
        <f t="shared" si="173"/>
        <v>0</v>
      </c>
      <c r="Y252" s="566">
        <f t="shared" si="174"/>
        <v>0</v>
      </c>
      <c r="Z252" s="566">
        <f t="shared" si="175"/>
        <v>0</v>
      </c>
      <c r="AA252" s="566">
        <f t="shared" si="176"/>
        <v>0</v>
      </c>
      <c r="AB252" s="566">
        <f t="shared" si="177"/>
        <v>0</v>
      </c>
      <c r="AC252" s="566">
        <f t="shared" si="178"/>
        <v>0</v>
      </c>
      <c r="AD252" s="566">
        <f t="shared" si="179"/>
        <v>0</v>
      </c>
      <c r="AE252" s="566">
        <f t="shared" si="180"/>
        <v>0</v>
      </c>
      <c r="AF252" s="566">
        <f t="shared" si="181"/>
        <v>0</v>
      </c>
      <c r="AG252" s="573"/>
    </row>
    <row r="253" spans="1:33" ht="25.15" customHeight="1">
      <c r="A253" s="585">
        <v>13</v>
      </c>
      <c r="B253" s="586" t="s">
        <v>1479</v>
      </c>
      <c r="C253" s="583"/>
      <c r="D253" s="584"/>
      <c r="E253" s="584"/>
      <c r="F253" s="584"/>
      <c r="G253" s="584"/>
      <c r="H253" s="584"/>
      <c r="I253" s="584"/>
      <c r="J253" s="584"/>
      <c r="K253" s="584"/>
      <c r="L253" s="584"/>
      <c r="M253" s="584"/>
      <c r="N253" s="596">
        <f t="shared" si="169"/>
        <v>0</v>
      </c>
      <c r="O253" s="597">
        <f t="shared" si="170"/>
        <v>0</v>
      </c>
      <c r="P253" s="599" t="e">
        <f>(O253/O296)*100</f>
        <v>#DIV/0!</v>
      </c>
      <c r="Q253" s="620"/>
      <c r="R253" s="686" t="e">
        <f t="shared" si="171"/>
        <v>#DIV/0!</v>
      </c>
      <c r="S253" s="584"/>
      <c r="T253" s="569"/>
      <c r="U253" s="2570"/>
      <c r="W253" s="566">
        <f t="shared" si="172"/>
        <v>0</v>
      </c>
      <c r="X253" s="566">
        <f t="shared" si="173"/>
        <v>0</v>
      </c>
      <c r="Y253" s="566">
        <f t="shared" si="174"/>
        <v>0</v>
      </c>
      <c r="Z253" s="566">
        <f t="shared" si="175"/>
        <v>0</v>
      </c>
      <c r="AA253" s="566">
        <f t="shared" si="176"/>
        <v>0</v>
      </c>
      <c r="AB253" s="566">
        <f t="shared" si="177"/>
        <v>0</v>
      </c>
      <c r="AC253" s="566">
        <f t="shared" si="178"/>
        <v>0</v>
      </c>
      <c r="AD253" s="566">
        <f t="shared" si="179"/>
        <v>0</v>
      </c>
      <c r="AE253" s="566">
        <f t="shared" si="180"/>
        <v>0</v>
      </c>
      <c r="AF253" s="566">
        <f t="shared" si="181"/>
        <v>0</v>
      </c>
      <c r="AG253" s="573"/>
    </row>
    <row r="254" spans="1:33" ht="25.15" customHeight="1">
      <c r="A254" s="585">
        <v>14</v>
      </c>
      <c r="B254" s="586" t="s">
        <v>1480</v>
      </c>
      <c r="C254" s="583"/>
      <c r="D254" s="584"/>
      <c r="E254" s="584"/>
      <c r="F254" s="584"/>
      <c r="G254" s="584"/>
      <c r="H254" s="584"/>
      <c r="I254" s="584"/>
      <c r="J254" s="584"/>
      <c r="K254" s="584"/>
      <c r="L254" s="584"/>
      <c r="M254" s="584"/>
      <c r="N254" s="596">
        <f t="shared" si="169"/>
        <v>0</v>
      </c>
      <c r="O254" s="597">
        <f t="shared" si="170"/>
        <v>0</v>
      </c>
      <c r="P254" s="599" t="e">
        <f>(O254/O296)*100</f>
        <v>#DIV/0!</v>
      </c>
      <c r="Q254" s="620"/>
      <c r="R254" s="686" t="e">
        <f t="shared" si="171"/>
        <v>#DIV/0!</v>
      </c>
      <c r="S254" s="584"/>
      <c r="T254" s="569"/>
      <c r="U254" s="2570"/>
      <c r="W254" s="566">
        <f t="shared" si="172"/>
        <v>0</v>
      </c>
      <c r="X254" s="566">
        <f t="shared" si="173"/>
        <v>0</v>
      </c>
      <c r="Y254" s="566">
        <f t="shared" si="174"/>
        <v>0</v>
      </c>
      <c r="Z254" s="566">
        <f t="shared" si="175"/>
        <v>0</v>
      </c>
      <c r="AA254" s="566">
        <f t="shared" si="176"/>
        <v>0</v>
      </c>
      <c r="AB254" s="566">
        <f t="shared" si="177"/>
        <v>0</v>
      </c>
      <c r="AC254" s="566">
        <f t="shared" si="178"/>
        <v>0</v>
      </c>
      <c r="AD254" s="566">
        <f t="shared" si="179"/>
        <v>0</v>
      </c>
      <c r="AE254" s="566">
        <f t="shared" si="180"/>
        <v>0</v>
      </c>
      <c r="AF254" s="566">
        <f t="shared" si="181"/>
        <v>0</v>
      </c>
      <c r="AG254" s="573"/>
    </row>
    <row r="255" spans="1:33" ht="25.15" customHeight="1">
      <c r="A255" s="585">
        <v>15</v>
      </c>
      <c r="B255" s="586" t="s">
        <v>1576</v>
      </c>
      <c r="C255" s="583"/>
      <c r="D255" s="584"/>
      <c r="E255" s="584"/>
      <c r="F255" s="584"/>
      <c r="G255" s="584"/>
      <c r="H255" s="584"/>
      <c r="I255" s="584"/>
      <c r="J255" s="584"/>
      <c r="K255" s="584"/>
      <c r="L255" s="584"/>
      <c r="M255" s="584"/>
      <c r="N255" s="596">
        <f t="shared" si="169"/>
        <v>0</v>
      </c>
      <c r="O255" s="597">
        <f t="shared" si="170"/>
        <v>0</v>
      </c>
      <c r="P255" s="599" t="e">
        <f>(O255/O296)*100</f>
        <v>#DIV/0!</v>
      </c>
      <c r="Q255" s="620"/>
      <c r="R255" s="686" t="e">
        <f t="shared" si="171"/>
        <v>#DIV/0!</v>
      </c>
      <c r="S255" s="584"/>
      <c r="T255" s="569"/>
      <c r="U255" s="2570"/>
      <c r="W255" s="566">
        <f t="shared" si="172"/>
        <v>0</v>
      </c>
      <c r="X255" s="566">
        <f t="shared" si="173"/>
        <v>0</v>
      </c>
      <c r="Y255" s="566">
        <f t="shared" si="174"/>
        <v>0</v>
      </c>
      <c r="Z255" s="566">
        <f t="shared" si="175"/>
        <v>0</v>
      </c>
      <c r="AA255" s="566">
        <f t="shared" si="176"/>
        <v>0</v>
      </c>
      <c r="AB255" s="566">
        <f t="shared" si="177"/>
        <v>0</v>
      </c>
      <c r="AC255" s="566">
        <f t="shared" si="178"/>
        <v>0</v>
      </c>
      <c r="AD255" s="566">
        <f t="shared" si="179"/>
        <v>0</v>
      </c>
      <c r="AE255" s="566">
        <f t="shared" si="180"/>
        <v>0</v>
      </c>
      <c r="AF255" s="566">
        <f t="shared" si="181"/>
        <v>0</v>
      </c>
      <c r="AG255" s="573"/>
    </row>
    <row r="256" spans="1:33" ht="25.15" customHeight="1">
      <c r="A256" s="585">
        <v>16</v>
      </c>
      <c r="B256" s="586" t="s">
        <v>1482</v>
      </c>
      <c r="C256" s="583"/>
      <c r="D256" s="584"/>
      <c r="E256" s="584"/>
      <c r="F256" s="584"/>
      <c r="G256" s="584"/>
      <c r="H256" s="584"/>
      <c r="I256" s="584"/>
      <c r="J256" s="584"/>
      <c r="K256" s="584"/>
      <c r="L256" s="584"/>
      <c r="M256" s="584"/>
      <c r="N256" s="596">
        <f t="shared" si="169"/>
        <v>0</v>
      </c>
      <c r="O256" s="597">
        <f t="shared" si="170"/>
        <v>0</v>
      </c>
      <c r="P256" s="600" t="e">
        <f>(O256/O296)*100</f>
        <v>#DIV/0!</v>
      </c>
      <c r="Q256" s="624"/>
      <c r="R256" s="686" t="e">
        <f t="shared" si="171"/>
        <v>#DIV/0!</v>
      </c>
      <c r="S256" s="584"/>
      <c r="T256" s="569"/>
      <c r="U256" s="2570"/>
      <c r="W256" s="566">
        <f t="shared" si="172"/>
        <v>0</v>
      </c>
      <c r="X256" s="566">
        <f t="shared" si="173"/>
        <v>0</v>
      </c>
      <c r="Y256" s="566">
        <f t="shared" si="174"/>
        <v>0</v>
      </c>
      <c r="Z256" s="566">
        <f t="shared" si="175"/>
        <v>0</v>
      </c>
      <c r="AA256" s="566">
        <f t="shared" si="176"/>
        <v>0</v>
      </c>
      <c r="AB256" s="566">
        <f t="shared" si="177"/>
        <v>0</v>
      </c>
      <c r="AC256" s="566">
        <f t="shared" si="178"/>
        <v>0</v>
      </c>
      <c r="AD256" s="566">
        <f t="shared" si="179"/>
        <v>0</v>
      </c>
      <c r="AE256" s="566">
        <f t="shared" si="180"/>
        <v>0</v>
      </c>
      <c r="AF256" s="566">
        <f t="shared" si="181"/>
        <v>0</v>
      </c>
      <c r="AG256" s="573"/>
    </row>
    <row r="257" spans="1:33" ht="25.15" customHeight="1">
      <c r="A257" s="585">
        <v>17</v>
      </c>
      <c r="B257" s="586" t="s">
        <v>1483</v>
      </c>
      <c r="C257" s="583"/>
      <c r="D257" s="584"/>
      <c r="E257" s="584"/>
      <c r="F257" s="584"/>
      <c r="G257" s="584"/>
      <c r="H257" s="584"/>
      <c r="I257" s="584"/>
      <c r="J257" s="584"/>
      <c r="K257" s="584"/>
      <c r="L257" s="584"/>
      <c r="M257" s="584"/>
      <c r="N257" s="596">
        <f t="shared" si="169"/>
        <v>0</v>
      </c>
      <c r="O257" s="597">
        <f t="shared" si="170"/>
        <v>0</v>
      </c>
      <c r="P257" s="600" t="e">
        <f>(O257/O296)*100</f>
        <v>#DIV/0!</v>
      </c>
      <c r="Q257" s="624"/>
      <c r="R257" s="686" t="e">
        <f t="shared" si="171"/>
        <v>#DIV/0!</v>
      </c>
      <c r="S257" s="584"/>
      <c r="T257" s="569"/>
      <c r="U257" s="2570"/>
      <c r="W257" s="566">
        <f t="shared" si="172"/>
        <v>0</v>
      </c>
      <c r="X257" s="566">
        <f t="shared" si="173"/>
        <v>0</v>
      </c>
      <c r="Y257" s="566">
        <f t="shared" si="174"/>
        <v>0</v>
      </c>
      <c r="Z257" s="566">
        <f t="shared" si="175"/>
        <v>0</v>
      </c>
      <c r="AA257" s="566">
        <f t="shared" si="176"/>
        <v>0</v>
      </c>
      <c r="AB257" s="566">
        <f t="shared" si="177"/>
        <v>0</v>
      </c>
      <c r="AC257" s="566">
        <f t="shared" si="178"/>
        <v>0</v>
      </c>
      <c r="AD257" s="566">
        <f t="shared" si="179"/>
        <v>0</v>
      </c>
      <c r="AE257" s="566">
        <f t="shared" si="180"/>
        <v>0</v>
      </c>
      <c r="AF257" s="566">
        <f t="shared" si="181"/>
        <v>0</v>
      </c>
      <c r="AG257" s="573"/>
    </row>
    <row r="258" spans="1:33" ht="25.15" customHeight="1">
      <c r="A258" s="585">
        <v>18</v>
      </c>
      <c r="B258" s="586" t="s">
        <v>1484</v>
      </c>
      <c r="C258" s="583"/>
      <c r="D258" s="584"/>
      <c r="E258" s="584"/>
      <c r="F258" s="584"/>
      <c r="G258" s="584"/>
      <c r="H258" s="584"/>
      <c r="I258" s="584"/>
      <c r="J258" s="584"/>
      <c r="K258" s="584"/>
      <c r="L258" s="584"/>
      <c r="M258" s="584"/>
      <c r="N258" s="596">
        <f t="shared" si="169"/>
        <v>0</v>
      </c>
      <c r="O258" s="597">
        <f t="shared" si="170"/>
        <v>0</v>
      </c>
      <c r="P258" s="600" t="e">
        <f>(O258/O296)*100</f>
        <v>#DIV/0!</v>
      </c>
      <c r="Q258" s="624"/>
      <c r="R258" s="686" t="e">
        <f t="shared" si="171"/>
        <v>#DIV/0!</v>
      </c>
      <c r="S258" s="584"/>
      <c r="T258" s="569"/>
      <c r="U258" s="2570"/>
      <c r="W258" s="566">
        <f t="shared" si="172"/>
        <v>0</v>
      </c>
      <c r="X258" s="566">
        <f t="shared" si="173"/>
        <v>0</v>
      </c>
      <c r="Y258" s="566">
        <f t="shared" si="174"/>
        <v>0</v>
      </c>
      <c r="Z258" s="566">
        <f t="shared" si="175"/>
        <v>0</v>
      </c>
      <c r="AA258" s="566">
        <f t="shared" si="176"/>
        <v>0</v>
      </c>
      <c r="AB258" s="566">
        <f t="shared" si="177"/>
        <v>0</v>
      </c>
      <c r="AC258" s="566">
        <f t="shared" si="178"/>
        <v>0</v>
      </c>
      <c r="AD258" s="566">
        <f t="shared" si="179"/>
        <v>0</v>
      </c>
      <c r="AE258" s="566">
        <f t="shared" si="180"/>
        <v>0</v>
      </c>
      <c r="AF258" s="566">
        <f t="shared" si="181"/>
        <v>0</v>
      </c>
      <c r="AG258" s="573"/>
    </row>
    <row r="259" spans="1:33" ht="25.15" customHeight="1">
      <c r="A259" s="585">
        <v>19</v>
      </c>
      <c r="B259" s="586" t="s">
        <v>1485</v>
      </c>
      <c r="C259" s="583"/>
      <c r="D259" s="584"/>
      <c r="E259" s="584"/>
      <c r="F259" s="584"/>
      <c r="G259" s="584"/>
      <c r="H259" s="584"/>
      <c r="I259" s="584"/>
      <c r="J259" s="584"/>
      <c r="K259" s="584"/>
      <c r="L259" s="584"/>
      <c r="M259" s="584"/>
      <c r="N259" s="596">
        <f t="shared" si="169"/>
        <v>0</v>
      </c>
      <c r="O259" s="597">
        <f t="shared" si="170"/>
        <v>0</v>
      </c>
      <c r="P259" s="599" t="e">
        <f>(O259/O296)*100</f>
        <v>#DIV/0!</v>
      </c>
      <c r="Q259" s="620"/>
      <c r="R259" s="686" t="e">
        <f t="shared" si="171"/>
        <v>#DIV/0!</v>
      </c>
      <c r="S259" s="584"/>
      <c r="T259" s="569"/>
      <c r="U259" s="2570"/>
      <c r="W259" s="566">
        <f t="shared" si="172"/>
        <v>0</v>
      </c>
      <c r="X259" s="566">
        <f t="shared" si="173"/>
        <v>0</v>
      </c>
      <c r="Y259" s="566">
        <f t="shared" si="174"/>
        <v>0</v>
      </c>
      <c r="Z259" s="566">
        <f t="shared" si="175"/>
        <v>0</v>
      </c>
      <c r="AA259" s="566">
        <f t="shared" si="176"/>
        <v>0</v>
      </c>
      <c r="AB259" s="566">
        <f t="shared" si="177"/>
        <v>0</v>
      </c>
      <c r="AC259" s="566">
        <f t="shared" si="178"/>
        <v>0</v>
      </c>
      <c r="AD259" s="566">
        <f t="shared" si="179"/>
        <v>0</v>
      </c>
      <c r="AE259" s="566">
        <f t="shared" si="180"/>
        <v>0</v>
      </c>
      <c r="AF259" s="566">
        <f t="shared" si="181"/>
        <v>0</v>
      </c>
      <c r="AG259" s="573"/>
    </row>
    <row r="260" spans="1:33" ht="25.15" customHeight="1">
      <c r="A260" s="585">
        <v>20</v>
      </c>
      <c r="B260" s="586" t="s">
        <v>1486</v>
      </c>
      <c r="C260" s="583"/>
      <c r="D260" s="584"/>
      <c r="E260" s="584"/>
      <c r="F260" s="584"/>
      <c r="G260" s="584"/>
      <c r="H260" s="584"/>
      <c r="I260" s="584"/>
      <c r="J260" s="584"/>
      <c r="K260" s="584"/>
      <c r="L260" s="584"/>
      <c r="M260" s="584"/>
      <c r="N260" s="596">
        <f t="shared" si="169"/>
        <v>0</v>
      </c>
      <c r="O260" s="597">
        <f t="shared" si="170"/>
        <v>0</v>
      </c>
      <c r="P260" s="599" t="e">
        <f>(O260/O296)*100</f>
        <v>#DIV/0!</v>
      </c>
      <c r="Q260" s="620"/>
      <c r="R260" s="686" t="e">
        <f t="shared" si="171"/>
        <v>#DIV/0!</v>
      </c>
      <c r="S260" s="584"/>
      <c r="T260" s="569"/>
      <c r="U260" s="2570"/>
      <c r="W260" s="566">
        <f t="shared" si="172"/>
        <v>0</v>
      </c>
      <c r="X260" s="566">
        <f t="shared" si="173"/>
        <v>0</v>
      </c>
      <c r="Y260" s="566">
        <f t="shared" si="174"/>
        <v>0</v>
      </c>
      <c r="Z260" s="566">
        <f t="shared" si="175"/>
        <v>0</v>
      </c>
      <c r="AA260" s="566">
        <f t="shared" si="176"/>
        <v>0</v>
      </c>
      <c r="AB260" s="566">
        <f t="shared" si="177"/>
        <v>0</v>
      </c>
      <c r="AC260" s="566">
        <f t="shared" si="178"/>
        <v>0</v>
      </c>
      <c r="AD260" s="566">
        <f t="shared" si="179"/>
        <v>0</v>
      </c>
      <c r="AE260" s="566">
        <f t="shared" si="180"/>
        <v>0</v>
      </c>
      <c r="AF260" s="566">
        <f t="shared" si="181"/>
        <v>0</v>
      </c>
      <c r="AG260" s="573"/>
    </row>
    <row r="261" spans="1:33" ht="25.15" customHeight="1">
      <c r="A261" s="585">
        <v>21</v>
      </c>
      <c r="B261" s="586" t="s">
        <v>1487</v>
      </c>
      <c r="C261" s="583"/>
      <c r="D261" s="584"/>
      <c r="E261" s="584"/>
      <c r="F261" s="584"/>
      <c r="G261" s="584"/>
      <c r="H261" s="584"/>
      <c r="I261" s="584"/>
      <c r="J261" s="584"/>
      <c r="K261" s="584"/>
      <c r="L261" s="584"/>
      <c r="M261" s="584"/>
      <c r="N261" s="596">
        <f t="shared" si="169"/>
        <v>0</v>
      </c>
      <c r="O261" s="597">
        <f t="shared" si="170"/>
        <v>0</v>
      </c>
      <c r="P261" s="599" t="e">
        <f>(O261/O296)*100</f>
        <v>#DIV/0!</v>
      </c>
      <c r="Q261" s="620"/>
      <c r="R261" s="686" t="e">
        <f t="shared" si="171"/>
        <v>#DIV/0!</v>
      </c>
      <c r="S261" s="584"/>
      <c r="T261" s="569"/>
      <c r="U261" s="2570"/>
      <c r="W261" s="566">
        <f t="shared" si="172"/>
        <v>0</v>
      </c>
      <c r="X261" s="566">
        <f t="shared" si="173"/>
        <v>0</v>
      </c>
      <c r="Y261" s="566">
        <f t="shared" si="174"/>
        <v>0</v>
      </c>
      <c r="Z261" s="566">
        <f t="shared" si="175"/>
        <v>0</v>
      </c>
      <c r="AA261" s="566">
        <f t="shared" si="176"/>
        <v>0</v>
      </c>
      <c r="AB261" s="566">
        <f t="shared" si="177"/>
        <v>0</v>
      </c>
      <c r="AC261" s="566">
        <f t="shared" si="178"/>
        <v>0</v>
      </c>
      <c r="AD261" s="566">
        <f t="shared" si="179"/>
        <v>0</v>
      </c>
      <c r="AE261" s="566">
        <f t="shared" si="180"/>
        <v>0</v>
      </c>
      <c r="AF261" s="566">
        <f t="shared" si="181"/>
        <v>0</v>
      </c>
      <c r="AG261" s="573"/>
    </row>
    <row r="262" spans="1:33" ht="25.15" customHeight="1">
      <c r="A262" s="585">
        <v>22</v>
      </c>
      <c r="B262" s="586"/>
      <c r="C262" s="583"/>
      <c r="D262" s="584"/>
      <c r="E262" s="584"/>
      <c r="F262" s="584"/>
      <c r="G262" s="584"/>
      <c r="H262" s="584"/>
      <c r="I262" s="584"/>
      <c r="J262" s="584"/>
      <c r="K262" s="584"/>
      <c r="L262" s="584"/>
      <c r="M262" s="584"/>
      <c r="N262" s="596">
        <f t="shared" si="169"/>
        <v>0</v>
      </c>
      <c r="O262" s="597">
        <f t="shared" si="170"/>
        <v>0</v>
      </c>
      <c r="P262" s="599" t="e">
        <f>(O262/O296)*100</f>
        <v>#DIV/0!</v>
      </c>
      <c r="Q262" s="620"/>
      <c r="R262" s="686" t="e">
        <f t="shared" si="171"/>
        <v>#DIV/0!</v>
      </c>
      <c r="S262" s="584"/>
      <c r="T262" s="569"/>
      <c r="U262" s="2570"/>
      <c r="W262" s="566">
        <f t="shared" si="172"/>
        <v>0</v>
      </c>
      <c r="X262" s="566">
        <f t="shared" si="173"/>
        <v>0</v>
      </c>
      <c r="Y262" s="566">
        <f t="shared" si="174"/>
        <v>0</v>
      </c>
      <c r="Z262" s="566">
        <f t="shared" si="175"/>
        <v>0</v>
      </c>
      <c r="AA262" s="566">
        <f t="shared" si="176"/>
        <v>0</v>
      </c>
      <c r="AB262" s="566">
        <f t="shared" si="177"/>
        <v>0</v>
      </c>
      <c r="AC262" s="566">
        <f t="shared" si="178"/>
        <v>0</v>
      </c>
      <c r="AD262" s="566">
        <f t="shared" si="179"/>
        <v>0</v>
      </c>
      <c r="AE262" s="566">
        <f t="shared" si="180"/>
        <v>0</v>
      </c>
      <c r="AF262" s="566">
        <f t="shared" si="181"/>
        <v>0</v>
      </c>
      <c r="AG262" s="573"/>
    </row>
    <row r="263" spans="1:33" ht="25.15" customHeight="1">
      <c r="A263" s="585">
        <v>23</v>
      </c>
      <c r="B263" s="586" t="s">
        <v>1577</v>
      </c>
      <c r="C263" s="583"/>
      <c r="D263" s="584"/>
      <c r="E263" s="584"/>
      <c r="F263" s="584"/>
      <c r="G263" s="584"/>
      <c r="H263" s="584"/>
      <c r="I263" s="584"/>
      <c r="J263" s="584"/>
      <c r="K263" s="584"/>
      <c r="L263" s="584"/>
      <c r="M263" s="584"/>
      <c r="N263" s="596">
        <f t="shared" si="169"/>
        <v>0</v>
      </c>
      <c r="O263" s="597">
        <f t="shared" si="170"/>
        <v>0</v>
      </c>
      <c r="P263" s="599" t="e">
        <f>(O263/O296)*100</f>
        <v>#DIV/0!</v>
      </c>
      <c r="Q263" s="620"/>
      <c r="R263" s="686" t="e">
        <f t="shared" si="171"/>
        <v>#DIV/0!</v>
      </c>
      <c r="S263" s="584"/>
      <c r="T263" s="569"/>
      <c r="U263" s="2570"/>
      <c r="W263" s="566">
        <f t="shared" si="172"/>
        <v>0</v>
      </c>
      <c r="X263" s="566">
        <f t="shared" si="173"/>
        <v>0</v>
      </c>
      <c r="Y263" s="566">
        <f t="shared" si="174"/>
        <v>0</v>
      </c>
      <c r="Z263" s="566">
        <f t="shared" si="175"/>
        <v>0</v>
      </c>
      <c r="AA263" s="566">
        <f t="shared" si="176"/>
        <v>0</v>
      </c>
      <c r="AB263" s="566">
        <f t="shared" si="177"/>
        <v>0</v>
      </c>
      <c r="AC263" s="566">
        <f t="shared" si="178"/>
        <v>0</v>
      </c>
      <c r="AD263" s="566">
        <f t="shared" si="179"/>
        <v>0</v>
      </c>
      <c r="AE263" s="566">
        <f t="shared" si="180"/>
        <v>0</v>
      </c>
      <c r="AF263" s="566">
        <f t="shared" si="181"/>
        <v>0</v>
      </c>
      <c r="AG263" s="573"/>
    </row>
    <row r="264" spans="1:33" ht="25.15" customHeight="1">
      <c r="A264" s="585">
        <v>24</v>
      </c>
      <c r="B264" s="586" t="s">
        <v>1578</v>
      </c>
      <c r="C264" s="583"/>
      <c r="D264" s="584"/>
      <c r="E264" s="584"/>
      <c r="F264" s="584"/>
      <c r="G264" s="584"/>
      <c r="H264" s="584"/>
      <c r="I264" s="584"/>
      <c r="J264" s="584"/>
      <c r="K264" s="584"/>
      <c r="L264" s="584"/>
      <c r="M264" s="584"/>
      <c r="N264" s="596">
        <f t="shared" si="169"/>
        <v>0</v>
      </c>
      <c r="O264" s="597">
        <f t="shared" si="170"/>
        <v>0</v>
      </c>
      <c r="P264" s="599" t="e">
        <f>(O264/O296)*100</f>
        <v>#DIV/0!</v>
      </c>
      <c r="Q264" s="620"/>
      <c r="R264" s="686" t="e">
        <f t="shared" si="171"/>
        <v>#DIV/0!</v>
      </c>
      <c r="S264" s="584"/>
      <c r="T264" s="569"/>
      <c r="U264" s="2570"/>
      <c r="W264" s="566">
        <f t="shared" si="172"/>
        <v>0</v>
      </c>
      <c r="X264" s="566">
        <f t="shared" si="173"/>
        <v>0</v>
      </c>
      <c r="Y264" s="566">
        <f t="shared" si="174"/>
        <v>0</v>
      </c>
      <c r="Z264" s="566">
        <f t="shared" si="175"/>
        <v>0</v>
      </c>
      <c r="AA264" s="566">
        <f t="shared" si="176"/>
        <v>0</v>
      </c>
      <c r="AB264" s="566">
        <f t="shared" si="177"/>
        <v>0</v>
      </c>
      <c r="AC264" s="566">
        <f t="shared" si="178"/>
        <v>0</v>
      </c>
      <c r="AD264" s="566">
        <f t="shared" si="179"/>
        <v>0</v>
      </c>
      <c r="AE264" s="566">
        <f t="shared" si="180"/>
        <v>0</v>
      </c>
      <c r="AF264" s="566">
        <f t="shared" si="181"/>
        <v>0</v>
      </c>
      <c r="AG264" s="573"/>
    </row>
    <row r="265" spans="1:33" ht="25.15" customHeight="1">
      <c r="A265" s="585">
        <v>25</v>
      </c>
      <c r="B265" s="586" t="s">
        <v>1488</v>
      </c>
      <c r="C265" s="583"/>
      <c r="D265" s="584"/>
      <c r="E265" s="584"/>
      <c r="F265" s="584"/>
      <c r="G265" s="584"/>
      <c r="H265" s="584"/>
      <c r="I265" s="584"/>
      <c r="J265" s="584"/>
      <c r="K265" s="584"/>
      <c r="L265" s="584"/>
      <c r="M265" s="584"/>
      <c r="N265" s="596">
        <f t="shared" si="169"/>
        <v>0</v>
      </c>
      <c r="O265" s="597">
        <f t="shared" si="170"/>
        <v>0</v>
      </c>
      <c r="P265" s="599" t="e">
        <f>(O265/O296)*100</f>
        <v>#DIV/0!</v>
      </c>
      <c r="Q265" s="620"/>
      <c r="R265" s="686" t="e">
        <f t="shared" si="171"/>
        <v>#DIV/0!</v>
      </c>
      <c r="S265" s="584"/>
      <c r="T265" s="569"/>
      <c r="U265" s="2570"/>
      <c r="W265" s="566">
        <f t="shared" si="172"/>
        <v>0</v>
      </c>
      <c r="X265" s="566">
        <f t="shared" si="173"/>
        <v>0</v>
      </c>
      <c r="Y265" s="566">
        <f t="shared" si="174"/>
        <v>0</v>
      </c>
      <c r="Z265" s="566">
        <f t="shared" si="175"/>
        <v>0</v>
      </c>
      <c r="AA265" s="566">
        <f t="shared" si="176"/>
        <v>0</v>
      </c>
      <c r="AB265" s="566">
        <f t="shared" si="177"/>
        <v>0</v>
      </c>
      <c r="AC265" s="566">
        <f t="shared" si="178"/>
        <v>0</v>
      </c>
      <c r="AD265" s="566">
        <f t="shared" si="179"/>
        <v>0</v>
      </c>
      <c r="AE265" s="566">
        <f t="shared" si="180"/>
        <v>0</v>
      </c>
      <c r="AF265" s="566">
        <f t="shared" si="181"/>
        <v>0</v>
      </c>
      <c r="AG265" s="573"/>
    </row>
    <row r="266" spans="1:33" ht="25.15" customHeight="1">
      <c r="A266" s="585">
        <v>26</v>
      </c>
      <c r="B266" s="586" t="s">
        <v>1489</v>
      </c>
      <c r="C266" s="583"/>
      <c r="D266" s="584"/>
      <c r="E266" s="584"/>
      <c r="F266" s="584"/>
      <c r="G266" s="584"/>
      <c r="H266" s="584"/>
      <c r="I266" s="584"/>
      <c r="J266" s="584"/>
      <c r="K266" s="584"/>
      <c r="L266" s="584"/>
      <c r="M266" s="584"/>
      <c r="N266" s="596">
        <f t="shared" si="169"/>
        <v>0</v>
      </c>
      <c r="O266" s="597">
        <f t="shared" si="170"/>
        <v>0</v>
      </c>
      <c r="P266" s="599" t="e">
        <f>(O266/O296)*100</f>
        <v>#DIV/0!</v>
      </c>
      <c r="Q266" s="620"/>
      <c r="R266" s="686" t="e">
        <f t="shared" si="171"/>
        <v>#DIV/0!</v>
      </c>
      <c r="S266" s="584"/>
      <c r="T266" s="569"/>
      <c r="U266" s="2570"/>
      <c r="W266" s="566">
        <f t="shared" si="172"/>
        <v>0</v>
      </c>
      <c r="X266" s="566">
        <f t="shared" si="173"/>
        <v>0</v>
      </c>
      <c r="Y266" s="566">
        <f t="shared" si="174"/>
        <v>0</v>
      </c>
      <c r="Z266" s="566">
        <f t="shared" si="175"/>
        <v>0</v>
      </c>
      <c r="AA266" s="566">
        <f t="shared" si="176"/>
        <v>0</v>
      </c>
      <c r="AB266" s="566">
        <f t="shared" si="177"/>
        <v>0</v>
      </c>
      <c r="AC266" s="566">
        <f t="shared" si="178"/>
        <v>0</v>
      </c>
      <c r="AD266" s="566">
        <f t="shared" si="179"/>
        <v>0</v>
      </c>
      <c r="AE266" s="566">
        <f t="shared" si="180"/>
        <v>0</v>
      </c>
      <c r="AF266" s="566">
        <f t="shared" si="181"/>
        <v>0</v>
      </c>
      <c r="AG266" s="573"/>
    </row>
    <row r="267" spans="1:33" ht="25.15" customHeight="1">
      <c r="A267" s="585">
        <v>27</v>
      </c>
      <c r="B267" s="586" t="s">
        <v>1490</v>
      </c>
      <c r="C267" s="583"/>
      <c r="D267" s="584"/>
      <c r="E267" s="584"/>
      <c r="F267" s="584"/>
      <c r="G267" s="584"/>
      <c r="H267" s="584"/>
      <c r="I267" s="584"/>
      <c r="J267" s="584"/>
      <c r="K267" s="584"/>
      <c r="L267" s="584"/>
      <c r="M267" s="584"/>
      <c r="N267" s="596">
        <f t="shared" si="169"/>
        <v>0</v>
      </c>
      <c r="O267" s="597">
        <f t="shared" si="170"/>
        <v>0</v>
      </c>
      <c r="P267" s="599" t="e">
        <f>(O267/O296)*100</f>
        <v>#DIV/0!</v>
      </c>
      <c r="Q267" s="620"/>
      <c r="R267" s="686" t="e">
        <f t="shared" si="171"/>
        <v>#DIV/0!</v>
      </c>
      <c r="S267" s="584"/>
      <c r="T267" s="569"/>
      <c r="U267" s="2570"/>
      <c r="W267" s="566">
        <f t="shared" si="172"/>
        <v>0</v>
      </c>
      <c r="X267" s="566">
        <f t="shared" si="173"/>
        <v>0</v>
      </c>
      <c r="Y267" s="566">
        <f t="shared" si="174"/>
        <v>0</v>
      </c>
      <c r="Z267" s="566">
        <f t="shared" si="175"/>
        <v>0</v>
      </c>
      <c r="AA267" s="566">
        <f t="shared" si="176"/>
        <v>0</v>
      </c>
      <c r="AB267" s="566">
        <f t="shared" si="177"/>
        <v>0</v>
      </c>
      <c r="AC267" s="566">
        <f t="shared" si="178"/>
        <v>0</v>
      </c>
      <c r="AD267" s="566">
        <f t="shared" si="179"/>
        <v>0</v>
      </c>
      <c r="AE267" s="566">
        <f t="shared" si="180"/>
        <v>0</v>
      </c>
      <c r="AF267" s="566">
        <f t="shared" si="181"/>
        <v>0</v>
      </c>
      <c r="AG267" s="573"/>
    </row>
    <row r="268" spans="1:33" ht="25.15" customHeight="1">
      <c r="A268" s="585">
        <v>28</v>
      </c>
      <c r="B268" s="586" t="s">
        <v>1491</v>
      </c>
      <c r="C268" s="583"/>
      <c r="D268" s="584"/>
      <c r="E268" s="584"/>
      <c r="F268" s="584"/>
      <c r="G268" s="584"/>
      <c r="H268" s="584"/>
      <c r="I268" s="584"/>
      <c r="J268" s="584"/>
      <c r="K268" s="584"/>
      <c r="L268" s="584"/>
      <c r="M268" s="584"/>
      <c r="N268" s="596">
        <f t="shared" si="169"/>
        <v>0</v>
      </c>
      <c r="O268" s="597">
        <f t="shared" si="170"/>
        <v>0</v>
      </c>
      <c r="P268" s="599" t="e">
        <f>(O268/O296)*100</f>
        <v>#DIV/0!</v>
      </c>
      <c r="Q268" s="620"/>
      <c r="R268" s="686" t="e">
        <f t="shared" si="171"/>
        <v>#DIV/0!</v>
      </c>
      <c r="S268" s="584"/>
      <c r="T268" s="569"/>
      <c r="U268" s="2570"/>
      <c r="W268" s="566">
        <f t="shared" si="172"/>
        <v>0</v>
      </c>
      <c r="X268" s="566">
        <f t="shared" si="173"/>
        <v>0</v>
      </c>
      <c r="Y268" s="566">
        <f t="shared" si="174"/>
        <v>0</v>
      </c>
      <c r="Z268" s="566">
        <f t="shared" si="175"/>
        <v>0</v>
      </c>
      <c r="AA268" s="566">
        <f t="shared" si="176"/>
        <v>0</v>
      </c>
      <c r="AB268" s="566">
        <f t="shared" si="177"/>
        <v>0</v>
      </c>
      <c r="AC268" s="566">
        <f t="shared" si="178"/>
        <v>0</v>
      </c>
      <c r="AD268" s="566">
        <f t="shared" si="179"/>
        <v>0</v>
      </c>
      <c r="AE268" s="566">
        <f t="shared" si="180"/>
        <v>0</v>
      </c>
      <c r="AF268" s="566">
        <f t="shared" si="181"/>
        <v>0</v>
      </c>
      <c r="AG268" s="573"/>
    </row>
    <row r="269" spans="1:33" ht="25.15" customHeight="1">
      <c r="A269" s="585">
        <v>29</v>
      </c>
      <c r="B269" s="586" t="s">
        <v>1579</v>
      </c>
      <c r="C269" s="583"/>
      <c r="D269" s="584"/>
      <c r="E269" s="584"/>
      <c r="F269" s="584"/>
      <c r="G269" s="584"/>
      <c r="H269" s="584"/>
      <c r="I269" s="584"/>
      <c r="J269" s="584"/>
      <c r="K269" s="584"/>
      <c r="L269" s="584"/>
      <c r="M269" s="584"/>
      <c r="N269" s="596">
        <f t="shared" si="169"/>
        <v>0</v>
      </c>
      <c r="O269" s="597">
        <f t="shared" si="170"/>
        <v>0</v>
      </c>
      <c r="P269" s="599" t="e">
        <f>(O269/O296)*100</f>
        <v>#DIV/0!</v>
      </c>
      <c r="Q269" s="620"/>
      <c r="R269" s="686" t="e">
        <f t="shared" si="171"/>
        <v>#DIV/0!</v>
      </c>
      <c r="S269" s="584"/>
      <c r="T269" s="569"/>
      <c r="U269" s="2570"/>
      <c r="W269" s="566">
        <f t="shared" si="172"/>
        <v>0</v>
      </c>
      <c r="X269" s="566">
        <f t="shared" si="173"/>
        <v>0</v>
      </c>
      <c r="Y269" s="566">
        <f t="shared" si="174"/>
        <v>0</v>
      </c>
      <c r="Z269" s="566">
        <f t="shared" si="175"/>
        <v>0</v>
      </c>
      <c r="AA269" s="566">
        <f t="shared" si="176"/>
        <v>0</v>
      </c>
      <c r="AB269" s="566">
        <f t="shared" si="177"/>
        <v>0</v>
      </c>
      <c r="AC269" s="566">
        <f t="shared" si="178"/>
        <v>0</v>
      </c>
      <c r="AD269" s="566">
        <f t="shared" si="179"/>
        <v>0</v>
      </c>
      <c r="AE269" s="566">
        <f t="shared" si="180"/>
        <v>0</v>
      </c>
      <c r="AF269" s="566">
        <f t="shared" si="181"/>
        <v>0</v>
      </c>
      <c r="AG269" s="573"/>
    </row>
    <row r="270" spans="1:33" ht="25.15" customHeight="1">
      <c r="A270" s="585">
        <v>30</v>
      </c>
      <c r="B270" s="586" t="s">
        <v>1580</v>
      </c>
      <c r="C270" s="583"/>
      <c r="D270" s="584"/>
      <c r="E270" s="584"/>
      <c r="F270" s="584"/>
      <c r="G270" s="584"/>
      <c r="H270" s="584"/>
      <c r="I270" s="584"/>
      <c r="J270" s="584"/>
      <c r="K270" s="584"/>
      <c r="L270" s="584"/>
      <c r="M270" s="584"/>
      <c r="N270" s="596">
        <f t="shared" si="169"/>
        <v>0</v>
      </c>
      <c r="O270" s="597">
        <f t="shared" si="170"/>
        <v>0</v>
      </c>
      <c r="P270" s="599" t="e">
        <f>(O270/O296)*100</f>
        <v>#DIV/0!</v>
      </c>
      <c r="Q270" s="620"/>
      <c r="R270" s="686" t="e">
        <f t="shared" si="171"/>
        <v>#DIV/0!</v>
      </c>
      <c r="S270" s="584"/>
      <c r="T270" s="569"/>
      <c r="U270" s="2570"/>
      <c r="W270" s="566">
        <f t="shared" si="172"/>
        <v>0</v>
      </c>
      <c r="X270" s="566">
        <f t="shared" si="173"/>
        <v>0</v>
      </c>
      <c r="Y270" s="566">
        <f t="shared" si="174"/>
        <v>0</v>
      </c>
      <c r="Z270" s="566">
        <f t="shared" si="175"/>
        <v>0</v>
      </c>
      <c r="AA270" s="566">
        <f t="shared" si="176"/>
        <v>0</v>
      </c>
      <c r="AB270" s="566">
        <f t="shared" si="177"/>
        <v>0</v>
      </c>
      <c r="AC270" s="566">
        <f t="shared" si="178"/>
        <v>0</v>
      </c>
      <c r="AD270" s="566">
        <f t="shared" si="179"/>
        <v>0</v>
      </c>
      <c r="AE270" s="566">
        <f t="shared" si="180"/>
        <v>0</v>
      </c>
      <c r="AF270" s="566">
        <f t="shared" si="181"/>
        <v>0</v>
      </c>
      <c r="AG270" s="573"/>
    </row>
    <row r="271" spans="1:33" ht="25.15" customHeight="1">
      <c r="A271" s="585">
        <v>31</v>
      </c>
      <c r="B271" s="586"/>
      <c r="C271" s="583"/>
      <c r="D271" s="584"/>
      <c r="E271" s="584"/>
      <c r="F271" s="584"/>
      <c r="G271" s="584"/>
      <c r="H271" s="584"/>
      <c r="I271" s="584"/>
      <c r="J271" s="584"/>
      <c r="K271" s="584"/>
      <c r="L271" s="584"/>
      <c r="M271" s="584"/>
      <c r="N271" s="596">
        <f t="shared" si="169"/>
        <v>0</v>
      </c>
      <c r="O271" s="597">
        <f t="shared" si="170"/>
        <v>0</v>
      </c>
      <c r="P271" s="599" t="e">
        <f>(O271/O296)*100</f>
        <v>#DIV/0!</v>
      </c>
      <c r="Q271" s="620"/>
      <c r="R271" s="686" t="e">
        <f t="shared" si="171"/>
        <v>#DIV/0!</v>
      </c>
      <c r="S271" s="584"/>
      <c r="T271" s="569"/>
      <c r="U271" s="2570"/>
      <c r="W271" s="566">
        <f t="shared" si="172"/>
        <v>0</v>
      </c>
      <c r="X271" s="566">
        <f t="shared" si="173"/>
        <v>0</v>
      </c>
      <c r="Y271" s="566">
        <f t="shared" si="174"/>
        <v>0</v>
      </c>
      <c r="Z271" s="566">
        <f t="shared" si="175"/>
        <v>0</v>
      </c>
      <c r="AA271" s="566">
        <f t="shared" si="176"/>
        <v>0</v>
      </c>
      <c r="AB271" s="566">
        <f t="shared" si="177"/>
        <v>0</v>
      </c>
      <c r="AC271" s="566">
        <f t="shared" si="178"/>
        <v>0</v>
      </c>
      <c r="AD271" s="566">
        <f t="shared" si="179"/>
        <v>0</v>
      </c>
      <c r="AE271" s="566">
        <f t="shared" si="180"/>
        <v>0</v>
      </c>
      <c r="AF271" s="566">
        <f t="shared" si="181"/>
        <v>0</v>
      </c>
      <c r="AG271" s="573"/>
    </row>
    <row r="272" spans="1:33" ht="25.15" customHeight="1">
      <c r="A272" s="585">
        <v>32</v>
      </c>
      <c r="B272" s="586" t="s">
        <v>1581</v>
      </c>
      <c r="C272" s="583"/>
      <c r="D272" s="584"/>
      <c r="E272" s="584"/>
      <c r="F272" s="584"/>
      <c r="G272" s="584"/>
      <c r="H272" s="584"/>
      <c r="I272" s="584"/>
      <c r="J272" s="584"/>
      <c r="K272" s="584"/>
      <c r="L272" s="584"/>
      <c r="M272" s="584"/>
      <c r="N272" s="596">
        <f t="shared" si="169"/>
        <v>0</v>
      </c>
      <c r="O272" s="597">
        <f t="shared" si="170"/>
        <v>0</v>
      </c>
      <c r="P272" s="599" t="e">
        <f>(O272/O296)*100</f>
        <v>#DIV/0!</v>
      </c>
      <c r="Q272" s="620"/>
      <c r="R272" s="686" t="e">
        <f t="shared" si="171"/>
        <v>#DIV/0!</v>
      </c>
      <c r="S272" s="584"/>
      <c r="T272" s="569"/>
      <c r="U272" s="2570"/>
      <c r="W272" s="566">
        <f t="shared" si="172"/>
        <v>0</v>
      </c>
      <c r="X272" s="566">
        <f t="shared" si="173"/>
        <v>0</v>
      </c>
      <c r="Y272" s="566">
        <f t="shared" si="174"/>
        <v>0</v>
      </c>
      <c r="Z272" s="566">
        <f t="shared" si="175"/>
        <v>0</v>
      </c>
      <c r="AA272" s="566">
        <f t="shared" si="176"/>
        <v>0</v>
      </c>
      <c r="AB272" s="566">
        <f t="shared" si="177"/>
        <v>0</v>
      </c>
      <c r="AC272" s="566">
        <f t="shared" si="178"/>
        <v>0</v>
      </c>
      <c r="AD272" s="566">
        <f t="shared" si="179"/>
        <v>0</v>
      </c>
      <c r="AE272" s="566">
        <f t="shared" si="180"/>
        <v>0</v>
      </c>
      <c r="AF272" s="566">
        <f t="shared" si="181"/>
        <v>0</v>
      </c>
      <c r="AG272" s="573"/>
    </row>
    <row r="273" spans="1:33" ht="25.15" customHeight="1">
      <c r="A273" s="585">
        <v>33</v>
      </c>
      <c r="B273" s="586" t="s">
        <v>1493</v>
      </c>
      <c r="C273" s="583"/>
      <c r="D273" s="584"/>
      <c r="E273" s="584"/>
      <c r="F273" s="584"/>
      <c r="G273" s="584"/>
      <c r="H273" s="584"/>
      <c r="I273" s="584"/>
      <c r="J273" s="584"/>
      <c r="K273" s="584"/>
      <c r="L273" s="584"/>
      <c r="M273" s="584"/>
      <c r="N273" s="596">
        <f t="shared" ref="N273:N294" si="182">SUM(D273:M273)</f>
        <v>0</v>
      </c>
      <c r="O273" s="597">
        <f t="shared" ref="O273:O294" si="183">N273*S273</f>
        <v>0</v>
      </c>
      <c r="P273" s="599" t="e">
        <f>(O273/O296)*100</f>
        <v>#DIV/0!</v>
      </c>
      <c r="Q273" s="620"/>
      <c r="R273" s="686" t="e">
        <f t="shared" ref="R273:R294" si="184">P273*Q273</f>
        <v>#DIV/0!</v>
      </c>
      <c r="S273" s="584"/>
      <c r="T273" s="569"/>
      <c r="U273" s="2570"/>
      <c r="W273" s="566">
        <f t="shared" ref="W273:W294" si="185">D273*S273</f>
        <v>0</v>
      </c>
      <c r="X273" s="566">
        <f t="shared" ref="X273:X294" si="186">E273*S273</f>
        <v>0</v>
      </c>
      <c r="Y273" s="566">
        <f t="shared" ref="Y273:Y294" si="187">F273*S273</f>
        <v>0</v>
      </c>
      <c r="Z273" s="566">
        <f t="shared" ref="Z273:Z294" si="188">G273*S273</f>
        <v>0</v>
      </c>
      <c r="AA273" s="566">
        <f t="shared" ref="AA273:AA294" si="189">H273*S273</f>
        <v>0</v>
      </c>
      <c r="AB273" s="566">
        <f t="shared" ref="AB273:AB294" si="190">I273*S273</f>
        <v>0</v>
      </c>
      <c r="AC273" s="566">
        <f t="shared" ref="AC273:AC294" si="191">J273*S273</f>
        <v>0</v>
      </c>
      <c r="AD273" s="566">
        <f t="shared" ref="AD273:AD294" si="192">K273*S273</f>
        <v>0</v>
      </c>
      <c r="AE273" s="566">
        <f t="shared" ref="AE273:AE294" si="193">L273*S273</f>
        <v>0</v>
      </c>
      <c r="AF273" s="566">
        <f t="shared" ref="AF273:AF294" si="194">M273*S273</f>
        <v>0</v>
      </c>
      <c r="AG273" s="573"/>
    </row>
    <row r="274" spans="1:33" ht="25.15" customHeight="1">
      <c r="A274" s="585">
        <v>34</v>
      </c>
      <c r="B274" s="586" t="s">
        <v>1582</v>
      </c>
      <c r="C274" s="583"/>
      <c r="D274" s="584"/>
      <c r="E274" s="584"/>
      <c r="F274" s="584"/>
      <c r="G274" s="584"/>
      <c r="H274" s="584"/>
      <c r="I274" s="584"/>
      <c r="J274" s="584"/>
      <c r="K274" s="584"/>
      <c r="L274" s="584"/>
      <c r="M274" s="584"/>
      <c r="N274" s="596">
        <f t="shared" si="182"/>
        <v>0</v>
      </c>
      <c r="O274" s="597">
        <f t="shared" si="183"/>
        <v>0</v>
      </c>
      <c r="P274" s="599" t="e">
        <f>(O274/O296)*100</f>
        <v>#DIV/0!</v>
      </c>
      <c r="Q274" s="625"/>
      <c r="R274" s="686" t="e">
        <f t="shared" si="184"/>
        <v>#DIV/0!</v>
      </c>
      <c r="S274" s="584"/>
      <c r="T274" s="569"/>
      <c r="U274" s="2570"/>
      <c r="W274" s="566">
        <f t="shared" si="185"/>
        <v>0</v>
      </c>
      <c r="X274" s="566">
        <f t="shared" si="186"/>
        <v>0</v>
      </c>
      <c r="Y274" s="566">
        <f t="shared" si="187"/>
        <v>0</v>
      </c>
      <c r="Z274" s="566">
        <f t="shared" si="188"/>
        <v>0</v>
      </c>
      <c r="AA274" s="566">
        <f t="shared" si="189"/>
        <v>0</v>
      </c>
      <c r="AB274" s="566">
        <f t="shared" si="190"/>
        <v>0</v>
      </c>
      <c r="AC274" s="566">
        <f t="shared" si="191"/>
        <v>0</v>
      </c>
      <c r="AD274" s="566">
        <f t="shared" si="192"/>
        <v>0</v>
      </c>
      <c r="AE274" s="566">
        <f t="shared" si="193"/>
        <v>0</v>
      </c>
      <c r="AF274" s="566">
        <f t="shared" si="194"/>
        <v>0</v>
      </c>
      <c r="AG274" s="573"/>
    </row>
    <row r="275" spans="1:33" ht="25.15" customHeight="1">
      <c r="A275" s="585">
        <v>35</v>
      </c>
      <c r="B275" s="586" t="s">
        <v>1494</v>
      </c>
      <c r="C275" s="583"/>
      <c r="D275" s="584"/>
      <c r="E275" s="584"/>
      <c r="F275" s="584"/>
      <c r="G275" s="584"/>
      <c r="H275" s="584"/>
      <c r="I275" s="584"/>
      <c r="J275" s="584"/>
      <c r="K275" s="584"/>
      <c r="L275" s="584"/>
      <c r="M275" s="584"/>
      <c r="N275" s="596">
        <f t="shared" si="182"/>
        <v>0</v>
      </c>
      <c r="O275" s="597">
        <f t="shared" si="183"/>
        <v>0</v>
      </c>
      <c r="P275" s="599" t="e">
        <f>(O275/O296)*100</f>
        <v>#DIV/0!</v>
      </c>
      <c r="Q275" s="625"/>
      <c r="R275" s="686" t="e">
        <f t="shared" si="184"/>
        <v>#DIV/0!</v>
      </c>
      <c r="S275" s="584"/>
      <c r="T275" s="569"/>
      <c r="U275" s="2570"/>
      <c r="W275" s="566">
        <f t="shared" si="185"/>
        <v>0</v>
      </c>
      <c r="X275" s="566">
        <f t="shared" si="186"/>
        <v>0</v>
      </c>
      <c r="Y275" s="566">
        <f t="shared" si="187"/>
        <v>0</v>
      </c>
      <c r="Z275" s="566">
        <f t="shared" si="188"/>
        <v>0</v>
      </c>
      <c r="AA275" s="566">
        <f t="shared" si="189"/>
        <v>0</v>
      </c>
      <c r="AB275" s="566">
        <f t="shared" si="190"/>
        <v>0</v>
      </c>
      <c r="AC275" s="566">
        <f t="shared" si="191"/>
        <v>0</v>
      </c>
      <c r="AD275" s="566">
        <f t="shared" si="192"/>
        <v>0</v>
      </c>
      <c r="AE275" s="566">
        <f t="shared" si="193"/>
        <v>0</v>
      </c>
      <c r="AF275" s="566">
        <f t="shared" si="194"/>
        <v>0</v>
      </c>
      <c r="AG275" s="573"/>
    </row>
    <row r="276" spans="1:33" ht="25.15" customHeight="1">
      <c r="A276" s="585">
        <v>36</v>
      </c>
      <c r="B276" s="586"/>
      <c r="C276" s="583"/>
      <c r="D276" s="584"/>
      <c r="E276" s="584"/>
      <c r="F276" s="584"/>
      <c r="G276" s="584"/>
      <c r="H276" s="584"/>
      <c r="I276" s="584"/>
      <c r="J276" s="584"/>
      <c r="K276" s="584"/>
      <c r="L276" s="584"/>
      <c r="M276" s="584"/>
      <c r="N276" s="596">
        <f t="shared" si="182"/>
        <v>0</v>
      </c>
      <c r="O276" s="597">
        <f t="shared" si="183"/>
        <v>0</v>
      </c>
      <c r="P276" s="599" t="e">
        <f>(O276/O296)*100</f>
        <v>#DIV/0!</v>
      </c>
      <c r="Q276" s="625"/>
      <c r="R276" s="686" t="e">
        <f t="shared" si="184"/>
        <v>#DIV/0!</v>
      </c>
      <c r="S276" s="584"/>
      <c r="T276" s="569"/>
      <c r="U276" s="2570"/>
      <c r="W276" s="566">
        <f t="shared" si="185"/>
        <v>0</v>
      </c>
      <c r="X276" s="566">
        <f t="shared" si="186"/>
        <v>0</v>
      </c>
      <c r="Y276" s="566">
        <f t="shared" si="187"/>
        <v>0</v>
      </c>
      <c r="Z276" s="566">
        <f t="shared" si="188"/>
        <v>0</v>
      </c>
      <c r="AA276" s="566">
        <f t="shared" si="189"/>
        <v>0</v>
      </c>
      <c r="AB276" s="566">
        <f t="shared" si="190"/>
        <v>0</v>
      </c>
      <c r="AC276" s="566">
        <f t="shared" si="191"/>
        <v>0</v>
      </c>
      <c r="AD276" s="566">
        <f t="shared" si="192"/>
        <v>0</v>
      </c>
      <c r="AE276" s="566">
        <f t="shared" si="193"/>
        <v>0</v>
      </c>
      <c r="AF276" s="566">
        <f t="shared" si="194"/>
        <v>0</v>
      </c>
      <c r="AG276" s="573"/>
    </row>
    <row r="277" spans="1:33" ht="25.15" customHeight="1">
      <c r="A277" s="585">
        <v>37</v>
      </c>
      <c r="B277" s="586" t="s">
        <v>1495</v>
      </c>
      <c r="C277" s="583"/>
      <c r="D277" s="584"/>
      <c r="E277" s="584"/>
      <c r="F277" s="584"/>
      <c r="G277" s="584"/>
      <c r="H277" s="584"/>
      <c r="I277" s="584"/>
      <c r="J277" s="584"/>
      <c r="K277" s="584"/>
      <c r="L277" s="584"/>
      <c r="M277" s="584"/>
      <c r="N277" s="596">
        <f t="shared" si="182"/>
        <v>0</v>
      </c>
      <c r="O277" s="597">
        <f t="shared" si="183"/>
        <v>0</v>
      </c>
      <c r="P277" s="599" t="e">
        <f>O277/O296*100</f>
        <v>#DIV/0!</v>
      </c>
      <c r="Q277" s="625"/>
      <c r="R277" s="686" t="e">
        <f t="shared" si="184"/>
        <v>#DIV/0!</v>
      </c>
      <c r="S277" s="584"/>
      <c r="T277" s="569"/>
      <c r="U277" s="2570"/>
      <c r="W277" s="566">
        <f t="shared" si="185"/>
        <v>0</v>
      </c>
      <c r="X277" s="566">
        <f t="shared" si="186"/>
        <v>0</v>
      </c>
      <c r="Y277" s="566">
        <f t="shared" si="187"/>
        <v>0</v>
      </c>
      <c r="Z277" s="566">
        <f t="shared" si="188"/>
        <v>0</v>
      </c>
      <c r="AA277" s="566">
        <f t="shared" si="189"/>
        <v>0</v>
      </c>
      <c r="AB277" s="566">
        <f t="shared" si="190"/>
        <v>0</v>
      </c>
      <c r="AC277" s="566">
        <f t="shared" si="191"/>
        <v>0</v>
      </c>
      <c r="AD277" s="566">
        <f t="shared" si="192"/>
        <v>0</v>
      </c>
      <c r="AE277" s="566">
        <f t="shared" si="193"/>
        <v>0</v>
      </c>
      <c r="AF277" s="566">
        <f t="shared" si="194"/>
        <v>0</v>
      </c>
      <c r="AG277" s="573"/>
    </row>
    <row r="278" spans="1:33" ht="25.15" customHeight="1">
      <c r="A278" s="585">
        <v>38</v>
      </c>
      <c r="B278" s="586"/>
      <c r="C278" s="583"/>
      <c r="D278" s="584"/>
      <c r="E278" s="584"/>
      <c r="F278" s="584"/>
      <c r="G278" s="584"/>
      <c r="H278" s="584"/>
      <c r="I278" s="584"/>
      <c r="J278" s="584"/>
      <c r="K278" s="584"/>
      <c r="L278" s="584"/>
      <c r="M278" s="584"/>
      <c r="N278" s="596">
        <f t="shared" si="182"/>
        <v>0</v>
      </c>
      <c r="O278" s="597">
        <f t="shared" si="183"/>
        <v>0</v>
      </c>
      <c r="P278" s="599" t="e">
        <f>(O278/O296)*100</f>
        <v>#DIV/0!</v>
      </c>
      <c r="Q278" s="625"/>
      <c r="R278" s="686" t="e">
        <f t="shared" si="184"/>
        <v>#DIV/0!</v>
      </c>
      <c r="S278" s="584"/>
      <c r="T278" s="569"/>
      <c r="U278" s="2570"/>
      <c r="W278" s="566">
        <f t="shared" si="185"/>
        <v>0</v>
      </c>
      <c r="X278" s="566">
        <f t="shared" si="186"/>
        <v>0</v>
      </c>
      <c r="Y278" s="566">
        <f t="shared" si="187"/>
        <v>0</v>
      </c>
      <c r="Z278" s="566">
        <f t="shared" si="188"/>
        <v>0</v>
      </c>
      <c r="AA278" s="566">
        <f t="shared" si="189"/>
        <v>0</v>
      </c>
      <c r="AB278" s="566">
        <f t="shared" si="190"/>
        <v>0</v>
      </c>
      <c r="AC278" s="566">
        <f t="shared" si="191"/>
        <v>0</v>
      </c>
      <c r="AD278" s="566">
        <f t="shared" si="192"/>
        <v>0</v>
      </c>
      <c r="AE278" s="566">
        <f t="shared" si="193"/>
        <v>0</v>
      </c>
      <c r="AF278" s="566">
        <f t="shared" si="194"/>
        <v>0</v>
      </c>
      <c r="AG278" s="573"/>
    </row>
    <row r="279" spans="1:33" ht="25.15" customHeight="1">
      <c r="A279" s="585">
        <v>39</v>
      </c>
      <c r="B279" s="586"/>
      <c r="C279" s="583"/>
      <c r="D279" s="584"/>
      <c r="E279" s="584"/>
      <c r="F279" s="584"/>
      <c r="G279" s="584"/>
      <c r="H279" s="584"/>
      <c r="I279" s="584"/>
      <c r="J279" s="584"/>
      <c r="K279" s="584"/>
      <c r="L279" s="584"/>
      <c r="M279" s="584"/>
      <c r="N279" s="596">
        <f t="shared" si="182"/>
        <v>0</v>
      </c>
      <c r="O279" s="597">
        <f t="shared" si="183"/>
        <v>0</v>
      </c>
      <c r="P279" s="599" t="e">
        <f>(O279/O296)*100</f>
        <v>#DIV/0!</v>
      </c>
      <c r="Q279" s="625">
        <v>0.5</v>
      </c>
      <c r="R279" s="686" t="e">
        <f t="shared" si="184"/>
        <v>#DIV/0!</v>
      </c>
      <c r="S279" s="584"/>
      <c r="T279" s="569"/>
      <c r="U279" s="2570"/>
      <c r="W279" s="566">
        <f t="shared" si="185"/>
        <v>0</v>
      </c>
      <c r="X279" s="566">
        <f t="shared" si="186"/>
        <v>0</v>
      </c>
      <c r="Y279" s="566">
        <f t="shared" si="187"/>
        <v>0</v>
      </c>
      <c r="Z279" s="566">
        <f t="shared" si="188"/>
        <v>0</v>
      </c>
      <c r="AA279" s="566">
        <f t="shared" si="189"/>
        <v>0</v>
      </c>
      <c r="AB279" s="566">
        <f t="shared" si="190"/>
        <v>0</v>
      </c>
      <c r="AC279" s="566">
        <f t="shared" si="191"/>
        <v>0</v>
      </c>
      <c r="AD279" s="566">
        <f t="shared" si="192"/>
        <v>0</v>
      </c>
      <c r="AE279" s="566">
        <f t="shared" si="193"/>
        <v>0</v>
      </c>
      <c r="AF279" s="566">
        <f t="shared" si="194"/>
        <v>0</v>
      </c>
      <c r="AG279" s="573"/>
    </row>
    <row r="280" spans="1:33" ht="25.15" customHeight="1">
      <c r="A280" s="585">
        <v>40</v>
      </c>
      <c r="B280" s="587"/>
      <c r="C280" s="583"/>
      <c r="D280" s="584"/>
      <c r="E280" s="584"/>
      <c r="F280" s="584"/>
      <c r="G280" s="584"/>
      <c r="H280" s="584"/>
      <c r="I280" s="584"/>
      <c r="J280" s="584"/>
      <c r="K280" s="584"/>
      <c r="L280" s="584"/>
      <c r="M280" s="584"/>
      <c r="N280" s="596">
        <f t="shared" si="182"/>
        <v>0</v>
      </c>
      <c r="O280" s="597">
        <f t="shared" si="183"/>
        <v>0</v>
      </c>
      <c r="P280" s="601" t="e">
        <f>(O280/O296)*100</f>
        <v>#DIV/0!</v>
      </c>
      <c r="Q280" s="625">
        <v>0.5</v>
      </c>
      <c r="R280" s="686" t="e">
        <f t="shared" si="184"/>
        <v>#DIV/0!</v>
      </c>
      <c r="S280" s="584"/>
      <c r="T280" s="569"/>
      <c r="U280" s="2570"/>
      <c r="W280" s="566">
        <f t="shared" si="185"/>
        <v>0</v>
      </c>
      <c r="X280" s="566">
        <f t="shared" si="186"/>
        <v>0</v>
      </c>
      <c r="Y280" s="566">
        <f t="shared" si="187"/>
        <v>0</v>
      </c>
      <c r="Z280" s="566">
        <f t="shared" si="188"/>
        <v>0</v>
      </c>
      <c r="AA280" s="566">
        <f t="shared" si="189"/>
        <v>0</v>
      </c>
      <c r="AB280" s="566">
        <f t="shared" si="190"/>
        <v>0</v>
      </c>
      <c r="AC280" s="566">
        <f t="shared" si="191"/>
        <v>0</v>
      </c>
      <c r="AD280" s="566">
        <f t="shared" si="192"/>
        <v>0</v>
      </c>
      <c r="AE280" s="566">
        <f t="shared" si="193"/>
        <v>0</v>
      </c>
      <c r="AF280" s="566">
        <f t="shared" si="194"/>
        <v>0</v>
      </c>
      <c r="AG280" s="573"/>
    </row>
    <row r="281" spans="1:33" ht="25.15" customHeight="1">
      <c r="A281" s="585">
        <v>41</v>
      </c>
      <c r="B281" s="588"/>
      <c r="C281" s="583"/>
      <c r="D281" s="584"/>
      <c r="E281" s="584"/>
      <c r="F281" s="584"/>
      <c r="G281" s="584"/>
      <c r="H281" s="584"/>
      <c r="I281" s="584"/>
      <c r="J281" s="584"/>
      <c r="K281" s="584"/>
      <c r="L281" s="584"/>
      <c r="M281" s="584"/>
      <c r="N281" s="596">
        <f t="shared" si="182"/>
        <v>0</v>
      </c>
      <c r="O281" s="597">
        <f t="shared" si="183"/>
        <v>0</v>
      </c>
      <c r="P281" s="599" t="e">
        <f>(O281/O296)*100</f>
        <v>#DIV/0!</v>
      </c>
      <c r="Q281" s="625">
        <v>0.5</v>
      </c>
      <c r="R281" s="686" t="e">
        <f t="shared" si="184"/>
        <v>#DIV/0!</v>
      </c>
      <c r="S281" s="584"/>
      <c r="T281" s="569"/>
      <c r="U281" s="2570"/>
      <c r="W281" s="566">
        <f t="shared" si="185"/>
        <v>0</v>
      </c>
      <c r="X281" s="566">
        <f t="shared" si="186"/>
        <v>0</v>
      </c>
      <c r="Y281" s="566">
        <f t="shared" si="187"/>
        <v>0</v>
      </c>
      <c r="Z281" s="566">
        <f t="shared" si="188"/>
        <v>0</v>
      </c>
      <c r="AA281" s="566">
        <f t="shared" si="189"/>
        <v>0</v>
      </c>
      <c r="AB281" s="566">
        <f t="shared" si="190"/>
        <v>0</v>
      </c>
      <c r="AC281" s="566">
        <f t="shared" si="191"/>
        <v>0</v>
      </c>
      <c r="AD281" s="566">
        <f t="shared" si="192"/>
        <v>0</v>
      </c>
      <c r="AE281" s="566">
        <f t="shared" si="193"/>
        <v>0</v>
      </c>
      <c r="AF281" s="566">
        <f t="shared" si="194"/>
        <v>0</v>
      </c>
      <c r="AG281" s="573"/>
    </row>
    <row r="282" spans="1:33" ht="25.15" customHeight="1">
      <c r="A282" s="585">
        <v>42</v>
      </c>
      <c r="B282" s="588"/>
      <c r="C282" s="583"/>
      <c r="D282" s="584"/>
      <c r="E282" s="584"/>
      <c r="F282" s="584"/>
      <c r="G282" s="584"/>
      <c r="H282" s="584"/>
      <c r="I282" s="584"/>
      <c r="J282" s="584"/>
      <c r="K282" s="584"/>
      <c r="L282" s="584"/>
      <c r="M282" s="584"/>
      <c r="N282" s="596">
        <f t="shared" si="182"/>
        <v>0</v>
      </c>
      <c r="O282" s="597">
        <f t="shared" si="183"/>
        <v>0</v>
      </c>
      <c r="P282" s="599" t="e">
        <f>(O282/O296)*100</f>
        <v>#DIV/0!</v>
      </c>
      <c r="Q282" s="625">
        <v>0.5</v>
      </c>
      <c r="R282" s="686" t="e">
        <f t="shared" si="184"/>
        <v>#DIV/0!</v>
      </c>
      <c r="S282" s="584"/>
      <c r="T282" s="569"/>
      <c r="U282" s="2570"/>
      <c r="W282" s="566">
        <f t="shared" si="185"/>
        <v>0</v>
      </c>
      <c r="X282" s="566">
        <f t="shared" si="186"/>
        <v>0</v>
      </c>
      <c r="Y282" s="566">
        <f t="shared" si="187"/>
        <v>0</v>
      </c>
      <c r="Z282" s="566">
        <f t="shared" si="188"/>
        <v>0</v>
      </c>
      <c r="AA282" s="566">
        <f t="shared" si="189"/>
        <v>0</v>
      </c>
      <c r="AB282" s="566">
        <f t="shared" si="190"/>
        <v>0</v>
      </c>
      <c r="AC282" s="566">
        <f t="shared" si="191"/>
        <v>0</v>
      </c>
      <c r="AD282" s="566">
        <f t="shared" si="192"/>
        <v>0</v>
      </c>
      <c r="AE282" s="566">
        <f t="shared" si="193"/>
        <v>0</v>
      </c>
      <c r="AF282" s="566">
        <f t="shared" si="194"/>
        <v>0</v>
      </c>
      <c r="AG282" s="573"/>
    </row>
    <row r="283" spans="1:33" ht="25.15" customHeight="1">
      <c r="A283" s="585">
        <v>43</v>
      </c>
      <c r="B283" s="588"/>
      <c r="C283" s="583"/>
      <c r="D283" s="584"/>
      <c r="E283" s="584"/>
      <c r="F283" s="584"/>
      <c r="G283" s="584"/>
      <c r="H283" s="584"/>
      <c r="I283" s="584"/>
      <c r="J283" s="584"/>
      <c r="K283" s="584"/>
      <c r="L283" s="584"/>
      <c r="M283" s="584"/>
      <c r="N283" s="596">
        <f t="shared" si="182"/>
        <v>0</v>
      </c>
      <c r="O283" s="597">
        <f t="shared" si="183"/>
        <v>0</v>
      </c>
      <c r="P283" s="599" t="e">
        <f>(O283/O296)*100</f>
        <v>#DIV/0!</v>
      </c>
      <c r="Q283" s="625">
        <v>0.5</v>
      </c>
      <c r="R283" s="686" t="e">
        <f t="shared" si="184"/>
        <v>#DIV/0!</v>
      </c>
      <c r="S283" s="584"/>
      <c r="T283" s="569"/>
      <c r="U283" s="2570"/>
      <c r="W283" s="566">
        <f t="shared" si="185"/>
        <v>0</v>
      </c>
      <c r="X283" s="566">
        <f t="shared" si="186"/>
        <v>0</v>
      </c>
      <c r="Y283" s="566">
        <f t="shared" si="187"/>
        <v>0</v>
      </c>
      <c r="Z283" s="566">
        <f t="shared" si="188"/>
        <v>0</v>
      </c>
      <c r="AA283" s="566">
        <f t="shared" si="189"/>
        <v>0</v>
      </c>
      <c r="AB283" s="566">
        <f t="shared" si="190"/>
        <v>0</v>
      </c>
      <c r="AC283" s="566">
        <f t="shared" si="191"/>
        <v>0</v>
      </c>
      <c r="AD283" s="566">
        <f t="shared" si="192"/>
        <v>0</v>
      </c>
      <c r="AE283" s="566">
        <f t="shared" si="193"/>
        <v>0</v>
      </c>
      <c r="AF283" s="566">
        <f t="shared" si="194"/>
        <v>0</v>
      </c>
      <c r="AG283" s="573"/>
    </row>
    <row r="284" spans="1:33" ht="25.15" customHeight="1">
      <c r="A284" s="585">
        <v>44</v>
      </c>
      <c r="B284" s="588"/>
      <c r="C284" s="583"/>
      <c r="D284" s="584"/>
      <c r="E284" s="584"/>
      <c r="F284" s="584"/>
      <c r="G284" s="584"/>
      <c r="H284" s="584"/>
      <c r="I284" s="584"/>
      <c r="J284" s="584"/>
      <c r="K284" s="584"/>
      <c r="L284" s="584"/>
      <c r="M284" s="584"/>
      <c r="N284" s="596">
        <f t="shared" si="182"/>
        <v>0</v>
      </c>
      <c r="O284" s="597">
        <f t="shared" si="183"/>
        <v>0</v>
      </c>
      <c r="P284" s="599" t="e">
        <f>(O284/O296)*100</f>
        <v>#DIV/0!</v>
      </c>
      <c r="Q284" s="625">
        <v>0.5</v>
      </c>
      <c r="R284" s="686" t="e">
        <f t="shared" si="184"/>
        <v>#DIV/0!</v>
      </c>
      <c r="S284" s="584"/>
      <c r="T284" s="569"/>
      <c r="U284" s="2570"/>
      <c r="W284" s="566">
        <f t="shared" si="185"/>
        <v>0</v>
      </c>
      <c r="X284" s="566">
        <f t="shared" si="186"/>
        <v>0</v>
      </c>
      <c r="Y284" s="566">
        <f t="shared" si="187"/>
        <v>0</v>
      </c>
      <c r="Z284" s="566">
        <f t="shared" si="188"/>
        <v>0</v>
      </c>
      <c r="AA284" s="566">
        <f t="shared" si="189"/>
        <v>0</v>
      </c>
      <c r="AB284" s="566">
        <f t="shared" si="190"/>
        <v>0</v>
      </c>
      <c r="AC284" s="566">
        <f t="shared" si="191"/>
        <v>0</v>
      </c>
      <c r="AD284" s="566">
        <f t="shared" si="192"/>
        <v>0</v>
      </c>
      <c r="AE284" s="566">
        <f t="shared" si="193"/>
        <v>0</v>
      </c>
      <c r="AF284" s="566">
        <f t="shared" si="194"/>
        <v>0</v>
      </c>
      <c r="AG284" s="573"/>
    </row>
    <row r="285" spans="1:33" ht="25.15" customHeight="1">
      <c r="A285" s="585">
        <v>45</v>
      </c>
      <c r="B285" s="588"/>
      <c r="C285" s="583"/>
      <c r="D285" s="584"/>
      <c r="E285" s="584"/>
      <c r="F285" s="584"/>
      <c r="G285" s="584"/>
      <c r="H285" s="584"/>
      <c r="I285" s="584"/>
      <c r="J285" s="584"/>
      <c r="K285" s="584"/>
      <c r="L285" s="584"/>
      <c r="M285" s="584"/>
      <c r="N285" s="596">
        <f t="shared" si="182"/>
        <v>0</v>
      </c>
      <c r="O285" s="597">
        <f t="shared" si="183"/>
        <v>0</v>
      </c>
      <c r="P285" s="599" t="e">
        <f>(O285/O296)*100</f>
        <v>#DIV/0!</v>
      </c>
      <c r="Q285" s="625">
        <v>0.5</v>
      </c>
      <c r="R285" s="686" t="e">
        <f t="shared" si="184"/>
        <v>#DIV/0!</v>
      </c>
      <c r="S285" s="584"/>
      <c r="T285" s="569"/>
      <c r="U285" s="2570"/>
      <c r="W285" s="566">
        <f t="shared" si="185"/>
        <v>0</v>
      </c>
      <c r="X285" s="566">
        <f t="shared" si="186"/>
        <v>0</v>
      </c>
      <c r="Y285" s="566">
        <f t="shared" si="187"/>
        <v>0</v>
      </c>
      <c r="Z285" s="566">
        <f t="shared" si="188"/>
        <v>0</v>
      </c>
      <c r="AA285" s="566">
        <f t="shared" si="189"/>
        <v>0</v>
      </c>
      <c r="AB285" s="566">
        <f t="shared" si="190"/>
        <v>0</v>
      </c>
      <c r="AC285" s="566">
        <f t="shared" si="191"/>
        <v>0</v>
      </c>
      <c r="AD285" s="566">
        <f t="shared" si="192"/>
        <v>0</v>
      </c>
      <c r="AE285" s="566">
        <f t="shared" si="193"/>
        <v>0</v>
      </c>
      <c r="AF285" s="566">
        <f t="shared" si="194"/>
        <v>0</v>
      </c>
      <c r="AG285" s="573"/>
    </row>
    <row r="286" spans="1:33" ht="25.15" customHeight="1">
      <c r="A286" s="585">
        <v>46</v>
      </c>
      <c r="B286" s="588"/>
      <c r="C286" s="583"/>
      <c r="D286" s="584"/>
      <c r="E286" s="584"/>
      <c r="F286" s="584"/>
      <c r="G286" s="584"/>
      <c r="H286" s="584"/>
      <c r="I286" s="584"/>
      <c r="J286" s="584"/>
      <c r="K286" s="584"/>
      <c r="L286" s="584"/>
      <c r="M286" s="584"/>
      <c r="N286" s="596">
        <f t="shared" si="182"/>
        <v>0</v>
      </c>
      <c r="O286" s="597">
        <f t="shared" si="183"/>
        <v>0</v>
      </c>
      <c r="P286" s="599" t="e">
        <f>(O286/O296)*100</f>
        <v>#DIV/0!</v>
      </c>
      <c r="Q286" s="625">
        <v>0.5</v>
      </c>
      <c r="R286" s="686" t="e">
        <f t="shared" si="184"/>
        <v>#DIV/0!</v>
      </c>
      <c r="S286" s="584"/>
      <c r="T286" s="569"/>
      <c r="U286" s="2570"/>
      <c r="W286" s="566">
        <f t="shared" si="185"/>
        <v>0</v>
      </c>
      <c r="X286" s="566">
        <f t="shared" si="186"/>
        <v>0</v>
      </c>
      <c r="Y286" s="566">
        <f t="shared" si="187"/>
        <v>0</v>
      </c>
      <c r="Z286" s="566">
        <f t="shared" si="188"/>
        <v>0</v>
      </c>
      <c r="AA286" s="566">
        <f t="shared" si="189"/>
        <v>0</v>
      </c>
      <c r="AB286" s="566">
        <f t="shared" si="190"/>
        <v>0</v>
      </c>
      <c r="AC286" s="566">
        <f t="shared" si="191"/>
        <v>0</v>
      </c>
      <c r="AD286" s="566">
        <f t="shared" si="192"/>
        <v>0</v>
      </c>
      <c r="AE286" s="566">
        <f t="shared" si="193"/>
        <v>0</v>
      </c>
      <c r="AF286" s="566">
        <f t="shared" si="194"/>
        <v>0</v>
      </c>
      <c r="AG286" s="573"/>
    </row>
    <row r="287" spans="1:33" ht="25.15" customHeight="1">
      <c r="A287" s="585">
        <v>47</v>
      </c>
      <c r="B287" s="588"/>
      <c r="C287" s="583"/>
      <c r="D287" s="584"/>
      <c r="E287" s="584"/>
      <c r="F287" s="584"/>
      <c r="G287" s="584"/>
      <c r="H287" s="584"/>
      <c r="I287" s="584"/>
      <c r="J287" s="584"/>
      <c r="K287" s="584"/>
      <c r="L287" s="584"/>
      <c r="M287" s="584"/>
      <c r="N287" s="596">
        <f t="shared" si="182"/>
        <v>0</v>
      </c>
      <c r="O287" s="597">
        <f t="shared" si="183"/>
        <v>0</v>
      </c>
      <c r="P287" s="599" t="e">
        <f>(O287/O296)*100</f>
        <v>#DIV/0!</v>
      </c>
      <c r="Q287" s="625">
        <v>0.5</v>
      </c>
      <c r="R287" s="686" t="e">
        <f t="shared" si="184"/>
        <v>#DIV/0!</v>
      </c>
      <c r="S287" s="584"/>
      <c r="T287" s="569"/>
      <c r="U287" s="2570"/>
      <c r="W287" s="566">
        <f t="shared" si="185"/>
        <v>0</v>
      </c>
      <c r="X287" s="566">
        <f t="shared" si="186"/>
        <v>0</v>
      </c>
      <c r="Y287" s="566">
        <f t="shared" si="187"/>
        <v>0</v>
      </c>
      <c r="Z287" s="566">
        <f t="shared" si="188"/>
        <v>0</v>
      </c>
      <c r="AA287" s="566">
        <f t="shared" si="189"/>
        <v>0</v>
      </c>
      <c r="AB287" s="566">
        <f t="shared" si="190"/>
        <v>0</v>
      </c>
      <c r="AC287" s="566">
        <f t="shared" si="191"/>
        <v>0</v>
      </c>
      <c r="AD287" s="566">
        <f t="shared" si="192"/>
        <v>0</v>
      </c>
      <c r="AE287" s="566">
        <f t="shared" si="193"/>
        <v>0</v>
      </c>
      <c r="AF287" s="566">
        <f t="shared" si="194"/>
        <v>0</v>
      </c>
      <c r="AG287" s="573"/>
    </row>
    <row r="288" spans="1:33" ht="25.15" customHeight="1">
      <c r="A288" s="585">
        <v>48</v>
      </c>
      <c r="B288" s="588"/>
      <c r="C288" s="583"/>
      <c r="D288" s="584"/>
      <c r="E288" s="584"/>
      <c r="F288" s="584"/>
      <c r="G288" s="584"/>
      <c r="H288" s="584"/>
      <c r="I288" s="584"/>
      <c r="J288" s="584"/>
      <c r="K288" s="584"/>
      <c r="L288" s="584"/>
      <c r="M288" s="584"/>
      <c r="N288" s="596">
        <f t="shared" si="182"/>
        <v>0</v>
      </c>
      <c r="O288" s="597">
        <f t="shared" si="183"/>
        <v>0</v>
      </c>
      <c r="P288" s="599" t="e">
        <f>(O288/O296)*100</f>
        <v>#DIV/0!</v>
      </c>
      <c r="Q288" s="625">
        <v>0.5</v>
      </c>
      <c r="R288" s="686" t="e">
        <f t="shared" si="184"/>
        <v>#DIV/0!</v>
      </c>
      <c r="S288" s="584"/>
      <c r="T288" s="569"/>
      <c r="U288" s="2570"/>
      <c r="W288" s="566">
        <f t="shared" si="185"/>
        <v>0</v>
      </c>
      <c r="X288" s="566">
        <f t="shared" si="186"/>
        <v>0</v>
      </c>
      <c r="Y288" s="566">
        <f t="shared" si="187"/>
        <v>0</v>
      </c>
      <c r="Z288" s="566">
        <f t="shared" si="188"/>
        <v>0</v>
      </c>
      <c r="AA288" s="566">
        <f t="shared" si="189"/>
        <v>0</v>
      </c>
      <c r="AB288" s="566">
        <f t="shared" si="190"/>
        <v>0</v>
      </c>
      <c r="AC288" s="566">
        <f t="shared" si="191"/>
        <v>0</v>
      </c>
      <c r="AD288" s="566">
        <f t="shared" si="192"/>
        <v>0</v>
      </c>
      <c r="AE288" s="566">
        <f t="shared" si="193"/>
        <v>0</v>
      </c>
      <c r="AF288" s="566">
        <f t="shared" si="194"/>
        <v>0</v>
      </c>
      <c r="AG288" s="573"/>
    </row>
    <row r="289" spans="1:33" ht="25.15" customHeight="1">
      <c r="A289" s="585">
        <v>49</v>
      </c>
      <c r="B289" s="588"/>
      <c r="C289" s="583"/>
      <c r="D289" s="584"/>
      <c r="E289" s="584"/>
      <c r="F289" s="584"/>
      <c r="G289" s="584"/>
      <c r="H289" s="584"/>
      <c r="I289" s="584"/>
      <c r="J289" s="584"/>
      <c r="K289" s="584"/>
      <c r="L289" s="584"/>
      <c r="M289" s="584"/>
      <c r="N289" s="596">
        <f t="shared" si="182"/>
        <v>0</v>
      </c>
      <c r="O289" s="597">
        <f t="shared" si="183"/>
        <v>0</v>
      </c>
      <c r="P289" s="599" t="e">
        <f>(O289/O296)*100</f>
        <v>#DIV/0!</v>
      </c>
      <c r="Q289" s="625">
        <v>0.5</v>
      </c>
      <c r="R289" s="686" t="e">
        <f t="shared" si="184"/>
        <v>#DIV/0!</v>
      </c>
      <c r="S289" s="584"/>
      <c r="T289" s="569"/>
      <c r="U289" s="2570"/>
      <c r="W289" s="566">
        <f t="shared" si="185"/>
        <v>0</v>
      </c>
      <c r="X289" s="566">
        <f t="shared" si="186"/>
        <v>0</v>
      </c>
      <c r="Y289" s="566">
        <f t="shared" si="187"/>
        <v>0</v>
      </c>
      <c r="Z289" s="566">
        <f t="shared" si="188"/>
        <v>0</v>
      </c>
      <c r="AA289" s="566">
        <f t="shared" si="189"/>
        <v>0</v>
      </c>
      <c r="AB289" s="566">
        <f t="shared" si="190"/>
        <v>0</v>
      </c>
      <c r="AC289" s="566">
        <f t="shared" si="191"/>
        <v>0</v>
      </c>
      <c r="AD289" s="566">
        <f t="shared" si="192"/>
        <v>0</v>
      </c>
      <c r="AE289" s="566">
        <f t="shared" si="193"/>
        <v>0</v>
      </c>
      <c r="AF289" s="566">
        <f t="shared" si="194"/>
        <v>0</v>
      </c>
      <c r="AG289" s="573"/>
    </row>
    <row r="290" spans="1:33" ht="25.15" customHeight="1">
      <c r="A290" s="585">
        <v>50</v>
      </c>
      <c r="B290" s="588"/>
      <c r="C290" s="583"/>
      <c r="D290" s="584"/>
      <c r="E290" s="584"/>
      <c r="F290" s="584"/>
      <c r="G290" s="584"/>
      <c r="H290" s="584"/>
      <c r="I290" s="584"/>
      <c r="J290" s="584"/>
      <c r="K290" s="584"/>
      <c r="L290" s="584"/>
      <c r="M290" s="584"/>
      <c r="N290" s="596">
        <f t="shared" si="182"/>
        <v>0</v>
      </c>
      <c r="O290" s="597">
        <f t="shared" si="183"/>
        <v>0</v>
      </c>
      <c r="P290" s="599" t="e">
        <f>(O290/O296)*100</f>
        <v>#DIV/0!</v>
      </c>
      <c r="Q290" s="625">
        <v>0.5</v>
      </c>
      <c r="R290" s="686" t="e">
        <f t="shared" si="184"/>
        <v>#DIV/0!</v>
      </c>
      <c r="S290" s="584"/>
      <c r="T290" s="569"/>
      <c r="U290" s="2570"/>
      <c r="W290" s="566">
        <f t="shared" si="185"/>
        <v>0</v>
      </c>
      <c r="X290" s="566">
        <f t="shared" si="186"/>
        <v>0</v>
      </c>
      <c r="Y290" s="566">
        <f t="shared" si="187"/>
        <v>0</v>
      </c>
      <c r="Z290" s="566">
        <f t="shared" si="188"/>
        <v>0</v>
      </c>
      <c r="AA290" s="566">
        <f t="shared" si="189"/>
        <v>0</v>
      </c>
      <c r="AB290" s="566">
        <f t="shared" si="190"/>
        <v>0</v>
      </c>
      <c r="AC290" s="566">
        <f t="shared" si="191"/>
        <v>0</v>
      </c>
      <c r="AD290" s="566">
        <f t="shared" si="192"/>
        <v>0</v>
      </c>
      <c r="AE290" s="566">
        <f t="shared" si="193"/>
        <v>0</v>
      </c>
      <c r="AF290" s="566">
        <f t="shared" si="194"/>
        <v>0</v>
      </c>
      <c r="AG290" s="573"/>
    </row>
    <row r="291" spans="1:33" ht="25.15" customHeight="1">
      <c r="A291" s="585">
        <v>51</v>
      </c>
      <c r="B291" s="588"/>
      <c r="C291" s="583"/>
      <c r="D291" s="584"/>
      <c r="E291" s="584"/>
      <c r="F291" s="584"/>
      <c r="G291" s="584"/>
      <c r="H291" s="584"/>
      <c r="I291" s="584"/>
      <c r="J291" s="584"/>
      <c r="K291" s="584"/>
      <c r="L291" s="584"/>
      <c r="M291" s="584"/>
      <c r="N291" s="596">
        <f t="shared" si="182"/>
        <v>0</v>
      </c>
      <c r="O291" s="597">
        <f t="shared" si="183"/>
        <v>0</v>
      </c>
      <c r="P291" s="599" t="e">
        <f>(O291/O296)*100</f>
        <v>#DIV/0!</v>
      </c>
      <c r="Q291" s="625">
        <v>0.5</v>
      </c>
      <c r="R291" s="686" t="e">
        <f t="shared" si="184"/>
        <v>#DIV/0!</v>
      </c>
      <c r="S291" s="584"/>
      <c r="T291" s="569"/>
      <c r="U291" s="2570"/>
      <c r="W291" s="566">
        <f t="shared" si="185"/>
        <v>0</v>
      </c>
      <c r="X291" s="566">
        <f t="shared" si="186"/>
        <v>0</v>
      </c>
      <c r="Y291" s="566">
        <f t="shared" si="187"/>
        <v>0</v>
      </c>
      <c r="Z291" s="566">
        <f t="shared" si="188"/>
        <v>0</v>
      </c>
      <c r="AA291" s="566">
        <f t="shared" si="189"/>
        <v>0</v>
      </c>
      <c r="AB291" s="566">
        <f t="shared" si="190"/>
        <v>0</v>
      </c>
      <c r="AC291" s="566">
        <f t="shared" si="191"/>
        <v>0</v>
      </c>
      <c r="AD291" s="566">
        <f t="shared" si="192"/>
        <v>0</v>
      </c>
      <c r="AE291" s="566">
        <f t="shared" si="193"/>
        <v>0</v>
      </c>
      <c r="AF291" s="566">
        <f t="shared" si="194"/>
        <v>0</v>
      </c>
      <c r="AG291" s="573"/>
    </row>
    <row r="292" spans="1:33" ht="25.15" customHeight="1">
      <c r="A292" s="585">
        <v>52</v>
      </c>
      <c r="B292" s="588"/>
      <c r="C292" s="583"/>
      <c r="D292" s="584"/>
      <c r="E292" s="584"/>
      <c r="F292" s="584"/>
      <c r="G292" s="584"/>
      <c r="H292" s="584"/>
      <c r="I292" s="584"/>
      <c r="J292" s="584"/>
      <c r="K292" s="584"/>
      <c r="L292" s="584"/>
      <c r="M292" s="584"/>
      <c r="N292" s="596">
        <f t="shared" si="182"/>
        <v>0</v>
      </c>
      <c r="O292" s="597">
        <f t="shared" si="183"/>
        <v>0</v>
      </c>
      <c r="P292" s="599" t="e">
        <f>(O292/O296)*100</f>
        <v>#DIV/0!</v>
      </c>
      <c r="Q292" s="625"/>
      <c r="R292" s="686" t="e">
        <f t="shared" si="184"/>
        <v>#DIV/0!</v>
      </c>
      <c r="S292" s="584"/>
      <c r="T292" s="569"/>
      <c r="U292" s="2570"/>
      <c r="W292" s="566">
        <f t="shared" si="185"/>
        <v>0</v>
      </c>
      <c r="X292" s="566">
        <f t="shared" si="186"/>
        <v>0</v>
      </c>
      <c r="Y292" s="566">
        <f t="shared" si="187"/>
        <v>0</v>
      </c>
      <c r="Z292" s="566">
        <f t="shared" si="188"/>
        <v>0</v>
      </c>
      <c r="AA292" s="566">
        <f t="shared" si="189"/>
        <v>0</v>
      </c>
      <c r="AB292" s="566">
        <f t="shared" si="190"/>
        <v>0</v>
      </c>
      <c r="AC292" s="566">
        <f t="shared" si="191"/>
        <v>0</v>
      </c>
      <c r="AD292" s="566">
        <f t="shared" si="192"/>
        <v>0</v>
      </c>
      <c r="AE292" s="566">
        <f t="shared" si="193"/>
        <v>0</v>
      </c>
      <c r="AF292" s="566">
        <f t="shared" si="194"/>
        <v>0</v>
      </c>
      <c r="AG292" s="573"/>
    </row>
    <row r="293" spans="1:33" ht="25.15" customHeight="1">
      <c r="A293" s="585">
        <v>53</v>
      </c>
      <c r="B293" s="588"/>
      <c r="C293" s="583"/>
      <c r="D293" s="584"/>
      <c r="E293" s="584"/>
      <c r="F293" s="584"/>
      <c r="G293" s="584"/>
      <c r="H293" s="584"/>
      <c r="I293" s="584"/>
      <c r="J293" s="584"/>
      <c r="K293" s="584"/>
      <c r="L293" s="584"/>
      <c r="M293" s="584"/>
      <c r="N293" s="596">
        <f t="shared" si="182"/>
        <v>0</v>
      </c>
      <c r="O293" s="597">
        <f t="shared" si="183"/>
        <v>0</v>
      </c>
      <c r="P293" s="599" t="e">
        <f>(O293/O296)*100</f>
        <v>#DIV/0!</v>
      </c>
      <c r="Q293" s="625"/>
      <c r="R293" s="686" t="e">
        <f t="shared" si="184"/>
        <v>#DIV/0!</v>
      </c>
      <c r="S293" s="584"/>
      <c r="T293" s="569"/>
      <c r="U293" s="2570"/>
      <c r="W293" s="566">
        <f t="shared" si="185"/>
        <v>0</v>
      </c>
      <c r="X293" s="566">
        <f t="shared" si="186"/>
        <v>0</v>
      </c>
      <c r="Y293" s="566">
        <f t="shared" si="187"/>
        <v>0</v>
      </c>
      <c r="Z293" s="566">
        <f t="shared" si="188"/>
        <v>0</v>
      </c>
      <c r="AA293" s="566">
        <f t="shared" si="189"/>
        <v>0</v>
      </c>
      <c r="AB293" s="566">
        <f t="shared" si="190"/>
        <v>0</v>
      </c>
      <c r="AC293" s="566">
        <f t="shared" si="191"/>
        <v>0</v>
      </c>
      <c r="AD293" s="566">
        <f t="shared" si="192"/>
        <v>0</v>
      </c>
      <c r="AE293" s="566">
        <f t="shared" si="193"/>
        <v>0</v>
      </c>
      <c r="AF293" s="566">
        <f t="shared" si="194"/>
        <v>0</v>
      </c>
      <c r="AG293" s="573"/>
    </row>
    <row r="294" spans="1:33" ht="25.15" customHeight="1">
      <c r="A294" s="585">
        <v>54</v>
      </c>
      <c r="B294" s="626"/>
      <c r="C294" s="583"/>
      <c r="D294" s="584"/>
      <c r="E294" s="584"/>
      <c r="F294" s="584"/>
      <c r="G294" s="584"/>
      <c r="H294" s="584"/>
      <c r="I294" s="584"/>
      <c r="J294" s="584"/>
      <c r="K294" s="584"/>
      <c r="L294" s="584"/>
      <c r="M294" s="584"/>
      <c r="N294" s="596">
        <f t="shared" si="182"/>
        <v>0</v>
      </c>
      <c r="O294" s="597">
        <f t="shared" si="183"/>
        <v>0</v>
      </c>
      <c r="P294" s="601" t="e">
        <f>(O294/O296)*100</f>
        <v>#DIV/0!</v>
      </c>
      <c r="Q294" s="657"/>
      <c r="R294" s="686" t="e">
        <f t="shared" si="184"/>
        <v>#DIV/0!</v>
      </c>
      <c r="S294" s="689"/>
      <c r="T294" s="569"/>
      <c r="U294" s="2570"/>
      <c r="W294" s="566">
        <f t="shared" si="185"/>
        <v>0</v>
      </c>
      <c r="X294" s="566">
        <f t="shared" si="186"/>
        <v>0</v>
      </c>
      <c r="Y294" s="566">
        <f t="shared" si="187"/>
        <v>0</v>
      </c>
      <c r="Z294" s="566">
        <f t="shared" si="188"/>
        <v>0</v>
      </c>
      <c r="AA294" s="566">
        <f t="shared" si="189"/>
        <v>0</v>
      </c>
      <c r="AB294" s="566">
        <f t="shared" si="190"/>
        <v>0</v>
      </c>
      <c r="AC294" s="566">
        <f t="shared" si="191"/>
        <v>0</v>
      </c>
      <c r="AD294" s="566">
        <f t="shared" si="192"/>
        <v>0</v>
      </c>
      <c r="AE294" s="566">
        <f t="shared" si="193"/>
        <v>0</v>
      </c>
      <c r="AF294" s="566">
        <f t="shared" si="194"/>
        <v>0</v>
      </c>
      <c r="AG294" s="573"/>
    </row>
    <row r="295" spans="1:33" ht="108.4" customHeight="1">
      <c r="A295" s="2561" t="s">
        <v>1508</v>
      </c>
      <c r="B295" s="2562"/>
      <c r="C295" s="2563"/>
      <c r="D295" s="627">
        <f t="shared" ref="D295:M295" si="195">W295</f>
        <v>0</v>
      </c>
      <c r="E295" s="628">
        <f t="shared" si="195"/>
        <v>0</v>
      </c>
      <c r="F295" s="629">
        <f t="shared" si="195"/>
        <v>0</v>
      </c>
      <c r="G295" s="630">
        <f t="shared" si="195"/>
        <v>0</v>
      </c>
      <c r="H295" s="629">
        <f t="shared" si="195"/>
        <v>0</v>
      </c>
      <c r="I295" s="630">
        <f t="shared" si="195"/>
        <v>0</v>
      </c>
      <c r="J295" s="629">
        <f t="shared" si="195"/>
        <v>0</v>
      </c>
      <c r="K295" s="629">
        <f t="shared" si="195"/>
        <v>0</v>
      </c>
      <c r="L295" s="629">
        <f t="shared" si="195"/>
        <v>0</v>
      </c>
      <c r="M295" s="630">
        <f t="shared" si="195"/>
        <v>0</v>
      </c>
      <c r="N295" s="629"/>
      <c r="O295" s="643">
        <f>SUM(D295:M295)</f>
        <v>0</v>
      </c>
      <c r="P295" s="644" t="e">
        <f>SUM(P241:P294)/100</f>
        <v>#DIV/0!</v>
      </c>
      <c r="Q295" s="659"/>
      <c r="R295" s="660" t="e">
        <f>SUM(R241:R294)/100</f>
        <v>#DIV/0!</v>
      </c>
      <c r="S295" s="661"/>
      <c r="T295" s="608"/>
      <c r="U295" s="2570"/>
      <c r="W295" s="566">
        <f t="shared" ref="W295:AF295" si="196">SUM(W241:W294)</f>
        <v>0</v>
      </c>
      <c r="X295" s="566">
        <f t="shared" si="196"/>
        <v>0</v>
      </c>
      <c r="Y295" s="566">
        <f t="shared" si="196"/>
        <v>0</v>
      </c>
      <c r="Z295" s="566">
        <f t="shared" si="196"/>
        <v>0</v>
      </c>
      <c r="AA295" s="566">
        <f t="shared" si="196"/>
        <v>0</v>
      </c>
      <c r="AB295" s="566">
        <f t="shared" si="196"/>
        <v>0</v>
      </c>
      <c r="AC295" s="566">
        <f t="shared" si="196"/>
        <v>0</v>
      </c>
      <c r="AD295" s="566">
        <f t="shared" si="196"/>
        <v>0</v>
      </c>
      <c r="AE295" s="566">
        <f t="shared" si="196"/>
        <v>0</v>
      </c>
      <c r="AF295" s="566">
        <f t="shared" si="196"/>
        <v>0</v>
      </c>
      <c r="AG295" s="573"/>
    </row>
    <row r="296" spans="1:33" ht="119.65" customHeight="1">
      <c r="A296" s="2561" t="s">
        <v>1509</v>
      </c>
      <c r="B296" s="2562"/>
      <c r="C296" s="2563"/>
      <c r="D296" s="631">
        <f t="shared" ref="D296:P296" si="197">D238+D295</f>
        <v>0</v>
      </c>
      <c r="E296" s="631">
        <f t="shared" si="197"/>
        <v>0</v>
      </c>
      <c r="F296" s="631">
        <f t="shared" si="197"/>
        <v>0</v>
      </c>
      <c r="G296" s="631">
        <f t="shared" si="197"/>
        <v>0</v>
      </c>
      <c r="H296" s="631">
        <f t="shared" si="197"/>
        <v>0</v>
      </c>
      <c r="I296" s="631">
        <f t="shared" si="197"/>
        <v>0</v>
      </c>
      <c r="J296" s="631">
        <f t="shared" si="197"/>
        <v>0</v>
      </c>
      <c r="K296" s="631">
        <f t="shared" si="197"/>
        <v>0</v>
      </c>
      <c r="L296" s="631">
        <f t="shared" si="197"/>
        <v>0</v>
      </c>
      <c r="M296" s="627">
        <f t="shared" si="197"/>
        <v>0</v>
      </c>
      <c r="N296" s="627">
        <f t="shared" si="197"/>
        <v>0</v>
      </c>
      <c r="O296" s="645">
        <f t="shared" si="197"/>
        <v>0</v>
      </c>
      <c r="P296" s="644" t="e">
        <f t="shared" si="197"/>
        <v>#DIV/0!</v>
      </c>
      <c r="Q296" s="659"/>
      <c r="R296" s="662" t="e">
        <f>R238+R295</f>
        <v>#DIV/0!</v>
      </c>
      <c r="S296" s="661"/>
      <c r="T296" s="608"/>
      <c r="U296" s="2570"/>
      <c r="W296" s="573"/>
      <c r="X296" s="573"/>
      <c r="Y296" s="573"/>
      <c r="Z296" s="573"/>
      <c r="AA296" s="573"/>
      <c r="AB296" s="573"/>
      <c r="AC296" s="573"/>
      <c r="AD296" s="573"/>
      <c r="AE296" s="573"/>
      <c r="AF296" s="573"/>
      <c r="AG296" s="573"/>
    </row>
    <row r="297" spans="1:33" ht="30" customHeight="1">
      <c r="A297" s="2591" t="s">
        <v>1510</v>
      </c>
      <c r="B297" s="2592"/>
      <c r="C297" s="2593"/>
      <c r="D297" s="687">
        <v>101</v>
      </c>
      <c r="E297" s="688">
        <v>110</v>
      </c>
      <c r="F297" s="688">
        <v>105</v>
      </c>
      <c r="G297" s="688">
        <v>125</v>
      </c>
      <c r="H297" s="688">
        <v>116</v>
      </c>
      <c r="I297" s="688">
        <v>104</v>
      </c>
      <c r="J297" s="688">
        <v>118</v>
      </c>
      <c r="K297" s="633"/>
      <c r="L297" s="633"/>
      <c r="M297" s="646"/>
      <c r="N297" s="648">
        <f>SUM(D297:M297)</f>
        <v>779</v>
      </c>
      <c r="O297" s="649"/>
      <c r="P297" s="650"/>
      <c r="Q297" s="663"/>
      <c r="R297" s="664"/>
      <c r="S297" s="649"/>
      <c r="T297" s="608"/>
      <c r="U297" s="2570"/>
      <c r="W297" s="573"/>
      <c r="X297" s="573"/>
      <c r="Y297" s="573"/>
      <c r="Z297" s="573"/>
      <c r="AA297" s="573"/>
      <c r="AB297" s="573"/>
      <c r="AC297" s="573"/>
      <c r="AD297" s="573"/>
      <c r="AE297" s="573"/>
      <c r="AF297" s="573"/>
      <c r="AG297" s="573"/>
    </row>
    <row r="298" spans="1:33" ht="18" customHeight="1">
      <c r="Q298" s="665"/>
      <c r="U298" s="2570"/>
    </row>
    <row r="299" spans="1:33" ht="18" customHeight="1">
      <c r="A299" s="635" t="s">
        <v>1511</v>
      </c>
      <c r="N299" s="2417" t="s">
        <v>391</v>
      </c>
      <c r="O299" s="2417"/>
      <c r="T299" s="557"/>
    </row>
    <row r="300" spans="1:33" ht="32.25" customHeight="1">
      <c r="A300" s="2583" t="s">
        <v>1512</v>
      </c>
      <c r="B300" s="2584"/>
      <c r="C300" s="2584"/>
      <c r="D300" s="2584"/>
      <c r="E300" s="2584"/>
      <c r="F300" s="2584"/>
      <c r="G300" s="2584"/>
      <c r="H300" s="2584"/>
      <c r="I300" s="2584"/>
      <c r="J300" s="636"/>
      <c r="K300" s="636"/>
      <c r="L300" s="636"/>
      <c r="M300" s="636"/>
      <c r="T300" s="557"/>
    </row>
    <row r="301" spans="1:33" ht="18" customHeight="1">
      <c r="A301" s="2583" t="s">
        <v>1513</v>
      </c>
      <c r="B301" s="2584"/>
      <c r="C301" s="2584"/>
      <c r="D301" s="2584"/>
      <c r="E301" s="2584"/>
      <c r="F301" s="2584"/>
      <c r="G301" s="2584"/>
      <c r="H301" s="2584"/>
      <c r="I301" s="2584"/>
      <c r="J301" s="636"/>
      <c r="K301" s="636"/>
      <c r="L301" s="636"/>
      <c r="M301" s="636"/>
      <c r="T301" s="557"/>
    </row>
    <row r="302" spans="1:33" ht="18" customHeight="1">
      <c r="A302" s="2585" t="s">
        <v>1514</v>
      </c>
      <c r="B302" s="2585"/>
      <c r="C302" s="2585"/>
      <c r="D302" s="2585"/>
      <c r="E302" s="2585"/>
      <c r="F302" s="2585"/>
      <c r="G302" s="2585"/>
      <c r="H302" s="2585"/>
      <c r="I302" s="2585"/>
      <c r="J302" s="636"/>
      <c r="K302" s="636"/>
      <c r="L302" s="636"/>
      <c r="M302" s="636"/>
      <c r="T302" s="557"/>
    </row>
    <row r="303" spans="1:33" ht="18" customHeight="1">
      <c r="A303" s="2586" t="s">
        <v>1515</v>
      </c>
      <c r="B303" s="2586"/>
      <c r="C303" s="2586"/>
      <c r="D303" s="2586"/>
      <c r="E303" s="2586"/>
      <c r="F303" s="2586"/>
      <c r="G303" s="2586"/>
      <c r="H303" s="2586"/>
      <c r="I303" s="2586"/>
      <c r="J303" s="636"/>
      <c r="K303" s="636"/>
      <c r="L303" s="636"/>
      <c r="M303" s="636"/>
      <c r="P303" s="652"/>
      <c r="T303" s="557"/>
    </row>
    <row r="304" spans="1:33" ht="18" customHeight="1">
      <c r="A304" s="2206"/>
      <c r="B304" s="2206"/>
      <c r="C304" s="2206"/>
      <c r="D304" s="2206"/>
      <c r="E304" s="2206"/>
      <c r="F304" s="2206"/>
      <c r="G304" s="2206"/>
      <c r="H304" s="2206"/>
      <c r="I304" s="2206"/>
      <c r="J304" s="636"/>
      <c r="K304" s="636"/>
      <c r="L304" s="636" t="s">
        <v>61</v>
      </c>
      <c r="M304" s="636"/>
      <c r="N304" s="2430" t="s">
        <v>1516</v>
      </c>
      <c r="O304" s="2430"/>
      <c r="P304" s="654"/>
      <c r="T304" s="557"/>
    </row>
    <row r="305" spans="1:35" ht="18" customHeight="1">
      <c r="B305" s="636"/>
      <c r="C305" s="636"/>
      <c r="D305" s="636"/>
      <c r="E305" s="636"/>
      <c r="F305" s="636"/>
      <c r="G305" s="636"/>
      <c r="H305" s="636"/>
      <c r="I305" s="636"/>
      <c r="J305" s="636"/>
      <c r="K305" s="636"/>
      <c r="L305" s="636"/>
      <c r="M305" s="636"/>
      <c r="N305" s="655"/>
      <c r="O305" s="655"/>
      <c r="P305" s="654"/>
    </row>
    <row r="306" spans="1:35" s="531" customFormat="1" ht="18" customHeight="1">
      <c r="A306" s="637" t="s">
        <v>343</v>
      </c>
      <c r="B306" s="637"/>
      <c r="C306" s="637"/>
      <c r="D306" s="532"/>
      <c r="E306" s="532"/>
      <c r="F306" s="532"/>
      <c r="G306" s="532"/>
      <c r="H306" s="532"/>
      <c r="I306" s="532"/>
      <c r="J306" s="532"/>
      <c r="K306" s="532"/>
      <c r="L306" s="532"/>
      <c r="M306" s="532"/>
      <c r="N306" s="532"/>
      <c r="O306" s="532"/>
      <c r="Q306" s="533"/>
      <c r="S306" s="532"/>
      <c r="T306" s="532"/>
      <c r="U306" s="532"/>
      <c r="V306" s="532"/>
      <c r="W306" s="532"/>
      <c r="X306" s="532"/>
      <c r="Y306" s="532"/>
      <c r="Z306" s="532"/>
      <c r="AA306" s="532"/>
      <c r="AB306" s="532"/>
      <c r="AC306" s="532"/>
      <c r="AD306" s="532"/>
      <c r="AE306" s="532"/>
      <c r="AF306" s="532"/>
      <c r="AG306" s="532"/>
      <c r="AH306" s="532"/>
      <c r="AI306" s="532"/>
    </row>
    <row r="307" spans="1:35" s="531" customFormat="1" ht="18" customHeight="1">
      <c r="A307" s="532" t="s">
        <v>344</v>
      </c>
      <c r="B307" s="532"/>
      <c r="C307" s="532"/>
      <c r="D307" s="532"/>
      <c r="E307" s="532"/>
      <c r="F307" s="532"/>
      <c r="G307" s="532"/>
      <c r="H307" s="532"/>
      <c r="I307" s="532"/>
      <c r="J307" s="532"/>
      <c r="K307" s="532"/>
      <c r="L307" s="532"/>
      <c r="M307" s="532"/>
      <c r="N307" s="532"/>
      <c r="O307" s="532"/>
      <c r="Q307" s="533"/>
      <c r="S307" s="532"/>
      <c r="T307" s="532"/>
      <c r="U307" s="532"/>
      <c r="V307" s="532"/>
      <c r="W307" s="532"/>
      <c r="X307" s="532"/>
      <c r="Y307" s="532"/>
      <c r="Z307" s="532"/>
      <c r="AA307" s="532"/>
      <c r="AB307" s="532"/>
      <c r="AC307" s="532"/>
      <c r="AD307" s="532"/>
      <c r="AE307" s="532"/>
      <c r="AF307" s="532"/>
      <c r="AG307" s="532"/>
      <c r="AH307" s="532"/>
      <c r="AI307" s="532"/>
    </row>
    <row r="308" spans="1:35" s="531" customFormat="1" ht="58.15" customHeight="1">
      <c r="A308" s="532" t="s">
        <v>345</v>
      </c>
      <c r="B308" s="532"/>
      <c r="C308" s="532"/>
      <c r="D308" s="638" t="s">
        <v>1517</v>
      </c>
      <c r="E308" s="638" t="s">
        <v>1518</v>
      </c>
      <c r="F308" s="639"/>
      <c r="G308" s="639"/>
      <c r="H308" s="639"/>
      <c r="I308" s="639"/>
      <c r="J308" s="639"/>
      <c r="K308" s="639"/>
      <c r="L308" s="656"/>
      <c r="M308" s="656"/>
      <c r="N308" s="656"/>
      <c r="O308" s="656"/>
      <c r="Q308" s="533"/>
      <c r="S308" s="532"/>
      <c r="T308" s="532"/>
      <c r="U308" s="532"/>
      <c r="V308" s="532"/>
      <c r="W308" s="532"/>
      <c r="X308" s="532"/>
      <c r="Y308" s="532"/>
      <c r="Z308" s="532"/>
      <c r="AA308" s="532"/>
      <c r="AB308" s="532"/>
      <c r="AC308" s="532"/>
      <c r="AD308" s="532"/>
      <c r="AE308" s="532"/>
      <c r="AF308" s="532"/>
      <c r="AG308" s="532"/>
      <c r="AH308" s="532"/>
      <c r="AI308" s="532"/>
    </row>
    <row r="309" spans="1:35" s="531" customFormat="1" ht="26">
      <c r="A309" s="532" t="s">
        <v>346</v>
      </c>
      <c r="B309" s="532"/>
      <c r="C309" s="532"/>
      <c r="D309" s="532"/>
      <c r="E309" s="640" t="s">
        <v>1698</v>
      </c>
      <c r="F309" s="532"/>
      <c r="G309" s="532"/>
      <c r="H309" s="532"/>
      <c r="I309" s="532"/>
      <c r="J309" s="532"/>
      <c r="K309" s="532"/>
      <c r="L309" s="532"/>
      <c r="M309" s="532"/>
      <c r="N309" s="532"/>
      <c r="O309" s="532"/>
      <c r="Q309" s="533"/>
      <c r="S309" s="532"/>
      <c r="T309" s="532"/>
      <c r="U309" s="532"/>
      <c r="V309" s="532"/>
      <c r="W309" s="532"/>
      <c r="X309" s="532"/>
      <c r="Y309" s="532"/>
      <c r="Z309" s="532"/>
      <c r="AA309" s="532"/>
      <c r="AB309" s="532"/>
      <c r="AC309" s="532"/>
      <c r="AD309" s="532"/>
      <c r="AE309" s="532"/>
      <c r="AF309" s="532"/>
      <c r="AG309" s="532"/>
      <c r="AH309" s="532"/>
      <c r="AI309" s="532"/>
    </row>
    <row r="310" spans="1:35" s="531" customFormat="1" ht="18" customHeight="1">
      <c r="A310" s="532" t="s">
        <v>347</v>
      </c>
      <c r="B310" s="532"/>
      <c r="C310" s="532"/>
      <c r="D310" s="532"/>
      <c r="E310" s="532"/>
      <c r="F310" s="532"/>
      <c r="G310" s="532"/>
      <c r="H310" s="532"/>
      <c r="I310" s="532"/>
      <c r="J310" s="532"/>
      <c r="K310" s="532"/>
      <c r="L310" s="532"/>
      <c r="M310" s="532"/>
      <c r="N310" s="532"/>
      <c r="O310" s="532"/>
      <c r="Q310" s="533"/>
      <c r="S310" s="532"/>
      <c r="T310" s="532"/>
      <c r="U310" s="532"/>
      <c r="V310" s="532"/>
      <c r="W310" s="532"/>
      <c r="X310" s="532"/>
      <c r="Y310" s="532"/>
      <c r="Z310" s="532"/>
      <c r="AA310" s="532"/>
      <c r="AB310" s="532"/>
      <c r="AC310" s="532"/>
      <c r="AD310" s="532"/>
      <c r="AE310" s="532"/>
      <c r="AF310" s="532"/>
      <c r="AG310" s="532"/>
      <c r="AH310" s="532"/>
      <c r="AI310" s="532"/>
    </row>
    <row r="311" spans="1:35" s="531" customFormat="1" ht="18" customHeight="1">
      <c r="A311" s="532" t="s">
        <v>348</v>
      </c>
      <c r="B311" s="532"/>
      <c r="C311" s="532"/>
      <c r="D311" s="532"/>
      <c r="E311" s="532"/>
      <c r="F311" s="532"/>
      <c r="G311" s="532"/>
      <c r="H311" s="532"/>
      <c r="I311" s="532"/>
      <c r="J311" s="532"/>
      <c r="K311" s="532"/>
      <c r="L311" s="532"/>
      <c r="M311" s="532"/>
      <c r="N311" s="532"/>
      <c r="O311" s="532"/>
      <c r="Q311" s="533"/>
      <c r="S311" s="532"/>
      <c r="T311" s="532"/>
      <c r="U311" s="532"/>
      <c r="V311" s="532"/>
      <c r="W311" s="532"/>
      <c r="X311" s="532"/>
      <c r="Y311" s="532"/>
      <c r="Z311" s="532"/>
      <c r="AA311" s="532"/>
      <c r="AB311" s="532"/>
      <c r="AC311" s="532"/>
      <c r="AD311" s="532"/>
      <c r="AE311" s="532"/>
      <c r="AF311" s="532"/>
      <c r="AG311" s="532"/>
      <c r="AH311" s="532"/>
      <c r="AI311" s="532"/>
    </row>
    <row r="312" spans="1:35" s="531" customFormat="1" ht="18" customHeight="1">
      <c r="A312" s="532" t="s">
        <v>349</v>
      </c>
      <c r="B312" s="532"/>
      <c r="C312" s="532"/>
      <c r="D312" s="532"/>
      <c r="E312" s="532"/>
      <c r="F312" s="532"/>
      <c r="G312" s="532"/>
      <c r="H312" s="532"/>
      <c r="I312" s="532"/>
      <c r="J312" s="532"/>
      <c r="K312" s="532"/>
      <c r="L312" s="532"/>
      <c r="M312" s="532"/>
      <c r="N312" s="532"/>
      <c r="O312" s="532"/>
      <c r="Q312" s="533"/>
      <c r="S312" s="532"/>
      <c r="T312" s="532"/>
      <c r="U312" s="532"/>
      <c r="V312" s="532"/>
      <c r="W312" s="532"/>
      <c r="X312" s="532"/>
      <c r="Y312" s="532"/>
      <c r="Z312" s="532"/>
      <c r="AA312" s="532"/>
      <c r="AB312" s="532"/>
      <c r="AC312" s="532"/>
      <c r="AD312" s="532"/>
      <c r="AE312" s="532"/>
      <c r="AF312" s="532"/>
      <c r="AG312" s="532"/>
      <c r="AH312" s="532"/>
      <c r="AI312" s="532"/>
    </row>
    <row r="313" spans="1:35" s="531" customFormat="1" ht="18" customHeight="1">
      <c r="A313" s="532" t="s">
        <v>350</v>
      </c>
      <c r="B313" s="532"/>
      <c r="C313" s="532"/>
      <c r="D313" s="532"/>
      <c r="E313" s="532"/>
      <c r="F313" s="532"/>
      <c r="G313" s="532"/>
      <c r="H313" s="532"/>
      <c r="I313" s="532"/>
      <c r="J313" s="532"/>
      <c r="K313" s="532"/>
      <c r="L313" s="532"/>
      <c r="M313" s="532"/>
      <c r="N313" s="532"/>
      <c r="O313" s="532"/>
      <c r="Q313" s="533"/>
      <c r="S313" s="532"/>
      <c r="T313" s="532"/>
      <c r="U313" s="532"/>
      <c r="V313" s="532"/>
      <c r="W313" s="532"/>
      <c r="X313" s="532"/>
      <c r="Y313" s="532"/>
      <c r="Z313" s="532"/>
      <c r="AA313" s="532"/>
      <c r="AB313" s="532"/>
      <c r="AC313" s="532"/>
      <c r="AD313" s="532"/>
      <c r="AE313" s="532"/>
      <c r="AF313" s="532"/>
      <c r="AG313" s="532"/>
      <c r="AH313" s="532"/>
      <c r="AI313" s="532"/>
    </row>
    <row r="314" spans="1:35" s="531" customFormat="1" ht="18" customHeight="1">
      <c r="A314" s="641" t="s">
        <v>351</v>
      </c>
      <c r="B314" s="641"/>
      <c r="C314" s="641"/>
      <c r="D314" s="532"/>
      <c r="E314" s="532"/>
      <c r="F314" s="532"/>
      <c r="G314" s="532"/>
      <c r="H314" s="532"/>
      <c r="I314" s="532"/>
      <c r="J314" s="532"/>
      <c r="K314" s="532"/>
      <c r="L314" s="532"/>
      <c r="M314" s="532"/>
      <c r="N314" s="532"/>
      <c r="O314" s="532"/>
      <c r="Q314" s="533"/>
      <c r="S314" s="532"/>
      <c r="T314" s="532"/>
      <c r="U314" s="532"/>
      <c r="V314" s="532"/>
      <c r="W314" s="532"/>
      <c r="X314" s="532"/>
      <c r="Y314" s="532"/>
      <c r="Z314" s="532"/>
      <c r="AA314" s="532"/>
      <c r="AB314" s="532"/>
      <c r="AC314" s="532"/>
      <c r="AD314" s="532"/>
      <c r="AE314" s="532"/>
      <c r="AF314" s="532"/>
      <c r="AG314" s="532"/>
      <c r="AH314" s="532"/>
      <c r="AI314" s="532"/>
    </row>
    <row r="315" spans="1:35" s="531" customFormat="1" ht="18" customHeight="1">
      <c r="A315" s="641" t="s">
        <v>352</v>
      </c>
      <c r="B315" s="641"/>
      <c r="C315" s="641"/>
      <c r="D315" s="532"/>
      <c r="E315" s="532"/>
      <c r="F315" s="532"/>
      <c r="G315" s="532"/>
      <c r="H315" s="532"/>
      <c r="I315" s="532"/>
      <c r="J315" s="532"/>
      <c r="K315" s="532"/>
      <c r="L315" s="532"/>
      <c r="M315" s="532"/>
      <c r="N315" s="532"/>
      <c r="O315" s="532"/>
      <c r="Q315" s="533"/>
      <c r="S315" s="532"/>
      <c r="T315" s="532"/>
      <c r="U315" s="532"/>
      <c r="V315" s="532"/>
      <c r="W315" s="532"/>
      <c r="X315" s="532"/>
      <c r="Y315" s="532"/>
      <c r="Z315" s="532"/>
      <c r="AA315" s="532"/>
      <c r="AB315" s="532"/>
      <c r="AC315" s="532"/>
      <c r="AD315" s="532"/>
      <c r="AE315" s="532"/>
      <c r="AF315" s="532"/>
      <c r="AG315" s="532"/>
      <c r="AH315" s="532"/>
      <c r="AI315" s="532"/>
    </row>
    <row r="316" spans="1:35" s="531" customFormat="1" ht="18" customHeight="1">
      <c r="A316" s="641" t="s">
        <v>353</v>
      </c>
      <c r="B316" s="641"/>
      <c r="C316" s="641"/>
      <c r="D316" s="532"/>
      <c r="E316" s="532"/>
      <c r="F316" s="532"/>
      <c r="G316" s="532"/>
      <c r="H316" s="532"/>
      <c r="I316" s="532"/>
      <c r="J316" s="532"/>
      <c r="K316" s="532"/>
      <c r="L316" s="532"/>
      <c r="M316" s="532"/>
      <c r="N316" s="532"/>
      <c r="O316" s="532"/>
      <c r="Q316" s="533"/>
      <c r="S316" s="532"/>
      <c r="T316" s="532"/>
      <c r="U316" s="532"/>
      <c r="V316" s="532"/>
      <c r="W316" s="532"/>
      <c r="X316" s="532"/>
      <c r="Y316" s="532"/>
      <c r="Z316" s="532"/>
      <c r="AA316" s="532"/>
      <c r="AB316" s="532"/>
      <c r="AC316" s="532"/>
      <c r="AD316" s="532"/>
      <c r="AE316" s="532"/>
      <c r="AF316" s="532"/>
      <c r="AG316" s="532"/>
      <c r="AH316" s="532"/>
      <c r="AI316" s="532"/>
    </row>
    <row r="317" spans="1:35" s="531" customFormat="1" ht="18" customHeight="1">
      <c r="A317" s="641" t="s">
        <v>354</v>
      </c>
      <c r="B317" s="641"/>
      <c r="C317" s="641"/>
      <c r="D317" s="532"/>
      <c r="E317" s="532"/>
      <c r="F317" s="532"/>
      <c r="G317" s="532"/>
      <c r="H317" s="532"/>
      <c r="I317" s="532"/>
      <c r="J317" s="532"/>
      <c r="K317" s="532"/>
      <c r="L317" s="532"/>
      <c r="M317" s="532"/>
      <c r="N317" s="532"/>
      <c r="O317" s="532"/>
      <c r="Q317" s="533"/>
      <c r="S317" s="532"/>
      <c r="T317" s="532"/>
      <c r="U317" s="532"/>
      <c r="V317" s="532"/>
      <c r="W317" s="532"/>
      <c r="X317" s="532"/>
      <c r="Y317" s="532"/>
      <c r="Z317" s="532"/>
      <c r="AA317" s="532"/>
      <c r="AB317" s="532"/>
      <c r="AC317" s="532"/>
      <c r="AD317" s="532"/>
      <c r="AE317" s="532"/>
      <c r="AF317" s="532"/>
      <c r="AG317" s="532"/>
      <c r="AH317" s="532"/>
      <c r="AI317" s="532"/>
    </row>
    <row r="318" spans="1:35" s="531" customFormat="1" ht="18" customHeight="1">
      <c r="A318" s="532" t="s">
        <v>355</v>
      </c>
      <c r="B318" s="532"/>
      <c r="C318" s="532"/>
      <c r="D318" s="532"/>
      <c r="E318" s="532"/>
      <c r="F318" s="532"/>
      <c r="G318" s="532"/>
      <c r="H318" s="532"/>
      <c r="I318" s="532"/>
      <c r="J318" s="532"/>
      <c r="K318" s="532"/>
      <c r="L318" s="532"/>
      <c r="M318" s="532"/>
      <c r="N318" s="532"/>
      <c r="O318" s="532"/>
      <c r="Q318" s="533"/>
      <c r="S318" s="532"/>
      <c r="T318" s="532"/>
      <c r="U318" s="532"/>
      <c r="V318" s="532"/>
      <c r="W318" s="532"/>
      <c r="X318" s="532"/>
      <c r="Y318" s="532"/>
      <c r="Z318" s="532"/>
      <c r="AA318" s="532"/>
      <c r="AB318" s="532"/>
      <c r="AC318" s="532"/>
      <c r="AD318" s="532"/>
      <c r="AE318" s="532"/>
      <c r="AF318" s="532"/>
      <c r="AG318" s="532"/>
      <c r="AH318" s="532"/>
      <c r="AI318" s="532"/>
    </row>
    <row r="319" spans="1:35" s="531" customFormat="1" ht="18" customHeight="1">
      <c r="A319" s="532"/>
      <c r="B319" s="532"/>
      <c r="C319" s="532"/>
      <c r="D319" s="532"/>
      <c r="E319" s="532"/>
      <c r="F319" s="532"/>
      <c r="G319" s="532"/>
      <c r="H319" s="532"/>
      <c r="I319" s="532"/>
      <c r="J319" s="532"/>
      <c r="K319" s="532"/>
      <c r="L319" s="532"/>
      <c r="M319" s="532"/>
      <c r="N319" s="532"/>
      <c r="O319" s="532"/>
      <c r="Q319" s="533"/>
      <c r="S319" s="532"/>
      <c r="T319" s="532"/>
      <c r="U319" s="532"/>
      <c r="V319" s="532"/>
      <c r="W319" s="532"/>
      <c r="X319" s="532"/>
      <c r="Y319" s="532"/>
      <c r="Z319" s="532"/>
      <c r="AA319" s="532"/>
      <c r="AB319" s="532"/>
      <c r="AC319" s="532"/>
      <c r="AD319" s="532"/>
      <c r="AE319" s="532"/>
      <c r="AF319" s="532"/>
      <c r="AG319" s="532"/>
      <c r="AH319" s="532"/>
      <c r="AI319" s="532"/>
    </row>
    <row r="320" spans="1:35" s="531" customFormat="1" ht="18" customHeight="1">
      <c r="A320" s="532"/>
      <c r="B320" s="532"/>
      <c r="C320" s="532"/>
      <c r="D320" s="532"/>
      <c r="E320" s="532"/>
      <c r="F320" s="532"/>
      <c r="G320" s="532"/>
      <c r="H320" s="532"/>
      <c r="I320" s="532"/>
      <c r="J320" s="532"/>
      <c r="K320" s="532"/>
      <c r="L320" s="532"/>
      <c r="M320" s="532"/>
      <c r="N320" s="532"/>
      <c r="O320" s="532"/>
      <c r="Q320" s="533"/>
      <c r="S320" s="532"/>
      <c r="T320" s="532"/>
      <c r="U320" s="532"/>
      <c r="V320" s="532"/>
      <c r="W320" s="532"/>
      <c r="X320" s="532"/>
      <c r="Y320" s="532"/>
      <c r="Z320" s="532"/>
      <c r="AA320" s="532"/>
      <c r="AB320" s="532"/>
      <c r="AC320" s="532"/>
      <c r="AD320" s="532"/>
      <c r="AE320" s="532"/>
      <c r="AF320" s="532"/>
      <c r="AG320" s="532"/>
      <c r="AH320" s="532"/>
      <c r="AI320" s="532"/>
    </row>
    <row r="321" spans="1:35" s="531" customFormat="1" ht="18" customHeight="1">
      <c r="A321" s="532"/>
      <c r="B321" s="532"/>
      <c r="C321" s="532"/>
      <c r="D321" s="532"/>
      <c r="E321" s="532"/>
      <c r="F321" s="532"/>
      <c r="G321" s="532"/>
      <c r="H321" s="532"/>
      <c r="I321" s="532"/>
      <c r="J321" s="532"/>
      <c r="K321" s="532"/>
      <c r="L321" s="532"/>
      <c r="M321" s="532"/>
      <c r="N321" s="532"/>
      <c r="O321" s="532"/>
      <c r="Q321" s="533"/>
      <c r="S321" s="532"/>
      <c r="T321" s="532"/>
      <c r="U321" s="532"/>
      <c r="V321" s="532"/>
      <c r="W321" s="532"/>
      <c r="X321" s="532"/>
      <c r="Y321" s="532"/>
      <c r="Z321" s="532"/>
      <c r="AA321" s="532"/>
      <c r="AB321" s="532"/>
      <c r="AC321" s="532"/>
      <c r="AD321" s="532"/>
      <c r="AE321" s="532"/>
      <c r="AF321" s="532"/>
      <c r="AG321" s="532"/>
      <c r="AH321" s="532"/>
      <c r="AI321" s="532"/>
    </row>
    <row r="322" spans="1:35" ht="18" customHeight="1"/>
    <row r="323" spans="1:35" ht="18" customHeight="1"/>
    <row r="324" spans="1:35" ht="18" customHeight="1"/>
    <row r="325" spans="1:35" ht="18" customHeight="1"/>
    <row r="326" spans="1:35" ht="18" customHeight="1"/>
    <row r="327" spans="1:35" ht="18" customHeight="1"/>
    <row r="328" spans="1:35" ht="18" customHeight="1"/>
    <row r="329" spans="1:35" ht="18" customHeight="1"/>
    <row r="330" spans="1:35" ht="18" customHeight="1"/>
    <row r="331" spans="1:35" ht="18" customHeight="1"/>
    <row r="332" spans="1:35" ht="18" customHeight="1"/>
    <row r="333" spans="1:35" ht="18" customHeight="1"/>
    <row r="334" spans="1:35" ht="18" customHeight="1"/>
    <row r="335" spans="1:35" ht="18" customHeight="1"/>
    <row r="336" spans="1:35" ht="18" customHeight="1"/>
    <row r="337" spans="1:1" ht="18" customHeight="1"/>
    <row r="338" spans="1:1" ht="18" customHeight="1"/>
    <row r="339" spans="1:1" ht="32.25" customHeight="1">
      <c r="A339" s="642"/>
    </row>
    <row r="340" spans="1:1" ht="18" customHeight="1"/>
    <row r="341" spans="1:1" ht="18" customHeight="1"/>
    <row r="342" spans="1:1" ht="18" customHeight="1"/>
    <row r="343" spans="1:1" ht="18" customHeight="1"/>
    <row r="344" spans="1:1" ht="18" customHeight="1"/>
    <row r="345" spans="1:1" ht="18" customHeight="1"/>
    <row r="346" spans="1:1" ht="18" customHeight="1"/>
    <row r="347" spans="1:1" ht="18" customHeight="1"/>
    <row r="348" spans="1:1" ht="18" customHeight="1"/>
    <row r="349" spans="1:1" ht="18" customHeight="1"/>
    <row r="350" spans="1:1" ht="18" customHeight="1"/>
    <row r="351" spans="1:1" ht="18" customHeight="1"/>
    <row r="352" spans="1:1"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row r="520" ht="18" customHeight="1"/>
    <row r="521" ht="18" customHeight="1"/>
    <row r="522" ht="18" customHeight="1"/>
    <row r="523" ht="18" customHeight="1"/>
    <row r="524" ht="18" customHeight="1"/>
    <row r="525" ht="18" customHeight="1"/>
    <row r="526" ht="18" customHeight="1"/>
    <row r="527" ht="18" customHeight="1"/>
    <row r="528" ht="18" customHeight="1"/>
    <row r="529" ht="18" customHeight="1"/>
    <row r="530" ht="18" customHeight="1"/>
    <row r="531" ht="18" customHeight="1"/>
    <row r="532" ht="18" customHeight="1"/>
    <row r="533" ht="18" customHeight="1"/>
    <row r="534" ht="18" customHeight="1"/>
    <row r="535" ht="18" customHeight="1"/>
    <row r="536" ht="18" customHeight="1"/>
    <row r="537" ht="18" customHeight="1"/>
    <row r="538" ht="18" customHeight="1"/>
    <row r="539" ht="18" customHeight="1"/>
    <row r="540" ht="18" customHeight="1"/>
    <row r="541" ht="18" customHeight="1"/>
    <row r="542" ht="18" customHeight="1"/>
    <row r="543" ht="18" customHeight="1"/>
    <row r="544" ht="18" customHeight="1"/>
    <row r="545" ht="18" customHeight="1"/>
    <row r="546" ht="18" customHeight="1"/>
    <row r="547" ht="18" customHeight="1"/>
    <row r="548" ht="18" customHeight="1"/>
    <row r="549" ht="18" customHeight="1"/>
    <row r="550" ht="18" customHeight="1"/>
    <row r="551" ht="18" customHeight="1"/>
    <row r="552" ht="18" customHeight="1"/>
    <row r="553" ht="18" customHeight="1"/>
    <row r="554" ht="18" customHeight="1"/>
    <row r="555" ht="18" customHeight="1"/>
    <row r="556" ht="18" customHeight="1"/>
    <row r="557" ht="18" customHeight="1"/>
    <row r="558" ht="18" customHeight="1"/>
    <row r="559" ht="18" customHeight="1"/>
    <row r="560" ht="18" customHeight="1"/>
    <row r="561" ht="18" customHeight="1"/>
    <row r="562" ht="18" customHeight="1"/>
    <row r="563" ht="18" customHeight="1"/>
    <row r="564" ht="18" customHeight="1"/>
    <row r="565" ht="18" customHeight="1"/>
    <row r="566" ht="18" customHeight="1"/>
    <row r="567" ht="18" customHeight="1"/>
    <row r="568" ht="18" customHeight="1"/>
    <row r="569" ht="18" customHeight="1"/>
    <row r="570" ht="18" customHeight="1"/>
    <row r="571" ht="18" customHeight="1"/>
    <row r="572" ht="18"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row r="1001" ht="18" customHeight="1"/>
    <row r="1002" ht="18" customHeight="1"/>
    <row r="1003" ht="18" customHeight="1"/>
    <row r="1004" ht="18" customHeight="1"/>
    <row r="1005" ht="18" customHeight="1"/>
    <row r="1006" ht="18" customHeight="1"/>
    <row r="1007" ht="18" customHeight="1"/>
    <row r="1008" ht="18" customHeight="1"/>
    <row r="1009" ht="18" customHeight="1"/>
    <row r="1010" ht="18" customHeight="1"/>
    <row r="1011" ht="18" customHeight="1"/>
    <row r="1012" ht="18" customHeight="1"/>
    <row r="1013" ht="18" customHeight="1"/>
    <row r="1014" ht="18" customHeight="1"/>
    <row r="1015" ht="18" customHeight="1"/>
    <row r="1016" ht="18" customHeight="1"/>
    <row r="1017" ht="18" customHeight="1"/>
    <row r="1018" ht="18" customHeight="1"/>
    <row r="1019" ht="18" customHeight="1"/>
    <row r="1020" ht="18" customHeight="1"/>
    <row r="1021" ht="18" customHeight="1"/>
    <row r="1022" ht="18" customHeight="1"/>
    <row r="1023" ht="18" customHeight="1"/>
    <row r="1024" ht="18" customHeight="1"/>
    <row r="1025" ht="18" customHeight="1"/>
    <row r="1026" ht="18" customHeight="1"/>
    <row r="1027" ht="18" customHeight="1"/>
    <row r="1028" ht="18" customHeight="1"/>
    <row r="1029" ht="18" customHeight="1"/>
    <row r="1030" ht="18" customHeight="1"/>
    <row r="1031" ht="18" customHeight="1"/>
    <row r="1032" ht="18" customHeight="1"/>
    <row r="1033" ht="18" customHeight="1"/>
    <row r="1034" ht="18" customHeight="1"/>
    <row r="1035" ht="18" customHeight="1"/>
    <row r="1036" ht="18" customHeight="1"/>
    <row r="1037" ht="18" customHeight="1"/>
    <row r="1038" ht="18" customHeight="1"/>
    <row r="1039" ht="18" customHeight="1"/>
    <row r="1040" ht="18" customHeight="1"/>
    <row r="1041" ht="18" customHeight="1"/>
    <row r="1042" ht="18" customHeight="1"/>
    <row r="1043" ht="18" customHeight="1"/>
    <row r="1044" ht="18" customHeight="1"/>
    <row r="1045" ht="18" customHeight="1"/>
    <row r="1046" ht="18" customHeight="1"/>
    <row r="1047" ht="18" customHeight="1"/>
    <row r="1048" ht="18" customHeight="1"/>
    <row r="1049" ht="18" customHeight="1"/>
    <row r="1050" ht="18" customHeight="1"/>
    <row r="1051" ht="18" customHeight="1"/>
    <row r="1052" ht="18" customHeight="1"/>
    <row r="1053" ht="18" customHeight="1"/>
    <row r="1054" ht="18" customHeight="1"/>
    <row r="1055" ht="18" customHeight="1"/>
    <row r="1056" ht="18" customHeight="1"/>
    <row r="1057" ht="18" customHeight="1"/>
    <row r="1058" ht="18" customHeight="1"/>
    <row r="1059" ht="18" customHeight="1"/>
    <row r="1060" ht="18" customHeight="1"/>
    <row r="1061" ht="18" customHeight="1"/>
    <row r="1062" ht="18" customHeight="1"/>
    <row r="1063" ht="18" customHeight="1"/>
    <row r="1064" ht="18" customHeight="1"/>
    <row r="1065" ht="18" customHeight="1"/>
    <row r="1066" ht="18" customHeight="1"/>
    <row r="1067" ht="18" customHeight="1"/>
    <row r="1068" ht="18" customHeight="1"/>
    <row r="1069" ht="18" customHeight="1"/>
    <row r="1070" ht="18" customHeight="1"/>
    <row r="1071" ht="18" customHeight="1"/>
    <row r="1072" ht="18" customHeight="1"/>
    <row r="1073" ht="18" customHeight="1"/>
    <row r="1074" ht="18" customHeight="1"/>
    <row r="1075" ht="18" customHeight="1"/>
    <row r="1076" ht="18" customHeight="1"/>
    <row r="1077" ht="18" customHeight="1"/>
    <row r="1078" ht="18" customHeight="1"/>
    <row r="1079" ht="18" customHeight="1"/>
    <row r="1080" ht="18" customHeight="1"/>
    <row r="1081" ht="18" customHeight="1"/>
    <row r="1082" ht="18" customHeight="1"/>
    <row r="1083" ht="18" customHeight="1"/>
    <row r="1084" ht="18" customHeight="1"/>
    <row r="1085" ht="18" customHeight="1"/>
    <row r="1086" ht="18" customHeight="1"/>
    <row r="1087" ht="18" customHeight="1"/>
    <row r="1088" ht="18" customHeight="1"/>
    <row r="1089" ht="18" customHeight="1"/>
    <row r="1090" ht="18" customHeight="1"/>
    <row r="1091" ht="18" customHeight="1"/>
    <row r="1092" ht="18" customHeight="1"/>
    <row r="1093" ht="18" customHeight="1"/>
    <row r="1094" ht="18" customHeight="1"/>
    <row r="1095" ht="18" customHeight="1"/>
    <row r="1096" ht="18" customHeight="1"/>
    <row r="1097" ht="18" customHeight="1"/>
    <row r="1098" ht="18" customHeight="1"/>
    <row r="1099" ht="18" customHeight="1"/>
    <row r="1100" ht="18" customHeight="1"/>
    <row r="1101" ht="18" customHeight="1"/>
    <row r="1102" ht="18" customHeight="1"/>
    <row r="1103" ht="18" customHeight="1"/>
    <row r="1104" ht="18" customHeight="1"/>
    <row r="1105" ht="18" customHeight="1"/>
    <row r="1106" ht="18" customHeight="1"/>
    <row r="1107" ht="18" customHeight="1"/>
    <row r="1108" ht="18" customHeight="1"/>
    <row r="1109" ht="18" customHeight="1"/>
    <row r="1110" ht="18" customHeight="1"/>
    <row r="1111" ht="18" customHeight="1"/>
    <row r="1112" ht="18" customHeight="1"/>
    <row r="1113" ht="18" customHeight="1"/>
    <row r="1114" ht="18" customHeight="1"/>
    <row r="1115" ht="18" customHeight="1"/>
    <row r="1116" ht="18" customHeight="1"/>
    <row r="1117" ht="18" customHeight="1"/>
    <row r="1118" ht="18" customHeight="1"/>
    <row r="1119" ht="18" customHeight="1"/>
    <row r="1120" ht="18" customHeight="1"/>
    <row r="1121" ht="18" customHeight="1"/>
    <row r="1122" ht="18" customHeight="1"/>
    <row r="1123" ht="18" customHeight="1"/>
    <row r="1124" ht="18" customHeight="1"/>
    <row r="1125" ht="18" customHeight="1"/>
    <row r="1126" ht="18" customHeight="1"/>
    <row r="1127" ht="18" customHeight="1"/>
    <row r="1128" ht="18" customHeight="1"/>
    <row r="1129" ht="18" customHeight="1"/>
    <row r="1130" ht="18" customHeight="1"/>
    <row r="1131" ht="18" customHeight="1"/>
    <row r="1132" ht="18" customHeight="1"/>
    <row r="1133" ht="18" customHeight="1"/>
    <row r="1134" ht="18" customHeight="1"/>
    <row r="1135" ht="18" customHeight="1"/>
    <row r="1136" ht="18" customHeight="1"/>
    <row r="1137" ht="18" customHeight="1"/>
    <row r="1138" ht="18" customHeight="1"/>
    <row r="1139" ht="18" customHeight="1"/>
    <row r="1140" ht="18" customHeight="1"/>
    <row r="1141" ht="18" customHeight="1"/>
    <row r="1142" ht="18" customHeight="1"/>
    <row r="1143" ht="18" customHeight="1"/>
    <row r="1144" ht="18" customHeight="1"/>
    <row r="1145" ht="18" customHeight="1"/>
    <row r="1146" ht="18" customHeight="1"/>
    <row r="1147" ht="18" customHeight="1"/>
    <row r="1148" ht="18" customHeight="1"/>
    <row r="1149" ht="18" customHeight="1"/>
    <row r="1150" ht="18" customHeight="1"/>
    <row r="1151" ht="18" customHeight="1"/>
    <row r="1152" ht="18" customHeight="1"/>
    <row r="1153" ht="18" customHeight="1"/>
    <row r="1154" ht="18" customHeight="1"/>
    <row r="1155" ht="18" customHeight="1"/>
    <row r="1156" ht="18" customHeight="1"/>
    <row r="1157" ht="18" customHeight="1"/>
    <row r="1158" ht="18" customHeight="1"/>
    <row r="1159" ht="18" customHeight="1"/>
    <row r="1160" ht="18" customHeight="1"/>
    <row r="1161" ht="18" customHeight="1"/>
    <row r="1162" ht="18" customHeight="1"/>
    <row r="1163" ht="18" customHeight="1"/>
    <row r="1164" ht="18" customHeight="1"/>
    <row r="1165" ht="18" customHeight="1"/>
    <row r="1166" ht="18" customHeight="1"/>
    <row r="1167" ht="18" customHeight="1"/>
    <row r="1168" ht="18" customHeight="1"/>
    <row r="1169" ht="18" customHeight="1"/>
    <row r="1170" ht="18" customHeight="1"/>
    <row r="1171" ht="18" customHeight="1"/>
    <row r="1172" ht="18" customHeight="1"/>
    <row r="1173" ht="18" customHeight="1"/>
    <row r="1174" ht="18" customHeight="1"/>
    <row r="1175" ht="18" customHeight="1"/>
    <row r="1176" ht="18" customHeight="1"/>
    <row r="1177" ht="18" customHeight="1"/>
    <row r="1178" ht="18" customHeight="1"/>
    <row r="1179" ht="18" customHeight="1"/>
    <row r="1180" ht="18" customHeight="1"/>
    <row r="1181" ht="18" customHeight="1"/>
    <row r="1182" ht="18" customHeight="1"/>
    <row r="1183" ht="18" customHeight="1"/>
    <row r="1184" ht="18" customHeight="1"/>
    <row r="1185" spans="1:21" ht="18" customHeight="1">
      <c r="A1185" s="2564" t="s">
        <v>1276</v>
      </c>
      <c r="B1185" s="2564"/>
      <c r="C1185" s="2564"/>
      <c r="D1185" s="2564"/>
      <c r="E1185" s="2564"/>
      <c r="F1185" s="2564"/>
      <c r="G1185" s="2564"/>
      <c r="H1185" s="2564"/>
      <c r="I1185" s="2564"/>
      <c r="J1185" s="2564"/>
      <c r="K1185" s="2564"/>
      <c r="L1185" s="2564"/>
      <c r="M1185" s="2564"/>
      <c r="N1185" s="2564"/>
      <c r="O1185" s="2564"/>
      <c r="P1185" s="2564"/>
      <c r="Q1185" s="2564"/>
      <c r="R1185" s="2564"/>
      <c r="S1185" s="2564"/>
      <c r="T1185" s="534"/>
      <c r="U1185" s="534"/>
    </row>
    <row r="1186" spans="1:21" ht="18" customHeight="1"/>
    <row r="1187" spans="1:21" ht="18" customHeight="1"/>
    <row r="1188" spans="1:21" ht="18" customHeight="1"/>
    <row r="1189" spans="1:21" ht="18" customHeight="1"/>
  </sheetData>
  <sheetProtection password="C62F" sheet="1" objects="1" scenarios="1"/>
  <mergeCells count="26">
    <mergeCell ref="N304:O304"/>
    <mergeCell ref="A1185:S1185"/>
    <mergeCell ref="A6:A7"/>
    <mergeCell ref="B6:B7"/>
    <mergeCell ref="C6:C7"/>
    <mergeCell ref="P6:P7"/>
    <mergeCell ref="Q6:Q7"/>
    <mergeCell ref="R6:R7"/>
    <mergeCell ref="A300:I300"/>
    <mergeCell ref="A301:I301"/>
    <mergeCell ref="A302:I302"/>
    <mergeCell ref="A303:I303"/>
    <mergeCell ref="A304:I304"/>
    <mergeCell ref="A238:C238"/>
    <mergeCell ref="N299:O299"/>
    <mergeCell ref="A2:S2"/>
    <mergeCell ref="O3:P3"/>
    <mergeCell ref="O4:P4"/>
    <mergeCell ref="N6:O6"/>
    <mergeCell ref="AH91:AI91"/>
    <mergeCell ref="U3:U104"/>
    <mergeCell ref="A295:C295"/>
    <mergeCell ref="A296:C296"/>
    <mergeCell ref="A297:C297"/>
    <mergeCell ref="U108:U237"/>
    <mergeCell ref="U240:U298"/>
  </mergeCells>
  <printOptions horizontalCentered="1" verticalCentered="1"/>
  <pageMargins left="0" right="0" top="0" bottom="0" header="0.3" footer="0.3"/>
  <pageSetup paperSize="10000" scale="39" orientation="portrait"/>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92D050"/>
  </sheetPr>
  <dimension ref="A2:AJ1106"/>
  <sheetViews>
    <sheetView workbookViewId="0">
      <selection activeCell="G72" sqref="A1:S115"/>
    </sheetView>
  </sheetViews>
  <sheetFormatPr defaultColWidth="9.26953125" defaultRowHeight="13"/>
  <cols>
    <col min="1" max="1" width="8.7265625" style="532" customWidth="1"/>
    <col min="2" max="2" width="40.7265625" style="532" hidden="1" customWidth="1"/>
    <col min="3" max="3" width="79.7265625" style="532" customWidth="1"/>
    <col min="4" max="13" width="11.1796875" style="532" customWidth="1"/>
    <col min="14" max="14" width="12.54296875" style="532" customWidth="1"/>
    <col min="15" max="15" width="25.7265625" style="532" customWidth="1"/>
    <col min="16" max="16" width="10.54296875" style="531" customWidth="1"/>
    <col min="17" max="17" width="10.54296875" style="533" customWidth="1"/>
    <col min="18" max="18" width="10.54296875" style="531" customWidth="1"/>
    <col min="19" max="19" width="14.26953125" style="532" customWidth="1"/>
    <col min="20" max="20" width="12.54296875" style="532" customWidth="1"/>
    <col min="21" max="21" width="6.7265625" style="532" customWidth="1"/>
    <col min="22" max="22" width="8.7265625" style="532" customWidth="1"/>
    <col min="23" max="23" width="4.26953125" style="532" customWidth="1"/>
    <col min="24" max="33" width="15.54296875" style="532" customWidth="1"/>
    <col min="34" max="16384" width="9.26953125" style="532"/>
  </cols>
  <sheetData>
    <row r="2" spans="1:34" ht="40.15" customHeight="1">
      <c r="A2" s="2564" t="s">
        <v>1276</v>
      </c>
      <c r="B2" s="2564"/>
      <c r="C2" s="2564"/>
      <c r="D2" s="2564"/>
      <c r="E2" s="2564"/>
      <c r="F2" s="2564"/>
      <c r="G2" s="2564"/>
      <c r="H2" s="2564"/>
      <c r="I2" s="2564"/>
      <c r="J2" s="2564"/>
      <c r="K2" s="2564"/>
      <c r="L2" s="2564"/>
      <c r="M2" s="2564"/>
      <c r="N2" s="2564"/>
      <c r="O2" s="2564"/>
      <c r="P2" s="2564"/>
      <c r="Q2" s="2564"/>
      <c r="R2" s="2564"/>
      <c r="S2" s="2564"/>
      <c r="T2" s="534"/>
      <c r="U2" s="556"/>
      <c r="V2" s="534"/>
    </row>
    <row r="3" spans="1:34" ht="25.15" customHeight="1">
      <c r="M3" s="535"/>
      <c r="N3" s="547" t="s">
        <v>1277</v>
      </c>
      <c r="O3" s="2565" t="str">
        <f>LPKK!O4</f>
        <v>RC SAMATA GOWA</v>
      </c>
      <c r="P3" s="2566"/>
      <c r="U3" s="557"/>
      <c r="V3" s="2560" t="s">
        <v>79</v>
      </c>
    </row>
    <row r="4" spans="1:34" ht="25.15" customHeight="1">
      <c r="M4" s="535"/>
      <c r="N4" s="547" t="s">
        <v>1278</v>
      </c>
      <c r="O4" s="2567" t="str">
        <f>LPKK!O5</f>
        <v>8-14 JANUARI 2025</v>
      </c>
      <c r="P4" s="2567"/>
      <c r="U4" s="557"/>
      <c r="V4" s="2560"/>
    </row>
    <row r="5" spans="1:34" ht="25.15" customHeight="1">
      <c r="A5" s="535"/>
      <c r="M5" s="535"/>
      <c r="U5" s="557"/>
      <c r="V5" s="2560"/>
    </row>
    <row r="6" spans="1:34" ht="25.15" customHeight="1">
      <c r="A6" s="2571" t="s">
        <v>65</v>
      </c>
      <c r="B6" s="2594" t="s">
        <v>1279</v>
      </c>
      <c r="C6" s="2575" t="str">
        <f>B6</f>
        <v>PRODUCT</v>
      </c>
      <c r="D6" s="536">
        <f>'LAP. PENJUALAN '!D6</f>
        <v>46030</v>
      </c>
      <c r="E6" s="536">
        <f>'LAP. PENJUALAN '!E6</f>
        <v>46031</v>
      </c>
      <c r="F6" s="536">
        <f>'LAP. PENJUALAN '!F6</f>
        <v>46032</v>
      </c>
      <c r="G6" s="536">
        <f>'LAP. PENJUALAN '!G6</f>
        <v>46033</v>
      </c>
      <c r="H6" s="536">
        <f>'LAP. PENJUALAN '!H6</f>
        <v>46034</v>
      </c>
      <c r="I6" s="536">
        <f>'LAP. PENJUALAN '!I6</f>
        <v>46035</v>
      </c>
      <c r="J6" s="536">
        <f>'LAP. PENJUALAN '!J6</f>
        <v>46036</v>
      </c>
      <c r="K6" s="536">
        <f>'LAP. PENJUALAN '!K6</f>
        <v>0</v>
      </c>
      <c r="L6" s="536">
        <f>'LAP. PENJUALAN '!L6</f>
        <v>0</v>
      </c>
      <c r="M6" s="536">
        <f>'LAP. PENJUALAN '!M6</f>
        <v>0</v>
      </c>
      <c r="N6" s="2568" t="s">
        <v>310</v>
      </c>
      <c r="O6" s="2568"/>
      <c r="P6" s="2577" t="s">
        <v>1154</v>
      </c>
      <c r="Q6" s="2579" t="s">
        <v>1280</v>
      </c>
      <c r="R6" s="2581" t="s">
        <v>1281</v>
      </c>
      <c r="S6" s="550" t="s">
        <v>365</v>
      </c>
      <c r="T6" s="558" t="s">
        <v>365</v>
      </c>
      <c r="U6" s="559"/>
      <c r="V6" s="2560"/>
    </row>
    <row r="7" spans="1:34" ht="25.15" customHeight="1">
      <c r="A7" s="2572"/>
      <c r="B7" s="2595"/>
      <c r="C7" s="2596"/>
      <c r="D7" s="537" t="str">
        <f>'LAP. PENJUALAN '!D7</f>
        <v>KAMIS</v>
      </c>
      <c r="E7" s="538" t="str">
        <f>'LAP. PENJUALAN '!E7</f>
        <v>JUMAT</v>
      </c>
      <c r="F7" s="538" t="str">
        <f>'LAP. PENJUALAN '!F7</f>
        <v>SABTU</v>
      </c>
      <c r="G7" s="538" t="str">
        <f>'LAP. PENJUALAN '!G7</f>
        <v>MINGGU</v>
      </c>
      <c r="H7" s="538" t="str">
        <f>'LAP. PENJUALAN '!H7</f>
        <v>SENIN</v>
      </c>
      <c r="I7" s="538" t="str">
        <f>'LAP. PENJUALAN '!I7</f>
        <v>SELASA</v>
      </c>
      <c r="J7" s="538" t="str">
        <f>'LAP. PENJUALAN '!J7</f>
        <v>RABU</v>
      </c>
      <c r="K7" s="538">
        <f>'LAP. PENJUALAN '!K7</f>
        <v>0</v>
      </c>
      <c r="L7" s="538">
        <f>'LAP. PENJUALAN '!L7</f>
        <v>0</v>
      </c>
      <c r="M7" s="538">
        <f>'LAP. PENJUALAN '!M7</f>
        <v>0</v>
      </c>
      <c r="N7" s="551" t="s">
        <v>67</v>
      </c>
      <c r="O7" s="551" t="s">
        <v>415</v>
      </c>
      <c r="P7" s="2578"/>
      <c r="Q7" s="2580"/>
      <c r="R7" s="2582"/>
      <c r="S7" s="551" t="s">
        <v>1699</v>
      </c>
      <c r="T7" s="560" t="s">
        <v>368</v>
      </c>
      <c r="U7" s="559"/>
      <c r="V7" s="2560"/>
      <c r="X7" s="561"/>
    </row>
    <row r="8" spans="1:34" ht="25.15" customHeight="1">
      <c r="A8" s="539">
        <v>1</v>
      </c>
      <c r="B8" s="540" t="s">
        <v>1282</v>
      </c>
      <c r="C8" s="541" t="str">
        <f>'LAP. PENJUALAN '!C8</f>
        <v>Dada</v>
      </c>
      <c r="D8" s="542"/>
      <c r="E8" s="542"/>
      <c r="F8" s="542"/>
      <c r="G8" s="542"/>
      <c r="H8" s="542"/>
      <c r="I8" s="542"/>
      <c r="J8" s="542"/>
      <c r="K8" s="542"/>
      <c r="L8" s="542"/>
      <c r="M8" s="542"/>
      <c r="N8" s="552">
        <f>SUM(D8:M8)</f>
        <v>0</v>
      </c>
      <c r="O8" s="552">
        <f>N8*S8</f>
        <v>0</v>
      </c>
      <c r="P8" s="553" t="e">
        <f>(O8/O270)*100</f>
        <v>#DIV/0!</v>
      </c>
      <c r="Q8" s="562"/>
      <c r="R8" s="553" t="e">
        <f>P8*Q8</f>
        <v>#DIV/0!</v>
      </c>
      <c r="S8" s="563">
        <f>T8+(T8*10%)</f>
        <v>11000</v>
      </c>
      <c r="T8" s="564">
        <v>10000</v>
      </c>
      <c r="U8" s="565"/>
      <c r="V8" s="2560"/>
      <c r="X8" s="566">
        <f>D8*S8</f>
        <v>0</v>
      </c>
      <c r="Y8" s="566">
        <f>E8*S8</f>
        <v>0</v>
      </c>
      <c r="Z8" s="566">
        <f>F8*S8</f>
        <v>0</v>
      </c>
      <c r="AA8" s="566">
        <f>G8*S8</f>
        <v>0</v>
      </c>
      <c r="AB8" s="566">
        <f>H8*S8</f>
        <v>0</v>
      </c>
      <c r="AC8" s="566">
        <f>I8*S8</f>
        <v>0</v>
      </c>
      <c r="AD8" s="566">
        <f>J8*S8</f>
        <v>0</v>
      </c>
      <c r="AE8" s="566">
        <f>K8*S8</f>
        <v>0</v>
      </c>
      <c r="AF8" s="566">
        <f>L8*S8</f>
        <v>0</v>
      </c>
      <c r="AG8" s="566">
        <f>M8*S8</f>
        <v>0</v>
      </c>
      <c r="AH8" s="573"/>
    </row>
    <row r="9" spans="1:34" ht="25.15" customHeight="1">
      <c r="A9" s="543">
        <v>2</v>
      </c>
      <c r="B9" s="544" t="s">
        <v>1283</v>
      </c>
      <c r="C9" s="541" t="str">
        <f>'LAP. PENJUALAN '!C9</f>
        <v>Paha Atas</v>
      </c>
      <c r="D9" s="542"/>
      <c r="E9" s="542"/>
      <c r="F9" s="542"/>
      <c r="G9" s="542"/>
      <c r="H9" s="542"/>
      <c r="I9" s="542"/>
      <c r="J9" s="542"/>
      <c r="K9" s="542"/>
      <c r="L9" s="542"/>
      <c r="M9" s="542"/>
      <c r="N9" s="554">
        <f t="shared" ref="N9:N103" si="0">SUM(D9:M9)</f>
        <v>0</v>
      </c>
      <c r="O9" s="554">
        <f t="shared" ref="O9:O103" si="1">N9*S9</f>
        <v>0</v>
      </c>
      <c r="P9" s="555" t="e">
        <f>(O9/O270)*100</f>
        <v>#DIV/0!</v>
      </c>
      <c r="Q9" s="567"/>
      <c r="R9" s="555" t="e">
        <f t="shared" ref="R9:R103" si="2">P9*Q9</f>
        <v>#DIV/0!</v>
      </c>
      <c r="S9" s="568">
        <f t="shared" ref="S9:S103" si="3">T9+(T9*10%)</f>
        <v>11000</v>
      </c>
      <c r="T9" s="564">
        <v>10000</v>
      </c>
      <c r="U9" s="565"/>
      <c r="V9" s="2560"/>
      <c r="X9" s="566">
        <f t="shared" ref="X9:X103" si="4">D9*S9</f>
        <v>0</v>
      </c>
      <c r="Y9" s="566">
        <f t="shared" ref="Y9:Y103" si="5">E9*S9</f>
        <v>0</v>
      </c>
      <c r="Z9" s="566">
        <f t="shared" ref="Z9:Z103" si="6">F9*S9</f>
        <v>0</v>
      </c>
      <c r="AA9" s="566">
        <f t="shared" ref="AA9:AA103" si="7">G9*S9</f>
        <v>0</v>
      </c>
      <c r="AB9" s="566">
        <f t="shared" ref="AB9:AB103" si="8">H9*S9</f>
        <v>0</v>
      </c>
      <c r="AC9" s="566">
        <f t="shared" ref="AC9:AC103" si="9">I9*S9</f>
        <v>0</v>
      </c>
      <c r="AD9" s="566">
        <f t="shared" ref="AD9:AD103" si="10">J9*S9</f>
        <v>0</v>
      </c>
      <c r="AE9" s="566">
        <f t="shared" ref="AE9:AE103" si="11">K9*S9</f>
        <v>0</v>
      </c>
      <c r="AF9" s="566">
        <f t="shared" ref="AF9:AF103" si="12">L9*S9</f>
        <v>0</v>
      </c>
      <c r="AG9" s="566">
        <f t="shared" ref="AG9:AG103" si="13">M9*S9</f>
        <v>0</v>
      </c>
      <c r="AH9" s="573"/>
    </row>
    <row r="10" spans="1:34" ht="25.15" customHeight="1">
      <c r="A10" s="543">
        <v>3</v>
      </c>
      <c r="B10" s="544" t="s">
        <v>1284</v>
      </c>
      <c r="C10" s="541" t="str">
        <f>'LAP. PENJUALAN '!C10</f>
        <v>Paha Bawah</v>
      </c>
      <c r="D10" s="542"/>
      <c r="E10" s="542"/>
      <c r="F10" s="542"/>
      <c r="G10" s="542"/>
      <c r="H10" s="542"/>
      <c r="I10" s="542"/>
      <c r="J10" s="542"/>
      <c r="K10" s="542"/>
      <c r="L10" s="542"/>
      <c r="M10" s="542"/>
      <c r="N10" s="554">
        <f t="shared" si="0"/>
        <v>0</v>
      </c>
      <c r="O10" s="554">
        <f t="shared" si="1"/>
        <v>0</v>
      </c>
      <c r="P10" s="555" t="e">
        <f>(O10/O270)*100</f>
        <v>#DIV/0!</v>
      </c>
      <c r="Q10" s="567"/>
      <c r="R10" s="555" t="e">
        <f t="shared" si="2"/>
        <v>#DIV/0!</v>
      </c>
      <c r="S10" s="568">
        <f t="shared" si="3"/>
        <v>11000</v>
      </c>
      <c r="T10" s="564">
        <v>10000</v>
      </c>
      <c r="U10" s="565"/>
      <c r="V10" s="2560"/>
      <c r="X10" s="566">
        <f t="shared" si="4"/>
        <v>0</v>
      </c>
      <c r="Y10" s="566">
        <f t="shared" si="5"/>
        <v>0</v>
      </c>
      <c r="Z10" s="566">
        <f t="shared" si="6"/>
        <v>0</v>
      </c>
      <c r="AA10" s="566">
        <f t="shared" si="7"/>
        <v>0</v>
      </c>
      <c r="AB10" s="566">
        <f t="shared" si="8"/>
        <v>0</v>
      </c>
      <c r="AC10" s="566">
        <f t="shared" si="9"/>
        <v>0</v>
      </c>
      <c r="AD10" s="566">
        <f t="shared" si="10"/>
        <v>0</v>
      </c>
      <c r="AE10" s="566">
        <f t="shared" si="11"/>
        <v>0</v>
      </c>
      <c r="AF10" s="566">
        <f t="shared" si="12"/>
        <v>0</v>
      </c>
      <c r="AG10" s="566">
        <f t="shared" si="13"/>
        <v>0</v>
      </c>
      <c r="AH10" s="573"/>
    </row>
    <row r="11" spans="1:34" ht="25.15" customHeight="1">
      <c r="A11" s="543">
        <v>4</v>
      </c>
      <c r="B11" s="544" t="s">
        <v>1285</v>
      </c>
      <c r="C11" s="541" t="str">
        <f>'LAP. PENJUALAN '!C11</f>
        <v>Sayap</v>
      </c>
      <c r="D11" s="542"/>
      <c r="E11" s="542"/>
      <c r="F11" s="542"/>
      <c r="G11" s="542"/>
      <c r="H11" s="542"/>
      <c r="I11" s="542"/>
      <c r="J11" s="542"/>
      <c r="K11" s="542"/>
      <c r="L11" s="542"/>
      <c r="M11" s="542"/>
      <c r="N11" s="554">
        <f t="shared" si="0"/>
        <v>0</v>
      </c>
      <c r="O11" s="554">
        <f t="shared" si="1"/>
        <v>0</v>
      </c>
      <c r="P11" s="555" t="e">
        <f>(O11/O270)*100</f>
        <v>#DIV/0!</v>
      </c>
      <c r="Q11" s="567"/>
      <c r="R11" s="555" t="e">
        <f t="shared" si="2"/>
        <v>#DIV/0!</v>
      </c>
      <c r="S11" s="568">
        <f t="shared" si="3"/>
        <v>11000</v>
      </c>
      <c r="T11" s="564">
        <v>10000</v>
      </c>
      <c r="U11" s="565"/>
      <c r="V11" s="2560"/>
      <c r="X11" s="566">
        <f t="shared" si="4"/>
        <v>0</v>
      </c>
      <c r="Y11" s="566">
        <f t="shared" si="5"/>
        <v>0</v>
      </c>
      <c r="Z11" s="566">
        <f t="shared" si="6"/>
        <v>0</v>
      </c>
      <c r="AA11" s="566">
        <f t="shared" si="7"/>
        <v>0</v>
      </c>
      <c r="AB11" s="566">
        <f t="shared" si="8"/>
        <v>0</v>
      </c>
      <c r="AC11" s="566">
        <f t="shared" si="9"/>
        <v>0</v>
      </c>
      <c r="AD11" s="566">
        <f t="shared" si="10"/>
        <v>0</v>
      </c>
      <c r="AE11" s="566">
        <f t="shared" si="11"/>
        <v>0</v>
      </c>
      <c r="AF11" s="566">
        <f t="shared" si="12"/>
        <v>0</v>
      </c>
      <c r="AG11" s="566">
        <f t="shared" si="13"/>
        <v>0</v>
      </c>
      <c r="AH11" s="573"/>
    </row>
    <row r="12" spans="1:34" ht="25.15" customHeight="1">
      <c r="A12" s="543">
        <v>5</v>
      </c>
      <c r="B12" s="544" t="s">
        <v>1286</v>
      </c>
      <c r="C12" s="541" t="str">
        <f>'LAP. PENJUALAN '!C12</f>
        <v>Chicken Strips</v>
      </c>
      <c r="D12" s="542"/>
      <c r="E12" s="542"/>
      <c r="F12" s="542"/>
      <c r="G12" s="542"/>
      <c r="H12" s="542"/>
      <c r="I12" s="542"/>
      <c r="J12" s="542"/>
      <c r="K12" s="542"/>
      <c r="L12" s="542"/>
      <c r="M12" s="542"/>
      <c r="N12" s="554">
        <f t="shared" si="0"/>
        <v>0</v>
      </c>
      <c r="O12" s="554">
        <f t="shared" si="1"/>
        <v>0</v>
      </c>
      <c r="P12" s="555" t="e">
        <f>(O12/O270)*100</f>
        <v>#DIV/0!</v>
      </c>
      <c r="Q12" s="567"/>
      <c r="R12" s="555" t="e">
        <f t="shared" si="2"/>
        <v>#DIV/0!</v>
      </c>
      <c r="S12" s="568">
        <f t="shared" si="3"/>
        <v>11000</v>
      </c>
      <c r="T12" s="564">
        <v>10000</v>
      </c>
      <c r="U12" s="565"/>
      <c r="V12" s="2560"/>
      <c r="X12" s="566">
        <f t="shared" si="4"/>
        <v>0</v>
      </c>
      <c r="Y12" s="566">
        <f t="shared" si="5"/>
        <v>0</v>
      </c>
      <c r="Z12" s="566">
        <f t="shared" si="6"/>
        <v>0</v>
      </c>
      <c r="AA12" s="566">
        <f t="shared" si="7"/>
        <v>0</v>
      </c>
      <c r="AB12" s="566">
        <f t="shared" si="8"/>
        <v>0</v>
      </c>
      <c r="AC12" s="566">
        <f t="shared" si="9"/>
        <v>0</v>
      </c>
      <c r="AD12" s="566">
        <f t="shared" si="10"/>
        <v>0</v>
      </c>
      <c r="AE12" s="566">
        <f t="shared" si="11"/>
        <v>0</v>
      </c>
      <c r="AF12" s="566">
        <f t="shared" si="12"/>
        <v>0</v>
      </c>
      <c r="AG12" s="566">
        <f t="shared" si="13"/>
        <v>0</v>
      </c>
      <c r="AH12" s="573"/>
    </row>
    <row r="13" spans="1:34" ht="25.15" customHeight="1">
      <c r="A13" s="543">
        <v>6</v>
      </c>
      <c r="B13" s="544" t="s">
        <v>1287</v>
      </c>
      <c r="C13" s="541" t="str">
        <f>'LAP. PENJUALAN '!C13</f>
        <v>Chicken Steak</v>
      </c>
      <c r="D13" s="542"/>
      <c r="E13" s="542"/>
      <c r="F13" s="542"/>
      <c r="G13" s="542"/>
      <c r="H13" s="542"/>
      <c r="I13" s="542"/>
      <c r="J13" s="542"/>
      <c r="K13" s="542"/>
      <c r="L13" s="542"/>
      <c r="M13" s="542"/>
      <c r="N13" s="554">
        <f t="shared" si="0"/>
        <v>0</v>
      </c>
      <c r="O13" s="554">
        <f t="shared" si="1"/>
        <v>0</v>
      </c>
      <c r="P13" s="555" t="e">
        <f>(O13/O270)*100</f>
        <v>#DIV/0!</v>
      </c>
      <c r="Q13" s="567"/>
      <c r="R13" s="555" t="e">
        <f t="shared" si="2"/>
        <v>#DIV/0!</v>
      </c>
      <c r="S13" s="568">
        <f t="shared" si="3"/>
        <v>11000</v>
      </c>
      <c r="T13" s="564">
        <v>10000</v>
      </c>
      <c r="U13" s="565"/>
      <c r="V13" s="2560"/>
      <c r="X13" s="566">
        <f t="shared" si="4"/>
        <v>0</v>
      </c>
      <c r="Y13" s="566">
        <f t="shared" si="5"/>
        <v>0</v>
      </c>
      <c r="Z13" s="566">
        <f t="shared" si="6"/>
        <v>0</v>
      </c>
      <c r="AA13" s="566">
        <f t="shared" si="7"/>
        <v>0</v>
      </c>
      <c r="AB13" s="566">
        <f t="shared" si="8"/>
        <v>0</v>
      </c>
      <c r="AC13" s="566">
        <f t="shared" si="9"/>
        <v>0</v>
      </c>
      <c r="AD13" s="566">
        <f t="shared" si="10"/>
        <v>0</v>
      </c>
      <c r="AE13" s="566">
        <f t="shared" si="11"/>
        <v>0</v>
      </c>
      <c r="AF13" s="566">
        <f t="shared" si="12"/>
        <v>0</v>
      </c>
      <c r="AG13" s="566">
        <f t="shared" si="13"/>
        <v>0</v>
      </c>
      <c r="AH13" s="573"/>
    </row>
    <row r="14" spans="1:34" ht="25.15" customHeight="1">
      <c r="A14" s="543"/>
      <c r="B14" s="544"/>
      <c r="C14" s="541"/>
      <c r="D14" s="542"/>
      <c r="E14" s="542"/>
      <c r="F14" s="542"/>
      <c r="G14" s="542"/>
      <c r="H14" s="542"/>
      <c r="I14" s="542"/>
      <c r="J14" s="542"/>
      <c r="K14" s="542"/>
      <c r="L14" s="542"/>
      <c r="M14" s="542"/>
      <c r="N14" s="554">
        <f t="shared" si="0"/>
        <v>0</v>
      </c>
      <c r="O14" s="554">
        <f t="shared" si="1"/>
        <v>0</v>
      </c>
      <c r="P14" s="555" t="e">
        <f>(O14/O270)*100</f>
        <v>#DIV/0!</v>
      </c>
      <c r="Q14" s="567"/>
      <c r="R14" s="555" t="e">
        <f t="shared" si="2"/>
        <v>#DIV/0!</v>
      </c>
      <c r="S14" s="568">
        <f t="shared" si="3"/>
        <v>11000</v>
      </c>
      <c r="T14" s="564">
        <v>10000</v>
      </c>
      <c r="U14" s="569"/>
      <c r="V14" s="2560"/>
      <c r="X14" s="566">
        <f t="shared" si="4"/>
        <v>0</v>
      </c>
      <c r="Y14" s="566">
        <f t="shared" si="5"/>
        <v>0</v>
      </c>
      <c r="Z14" s="566">
        <f t="shared" si="6"/>
        <v>0</v>
      </c>
      <c r="AA14" s="566">
        <f t="shared" si="7"/>
        <v>0</v>
      </c>
      <c r="AB14" s="566">
        <f t="shared" si="8"/>
        <v>0</v>
      </c>
      <c r="AC14" s="566">
        <f t="shared" si="9"/>
        <v>0</v>
      </c>
      <c r="AD14" s="566">
        <f t="shared" si="10"/>
        <v>0</v>
      </c>
      <c r="AE14" s="566">
        <f t="shared" si="11"/>
        <v>0</v>
      </c>
      <c r="AF14" s="566">
        <f t="shared" si="12"/>
        <v>0</v>
      </c>
      <c r="AG14" s="566">
        <f t="shared" si="13"/>
        <v>0</v>
      </c>
      <c r="AH14" s="573"/>
    </row>
    <row r="15" spans="1:34" ht="25.15" customHeight="1">
      <c r="A15" s="543">
        <v>7</v>
      </c>
      <c r="B15" s="544" t="s">
        <v>1288</v>
      </c>
      <c r="C15" s="541" t="str">
        <f>'LAP. PENJUALAN '!C15</f>
        <v>French Fries</v>
      </c>
      <c r="D15" s="542"/>
      <c r="E15" s="542"/>
      <c r="F15" s="542"/>
      <c r="G15" s="542"/>
      <c r="H15" s="542"/>
      <c r="I15" s="542"/>
      <c r="J15" s="542"/>
      <c r="K15" s="542"/>
      <c r="L15" s="542"/>
      <c r="M15" s="542"/>
      <c r="N15" s="554">
        <f t="shared" si="0"/>
        <v>0</v>
      </c>
      <c r="O15" s="554">
        <f t="shared" si="1"/>
        <v>0</v>
      </c>
      <c r="P15" s="555" t="e">
        <f>(O15/O270)*100</f>
        <v>#DIV/0!</v>
      </c>
      <c r="Q15" s="567"/>
      <c r="R15" s="555" t="e">
        <f t="shared" si="2"/>
        <v>#DIV/0!</v>
      </c>
      <c r="S15" s="568">
        <f t="shared" si="3"/>
        <v>11000</v>
      </c>
      <c r="T15" s="564">
        <v>10000</v>
      </c>
      <c r="U15" s="569"/>
      <c r="V15" s="2560"/>
      <c r="X15" s="566">
        <f t="shared" si="4"/>
        <v>0</v>
      </c>
      <c r="Y15" s="566">
        <f t="shared" si="5"/>
        <v>0</v>
      </c>
      <c r="Z15" s="566">
        <f t="shared" si="6"/>
        <v>0</v>
      </c>
      <c r="AA15" s="566">
        <f t="shared" si="7"/>
        <v>0</v>
      </c>
      <c r="AB15" s="566">
        <f t="shared" si="8"/>
        <v>0</v>
      </c>
      <c r="AC15" s="566">
        <f t="shared" si="9"/>
        <v>0</v>
      </c>
      <c r="AD15" s="566">
        <f t="shared" si="10"/>
        <v>0</v>
      </c>
      <c r="AE15" s="566">
        <f t="shared" si="11"/>
        <v>0</v>
      </c>
      <c r="AF15" s="566">
        <f t="shared" si="12"/>
        <v>0</v>
      </c>
      <c r="AG15" s="566">
        <f t="shared" si="13"/>
        <v>0</v>
      </c>
      <c r="AH15" s="573"/>
    </row>
    <row r="16" spans="1:34" ht="25.15" customHeight="1">
      <c r="A16" s="543">
        <v>8</v>
      </c>
      <c r="B16" s="544" t="s">
        <v>1289</v>
      </c>
      <c r="C16" s="541" t="str">
        <f>'LAP. PENJUALAN '!C16</f>
        <v>Nasi</v>
      </c>
      <c r="D16" s="542"/>
      <c r="E16" s="542"/>
      <c r="F16" s="542"/>
      <c r="G16" s="542"/>
      <c r="H16" s="542"/>
      <c r="I16" s="542"/>
      <c r="J16" s="542"/>
      <c r="K16" s="542"/>
      <c r="L16" s="542"/>
      <c r="M16" s="542"/>
      <c r="N16" s="554">
        <f t="shared" si="0"/>
        <v>0</v>
      </c>
      <c r="O16" s="554">
        <f t="shared" si="1"/>
        <v>0</v>
      </c>
      <c r="P16" s="555" t="e">
        <f>(O16/O270)*100</f>
        <v>#DIV/0!</v>
      </c>
      <c r="Q16" s="567"/>
      <c r="R16" s="555" t="e">
        <f t="shared" si="2"/>
        <v>#DIV/0!</v>
      </c>
      <c r="S16" s="568">
        <f t="shared" si="3"/>
        <v>11000</v>
      </c>
      <c r="T16" s="564">
        <v>10000</v>
      </c>
      <c r="U16" s="569"/>
      <c r="V16" s="2560"/>
      <c r="X16" s="566">
        <f t="shared" si="4"/>
        <v>0</v>
      </c>
      <c r="Y16" s="566">
        <f t="shared" si="5"/>
        <v>0</v>
      </c>
      <c r="Z16" s="566">
        <f t="shared" si="6"/>
        <v>0</v>
      </c>
      <c r="AA16" s="566">
        <f t="shared" si="7"/>
        <v>0</v>
      </c>
      <c r="AB16" s="566">
        <f t="shared" si="8"/>
        <v>0</v>
      </c>
      <c r="AC16" s="566">
        <f t="shared" si="9"/>
        <v>0</v>
      </c>
      <c r="AD16" s="566">
        <f t="shared" si="10"/>
        <v>0</v>
      </c>
      <c r="AE16" s="566">
        <f t="shared" si="11"/>
        <v>0</v>
      </c>
      <c r="AF16" s="566">
        <f t="shared" si="12"/>
        <v>0</v>
      </c>
      <c r="AG16" s="566">
        <f t="shared" si="13"/>
        <v>0</v>
      </c>
      <c r="AH16" s="573"/>
    </row>
    <row r="17" spans="1:34" ht="25.15" customHeight="1">
      <c r="A17" s="543">
        <v>9</v>
      </c>
      <c r="B17" s="544" t="s">
        <v>1290</v>
      </c>
      <c r="C17" s="541" t="str">
        <f>'LAP. PENJUALAN '!C17</f>
        <v>Perkedel</v>
      </c>
      <c r="D17" s="542"/>
      <c r="E17" s="542"/>
      <c r="F17" s="542"/>
      <c r="G17" s="542"/>
      <c r="H17" s="542"/>
      <c r="I17" s="542"/>
      <c r="J17" s="542"/>
      <c r="K17" s="542"/>
      <c r="L17" s="542"/>
      <c r="M17" s="542"/>
      <c r="N17" s="554">
        <f t="shared" si="0"/>
        <v>0</v>
      </c>
      <c r="O17" s="554">
        <f t="shared" si="1"/>
        <v>0</v>
      </c>
      <c r="P17" s="555" t="e">
        <f>(O17/O270)*100</f>
        <v>#DIV/0!</v>
      </c>
      <c r="Q17" s="567"/>
      <c r="R17" s="555" t="e">
        <f t="shared" si="2"/>
        <v>#DIV/0!</v>
      </c>
      <c r="S17" s="568">
        <f t="shared" si="3"/>
        <v>11000</v>
      </c>
      <c r="T17" s="564">
        <v>10000</v>
      </c>
      <c r="U17" s="569"/>
      <c r="V17" s="2560"/>
      <c r="X17" s="566">
        <f t="shared" si="4"/>
        <v>0</v>
      </c>
      <c r="Y17" s="566">
        <f t="shared" si="5"/>
        <v>0</v>
      </c>
      <c r="Z17" s="566">
        <f t="shared" si="6"/>
        <v>0</v>
      </c>
      <c r="AA17" s="566">
        <f t="shared" si="7"/>
        <v>0</v>
      </c>
      <c r="AB17" s="566">
        <f t="shared" si="8"/>
        <v>0</v>
      </c>
      <c r="AC17" s="566">
        <f t="shared" si="9"/>
        <v>0</v>
      </c>
      <c r="AD17" s="566">
        <f t="shared" si="10"/>
        <v>0</v>
      </c>
      <c r="AE17" s="566">
        <f t="shared" si="11"/>
        <v>0</v>
      </c>
      <c r="AF17" s="566">
        <f t="shared" si="12"/>
        <v>0</v>
      </c>
      <c r="AG17" s="566">
        <f t="shared" si="13"/>
        <v>0</v>
      </c>
      <c r="AH17" s="573"/>
    </row>
    <row r="18" spans="1:34" ht="25.15" customHeight="1">
      <c r="A18" s="543">
        <v>10</v>
      </c>
      <c r="B18" s="544" t="s">
        <v>1291</v>
      </c>
      <c r="C18" s="541" t="str">
        <f>'LAP. PENJUALAN '!C18</f>
        <v>Chicken Burger</v>
      </c>
      <c r="D18" s="542"/>
      <c r="E18" s="542"/>
      <c r="F18" s="542"/>
      <c r="G18" s="542"/>
      <c r="H18" s="542"/>
      <c r="I18" s="542"/>
      <c r="J18" s="542"/>
      <c r="K18" s="542"/>
      <c r="L18" s="542"/>
      <c r="M18" s="542"/>
      <c r="N18" s="554">
        <f t="shared" si="0"/>
        <v>0</v>
      </c>
      <c r="O18" s="554">
        <f t="shared" si="1"/>
        <v>0</v>
      </c>
      <c r="P18" s="555" t="e">
        <f>(O18/O270)*100</f>
        <v>#DIV/0!</v>
      </c>
      <c r="Q18" s="567"/>
      <c r="R18" s="555" t="e">
        <f t="shared" si="2"/>
        <v>#DIV/0!</v>
      </c>
      <c r="S18" s="568">
        <f t="shared" si="3"/>
        <v>11000</v>
      </c>
      <c r="T18" s="564">
        <v>10000</v>
      </c>
      <c r="U18" s="569"/>
      <c r="V18" s="2560"/>
      <c r="X18" s="566">
        <f t="shared" si="4"/>
        <v>0</v>
      </c>
      <c r="Y18" s="566">
        <f t="shared" si="5"/>
        <v>0</v>
      </c>
      <c r="Z18" s="566">
        <f t="shared" si="6"/>
        <v>0</v>
      </c>
      <c r="AA18" s="566">
        <f t="shared" si="7"/>
        <v>0</v>
      </c>
      <c r="AB18" s="566">
        <f t="shared" si="8"/>
        <v>0</v>
      </c>
      <c r="AC18" s="566">
        <f t="shared" si="9"/>
        <v>0</v>
      </c>
      <c r="AD18" s="566">
        <f t="shared" si="10"/>
        <v>0</v>
      </c>
      <c r="AE18" s="566">
        <f t="shared" si="11"/>
        <v>0</v>
      </c>
      <c r="AF18" s="566">
        <f t="shared" si="12"/>
        <v>0</v>
      </c>
      <c r="AG18" s="566">
        <f t="shared" si="13"/>
        <v>0</v>
      </c>
      <c r="AH18" s="573"/>
    </row>
    <row r="19" spans="1:34" ht="25.15" customHeight="1">
      <c r="A19" s="543">
        <v>11</v>
      </c>
      <c r="B19" s="544" t="s">
        <v>1292</v>
      </c>
      <c r="C19" s="541" t="str">
        <f>'LAP. PENJUALAN '!C19</f>
        <v>Cheese Burger</v>
      </c>
      <c r="D19" s="542"/>
      <c r="E19" s="542"/>
      <c r="F19" s="542"/>
      <c r="G19" s="542"/>
      <c r="H19" s="542"/>
      <c r="I19" s="542"/>
      <c r="J19" s="542"/>
      <c r="K19" s="542"/>
      <c r="L19" s="542"/>
      <c r="M19" s="542"/>
      <c r="N19" s="554">
        <f t="shared" si="0"/>
        <v>0</v>
      </c>
      <c r="O19" s="554">
        <f t="shared" si="1"/>
        <v>0</v>
      </c>
      <c r="P19" s="555" t="e">
        <f>(O19/O270)*100</f>
        <v>#DIV/0!</v>
      </c>
      <c r="Q19" s="567"/>
      <c r="R19" s="555" t="e">
        <f t="shared" si="2"/>
        <v>#DIV/0!</v>
      </c>
      <c r="S19" s="568">
        <f t="shared" si="3"/>
        <v>0</v>
      </c>
      <c r="T19" s="564"/>
      <c r="U19" s="569"/>
      <c r="V19" s="2560"/>
      <c r="X19" s="566">
        <f t="shared" si="4"/>
        <v>0</v>
      </c>
      <c r="Y19" s="566">
        <f t="shared" si="5"/>
        <v>0</v>
      </c>
      <c r="Z19" s="566">
        <f t="shared" si="6"/>
        <v>0</v>
      </c>
      <c r="AA19" s="566">
        <f t="shared" si="7"/>
        <v>0</v>
      </c>
      <c r="AB19" s="566">
        <f t="shared" si="8"/>
        <v>0</v>
      </c>
      <c r="AC19" s="566">
        <f t="shared" si="9"/>
        <v>0</v>
      </c>
      <c r="AD19" s="566">
        <f t="shared" si="10"/>
        <v>0</v>
      </c>
      <c r="AE19" s="566">
        <f t="shared" si="11"/>
        <v>0</v>
      </c>
      <c r="AF19" s="566">
        <f t="shared" si="12"/>
        <v>0</v>
      </c>
      <c r="AG19" s="566">
        <f t="shared" si="13"/>
        <v>0</v>
      </c>
      <c r="AH19" s="573"/>
    </row>
    <row r="20" spans="1:34" ht="25.15" customHeight="1">
      <c r="A20" s="543">
        <v>12</v>
      </c>
      <c r="B20" s="544" t="s">
        <v>1293</v>
      </c>
      <c r="C20" s="541" t="str">
        <f>'LAP. PENJUALAN '!C20</f>
        <v>Mix Platter</v>
      </c>
      <c r="D20" s="542"/>
      <c r="E20" s="542"/>
      <c r="F20" s="542"/>
      <c r="G20" s="542"/>
      <c r="H20" s="542"/>
      <c r="I20" s="542"/>
      <c r="J20" s="542"/>
      <c r="K20" s="542"/>
      <c r="L20" s="542"/>
      <c r="M20" s="542"/>
      <c r="N20" s="554">
        <f t="shared" si="0"/>
        <v>0</v>
      </c>
      <c r="O20" s="554">
        <f t="shared" si="1"/>
        <v>0</v>
      </c>
      <c r="P20" s="555" t="e">
        <f>(O20/O270)*100</f>
        <v>#DIV/0!</v>
      </c>
      <c r="Q20" s="567"/>
      <c r="R20" s="555" t="e">
        <f t="shared" si="2"/>
        <v>#DIV/0!</v>
      </c>
      <c r="S20" s="568">
        <f t="shared" si="3"/>
        <v>0</v>
      </c>
      <c r="T20" s="564"/>
      <c r="U20" s="569"/>
      <c r="V20" s="2560"/>
      <c r="X20" s="566">
        <f t="shared" si="4"/>
        <v>0</v>
      </c>
      <c r="Y20" s="566">
        <f t="shared" si="5"/>
        <v>0</v>
      </c>
      <c r="Z20" s="566">
        <f t="shared" si="6"/>
        <v>0</v>
      </c>
      <c r="AA20" s="566">
        <f t="shared" si="7"/>
        <v>0</v>
      </c>
      <c r="AB20" s="566">
        <f t="shared" si="8"/>
        <v>0</v>
      </c>
      <c r="AC20" s="566">
        <f t="shared" si="9"/>
        <v>0</v>
      </c>
      <c r="AD20" s="566">
        <f t="shared" si="10"/>
        <v>0</v>
      </c>
      <c r="AE20" s="566">
        <f t="shared" si="11"/>
        <v>0</v>
      </c>
      <c r="AF20" s="566">
        <f t="shared" si="12"/>
        <v>0</v>
      </c>
      <c r="AG20" s="566">
        <f t="shared" si="13"/>
        <v>0</v>
      </c>
      <c r="AH20" s="573"/>
    </row>
    <row r="21" spans="1:34" ht="25.15" customHeight="1">
      <c r="A21" s="543">
        <v>13</v>
      </c>
      <c r="B21" s="544" t="s">
        <v>1524</v>
      </c>
      <c r="C21" s="541" t="str">
        <f>'LAP. PENJUALAN '!C21</f>
        <v>Telur Ceplok</v>
      </c>
      <c r="D21" s="542"/>
      <c r="E21" s="542"/>
      <c r="F21" s="542"/>
      <c r="G21" s="542"/>
      <c r="H21" s="542"/>
      <c r="I21" s="542"/>
      <c r="J21" s="542"/>
      <c r="K21" s="542"/>
      <c r="L21" s="542"/>
      <c r="M21" s="542"/>
      <c r="N21" s="554">
        <f t="shared" si="0"/>
        <v>0</v>
      </c>
      <c r="O21" s="554">
        <f t="shared" si="1"/>
        <v>0</v>
      </c>
      <c r="P21" s="555" t="e">
        <f>(O21/O270)*100</f>
        <v>#DIV/0!</v>
      </c>
      <c r="Q21" s="570"/>
      <c r="R21" s="555" t="e">
        <f t="shared" si="2"/>
        <v>#DIV/0!</v>
      </c>
      <c r="S21" s="568">
        <f t="shared" si="3"/>
        <v>0</v>
      </c>
      <c r="T21" s="564"/>
      <c r="U21" s="569"/>
      <c r="V21" s="2560"/>
      <c r="X21" s="566">
        <f t="shared" si="4"/>
        <v>0</v>
      </c>
      <c r="Y21" s="566">
        <f t="shared" si="5"/>
        <v>0</v>
      </c>
      <c r="Z21" s="566">
        <f t="shared" si="6"/>
        <v>0</v>
      </c>
      <c r="AA21" s="566">
        <f t="shared" si="7"/>
        <v>0</v>
      </c>
      <c r="AB21" s="566">
        <f t="shared" si="8"/>
        <v>0</v>
      </c>
      <c r="AC21" s="566">
        <f t="shared" si="9"/>
        <v>0</v>
      </c>
      <c r="AD21" s="566">
        <f t="shared" si="10"/>
        <v>0</v>
      </c>
      <c r="AE21" s="566">
        <f t="shared" si="11"/>
        <v>0</v>
      </c>
      <c r="AF21" s="566">
        <f t="shared" si="12"/>
        <v>0</v>
      </c>
      <c r="AG21" s="566">
        <f t="shared" si="13"/>
        <v>0</v>
      </c>
      <c r="AH21" s="573"/>
    </row>
    <row r="22" spans="1:34" ht="25.15" customHeight="1">
      <c r="A22" s="543">
        <v>14</v>
      </c>
      <c r="B22" s="544" t="s">
        <v>1525</v>
      </c>
      <c r="C22" s="541" t="str">
        <f>'LAP. PENJUALAN '!C22</f>
        <v>Nasi Goreng Telur Ceplok</v>
      </c>
      <c r="D22" s="542"/>
      <c r="E22" s="542"/>
      <c r="F22" s="542"/>
      <c r="G22" s="542"/>
      <c r="H22" s="542"/>
      <c r="I22" s="542"/>
      <c r="J22" s="542"/>
      <c r="K22" s="542"/>
      <c r="L22" s="542"/>
      <c r="M22" s="542"/>
      <c r="N22" s="554">
        <f t="shared" si="0"/>
        <v>0</v>
      </c>
      <c r="O22" s="554">
        <f t="shared" si="1"/>
        <v>0</v>
      </c>
      <c r="P22" s="555" t="e">
        <f>(O22/O270)*100</f>
        <v>#DIV/0!</v>
      </c>
      <c r="Q22" s="570"/>
      <c r="R22" s="555" t="e">
        <f t="shared" si="2"/>
        <v>#DIV/0!</v>
      </c>
      <c r="S22" s="568">
        <f t="shared" si="3"/>
        <v>0</v>
      </c>
      <c r="T22" s="564"/>
      <c r="U22" s="569"/>
      <c r="V22" s="2560"/>
      <c r="X22" s="566">
        <f t="shared" si="4"/>
        <v>0</v>
      </c>
      <c r="Y22" s="566">
        <f t="shared" si="5"/>
        <v>0</v>
      </c>
      <c r="Z22" s="566">
        <f t="shared" si="6"/>
        <v>0</v>
      </c>
      <c r="AA22" s="566">
        <f t="shared" si="7"/>
        <v>0</v>
      </c>
      <c r="AB22" s="566">
        <f t="shared" si="8"/>
        <v>0</v>
      </c>
      <c r="AC22" s="566">
        <f t="shared" si="9"/>
        <v>0</v>
      </c>
      <c r="AD22" s="566">
        <f t="shared" si="10"/>
        <v>0</v>
      </c>
      <c r="AE22" s="566">
        <f t="shared" si="11"/>
        <v>0</v>
      </c>
      <c r="AF22" s="566">
        <f t="shared" si="12"/>
        <v>0</v>
      </c>
      <c r="AG22" s="566">
        <f t="shared" si="13"/>
        <v>0</v>
      </c>
      <c r="AH22" s="573"/>
    </row>
    <row r="23" spans="1:34" ht="25.15" customHeight="1">
      <c r="A23" s="543"/>
      <c r="B23" s="544"/>
      <c r="C23" s="541"/>
      <c r="D23" s="542"/>
      <c r="E23" s="542"/>
      <c r="F23" s="542"/>
      <c r="G23" s="542"/>
      <c r="H23" s="542"/>
      <c r="I23" s="542"/>
      <c r="J23" s="542"/>
      <c r="K23" s="542"/>
      <c r="L23" s="542"/>
      <c r="M23" s="542"/>
      <c r="N23" s="554">
        <f t="shared" si="0"/>
        <v>0</v>
      </c>
      <c r="O23" s="554">
        <f t="shared" si="1"/>
        <v>0</v>
      </c>
      <c r="P23" s="555" t="e">
        <f>(O23/O270)*100</f>
        <v>#DIV/0!</v>
      </c>
      <c r="Q23" s="570"/>
      <c r="R23" s="555" t="e">
        <f t="shared" si="2"/>
        <v>#DIV/0!</v>
      </c>
      <c r="S23" s="568">
        <f t="shared" si="3"/>
        <v>0</v>
      </c>
      <c r="T23" s="564"/>
      <c r="U23" s="565"/>
      <c r="V23" s="2560"/>
      <c r="W23" s="571"/>
      <c r="X23" s="566">
        <f t="shared" si="4"/>
        <v>0</v>
      </c>
      <c r="Y23" s="566">
        <f t="shared" si="5"/>
        <v>0</v>
      </c>
      <c r="Z23" s="566">
        <f t="shared" si="6"/>
        <v>0</v>
      </c>
      <c r="AA23" s="566">
        <f t="shared" si="7"/>
        <v>0</v>
      </c>
      <c r="AB23" s="566">
        <f t="shared" si="8"/>
        <v>0</v>
      </c>
      <c r="AC23" s="566">
        <f t="shared" si="9"/>
        <v>0</v>
      </c>
      <c r="AD23" s="566">
        <f t="shared" si="10"/>
        <v>0</v>
      </c>
      <c r="AE23" s="566">
        <f t="shared" si="11"/>
        <v>0</v>
      </c>
      <c r="AF23" s="566">
        <f t="shared" si="12"/>
        <v>0</v>
      </c>
      <c r="AG23" s="566">
        <f t="shared" si="13"/>
        <v>0</v>
      </c>
      <c r="AH23" s="573"/>
    </row>
    <row r="24" spans="1:34" ht="25.15" customHeight="1">
      <c r="A24" s="543">
        <v>15</v>
      </c>
      <c r="B24" s="544" t="s">
        <v>1603</v>
      </c>
      <c r="C24" s="541" t="str">
        <f>'LAP. PENJUALAN '!C24</f>
        <v>Paket Segar 1 Dine In (Es Teh / S-tee)</v>
      </c>
      <c r="D24" s="542"/>
      <c r="E24" s="542"/>
      <c r="F24" s="542"/>
      <c r="G24" s="542"/>
      <c r="H24" s="542"/>
      <c r="I24" s="542"/>
      <c r="J24" s="542"/>
      <c r="K24" s="542"/>
      <c r="L24" s="542"/>
      <c r="M24" s="542"/>
      <c r="N24" s="554">
        <f t="shared" ref="N24" si="14">SUM(D24:M24)</f>
        <v>0</v>
      </c>
      <c r="O24" s="554">
        <f t="shared" ref="O24" si="15">N24*S24</f>
        <v>0</v>
      </c>
      <c r="P24" s="555" t="e">
        <f>(O24/O270)*100</f>
        <v>#DIV/0!</v>
      </c>
      <c r="Q24" s="570"/>
      <c r="R24" s="555" t="e">
        <f t="shared" ref="R24" si="16">P24*Q24</f>
        <v>#DIV/0!</v>
      </c>
      <c r="S24" s="568">
        <f t="shared" ref="S24" si="17">T24+(T24*10%)</f>
        <v>0</v>
      </c>
      <c r="T24" s="564"/>
      <c r="U24" s="565"/>
      <c r="V24" s="2560"/>
      <c r="W24" s="571"/>
      <c r="X24" s="566">
        <f t="shared" ref="X24" si="18">D24*S24</f>
        <v>0</v>
      </c>
      <c r="Y24" s="566">
        <f t="shared" ref="Y24" si="19">E24*S24</f>
        <v>0</v>
      </c>
      <c r="Z24" s="566">
        <f t="shared" ref="Z24" si="20">F24*S24</f>
        <v>0</v>
      </c>
      <c r="AA24" s="566">
        <f t="shared" ref="AA24" si="21">G24*S24</f>
        <v>0</v>
      </c>
      <c r="AB24" s="566">
        <f t="shared" ref="AB24" si="22">H24*S24</f>
        <v>0</v>
      </c>
      <c r="AC24" s="566">
        <f t="shared" ref="AC24" si="23">I24*S24</f>
        <v>0</v>
      </c>
      <c r="AD24" s="566">
        <f t="shared" ref="AD24" si="24">J24*S24</f>
        <v>0</v>
      </c>
      <c r="AE24" s="566">
        <f t="shared" ref="AE24" si="25">K24*S24</f>
        <v>0</v>
      </c>
      <c r="AF24" s="566">
        <f t="shared" ref="AF24" si="26">L24*S24</f>
        <v>0</v>
      </c>
      <c r="AG24" s="566">
        <f t="shared" ref="AG24" si="27">M24*S24</f>
        <v>0</v>
      </c>
      <c r="AH24" s="573"/>
    </row>
    <row r="25" spans="1:34" ht="25.15" customHeight="1">
      <c r="A25" s="543">
        <v>16</v>
      </c>
      <c r="B25" s="544" t="s">
        <v>1604</v>
      </c>
      <c r="C25" s="541" t="str">
        <f>'LAP. PENJUALAN '!C25</f>
        <v>Paket Segar 1 Take Away (Es Teh / S-tee)</v>
      </c>
      <c r="D25" s="542"/>
      <c r="E25" s="542"/>
      <c r="F25" s="542"/>
      <c r="G25" s="542"/>
      <c r="H25" s="542"/>
      <c r="I25" s="542"/>
      <c r="J25" s="542"/>
      <c r="K25" s="542"/>
      <c r="L25" s="542"/>
      <c r="M25" s="542"/>
      <c r="N25" s="554">
        <f t="shared" ref="N25:N32" si="28">SUM(D25:M25)</f>
        <v>0</v>
      </c>
      <c r="O25" s="554">
        <f t="shared" ref="O25:O32" si="29">N25*S25</f>
        <v>0</v>
      </c>
      <c r="P25" s="555" t="e">
        <f>(O25/O270)*100</f>
        <v>#DIV/0!</v>
      </c>
      <c r="Q25" s="570"/>
      <c r="R25" s="555" t="e">
        <f t="shared" ref="R25:R32" si="30">P25*Q25</f>
        <v>#DIV/0!</v>
      </c>
      <c r="S25" s="568">
        <f t="shared" ref="S25:S32" si="31">T25+(T25*10%)</f>
        <v>0</v>
      </c>
      <c r="T25" s="564"/>
      <c r="U25" s="565"/>
      <c r="V25" s="2560"/>
      <c r="W25" s="571"/>
      <c r="X25" s="566">
        <f t="shared" ref="X25:X33" si="32">D25*S25</f>
        <v>0</v>
      </c>
      <c r="Y25" s="566">
        <f t="shared" ref="Y25:Y33" si="33">E25*S25</f>
        <v>0</v>
      </c>
      <c r="Z25" s="566">
        <f t="shared" ref="Z25:Z33" si="34">F25*S25</f>
        <v>0</v>
      </c>
      <c r="AA25" s="566">
        <f t="shared" ref="AA25:AA33" si="35">G25*S25</f>
        <v>0</v>
      </c>
      <c r="AB25" s="566">
        <f t="shared" ref="AB25:AB33" si="36">H25*S25</f>
        <v>0</v>
      </c>
      <c r="AC25" s="566">
        <f t="shared" ref="AC25:AC33" si="37">I25*S25</f>
        <v>0</v>
      </c>
      <c r="AD25" s="566">
        <f t="shared" ref="AD25:AD33" si="38">J25*S25</f>
        <v>0</v>
      </c>
      <c r="AE25" s="566">
        <f t="shared" ref="AE25:AE33" si="39">K25*S25</f>
        <v>0</v>
      </c>
      <c r="AF25" s="566">
        <f t="shared" ref="AF25:AF33" si="40">L25*S25</f>
        <v>0</v>
      </c>
      <c r="AG25" s="566">
        <f t="shared" ref="AG25:AG33" si="41">M25*S25</f>
        <v>0</v>
      </c>
      <c r="AH25" s="573"/>
    </row>
    <row r="26" spans="1:34" ht="25.15" customHeight="1">
      <c r="A26" s="543">
        <v>17</v>
      </c>
      <c r="B26" s="544" t="s">
        <v>1605</v>
      </c>
      <c r="C26" s="541" t="str">
        <f>'LAP. PENJUALAN '!C26</f>
        <v>Paket Segar 2 (Es Teh / S-tee)</v>
      </c>
      <c r="D26" s="542"/>
      <c r="E26" s="542"/>
      <c r="F26" s="542"/>
      <c r="G26" s="542"/>
      <c r="H26" s="542"/>
      <c r="I26" s="542"/>
      <c r="J26" s="542"/>
      <c r="K26" s="542"/>
      <c r="L26" s="542"/>
      <c r="M26" s="542"/>
      <c r="N26" s="554">
        <f t="shared" si="28"/>
        <v>0</v>
      </c>
      <c r="O26" s="554">
        <f t="shared" si="29"/>
        <v>0</v>
      </c>
      <c r="P26" s="555" t="e">
        <f>(O26/O270)*100</f>
        <v>#DIV/0!</v>
      </c>
      <c r="Q26" s="570"/>
      <c r="R26" s="555" t="e">
        <f t="shared" si="30"/>
        <v>#DIV/0!</v>
      </c>
      <c r="S26" s="568">
        <f t="shared" si="31"/>
        <v>0</v>
      </c>
      <c r="T26" s="564"/>
      <c r="U26" s="565"/>
      <c r="V26" s="2560"/>
      <c r="W26" s="571"/>
      <c r="X26" s="566">
        <f t="shared" si="32"/>
        <v>0</v>
      </c>
      <c r="Y26" s="566">
        <f t="shared" si="33"/>
        <v>0</v>
      </c>
      <c r="Z26" s="566">
        <f t="shared" si="34"/>
        <v>0</v>
      </c>
      <c r="AA26" s="566">
        <f t="shared" si="35"/>
        <v>0</v>
      </c>
      <c r="AB26" s="566">
        <f t="shared" si="36"/>
        <v>0</v>
      </c>
      <c r="AC26" s="566">
        <f t="shared" si="37"/>
        <v>0</v>
      </c>
      <c r="AD26" s="566">
        <f t="shared" si="38"/>
        <v>0</v>
      </c>
      <c r="AE26" s="566">
        <f t="shared" si="39"/>
        <v>0</v>
      </c>
      <c r="AF26" s="566">
        <f t="shared" si="40"/>
        <v>0</v>
      </c>
      <c r="AG26" s="566">
        <f t="shared" si="41"/>
        <v>0</v>
      </c>
      <c r="AH26" s="573"/>
    </row>
    <row r="27" spans="1:34" ht="25.15" customHeight="1">
      <c r="A27" s="543">
        <v>18</v>
      </c>
      <c r="B27" s="544" t="s">
        <v>1606</v>
      </c>
      <c r="C27" s="541" t="str">
        <f>'LAP. PENJUALAN '!C27</f>
        <v>Paket Segar 3 (Es Teh / S-tee)</v>
      </c>
      <c r="D27" s="542"/>
      <c r="E27" s="542"/>
      <c r="F27" s="542"/>
      <c r="G27" s="542"/>
      <c r="H27" s="542"/>
      <c r="I27" s="542"/>
      <c r="J27" s="542"/>
      <c r="K27" s="542"/>
      <c r="L27" s="542"/>
      <c r="M27" s="542"/>
      <c r="N27" s="554">
        <f t="shared" si="28"/>
        <v>0</v>
      </c>
      <c r="O27" s="554">
        <f t="shared" si="29"/>
        <v>0</v>
      </c>
      <c r="P27" s="555" t="e">
        <f>(O27/O270)*100</f>
        <v>#DIV/0!</v>
      </c>
      <c r="Q27" s="570"/>
      <c r="R27" s="555" t="e">
        <f t="shared" si="30"/>
        <v>#DIV/0!</v>
      </c>
      <c r="S27" s="568">
        <f t="shared" si="31"/>
        <v>0</v>
      </c>
      <c r="T27" s="564"/>
      <c r="U27" s="565"/>
      <c r="V27" s="2560"/>
      <c r="W27" s="571"/>
      <c r="X27" s="566">
        <f t="shared" si="32"/>
        <v>0</v>
      </c>
      <c r="Y27" s="566">
        <f t="shared" si="33"/>
        <v>0</v>
      </c>
      <c r="Z27" s="566">
        <f t="shared" si="34"/>
        <v>0</v>
      </c>
      <c r="AA27" s="566">
        <f t="shared" si="35"/>
        <v>0</v>
      </c>
      <c r="AB27" s="566">
        <f t="shared" si="36"/>
        <v>0</v>
      </c>
      <c r="AC27" s="566">
        <f t="shared" si="37"/>
        <v>0</v>
      </c>
      <c r="AD27" s="566">
        <f t="shared" si="38"/>
        <v>0</v>
      </c>
      <c r="AE27" s="566">
        <f t="shared" si="39"/>
        <v>0</v>
      </c>
      <c r="AF27" s="566">
        <f t="shared" si="40"/>
        <v>0</v>
      </c>
      <c r="AG27" s="566">
        <f t="shared" si="41"/>
        <v>0</v>
      </c>
      <c r="AH27" s="573"/>
    </row>
    <row r="28" spans="1:34" ht="25.15" customHeight="1">
      <c r="A28" s="543">
        <v>19</v>
      </c>
      <c r="B28" s="544" t="s">
        <v>1607</v>
      </c>
      <c r="C28" s="541" t="str">
        <f>'LAP. PENJUALAN '!C28</f>
        <v>Paket Segar 4 (Es Teh / S-tee)</v>
      </c>
      <c r="D28" s="542"/>
      <c r="E28" s="542"/>
      <c r="F28" s="542"/>
      <c r="G28" s="542"/>
      <c r="H28" s="542"/>
      <c r="I28" s="542"/>
      <c r="J28" s="542"/>
      <c r="K28" s="542"/>
      <c r="L28" s="542"/>
      <c r="M28" s="542"/>
      <c r="N28" s="554">
        <f t="shared" si="28"/>
        <v>0</v>
      </c>
      <c r="O28" s="554">
        <f t="shared" si="29"/>
        <v>0</v>
      </c>
      <c r="P28" s="555" t="e">
        <f>(O28/O270)*100</f>
        <v>#DIV/0!</v>
      </c>
      <c r="Q28" s="570"/>
      <c r="R28" s="555" t="e">
        <f t="shared" si="30"/>
        <v>#DIV/0!</v>
      </c>
      <c r="S28" s="568">
        <f t="shared" si="31"/>
        <v>0</v>
      </c>
      <c r="T28" s="564"/>
      <c r="U28" s="565"/>
      <c r="V28" s="2560"/>
      <c r="W28" s="571"/>
      <c r="X28" s="566">
        <f t="shared" si="32"/>
        <v>0</v>
      </c>
      <c r="Y28" s="566">
        <f t="shared" si="33"/>
        <v>0</v>
      </c>
      <c r="Z28" s="566">
        <f t="shared" si="34"/>
        <v>0</v>
      </c>
      <c r="AA28" s="566">
        <f t="shared" si="35"/>
        <v>0</v>
      </c>
      <c r="AB28" s="566">
        <f t="shared" si="36"/>
        <v>0</v>
      </c>
      <c r="AC28" s="566">
        <f t="shared" si="37"/>
        <v>0</v>
      </c>
      <c r="AD28" s="566">
        <f t="shared" si="38"/>
        <v>0</v>
      </c>
      <c r="AE28" s="566">
        <f t="shared" si="39"/>
        <v>0</v>
      </c>
      <c r="AF28" s="566">
        <f t="shared" si="40"/>
        <v>0</v>
      </c>
      <c r="AG28" s="566">
        <f t="shared" si="41"/>
        <v>0</v>
      </c>
      <c r="AH28" s="573"/>
    </row>
    <row r="29" spans="1:34" ht="25.15" customHeight="1">
      <c r="A29" s="543">
        <v>20</v>
      </c>
      <c r="B29" s="544" t="s">
        <v>1608</v>
      </c>
      <c r="C29" s="541" t="str">
        <f>'LAP. PENJUALAN '!C29</f>
        <v>Paket Segar 5 (Es Teh / S-tee)</v>
      </c>
      <c r="D29" s="542"/>
      <c r="E29" s="542"/>
      <c r="F29" s="542"/>
      <c r="G29" s="542"/>
      <c r="H29" s="542"/>
      <c r="I29" s="542"/>
      <c r="J29" s="542"/>
      <c r="K29" s="542"/>
      <c r="L29" s="542"/>
      <c r="M29" s="542"/>
      <c r="N29" s="554">
        <f t="shared" si="28"/>
        <v>0</v>
      </c>
      <c r="O29" s="554">
        <f t="shared" si="29"/>
        <v>0</v>
      </c>
      <c r="P29" s="555" t="e">
        <f>(O29/O270)*100</f>
        <v>#DIV/0!</v>
      </c>
      <c r="Q29" s="570"/>
      <c r="R29" s="555" t="e">
        <f t="shared" si="30"/>
        <v>#DIV/0!</v>
      </c>
      <c r="S29" s="568">
        <f t="shared" si="31"/>
        <v>0</v>
      </c>
      <c r="T29" s="564"/>
      <c r="U29" s="565"/>
      <c r="V29" s="2560"/>
      <c r="W29" s="571"/>
      <c r="X29" s="566">
        <f t="shared" si="32"/>
        <v>0</v>
      </c>
      <c r="Y29" s="566">
        <f t="shared" si="33"/>
        <v>0</v>
      </c>
      <c r="Z29" s="566">
        <f t="shared" si="34"/>
        <v>0</v>
      </c>
      <c r="AA29" s="566">
        <f t="shared" si="35"/>
        <v>0</v>
      </c>
      <c r="AB29" s="566">
        <f t="shared" si="36"/>
        <v>0</v>
      </c>
      <c r="AC29" s="566">
        <f t="shared" si="37"/>
        <v>0</v>
      </c>
      <c r="AD29" s="566">
        <f t="shared" si="38"/>
        <v>0</v>
      </c>
      <c r="AE29" s="566">
        <f t="shared" si="39"/>
        <v>0</v>
      </c>
      <c r="AF29" s="566">
        <f t="shared" si="40"/>
        <v>0</v>
      </c>
      <c r="AG29" s="566">
        <f t="shared" si="41"/>
        <v>0</v>
      </c>
      <c r="AH29" s="573"/>
    </row>
    <row r="30" spans="1:34" ht="25.15" customHeight="1">
      <c r="A30" s="543">
        <v>21</v>
      </c>
      <c r="B30" s="544" t="s">
        <v>1609</v>
      </c>
      <c r="C30" s="541" t="str">
        <f>'LAP. PENJUALAN '!C30</f>
        <v>Paket Segar 6 (Es Teh / S-tee)</v>
      </c>
      <c r="D30" s="542"/>
      <c r="E30" s="542"/>
      <c r="F30" s="542"/>
      <c r="G30" s="542"/>
      <c r="H30" s="542"/>
      <c r="I30" s="542"/>
      <c r="J30" s="542"/>
      <c r="K30" s="542"/>
      <c r="L30" s="542"/>
      <c r="M30" s="542"/>
      <c r="N30" s="554">
        <f t="shared" si="28"/>
        <v>0</v>
      </c>
      <c r="O30" s="554">
        <f t="shared" si="29"/>
        <v>0</v>
      </c>
      <c r="P30" s="555" t="e">
        <f>(O30/O270)*100</f>
        <v>#DIV/0!</v>
      </c>
      <c r="Q30" s="570"/>
      <c r="R30" s="555" t="e">
        <f t="shared" si="30"/>
        <v>#DIV/0!</v>
      </c>
      <c r="S30" s="568">
        <f t="shared" si="31"/>
        <v>0</v>
      </c>
      <c r="T30" s="564"/>
      <c r="U30" s="565"/>
      <c r="V30" s="2560"/>
      <c r="W30" s="571"/>
      <c r="X30" s="566">
        <f t="shared" si="32"/>
        <v>0</v>
      </c>
      <c r="Y30" s="566">
        <f t="shared" si="33"/>
        <v>0</v>
      </c>
      <c r="Z30" s="566">
        <f t="shared" si="34"/>
        <v>0</v>
      </c>
      <c r="AA30" s="566">
        <f t="shared" si="35"/>
        <v>0</v>
      </c>
      <c r="AB30" s="566">
        <f t="shared" si="36"/>
        <v>0</v>
      </c>
      <c r="AC30" s="566">
        <f t="shared" si="37"/>
        <v>0</v>
      </c>
      <c r="AD30" s="566">
        <f t="shared" si="38"/>
        <v>0</v>
      </c>
      <c r="AE30" s="566">
        <f t="shared" si="39"/>
        <v>0</v>
      </c>
      <c r="AF30" s="566">
        <f t="shared" si="40"/>
        <v>0</v>
      </c>
      <c r="AG30" s="566">
        <f t="shared" si="41"/>
        <v>0</v>
      </c>
      <c r="AH30" s="573"/>
    </row>
    <row r="31" spans="1:34" ht="25.15" customHeight="1">
      <c r="A31" s="543">
        <v>22</v>
      </c>
      <c r="B31" s="544" t="s">
        <v>1610</v>
      </c>
      <c r="C31" s="541" t="str">
        <f>'LAP. PENJUALAN '!C31</f>
        <v>Paket Segar 7 (Es Teh / S-tee)</v>
      </c>
      <c r="D31" s="542"/>
      <c r="E31" s="542"/>
      <c r="F31" s="542"/>
      <c r="G31" s="542"/>
      <c r="H31" s="542"/>
      <c r="I31" s="542"/>
      <c r="J31" s="542"/>
      <c r="K31" s="542"/>
      <c r="L31" s="542"/>
      <c r="M31" s="542"/>
      <c r="N31" s="554">
        <f t="shared" si="28"/>
        <v>0</v>
      </c>
      <c r="O31" s="554">
        <f t="shared" si="29"/>
        <v>0</v>
      </c>
      <c r="P31" s="555" t="e">
        <f>(O31/O270)*100</f>
        <v>#DIV/0!</v>
      </c>
      <c r="Q31" s="570"/>
      <c r="R31" s="555" t="e">
        <f t="shared" si="30"/>
        <v>#DIV/0!</v>
      </c>
      <c r="S31" s="568">
        <f t="shared" si="31"/>
        <v>0</v>
      </c>
      <c r="T31" s="564"/>
      <c r="U31" s="565"/>
      <c r="V31" s="2560"/>
      <c r="W31" s="571"/>
      <c r="X31" s="566">
        <f t="shared" si="32"/>
        <v>0</v>
      </c>
      <c r="Y31" s="566">
        <f t="shared" si="33"/>
        <v>0</v>
      </c>
      <c r="Z31" s="566">
        <f t="shared" si="34"/>
        <v>0</v>
      </c>
      <c r="AA31" s="566">
        <f t="shared" si="35"/>
        <v>0</v>
      </c>
      <c r="AB31" s="566">
        <f t="shared" si="36"/>
        <v>0</v>
      </c>
      <c r="AC31" s="566">
        <f t="shared" si="37"/>
        <v>0</v>
      </c>
      <c r="AD31" s="566">
        <f t="shared" si="38"/>
        <v>0</v>
      </c>
      <c r="AE31" s="566">
        <f t="shared" si="39"/>
        <v>0</v>
      </c>
      <c r="AF31" s="566">
        <f t="shared" si="40"/>
        <v>0</v>
      </c>
      <c r="AG31" s="566">
        <f t="shared" si="41"/>
        <v>0</v>
      </c>
      <c r="AH31" s="573"/>
    </row>
    <row r="32" spans="1:34" ht="25.15" customHeight="1">
      <c r="A32" s="543"/>
      <c r="B32" s="544"/>
      <c r="C32" s="541"/>
      <c r="D32" s="542"/>
      <c r="E32" s="542"/>
      <c r="F32" s="542"/>
      <c r="G32" s="542"/>
      <c r="H32" s="542"/>
      <c r="I32" s="542"/>
      <c r="J32" s="542"/>
      <c r="K32" s="542"/>
      <c r="L32" s="542"/>
      <c r="M32" s="542"/>
      <c r="N32" s="554">
        <f t="shared" si="28"/>
        <v>0</v>
      </c>
      <c r="O32" s="554">
        <f t="shared" si="29"/>
        <v>0</v>
      </c>
      <c r="P32" s="555" t="e">
        <f>(O32/O270)*100</f>
        <v>#DIV/0!</v>
      </c>
      <c r="Q32" s="570"/>
      <c r="R32" s="555" t="e">
        <f t="shared" si="30"/>
        <v>#DIV/0!</v>
      </c>
      <c r="S32" s="568">
        <f t="shared" si="31"/>
        <v>0</v>
      </c>
      <c r="T32" s="564"/>
      <c r="U32" s="565"/>
      <c r="V32" s="2560"/>
      <c r="W32" s="571"/>
      <c r="X32" s="566">
        <f t="shared" si="32"/>
        <v>0</v>
      </c>
      <c r="Y32" s="566">
        <f t="shared" si="33"/>
        <v>0</v>
      </c>
      <c r="Z32" s="566">
        <f t="shared" si="34"/>
        <v>0</v>
      </c>
      <c r="AA32" s="566">
        <f t="shared" si="35"/>
        <v>0</v>
      </c>
      <c r="AB32" s="566">
        <f t="shared" si="36"/>
        <v>0</v>
      </c>
      <c r="AC32" s="566">
        <f t="shared" si="37"/>
        <v>0</v>
      </c>
      <c r="AD32" s="566">
        <f t="shared" si="38"/>
        <v>0</v>
      </c>
      <c r="AE32" s="566">
        <f t="shared" si="39"/>
        <v>0</v>
      </c>
      <c r="AF32" s="566">
        <f t="shared" si="40"/>
        <v>0</v>
      </c>
      <c r="AG32" s="566">
        <f t="shared" si="41"/>
        <v>0</v>
      </c>
      <c r="AH32" s="573"/>
    </row>
    <row r="33" spans="1:34" ht="25.15" customHeight="1">
      <c r="A33" s="543">
        <v>23</v>
      </c>
      <c r="B33" s="544" t="s">
        <v>1611</v>
      </c>
      <c r="C33" s="541" t="str">
        <f>'LAP. PENJUALAN '!C33</f>
        <v>Paket Rocket 1 Dine In</v>
      </c>
      <c r="D33" s="542"/>
      <c r="E33" s="542"/>
      <c r="F33" s="542"/>
      <c r="G33" s="542"/>
      <c r="H33" s="542"/>
      <c r="I33" s="542"/>
      <c r="J33" s="542"/>
      <c r="K33" s="542"/>
      <c r="L33" s="542"/>
      <c r="M33" s="542"/>
      <c r="N33" s="554">
        <f t="shared" ref="N33" si="42">SUM(D33:M33)</f>
        <v>0</v>
      </c>
      <c r="O33" s="554">
        <f t="shared" ref="O33" si="43">N33*S33</f>
        <v>0</v>
      </c>
      <c r="P33" s="555" t="e">
        <f>(O33/O270)*100</f>
        <v>#DIV/0!</v>
      </c>
      <c r="Q33" s="570"/>
      <c r="R33" s="555" t="e">
        <f t="shared" ref="R33" si="44">P33*Q33</f>
        <v>#DIV/0!</v>
      </c>
      <c r="S33" s="568">
        <f t="shared" ref="S33" si="45">T33+(T33*10%)</f>
        <v>0</v>
      </c>
      <c r="T33" s="564"/>
      <c r="U33" s="565"/>
      <c r="V33" s="2560"/>
      <c r="W33" s="571"/>
      <c r="X33" s="566">
        <f t="shared" si="32"/>
        <v>0</v>
      </c>
      <c r="Y33" s="566">
        <f t="shared" si="33"/>
        <v>0</v>
      </c>
      <c r="Z33" s="566">
        <f t="shared" si="34"/>
        <v>0</v>
      </c>
      <c r="AA33" s="566">
        <f t="shared" si="35"/>
        <v>0</v>
      </c>
      <c r="AB33" s="566">
        <f t="shared" si="36"/>
        <v>0</v>
      </c>
      <c r="AC33" s="566">
        <f t="shared" si="37"/>
        <v>0</v>
      </c>
      <c r="AD33" s="566">
        <f t="shared" si="38"/>
        <v>0</v>
      </c>
      <c r="AE33" s="566">
        <f t="shared" si="39"/>
        <v>0</v>
      </c>
      <c r="AF33" s="566">
        <f t="shared" si="40"/>
        <v>0</v>
      </c>
      <c r="AG33" s="566">
        <f t="shared" si="41"/>
        <v>0</v>
      </c>
      <c r="AH33" s="573"/>
    </row>
    <row r="34" spans="1:34" ht="25.15" customHeight="1">
      <c r="A34" s="543">
        <v>24</v>
      </c>
      <c r="B34" s="544" t="s">
        <v>1612</v>
      </c>
      <c r="C34" s="541" t="str">
        <f>'LAP. PENJUALAN '!C34</f>
        <v>Paket Rocket 1 Take Away</v>
      </c>
      <c r="D34" s="542"/>
      <c r="E34" s="542"/>
      <c r="F34" s="542"/>
      <c r="G34" s="542"/>
      <c r="H34" s="542"/>
      <c r="I34" s="542"/>
      <c r="J34" s="542"/>
      <c r="K34" s="542"/>
      <c r="L34" s="542"/>
      <c r="M34" s="542"/>
      <c r="N34" s="554">
        <f t="shared" si="0"/>
        <v>0</v>
      </c>
      <c r="O34" s="554">
        <f t="shared" si="1"/>
        <v>0</v>
      </c>
      <c r="P34" s="555" t="e">
        <f>(O34/O270)*100</f>
        <v>#DIV/0!</v>
      </c>
      <c r="Q34" s="570"/>
      <c r="R34" s="555" t="e">
        <f t="shared" si="2"/>
        <v>#DIV/0!</v>
      </c>
      <c r="S34" s="568">
        <f t="shared" si="3"/>
        <v>0</v>
      </c>
      <c r="T34" s="564"/>
      <c r="U34" s="565"/>
      <c r="V34" s="2560"/>
      <c r="W34" s="571"/>
      <c r="X34" s="566">
        <f t="shared" si="4"/>
        <v>0</v>
      </c>
      <c r="Y34" s="566">
        <f t="shared" si="5"/>
        <v>0</v>
      </c>
      <c r="Z34" s="566">
        <f t="shared" si="6"/>
        <v>0</v>
      </c>
      <c r="AA34" s="566">
        <f t="shared" si="7"/>
        <v>0</v>
      </c>
      <c r="AB34" s="566">
        <f t="shared" si="8"/>
        <v>0</v>
      </c>
      <c r="AC34" s="566">
        <f t="shared" si="9"/>
        <v>0</v>
      </c>
      <c r="AD34" s="566">
        <f t="shared" si="10"/>
        <v>0</v>
      </c>
      <c r="AE34" s="566">
        <f t="shared" si="11"/>
        <v>0</v>
      </c>
      <c r="AF34" s="566">
        <f t="shared" si="12"/>
        <v>0</v>
      </c>
      <c r="AG34" s="566">
        <f t="shared" si="13"/>
        <v>0</v>
      </c>
      <c r="AH34" s="573"/>
    </row>
    <row r="35" spans="1:34" ht="25.15" customHeight="1">
      <c r="A35" s="543">
        <v>25</v>
      </c>
      <c r="B35" s="544" t="s">
        <v>1613</v>
      </c>
      <c r="C35" s="541" t="str">
        <f>'LAP. PENJUALAN '!C35</f>
        <v>Paket Rocket 2</v>
      </c>
      <c r="D35" s="542"/>
      <c r="E35" s="542"/>
      <c r="F35" s="542"/>
      <c r="G35" s="542"/>
      <c r="H35" s="542"/>
      <c r="I35" s="542"/>
      <c r="J35" s="542"/>
      <c r="K35" s="542"/>
      <c r="L35" s="542"/>
      <c r="M35" s="542"/>
      <c r="N35" s="554">
        <f t="shared" si="0"/>
        <v>0</v>
      </c>
      <c r="O35" s="554">
        <f t="shared" si="1"/>
        <v>0</v>
      </c>
      <c r="P35" s="555" t="e">
        <f>(O35/O270)*100</f>
        <v>#DIV/0!</v>
      </c>
      <c r="Q35" s="570"/>
      <c r="R35" s="555" t="e">
        <f t="shared" si="2"/>
        <v>#DIV/0!</v>
      </c>
      <c r="S35" s="568">
        <f t="shared" si="3"/>
        <v>0</v>
      </c>
      <c r="T35" s="564"/>
      <c r="U35" s="565"/>
      <c r="V35" s="2560"/>
      <c r="W35" s="571"/>
      <c r="X35" s="566">
        <f t="shared" si="4"/>
        <v>0</v>
      </c>
      <c r="Y35" s="566">
        <f t="shared" si="5"/>
        <v>0</v>
      </c>
      <c r="Z35" s="566">
        <f t="shared" si="6"/>
        <v>0</v>
      </c>
      <c r="AA35" s="566">
        <f t="shared" si="7"/>
        <v>0</v>
      </c>
      <c r="AB35" s="566">
        <f t="shared" si="8"/>
        <v>0</v>
      </c>
      <c r="AC35" s="566">
        <f t="shared" si="9"/>
        <v>0</v>
      </c>
      <c r="AD35" s="566">
        <f t="shared" si="10"/>
        <v>0</v>
      </c>
      <c r="AE35" s="566">
        <f t="shared" si="11"/>
        <v>0</v>
      </c>
      <c r="AF35" s="566">
        <f t="shared" si="12"/>
        <v>0</v>
      </c>
      <c r="AG35" s="566">
        <f t="shared" si="13"/>
        <v>0</v>
      </c>
      <c r="AH35" s="573"/>
    </row>
    <row r="36" spans="1:34" ht="25.15" customHeight="1">
      <c r="A36" s="543">
        <v>26</v>
      </c>
      <c r="B36" s="544" t="s">
        <v>1614</v>
      </c>
      <c r="C36" s="541" t="str">
        <f>'LAP. PENJUALAN '!C36</f>
        <v>Paket Rocket 3</v>
      </c>
      <c r="D36" s="542"/>
      <c r="E36" s="542"/>
      <c r="F36" s="542"/>
      <c r="G36" s="542"/>
      <c r="H36" s="542"/>
      <c r="I36" s="542"/>
      <c r="J36" s="542"/>
      <c r="K36" s="542"/>
      <c r="L36" s="542"/>
      <c r="M36" s="542"/>
      <c r="N36" s="554">
        <f t="shared" si="0"/>
        <v>0</v>
      </c>
      <c r="O36" s="554">
        <f t="shared" si="1"/>
        <v>0</v>
      </c>
      <c r="P36" s="555" t="e">
        <f>(O36/O270)*100</f>
        <v>#DIV/0!</v>
      </c>
      <c r="Q36" s="570"/>
      <c r="R36" s="555" t="e">
        <f t="shared" si="2"/>
        <v>#DIV/0!</v>
      </c>
      <c r="S36" s="568">
        <f t="shared" si="3"/>
        <v>0</v>
      </c>
      <c r="T36" s="564"/>
      <c r="U36" s="565"/>
      <c r="V36" s="2560"/>
      <c r="W36" s="571"/>
      <c r="X36" s="566">
        <f t="shared" si="4"/>
        <v>0</v>
      </c>
      <c r="Y36" s="566">
        <f t="shared" si="5"/>
        <v>0</v>
      </c>
      <c r="Z36" s="566">
        <f t="shared" si="6"/>
        <v>0</v>
      </c>
      <c r="AA36" s="566">
        <f t="shared" si="7"/>
        <v>0</v>
      </c>
      <c r="AB36" s="566">
        <f t="shared" si="8"/>
        <v>0</v>
      </c>
      <c r="AC36" s="566">
        <f t="shared" si="9"/>
        <v>0</v>
      </c>
      <c r="AD36" s="566">
        <f t="shared" si="10"/>
        <v>0</v>
      </c>
      <c r="AE36" s="566">
        <f t="shared" si="11"/>
        <v>0</v>
      </c>
      <c r="AF36" s="566">
        <f t="shared" si="12"/>
        <v>0</v>
      </c>
      <c r="AG36" s="566">
        <f t="shared" si="13"/>
        <v>0</v>
      </c>
      <c r="AH36" s="573"/>
    </row>
    <row r="37" spans="1:34" ht="25.15" customHeight="1">
      <c r="A37" s="543">
        <v>27</v>
      </c>
      <c r="B37" s="544" t="s">
        <v>1615</v>
      </c>
      <c r="C37" s="541" t="str">
        <f>'LAP. PENJUALAN '!C37</f>
        <v>Paket Rocket 4</v>
      </c>
      <c r="D37" s="542"/>
      <c r="E37" s="542"/>
      <c r="F37" s="542"/>
      <c r="G37" s="542"/>
      <c r="H37" s="542"/>
      <c r="I37" s="542"/>
      <c r="J37" s="542"/>
      <c r="K37" s="542"/>
      <c r="L37" s="542"/>
      <c r="M37" s="542"/>
      <c r="N37" s="554">
        <f t="shared" si="0"/>
        <v>0</v>
      </c>
      <c r="O37" s="554">
        <f t="shared" si="1"/>
        <v>0</v>
      </c>
      <c r="P37" s="555" t="e">
        <f>(O37/O270)*100</f>
        <v>#DIV/0!</v>
      </c>
      <c r="Q37" s="570"/>
      <c r="R37" s="555" t="e">
        <f t="shared" si="2"/>
        <v>#DIV/0!</v>
      </c>
      <c r="S37" s="568">
        <f t="shared" si="3"/>
        <v>0</v>
      </c>
      <c r="T37" s="564"/>
      <c r="U37" s="565"/>
      <c r="V37" s="2560"/>
      <c r="W37" s="571"/>
      <c r="X37" s="566">
        <f t="shared" si="4"/>
        <v>0</v>
      </c>
      <c r="Y37" s="566">
        <f t="shared" si="5"/>
        <v>0</v>
      </c>
      <c r="Z37" s="566">
        <f t="shared" si="6"/>
        <v>0</v>
      </c>
      <c r="AA37" s="566">
        <f t="shared" si="7"/>
        <v>0</v>
      </c>
      <c r="AB37" s="566">
        <f t="shared" si="8"/>
        <v>0</v>
      </c>
      <c r="AC37" s="566">
        <f t="shared" si="9"/>
        <v>0</v>
      </c>
      <c r="AD37" s="566">
        <f t="shared" si="10"/>
        <v>0</v>
      </c>
      <c r="AE37" s="566">
        <f t="shared" si="11"/>
        <v>0</v>
      </c>
      <c r="AF37" s="566">
        <f t="shared" si="12"/>
        <v>0</v>
      </c>
      <c r="AG37" s="566">
        <f t="shared" si="13"/>
        <v>0</v>
      </c>
      <c r="AH37" s="573"/>
    </row>
    <row r="38" spans="1:34" ht="25.15" customHeight="1">
      <c r="A38" s="543">
        <v>28</v>
      </c>
      <c r="B38" s="544" t="s">
        <v>1616</v>
      </c>
      <c r="C38" s="541" t="str">
        <f>'LAP. PENJUALAN '!C38</f>
        <v>Paket Rocket 5</v>
      </c>
      <c r="D38" s="542"/>
      <c r="E38" s="542"/>
      <c r="F38" s="542"/>
      <c r="G38" s="542"/>
      <c r="H38" s="542"/>
      <c r="I38" s="542"/>
      <c r="J38" s="542"/>
      <c r="K38" s="542"/>
      <c r="L38" s="542"/>
      <c r="M38" s="542"/>
      <c r="N38" s="554">
        <f t="shared" si="0"/>
        <v>0</v>
      </c>
      <c r="O38" s="554">
        <f t="shared" si="1"/>
        <v>0</v>
      </c>
      <c r="P38" s="555" t="e">
        <f>(O38/O270)*100</f>
        <v>#DIV/0!</v>
      </c>
      <c r="Q38" s="570"/>
      <c r="R38" s="572" t="e">
        <f t="shared" si="2"/>
        <v>#DIV/0!</v>
      </c>
      <c r="S38" s="568">
        <f t="shared" si="3"/>
        <v>0</v>
      </c>
      <c r="T38" s="564"/>
      <c r="U38" s="565"/>
      <c r="V38" s="2560"/>
      <c r="W38" s="571"/>
      <c r="X38" s="566">
        <f t="shared" si="4"/>
        <v>0</v>
      </c>
      <c r="Y38" s="566">
        <f t="shared" si="5"/>
        <v>0</v>
      </c>
      <c r="Z38" s="566">
        <f t="shared" si="6"/>
        <v>0</v>
      </c>
      <c r="AA38" s="566">
        <f t="shared" si="7"/>
        <v>0</v>
      </c>
      <c r="AB38" s="566">
        <f t="shared" si="8"/>
        <v>0</v>
      </c>
      <c r="AC38" s="566">
        <f t="shared" si="9"/>
        <v>0</v>
      </c>
      <c r="AD38" s="566">
        <f t="shared" si="10"/>
        <v>0</v>
      </c>
      <c r="AE38" s="566">
        <f t="shared" si="11"/>
        <v>0</v>
      </c>
      <c r="AF38" s="566">
        <f t="shared" si="12"/>
        <v>0</v>
      </c>
      <c r="AG38" s="566">
        <f t="shared" si="13"/>
        <v>0</v>
      </c>
      <c r="AH38" s="573"/>
    </row>
    <row r="39" spans="1:34" ht="25.15" customHeight="1">
      <c r="A39" s="543">
        <v>29</v>
      </c>
      <c r="B39" s="544" t="s">
        <v>1617</v>
      </c>
      <c r="C39" s="541" t="str">
        <f>'LAP. PENJUALAN '!C39</f>
        <v>Paket Rocket 6</v>
      </c>
      <c r="D39" s="542"/>
      <c r="E39" s="542"/>
      <c r="F39" s="542"/>
      <c r="G39" s="542"/>
      <c r="H39" s="542"/>
      <c r="I39" s="542"/>
      <c r="J39" s="542"/>
      <c r="K39" s="542"/>
      <c r="L39" s="542"/>
      <c r="M39" s="542"/>
      <c r="N39" s="554">
        <f t="shared" si="0"/>
        <v>0</v>
      </c>
      <c r="O39" s="554">
        <f t="shared" si="1"/>
        <v>0</v>
      </c>
      <c r="P39" s="555" t="e">
        <f>(O39/O270)*100</f>
        <v>#DIV/0!</v>
      </c>
      <c r="Q39" s="570"/>
      <c r="R39" s="555" t="e">
        <f t="shared" si="2"/>
        <v>#DIV/0!</v>
      </c>
      <c r="S39" s="568">
        <f t="shared" si="3"/>
        <v>0</v>
      </c>
      <c r="T39" s="564"/>
      <c r="U39" s="565"/>
      <c r="V39" s="2560"/>
      <c r="W39" s="571"/>
      <c r="X39" s="566">
        <f t="shared" si="4"/>
        <v>0</v>
      </c>
      <c r="Y39" s="566">
        <f t="shared" si="5"/>
        <v>0</v>
      </c>
      <c r="Z39" s="566">
        <f t="shared" si="6"/>
        <v>0</v>
      </c>
      <c r="AA39" s="566">
        <f t="shared" si="7"/>
        <v>0</v>
      </c>
      <c r="AB39" s="566">
        <f t="shared" si="8"/>
        <v>0</v>
      </c>
      <c r="AC39" s="566">
        <f t="shared" si="9"/>
        <v>0</v>
      </c>
      <c r="AD39" s="566">
        <f t="shared" si="10"/>
        <v>0</v>
      </c>
      <c r="AE39" s="566">
        <f t="shared" si="11"/>
        <v>0</v>
      </c>
      <c r="AF39" s="566">
        <f t="shared" si="12"/>
        <v>0</v>
      </c>
      <c r="AG39" s="566">
        <f t="shared" si="13"/>
        <v>0</v>
      </c>
      <c r="AH39" s="573"/>
    </row>
    <row r="40" spans="1:34" ht="25.15" customHeight="1">
      <c r="A40" s="543">
        <v>30</v>
      </c>
      <c r="B40" s="544" t="s">
        <v>1618</v>
      </c>
      <c r="C40" s="541" t="str">
        <f>'LAP. PENJUALAN '!C40</f>
        <v>Paket Rocket 7</v>
      </c>
      <c r="D40" s="542"/>
      <c r="E40" s="542"/>
      <c r="F40" s="542"/>
      <c r="G40" s="542"/>
      <c r="H40" s="542"/>
      <c r="I40" s="542"/>
      <c r="J40" s="542"/>
      <c r="K40" s="542"/>
      <c r="L40" s="542"/>
      <c r="M40" s="542"/>
      <c r="N40" s="554">
        <f t="shared" si="0"/>
        <v>0</v>
      </c>
      <c r="O40" s="554">
        <f t="shared" si="1"/>
        <v>0</v>
      </c>
      <c r="P40" s="555" t="e">
        <f>(O40/O270)*100</f>
        <v>#DIV/0!</v>
      </c>
      <c r="Q40" s="567"/>
      <c r="R40" s="555" t="e">
        <f t="shared" si="2"/>
        <v>#DIV/0!</v>
      </c>
      <c r="S40" s="568">
        <f t="shared" si="3"/>
        <v>0</v>
      </c>
      <c r="T40" s="564"/>
      <c r="U40" s="565"/>
      <c r="V40" s="2560"/>
      <c r="W40" s="571"/>
      <c r="X40" s="566">
        <f t="shared" si="4"/>
        <v>0</v>
      </c>
      <c r="Y40" s="566">
        <f t="shared" si="5"/>
        <v>0</v>
      </c>
      <c r="Z40" s="566">
        <f t="shared" si="6"/>
        <v>0</v>
      </c>
      <c r="AA40" s="566">
        <f t="shared" si="7"/>
        <v>0</v>
      </c>
      <c r="AB40" s="566">
        <f t="shared" si="8"/>
        <v>0</v>
      </c>
      <c r="AC40" s="566">
        <f t="shared" si="9"/>
        <v>0</v>
      </c>
      <c r="AD40" s="566">
        <f t="shared" si="10"/>
        <v>0</v>
      </c>
      <c r="AE40" s="566">
        <f t="shared" si="11"/>
        <v>0</v>
      </c>
      <c r="AF40" s="566">
        <f t="shared" si="12"/>
        <v>0</v>
      </c>
      <c r="AG40" s="566">
        <f t="shared" si="13"/>
        <v>0</v>
      </c>
      <c r="AH40" s="573"/>
    </row>
    <row r="41" spans="1:34" ht="25.15" customHeight="1">
      <c r="A41" s="543">
        <v>31</v>
      </c>
      <c r="B41" s="544"/>
      <c r="C41" s="541" t="str">
        <f>'LAP. PENJUALAN '!C41</f>
        <v>Paket Rocket 8</v>
      </c>
      <c r="D41" s="542"/>
      <c r="E41" s="542"/>
      <c r="F41" s="542"/>
      <c r="G41" s="542"/>
      <c r="H41" s="542"/>
      <c r="I41" s="542"/>
      <c r="J41" s="542"/>
      <c r="K41" s="542"/>
      <c r="L41" s="542"/>
      <c r="M41" s="542"/>
      <c r="N41" s="554">
        <f t="shared" si="0"/>
        <v>0</v>
      </c>
      <c r="O41" s="554">
        <f t="shared" si="1"/>
        <v>0</v>
      </c>
      <c r="P41" s="555" t="e">
        <f>(O41/O270)*100</f>
        <v>#DIV/0!</v>
      </c>
      <c r="Q41" s="570"/>
      <c r="R41" s="555" t="e">
        <f t="shared" si="2"/>
        <v>#DIV/0!</v>
      </c>
      <c r="S41" s="568">
        <f t="shared" si="3"/>
        <v>0</v>
      </c>
      <c r="T41" s="564"/>
      <c r="U41" s="565"/>
      <c r="V41" s="2560"/>
      <c r="W41" s="571"/>
      <c r="X41" s="566">
        <f t="shared" si="4"/>
        <v>0</v>
      </c>
      <c r="Y41" s="566">
        <f t="shared" si="5"/>
        <v>0</v>
      </c>
      <c r="Z41" s="566">
        <f t="shared" si="6"/>
        <v>0</v>
      </c>
      <c r="AA41" s="566">
        <f t="shared" si="7"/>
        <v>0</v>
      </c>
      <c r="AB41" s="566">
        <f t="shared" si="8"/>
        <v>0</v>
      </c>
      <c r="AC41" s="566">
        <f t="shared" si="9"/>
        <v>0</v>
      </c>
      <c r="AD41" s="566">
        <f t="shared" si="10"/>
        <v>0</v>
      </c>
      <c r="AE41" s="566">
        <f t="shared" si="11"/>
        <v>0</v>
      </c>
      <c r="AF41" s="566">
        <f t="shared" si="12"/>
        <v>0</v>
      </c>
      <c r="AG41" s="566">
        <f t="shared" si="13"/>
        <v>0</v>
      </c>
      <c r="AH41" s="573"/>
    </row>
    <row r="42" spans="1:34" ht="25.15" customHeight="1">
      <c r="A42" s="543">
        <v>32</v>
      </c>
      <c r="B42" s="544" t="s">
        <v>1619</v>
      </c>
      <c r="C42" s="541" t="str">
        <f>'LAP. PENJUALAN '!C42</f>
        <v>Paket Rocket 9</v>
      </c>
      <c r="D42" s="542"/>
      <c r="E42" s="542"/>
      <c r="F42" s="542"/>
      <c r="G42" s="542"/>
      <c r="H42" s="542"/>
      <c r="I42" s="542"/>
      <c r="J42" s="542"/>
      <c r="K42" s="542"/>
      <c r="L42" s="542"/>
      <c r="M42" s="542"/>
      <c r="N42" s="554">
        <f t="shared" ref="N42" si="46">SUM(D42:M42)</f>
        <v>0</v>
      </c>
      <c r="O42" s="554">
        <f t="shared" ref="O42" si="47">N42*S42</f>
        <v>0</v>
      </c>
      <c r="P42" s="555" t="e">
        <f>(O42/O270)*100</f>
        <v>#DIV/0!</v>
      </c>
      <c r="Q42" s="570"/>
      <c r="R42" s="555" t="e">
        <f t="shared" ref="R42" si="48">P42*Q42</f>
        <v>#DIV/0!</v>
      </c>
      <c r="S42" s="568">
        <f t="shared" ref="S42" si="49">T42+(T42*10%)</f>
        <v>0</v>
      </c>
      <c r="T42" s="564"/>
      <c r="U42" s="565"/>
      <c r="V42" s="2560"/>
      <c r="W42" s="571"/>
      <c r="X42" s="566">
        <f t="shared" si="4"/>
        <v>0</v>
      </c>
      <c r="Y42" s="566">
        <f t="shared" si="5"/>
        <v>0</v>
      </c>
      <c r="Z42" s="566">
        <f t="shared" si="6"/>
        <v>0</v>
      </c>
      <c r="AA42" s="566">
        <f t="shared" si="7"/>
        <v>0</v>
      </c>
      <c r="AB42" s="566">
        <f t="shared" si="8"/>
        <v>0</v>
      </c>
      <c r="AC42" s="566">
        <f t="shared" si="9"/>
        <v>0</v>
      </c>
      <c r="AD42" s="566">
        <f t="shared" si="10"/>
        <v>0</v>
      </c>
      <c r="AE42" s="566">
        <f t="shared" si="11"/>
        <v>0</v>
      </c>
      <c r="AF42" s="566">
        <f t="shared" si="12"/>
        <v>0</v>
      </c>
      <c r="AG42" s="566">
        <f t="shared" si="13"/>
        <v>0</v>
      </c>
      <c r="AH42" s="573"/>
    </row>
    <row r="43" spans="1:34" ht="25.15" customHeight="1">
      <c r="A43" s="543">
        <v>33</v>
      </c>
      <c r="B43" s="544" t="s">
        <v>1620</v>
      </c>
      <c r="C43" s="541" t="str">
        <f>'LAP. PENJUALAN '!C43</f>
        <v>Paket Rocket 10</v>
      </c>
      <c r="D43" s="542"/>
      <c r="E43" s="542"/>
      <c r="F43" s="542"/>
      <c r="G43" s="542"/>
      <c r="H43" s="542"/>
      <c r="I43" s="542"/>
      <c r="J43" s="542"/>
      <c r="K43" s="542"/>
      <c r="L43" s="542"/>
      <c r="M43" s="542"/>
      <c r="N43" s="554">
        <f t="shared" si="0"/>
        <v>0</v>
      </c>
      <c r="O43" s="554">
        <f t="shared" si="1"/>
        <v>0</v>
      </c>
      <c r="P43" s="555" t="e">
        <f>(O43/O270)*100</f>
        <v>#DIV/0!</v>
      </c>
      <c r="Q43" s="570"/>
      <c r="R43" s="555" t="e">
        <f t="shared" si="2"/>
        <v>#DIV/0!</v>
      </c>
      <c r="S43" s="568">
        <f t="shared" si="3"/>
        <v>0</v>
      </c>
      <c r="T43" s="564"/>
      <c r="U43" s="565"/>
      <c r="V43" s="2560"/>
      <c r="W43" s="571"/>
      <c r="X43" s="566">
        <f t="shared" si="4"/>
        <v>0</v>
      </c>
      <c r="Y43" s="566">
        <f t="shared" si="5"/>
        <v>0</v>
      </c>
      <c r="Z43" s="566">
        <f t="shared" si="6"/>
        <v>0</v>
      </c>
      <c r="AA43" s="566">
        <f t="shared" si="7"/>
        <v>0</v>
      </c>
      <c r="AB43" s="566">
        <f t="shared" si="8"/>
        <v>0</v>
      </c>
      <c r="AC43" s="566">
        <f t="shared" si="9"/>
        <v>0</v>
      </c>
      <c r="AD43" s="566">
        <f t="shared" si="10"/>
        <v>0</v>
      </c>
      <c r="AE43" s="566">
        <f t="shared" si="11"/>
        <v>0</v>
      </c>
      <c r="AF43" s="566">
        <f t="shared" si="12"/>
        <v>0</v>
      </c>
      <c r="AG43" s="566">
        <f t="shared" si="13"/>
        <v>0</v>
      </c>
      <c r="AH43" s="573"/>
    </row>
    <row r="44" spans="1:34" ht="25.15" customHeight="1">
      <c r="A44" s="543"/>
      <c r="B44" s="544" t="s">
        <v>1307</v>
      </c>
      <c r="C44" s="541"/>
      <c r="D44" s="542"/>
      <c r="E44" s="542"/>
      <c r="F44" s="542"/>
      <c r="G44" s="542"/>
      <c r="H44" s="542"/>
      <c r="I44" s="542"/>
      <c r="J44" s="542"/>
      <c r="K44" s="542"/>
      <c r="L44" s="542"/>
      <c r="M44" s="542"/>
      <c r="N44" s="554">
        <f t="shared" si="0"/>
        <v>0</v>
      </c>
      <c r="O44" s="554">
        <f t="shared" si="1"/>
        <v>0</v>
      </c>
      <c r="P44" s="555" t="e">
        <f>(O44/O270)*100</f>
        <v>#DIV/0!</v>
      </c>
      <c r="Q44" s="570"/>
      <c r="R44" s="555" t="e">
        <f t="shared" si="2"/>
        <v>#DIV/0!</v>
      </c>
      <c r="S44" s="568">
        <f t="shared" si="3"/>
        <v>0</v>
      </c>
      <c r="T44" s="564"/>
      <c r="U44" s="565"/>
      <c r="V44" s="2560"/>
      <c r="W44" s="571"/>
      <c r="X44" s="566">
        <f t="shared" si="4"/>
        <v>0</v>
      </c>
      <c r="Y44" s="566">
        <f t="shared" si="5"/>
        <v>0</v>
      </c>
      <c r="Z44" s="566">
        <f t="shared" si="6"/>
        <v>0</v>
      </c>
      <c r="AA44" s="566">
        <f t="shared" si="7"/>
        <v>0</v>
      </c>
      <c r="AB44" s="566">
        <f t="shared" si="8"/>
        <v>0</v>
      </c>
      <c r="AC44" s="566">
        <f t="shared" si="9"/>
        <v>0</v>
      </c>
      <c r="AD44" s="566">
        <f t="shared" si="10"/>
        <v>0</v>
      </c>
      <c r="AE44" s="566">
        <f t="shared" si="11"/>
        <v>0</v>
      </c>
      <c r="AF44" s="566">
        <f t="shared" si="12"/>
        <v>0</v>
      </c>
      <c r="AG44" s="566">
        <f t="shared" si="13"/>
        <v>0</v>
      </c>
      <c r="AH44" s="573"/>
    </row>
    <row r="45" spans="1:34" ht="25.15" customHeight="1">
      <c r="A45" s="543">
        <v>34</v>
      </c>
      <c r="B45" s="544" t="s">
        <v>1308</v>
      </c>
      <c r="C45" s="541" t="str">
        <f>'LAP. PENJUALAN '!C45</f>
        <v>Paket Roma 1</v>
      </c>
      <c r="D45" s="542"/>
      <c r="E45" s="542"/>
      <c r="F45" s="542"/>
      <c r="G45" s="542"/>
      <c r="H45" s="542"/>
      <c r="I45" s="542"/>
      <c r="J45" s="542"/>
      <c r="K45" s="542"/>
      <c r="L45" s="542"/>
      <c r="M45" s="542"/>
      <c r="N45" s="554">
        <f t="shared" si="0"/>
        <v>0</v>
      </c>
      <c r="O45" s="554">
        <f t="shared" si="1"/>
        <v>0</v>
      </c>
      <c r="P45" s="555" t="e">
        <f>(O45/O270)*100</f>
        <v>#DIV/0!</v>
      </c>
      <c r="Q45" s="570"/>
      <c r="R45" s="555" t="e">
        <f t="shared" si="2"/>
        <v>#DIV/0!</v>
      </c>
      <c r="S45" s="568">
        <f t="shared" si="3"/>
        <v>0</v>
      </c>
      <c r="T45" s="564"/>
      <c r="U45" s="565"/>
      <c r="V45" s="2560"/>
      <c r="W45" s="571"/>
      <c r="X45" s="566">
        <f t="shared" si="4"/>
        <v>0</v>
      </c>
      <c r="Y45" s="566">
        <f t="shared" si="5"/>
        <v>0</v>
      </c>
      <c r="Z45" s="566">
        <f t="shared" si="6"/>
        <v>0</v>
      </c>
      <c r="AA45" s="566">
        <f t="shared" si="7"/>
        <v>0</v>
      </c>
      <c r="AB45" s="566">
        <f t="shared" si="8"/>
        <v>0</v>
      </c>
      <c r="AC45" s="566">
        <f t="shared" si="9"/>
        <v>0</v>
      </c>
      <c r="AD45" s="566">
        <f t="shared" si="10"/>
        <v>0</v>
      </c>
      <c r="AE45" s="566">
        <f t="shared" si="11"/>
        <v>0</v>
      </c>
      <c r="AF45" s="566">
        <f t="shared" si="12"/>
        <v>0</v>
      </c>
      <c r="AG45" s="566">
        <f t="shared" si="13"/>
        <v>0</v>
      </c>
      <c r="AH45" s="573"/>
    </row>
    <row r="46" spans="1:34" ht="25.15" customHeight="1">
      <c r="A46" s="543">
        <v>35</v>
      </c>
      <c r="B46" s="544" t="s">
        <v>1309</v>
      </c>
      <c r="C46" s="541" t="str">
        <f>'LAP. PENJUALAN '!C46</f>
        <v>Paket Roma 2</v>
      </c>
      <c r="D46" s="542"/>
      <c r="E46" s="542"/>
      <c r="F46" s="542"/>
      <c r="G46" s="542"/>
      <c r="H46" s="542"/>
      <c r="I46" s="542"/>
      <c r="J46" s="542"/>
      <c r="K46" s="542"/>
      <c r="L46" s="542"/>
      <c r="M46" s="542"/>
      <c r="N46" s="554">
        <f t="shared" si="0"/>
        <v>0</v>
      </c>
      <c r="O46" s="554">
        <f t="shared" si="1"/>
        <v>0</v>
      </c>
      <c r="P46" s="555" t="e">
        <f>(O46/O270)*100</f>
        <v>#DIV/0!</v>
      </c>
      <c r="Q46" s="570"/>
      <c r="R46" s="555" t="e">
        <f t="shared" si="2"/>
        <v>#DIV/0!</v>
      </c>
      <c r="S46" s="568">
        <f t="shared" si="3"/>
        <v>0</v>
      </c>
      <c r="T46" s="564"/>
      <c r="U46" s="565"/>
      <c r="V46" s="2560"/>
      <c r="W46" s="571"/>
      <c r="X46" s="566">
        <f t="shared" si="4"/>
        <v>0</v>
      </c>
      <c r="Y46" s="566">
        <f t="shared" si="5"/>
        <v>0</v>
      </c>
      <c r="Z46" s="566">
        <f t="shared" si="6"/>
        <v>0</v>
      </c>
      <c r="AA46" s="566">
        <f t="shared" si="7"/>
        <v>0</v>
      </c>
      <c r="AB46" s="566">
        <f t="shared" si="8"/>
        <v>0</v>
      </c>
      <c r="AC46" s="566">
        <f t="shared" si="9"/>
        <v>0</v>
      </c>
      <c r="AD46" s="566">
        <f t="shared" si="10"/>
        <v>0</v>
      </c>
      <c r="AE46" s="566">
        <f t="shared" si="11"/>
        <v>0</v>
      </c>
      <c r="AF46" s="566">
        <f t="shared" si="12"/>
        <v>0</v>
      </c>
      <c r="AG46" s="566">
        <f t="shared" si="13"/>
        <v>0</v>
      </c>
      <c r="AH46" s="573"/>
    </row>
    <row r="47" spans="1:34" ht="25.15" customHeight="1">
      <c r="A47" s="543">
        <v>36</v>
      </c>
      <c r="B47" s="544" t="s">
        <v>1310</v>
      </c>
      <c r="C47" s="541" t="str">
        <f>'LAP. PENJUALAN '!C47</f>
        <v>Paket Roma 3</v>
      </c>
      <c r="D47" s="542"/>
      <c r="E47" s="542"/>
      <c r="F47" s="542"/>
      <c r="G47" s="542"/>
      <c r="H47" s="542"/>
      <c r="I47" s="542"/>
      <c r="J47" s="542"/>
      <c r="K47" s="542"/>
      <c r="L47" s="542"/>
      <c r="M47" s="542"/>
      <c r="N47" s="554">
        <f t="shared" si="0"/>
        <v>0</v>
      </c>
      <c r="O47" s="554">
        <f t="shared" si="1"/>
        <v>0</v>
      </c>
      <c r="P47" s="555" t="e">
        <f>(O47/O270)*100</f>
        <v>#DIV/0!</v>
      </c>
      <c r="Q47" s="570"/>
      <c r="R47" s="555" t="e">
        <f t="shared" si="2"/>
        <v>#DIV/0!</v>
      </c>
      <c r="S47" s="568">
        <f t="shared" si="3"/>
        <v>0</v>
      </c>
      <c r="T47" s="564"/>
      <c r="U47" s="565"/>
      <c r="V47" s="2560"/>
      <c r="W47" s="571"/>
      <c r="X47" s="566">
        <f t="shared" si="4"/>
        <v>0</v>
      </c>
      <c r="Y47" s="566">
        <f t="shared" si="5"/>
        <v>0</v>
      </c>
      <c r="Z47" s="566">
        <f t="shared" si="6"/>
        <v>0</v>
      </c>
      <c r="AA47" s="566">
        <f t="shared" si="7"/>
        <v>0</v>
      </c>
      <c r="AB47" s="566">
        <f t="shared" si="8"/>
        <v>0</v>
      </c>
      <c r="AC47" s="566">
        <f t="shared" si="9"/>
        <v>0</v>
      </c>
      <c r="AD47" s="566">
        <f t="shared" si="10"/>
        <v>0</v>
      </c>
      <c r="AE47" s="566">
        <f t="shared" si="11"/>
        <v>0</v>
      </c>
      <c r="AF47" s="566">
        <f t="shared" si="12"/>
        <v>0</v>
      </c>
      <c r="AG47" s="566">
        <f t="shared" si="13"/>
        <v>0</v>
      </c>
      <c r="AH47" s="573"/>
    </row>
    <row r="48" spans="1:34" ht="25.15" customHeight="1">
      <c r="A48" s="543">
        <v>37</v>
      </c>
      <c r="B48" s="544" t="s">
        <v>1311</v>
      </c>
      <c r="C48" s="541" t="str">
        <f>'LAP. PENJUALAN '!C48</f>
        <v>Paket Roma 4</v>
      </c>
      <c r="D48" s="542"/>
      <c r="E48" s="542"/>
      <c r="F48" s="542"/>
      <c r="G48" s="542"/>
      <c r="H48" s="542"/>
      <c r="I48" s="542"/>
      <c r="J48" s="542"/>
      <c r="K48" s="542"/>
      <c r="L48" s="542"/>
      <c r="M48" s="542"/>
      <c r="N48" s="554">
        <f t="shared" si="0"/>
        <v>0</v>
      </c>
      <c r="O48" s="554">
        <f t="shared" si="1"/>
        <v>0</v>
      </c>
      <c r="P48" s="555" t="e">
        <f>(O48/O270)*100</f>
        <v>#DIV/0!</v>
      </c>
      <c r="Q48" s="570"/>
      <c r="R48" s="555" t="e">
        <f t="shared" si="2"/>
        <v>#DIV/0!</v>
      </c>
      <c r="S48" s="568">
        <f t="shared" si="3"/>
        <v>0</v>
      </c>
      <c r="T48" s="564"/>
      <c r="U48" s="565"/>
      <c r="V48" s="2560"/>
      <c r="W48" s="571"/>
      <c r="X48" s="566">
        <f t="shared" si="4"/>
        <v>0</v>
      </c>
      <c r="Y48" s="566">
        <f t="shared" si="5"/>
        <v>0</v>
      </c>
      <c r="Z48" s="566">
        <f t="shared" si="6"/>
        <v>0</v>
      </c>
      <c r="AA48" s="566">
        <f t="shared" si="7"/>
        <v>0</v>
      </c>
      <c r="AB48" s="566">
        <f t="shared" si="8"/>
        <v>0</v>
      </c>
      <c r="AC48" s="566">
        <f t="shared" si="9"/>
        <v>0</v>
      </c>
      <c r="AD48" s="566">
        <f t="shared" si="10"/>
        <v>0</v>
      </c>
      <c r="AE48" s="566">
        <f t="shared" si="11"/>
        <v>0</v>
      </c>
      <c r="AF48" s="566">
        <f t="shared" si="12"/>
        <v>0</v>
      </c>
      <c r="AG48" s="566">
        <f t="shared" si="13"/>
        <v>0</v>
      </c>
      <c r="AH48" s="573"/>
    </row>
    <row r="49" spans="1:34" ht="25.15" customHeight="1">
      <c r="A49" s="543">
        <v>38</v>
      </c>
      <c r="B49" s="544" t="s">
        <v>1312</v>
      </c>
      <c r="C49" s="541" t="str">
        <f>'LAP. PENJUALAN '!C49</f>
        <v>Paket Roma 5</v>
      </c>
      <c r="D49" s="542"/>
      <c r="E49" s="542"/>
      <c r="F49" s="542"/>
      <c r="G49" s="542"/>
      <c r="H49" s="542"/>
      <c r="I49" s="542"/>
      <c r="J49" s="542"/>
      <c r="K49" s="542"/>
      <c r="L49" s="542"/>
      <c r="M49" s="542"/>
      <c r="N49" s="554">
        <f t="shared" si="0"/>
        <v>0</v>
      </c>
      <c r="O49" s="554">
        <f t="shared" si="1"/>
        <v>0</v>
      </c>
      <c r="P49" s="555" t="e">
        <f>(O49/O270)*100</f>
        <v>#DIV/0!</v>
      </c>
      <c r="Q49" s="570"/>
      <c r="R49" s="555" t="e">
        <f t="shared" si="2"/>
        <v>#DIV/0!</v>
      </c>
      <c r="S49" s="568">
        <f t="shared" si="3"/>
        <v>0</v>
      </c>
      <c r="T49" s="564"/>
      <c r="U49" s="565"/>
      <c r="V49" s="2560"/>
      <c r="W49" s="571"/>
      <c r="X49" s="566">
        <f t="shared" si="4"/>
        <v>0</v>
      </c>
      <c r="Y49" s="566">
        <f t="shared" si="5"/>
        <v>0</v>
      </c>
      <c r="Z49" s="566">
        <f t="shared" si="6"/>
        <v>0</v>
      </c>
      <c r="AA49" s="566">
        <f t="shared" si="7"/>
        <v>0</v>
      </c>
      <c r="AB49" s="566">
        <f t="shared" si="8"/>
        <v>0</v>
      </c>
      <c r="AC49" s="566">
        <f t="shared" si="9"/>
        <v>0</v>
      </c>
      <c r="AD49" s="566">
        <f t="shared" si="10"/>
        <v>0</v>
      </c>
      <c r="AE49" s="566">
        <f t="shared" si="11"/>
        <v>0</v>
      </c>
      <c r="AF49" s="566">
        <f t="shared" si="12"/>
        <v>0</v>
      </c>
      <c r="AG49" s="566">
        <f t="shared" si="13"/>
        <v>0</v>
      </c>
      <c r="AH49" s="573"/>
    </row>
    <row r="50" spans="1:34" ht="25.15" customHeight="1">
      <c r="A50" s="543"/>
      <c r="B50" s="544" t="s">
        <v>1313</v>
      </c>
      <c r="C50" s="541"/>
      <c r="D50" s="542"/>
      <c r="E50" s="542"/>
      <c r="F50" s="542"/>
      <c r="G50" s="542"/>
      <c r="H50" s="542"/>
      <c r="I50" s="542"/>
      <c r="J50" s="542"/>
      <c r="K50" s="542"/>
      <c r="L50" s="542"/>
      <c r="M50" s="542"/>
      <c r="N50" s="554">
        <f t="shared" si="0"/>
        <v>0</v>
      </c>
      <c r="O50" s="554">
        <f t="shared" si="1"/>
        <v>0</v>
      </c>
      <c r="P50" s="555" t="e">
        <f>(O50/O270)*100</f>
        <v>#DIV/0!</v>
      </c>
      <c r="Q50" s="570"/>
      <c r="R50" s="555" t="e">
        <f t="shared" si="2"/>
        <v>#DIV/0!</v>
      </c>
      <c r="S50" s="568">
        <f t="shared" si="3"/>
        <v>0</v>
      </c>
      <c r="T50" s="564"/>
      <c r="U50" s="565"/>
      <c r="V50" s="2560"/>
      <c r="W50" s="571"/>
      <c r="X50" s="566">
        <f t="shared" ref="X50:X53" si="50">D50*S50</f>
        <v>0</v>
      </c>
      <c r="Y50" s="566">
        <f t="shared" ref="Y50:Y53" si="51">E50*S50</f>
        <v>0</v>
      </c>
      <c r="Z50" s="566">
        <f t="shared" ref="Z50:Z53" si="52">F50*S50</f>
        <v>0</v>
      </c>
      <c r="AA50" s="566">
        <f t="shared" ref="AA50:AA53" si="53">G50*S50</f>
        <v>0</v>
      </c>
      <c r="AB50" s="566">
        <f t="shared" ref="AB50:AB53" si="54">H50*S50</f>
        <v>0</v>
      </c>
      <c r="AC50" s="566">
        <f t="shared" ref="AC50:AC53" si="55">I50*S50</f>
        <v>0</v>
      </c>
      <c r="AD50" s="566">
        <f t="shared" ref="AD50:AD53" si="56">J50*S50</f>
        <v>0</v>
      </c>
      <c r="AE50" s="566">
        <f t="shared" ref="AE50:AE53" si="57">K50*S50</f>
        <v>0</v>
      </c>
      <c r="AF50" s="566">
        <f t="shared" ref="AF50:AF53" si="58">L50*S50</f>
        <v>0</v>
      </c>
      <c r="AG50" s="566">
        <f t="shared" ref="AG50:AG53" si="59">M50*S50</f>
        <v>0</v>
      </c>
      <c r="AH50" s="573"/>
    </row>
    <row r="51" spans="1:34" ht="25.15" customHeight="1">
      <c r="A51" s="543">
        <v>39</v>
      </c>
      <c r="B51" s="544" t="s">
        <v>1314</v>
      </c>
      <c r="C51" s="541" t="str">
        <f>'LAP. PENJUALAN '!C51</f>
        <v>Paket Geprek Bawang 1 (Es Teh / S-tee / Lemon Tea)</v>
      </c>
      <c r="D51" s="542"/>
      <c r="E51" s="542"/>
      <c r="F51" s="542"/>
      <c r="G51" s="542"/>
      <c r="H51" s="542"/>
      <c r="I51" s="542"/>
      <c r="J51" s="542"/>
      <c r="K51" s="542"/>
      <c r="L51" s="542"/>
      <c r="M51" s="542"/>
      <c r="N51" s="554">
        <f t="shared" si="0"/>
        <v>0</v>
      </c>
      <c r="O51" s="554">
        <f t="shared" si="1"/>
        <v>0</v>
      </c>
      <c r="P51" s="555" t="e">
        <f>(O51/O270)*100</f>
        <v>#DIV/0!</v>
      </c>
      <c r="Q51" s="570"/>
      <c r="R51" s="555" t="e">
        <f t="shared" si="2"/>
        <v>#DIV/0!</v>
      </c>
      <c r="S51" s="568">
        <f t="shared" si="3"/>
        <v>0</v>
      </c>
      <c r="T51" s="564"/>
      <c r="U51" s="565"/>
      <c r="V51" s="2560"/>
      <c r="W51" s="571"/>
      <c r="X51" s="566">
        <f t="shared" si="50"/>
        <v>0</v>
      </c>
      <c r="Y51" s="566">
        <f t="shared" si="51"/>
        <v>0</v>
      </c>
      <c r="Z51" s="566">
        <f t="shared" si="52"/>
        <v>0</v>
      </c>
      <c r="AA51" s="566">
        <f t="shared" si="53"/>
        <v>0</v>
      </c>
      <c r="AB51" s="566">
        <f t="shared" si="54"/>
        <v>0</v>
      </c>
      <c r="AC51" s="566">
        <f t="shared" si="55"/>
        <v>0</v>
      </c>
      <c r="AD51" s="566">
        <f t="shared" si="56"/>
        <v>0</v>
      </c>
      <c r="AE51" s="566">
        <f t="shared" si="57"/>
        <v>0</v>
      </c>
      <c r="AF51" s="566">
        <f t="shared" si="58"/>
        <v>0</v>
      </c>
      <c r="AG51" s="566">
        <f t="shared" si="59"/>
        <v>0</v>
      </c>
      <c r="AH51" s="573"/>
    </row>
    <row r="52" spans="1:34" ht="25.15" customHeight="1">
      <c r="A52" s="543">
        <v>40</v>
      </c>
      <c r="B52" s="544" t="s">
        <v>1315</v>
      </c>
      <c r="C52" s="541" t="str">
        <f>'LAP. PENJUALAN '!C52</f>
        <v>Paket Geprek Bawang 2 (Es Teh / S-tee / Lemon Tea)</v>
      </c>
      <c r="D52" s="542"/>
      <c r="E52" s="542"/>
      <c r="F52" s="542"/>
      <c r="G52" s="542"/>
      <c r="H52" s="542"/>
      <c r="I52" s="542"/>
      <c r="J52" s="542"/>
      <c r="K52" s="542"/>
      <c r="L52" s="542"/>
      <c r="M52" s="542"/>
      <c r="N52" s="554">
        <f t="shared" si="0"/>
        <v>0</v>
      </c>
      <c r="O52" s="554">
        <f t="shared" si="1"/>
        <v>0</v>
      </c>
      <c r="P52" s="555" t="e">
        <f>(O52/O270)*100</f>
        <v>#DIV/0!</v>
      </c>
      <c r="Q52" s="570"/>
      <c r="R52" s="555" t="e">
        <f t="shared" si="2"/>
        <v>#DIV/0!</v>
      </c>
      <c r="S52" s="568">
        <f t="shared" si="3"/>
        <v>0</v>
      </c>
      <c r="T52" s="564"/>
      <c r="U52" s="565"/>
      <c r="V52" s="2560"/>
      <c r="W52" s="571"/>
      <c r="X52" s="566">
        <f t="shared" si="50"/>
        <v>0</v>
      </c>
      <c r="Y52" s="566">
        <f t="shared" si="51"/>
        <v>0</v>
      </c>
      <c r="Z52" s="566">
        <f t="shared" si="52"/>
        <v>0</v>
      </c>
      <c r="AA52" s="566">
        <f t="shared" si="53"/>
        <v>0</v>
      </c>
      <c r="AB52" s="566">
        <f t="shared" si="54"/>
        <v>0</v>
      </c>
      <c r="AC52" s="566">
        <f t="shared" si="55"/>
        <v>0</v>
      </c>
      <c r="AD52" s="566">
        <f t="shared" si="56"/>
        <v>0</v>
      </c>
      <c r="AE52" s="566">
        <f t="shared" si="57"/>
        <v>0</v>
      </c>
      <c r="AF52" s="566">
        <f t="shared" si="58"/>
        <v>0</v>
      </c>
      <c r="AG52" s="566">
        <f t="shared" si="59"/>
        <v>0</v>
      </c>
      <c r="AH52" s="573"/>
    </row>
    <row r="53" spans="1:34" ht="25.15" customHeight="1">
      <c r="A53" s="543">
        <v>41</v>
      </c>
      <c r="B53" s="544"/>
      <c r="C53" s="541" t="str">
        <f>'LAP. PENJUALAN '!C53</f>
        <v>Paket Geprek Bawang 3 (Es Teh / S-tee / Lemon Tea)</v>
      </c>
      <c r="D53" s="542"/>
      <c r="E53" s="542"/>
      <c r="F53" s="542"/>
      <c r="G53" s="542"/>
      <c r="H53" s="542"/>
      <c r="I53" s="542"/>
      <c r="J53" s="542"/>
      <c r="K53" s="542"/>
      <c r="L53" s="542"/>
      <c r="M53" s="542"/>
      <c r="N53" s="554">
        <f t="shared" si="0"/>
        <v>0</v>
      </c>
      <c r="O53" s="554">
        <f t="shared" si="1"/>
        <v>0</v>
      </c>
      <c r="P53" s="555" t="e">
        <f>(O53/O270)*100</f>
        <v>#DIV/0!</v>
      </c>
      <c r="Q53" s="570"/>
      <c r="R53" s="555" t="e">
        <f t="shared" si="2"/>
        <v>#DIV/0!</v>
      </c>
      <c r="S53" s="568">
        <f t="shared" si="3"/>
        <v>0</v>
      </c>
      <c r="T53" s="564"/>
      <c r="U53" s="565"/>
      <c r="V53" s="2560"/>
      <c r="W53" s="571"/>
      <c r="X53" s="566">
        <f t="shared" si="50"/>
        <v>0</v>
      </c>
      <c r="Y53" s="566">
        <f t="shared" si="51"/>
        <v>0</v>
      </c>
      <c r="Z53" s="566">
        <f t="shared" si="52"/>
        <v>0</v>
      </c>
      <c r="AA53" s="566">
        <f t="shared" si="53"/>
        <v>0</v>
      </c>
      <c r="AB53" s="566">
        <f t="shared" si="54"/>
        <v>0</v>
      </c>
      <c r="AC53" s="566">
        <f t="shared" si="55"/>
        <v>0</v>
      </c>
      <c r="AD53" s="566">
        <f t="shared" si="56"/>
        <v>0</v>
      </c>
      <c r="AE53" s="566">
        <f t="shared" si="57"/>
        <v>0</v>
      </c>
      <c r="AF53" s="566">
        <f t="shared" si="58"/>
        <v>0</v>
      </c>
      <c r="AG53" s="566">
        <f t="shared" si="59"/>
        <v>0</v>
      </c>
      <c r="AH53" s="573"/>
    </row>
    <row r="54" spans="1:34" ht="25.15" customHeight="1">
      <c r="A54" s="543">
        <v>42</v>
      </c>
      <c r="B54" s="545" t="s">
        <v>1316</v>
      </c>
      <c r="C54" s="541" t="str">
        <f>'LAP. PENJUALAN '!C54</f>
        <v>Sayap Geprek Bawang</v>
      </c>
      <c r="D54" s="542"/>
      <c r="E54" s="542"/>
      <c r="F54" s="542"/>
      <c r="G54" s="542"/>
      <c r="H54" s="542"/>
      <c r="I54" s="542"/>
      <c r="J54" s="542"/>
      <c r="K54" s="542"/>
      <c r="L54" s="542"/>
      <c r="M54" s="542"/>
      <c r="N54" s="554">
        <f t="shared" si="0"/>
        <v>0</v>
      </c>
      <c r="O54" s="554">
        <f t="shared" si="1"/>
        <v>0</v>
      </c>
      <c r="P54" s="555" t="e">
        <f>(O54/O270)*100</f>
        <v>#DIV/0!</v>
      </c>
      <c r="Q54" s="567"/>
      <c r="R54" s="555" t="e">
        <f t="shared" si="2"/>
        <v>#DIV/0!</v>
      </c>
      <c r="S54" s="568">
        <f t="shared" si="3"/>
        <v>0</v>
      </c>
      <c r="T54" s="564"/>
      <c r="U54" s="565"/>
      <c r="V54" s="2560"/>
      <c r="W54" s="571"/>
      <c r="X54" s="566">
        <f t="shared" si="4"/>
        <v>0</v>
      </c>
      <c r="Y54" s="566">
        <f t="shared" si="5"/>
        <v>0</v>
      </c>
      <c r="Z54" s="566">
        <f t="shared" si="6"/>
        <v>0</v>
      </c>
      <c r="AA54" s="566">
        <f t="shared" si="7"/>
        <v>0</v>
      </c>
      <c r="AB54" s="566">
        <f t="shared" si="8"/>
        <v>0</v>
      </c>
      <c r="AC54" s="566">
        <f t="shared" si="9"/>
        <v>0</v>
      </c>
      <c r="AD54" s="566">
        <f t="shared" si="10"/>
        <v>0</v>
      </c>
      <c r="AE54" s="566">
        <f t="shared" si="11"/>
        <v>0</v>
      </c>
      <c r="AF54" s="566">
        <f t="shared" si="12"/>
        <v>0</v>
      </c>
      <c r="AG54" s="566">
        <f t="shared" si="13"/>
        <v>0</v>
      </c>
      <c r="AH54" s="573"/>
    </row>
    <row r="55" spans="1:34" ht="25.15" customHeight="1">
      <c r="A55" s="543">
        <v>43</v>
      </c>
      <c r="B55" s="546" t="s">
        <v>1317</v>
      </c>
      <c r="C55" s="541" t="str">
        <f>'LAP. PENJUALAN '!C55</f>
        <v>Paha Bawah Geprek Bawang</v>
      </c>
      <c r="D55" s="542"/>
      <c r="E55" s="542"/>
      <c r="F55" s="542"/>
      <c r="G55" s="542"/>
      <c r="H55" s="542"/>
      <c r="I55" s="542"/>
      <c r="J55" s="542"/>
      <c r="K55" s="542"/>
      <c r="L55" s="542"/>
      <c r="M55" s="542"/>
      <c r="N55" s="554">
        <f t="shared" si="0"/>
        <v>0</v>
      </c>
      <c r="O55" s="554">
        <f t="shared" si="1"/>
        <v>0</v>
      </c>
      <c r="P55" s="555" t="e">
        <f>(O55/O270)*100</f>
        <v>#DIV/0!</v>
      </c>
      <c r="Q55" s="567"/>
      <c r="R55" s="555" t="e">
        <f t="shared" si="2"/>
        <v>#DIV/0!</v>
      </c>
      <c r="S55" s="568">
        <f t="shared" si="3"/>
        <v>0</v>
      </c>
      <c r="T55" s="564"/>
      <c r="U55" s="565"/>
      <c r="V55" s="2560"/>
      <c r="W55" s="571"/>
      <c r="X55" s="566">
        <f t="shared" si="4"/>
        <v>0</v>
      </c>
      <c r="Y55" s="566">
        <f t="shared" si="5"/>
        <v>0</v>
      </c>
      <c r="Z55" s="566">
        <f t="shared" si="6"/>
        <v>0</v>
      </c>
      <c r="AA55" s="566">
        <f t="shared" si="7"/>
        <v>0</v>
      </c>
      <c r="AB55" s="566">
        <f t="shared" si="8"/>
        <v>0</v>
      </c>
      <c r="AC55" s="566">
        <f t="shared" si="9"/>
        <v>0</v>
      </c>
      <c r="AD55" s="566">
        <f t="shared" si="10"/>
        <v>0</v>
      </c>
      <c r="AE55" s="566">
        <f t="shared" si="11"/>
        <v>0</v>
      </c>
      <c r="AF55" s="566">
        <f t="shared" si="12"/>
        <v>0</v>
      </c>
      <c r="AG55" s="566">
        <f t="shared" si="13"/>
        <v>0</v>
      </c>
      <c r="AH55" s="573"/>
    </row>
    <row r="56" spans="1:34" ht="25.15" customHeight="1">
      <c r="A56" s="543">
        <v>44</v>
      </c>
      <c r="B56" s="546" t="s">
        <v>1318</v>
      </c>
      <c r="C56" s="541" t="str">
        <f>'LAP. PENJUALAN '!C56</f>
        <v>Paha Atas / Dada Geprek Bawang</v>
      </c>
      <c r="D56" s="542"/>
      <c r="E56" s="542"/>
      <c r="F56" s="542"/>
      <c r="G56" s="542"/>
      <c r="H56" s="542"/>
      <c r="I56" s="542"/>
      <c r="J56" s="542"/>
      <c r="K56" s="542"/>
      <c r="L56" s="542"/>
      <c r="M56" s="542"/>
      <c r="N56" s="554">
        <f t="shared" si="0"/>
        <v>0</v>
      </c>
      <c r="O56" s="554">
        <f t="shared" si="1"/>
        <v>0</v>
      </c>
      <c r="P56" s="555" t="e">
        <f>(O56/O270)*100</f>
        <v>#DIV/0!</v>
      </c>
      <c r="Q56" s="567"/>
      <c r="R56" s="555" t="e">
        <f t="shared" si="2"/>
        <v>#DIV/0!</v>
      </c>
      <c r="S56" s="568">
        <f t="shared" si="3"/>
        <v>0</v>
      </c>
      <c r="T56" s="564"/>
      <c r="U56" s="565"/>
      <c r="V56" s="2560"/>
      <c r="W56" s="571"/>
      <c r="X56" s="566">
        <f t="shared" si="4"/>
        <v>0</v>
      </c>
      <c r="Y56" s="566">
        <f t="shared" si="5"/>
        <v>0</v>
      </c>
      <c r="Z56" s="566">
        <f t="shared" si="6"/>
        <v>0</v>
      </c>
      <c r="AA56" s="566">
        <f t="shared" si="7"/>
        <v>0</v>
      </c>
      <c r="AB56" s="566">
        <f t="shared" si="8"/>
        <v>0</v>
      </c>
      <c r="AC56" s="566">
        <f t="shared" si="9"/>
        <v>0</v>
      </c>
      <c r="AD56" s="566">
        <f t="shared" si="10"/>
        <v>0</v>
      </c>
      <c r="AE56" s="566">
        <f t="shared" si="11"/>
        <v>0</v>
      </c>
      <c r="AF56" s="566">
        <f t="shared" si="12"/>
        <v>0</v>
      </c>
      <c r="AG56" s="566">
        <f t="shared" si="13"/>
        <v>0</v>
      </c>
      <c r="AH56" s="573"/>
    </row>
    <row r="57" spans="1:34" ht="25.15" customHeight="1">
      <c r="A57" s="543">
        <v>45</v>
      </c>
      <c r="B57" s="546" t="s">
        <v>1319</v>
      </c>
      <c r="C57" s="541" t="str">
        <f>'LAP. PENJUALAN '!C57</f>
        <v>Sambal Geprek Bawang</v>
      </c>
      <c r="D57" s="542"/>
      <c r="E57" s="542"/>
      <c r="F57" s="542"/>
      <c r="G57" s="542"/>
      <c r="H57" s="542"/>
      <c r="I57" s="542"/>
      <c r="J57" s="542"/>
      <c r="K57" s="542"/>
      <c r="L57" s="542"/>
      <c r="M57" s="542"/>
      <c r="N57" s="554">
        <f t="shared" si="0"/>
        <v>0</v>
      </c>
      <c r="O57" s="554">
        <f t="shared" si="1"/>
        <v>0</v>
      </c>
      <c r="P57" s="555" t="e">
        <f>(O57/O270)*100</f>
        <v>#DIV/0!</v>
      </c>
      <c r="Q57" s="567"/>
      <c r="R57" s="555" t="e">
        <f t="shared" si="2"/>
        <v>#DIV/0!</v>
      </c>
      <c r="S57" s="568">
        <f t="shared" si="3"/>
        <v>0</v>
      </c>
      <c r="T57" s="564"/>
      <c r="U57" s="565"/>
      <c r="V57" s="2560"/>
      <c r="W57" s="571"/>
      <c r="X57" s="566">
        <f t="shared" si="4"/>
        <v>0</v>
      </c>
      <c r="Y57" s="566">
        <f t="shared" si="5"/>
        <v>0</v>
      </c>
      <c r="Z57" s="566">
        <f t="shared" si="6"/>
        <v>0</v>
      </c>
      <c r="AA57" s="566">
        <f t="shared" si="7"/>
        <v>0</v>
      </c>
      <c r="AB57" s="566">
        <f t="shared" si="8"/>
        <v>0</v>
      </c>
      <c r="AC57" s="566">
        <f t="shared" si="9"/>
        <v>0</v>
      </c>
      <c r="AD57" s="566">
        <f t="shared" si="10"/>
        <v>0</v>
      </c>
      <c r="AE57" s="566">
        <f t="shared" si="11"/>
        <v>0</v>
      </c>
      <c r="AF57" s="566">
        <f t="shared" si="12"/>
        <v>0</v>
      </c>
      <c r="AG57" s="566">
        <f t="shared" si="13"/>
        <v>0</v>
      </c>
      <c r="AH57" s="573"/>
    </row>
    <row r="58" spans="1:34" ht="25.15" customHeight="1">
      <c r="A58" s="543"/>
      <c r="B58" s="546" t="s">
        <v>1320</v>
      </c>
      <c r="C58" s="541"/>
      <c r="D58" s="542"/>
      <c r="E58" s="542"/>
      <c r="F58" s="542"/>
      <c r="G58" s="542"/>
      <c r="H58" s="542"/>
      <c r="I58" s="542"/>
      <c r="J58" s="542"/>
      <c r="K58" s="542"/>
      <c r="L58" s="542"/>
      <c r="M58" s="542"/>
      <c r="N58" s="554">
        <f t="shared" si="0"/>
        <v>0</v>
      </c>
      <c r="O58" s="554">
        <f t="shared" si="1"/>
        <v>0</v>
      </c>
      <c r="P58" s="555" t="e">
        <f>(O58/O270)*100</f>
        <v>#DIV/0!</v>
      </c>
      <c r="Q58" s="567"/>
      <c r="R58" s="555" t="e">
        <f t="shared" si="2"/>
        <v>#DIV/0!</v>
      </c>
      <c r="S58" s="568">
        <f t="shared" si="3"/>
        <v>0</v>
      </c>
      <c r="T58" s="564"/>
      <c r="U58" s="565"/>
      <c r="V58" s="2560"/>
      <c r="W58" s="571"/>
      <c r="X58" s="566">
        <f t="shared" si="4"/>
        <v>0</v>
      </c>
      <c r="Y58" s="566">
        <f t="shared" si="5"/>
        <v>0</v>
      </c>
      <c r="Z58" s="566">
        <f t="shared" si="6"/>
        <v>0</v>
      </c>
      <c r="AA58" s="566">
        <f t="shared" si="7"/>
        <v>0</v>
      </c>
      <c r="AB58" s="566">
        <f t="shared" si="8"/>
        <v>0</v>
      </c>
      <c r="AC58" s="566">
        <f t="shared" si="9"/>
        <v>0</v>
      </c>
      <c r="AD58" s="566">
        <f t="shared" si="10"/>
        <v>0</v>
      </c>
      <c r="AE58" s="566">
        <f t="shared" si="11"/>
        <v>0</v>
      </c>
      <c r="AF58" s="566">
        <f t="shared" si="12"/>
        <v>0</v>
      </c>
      <c r="AG58" s="566">
        <f t="shared" si="13"/>
        <v>0</v>
      </c>
      <c r="AH58" s="573"/>
    </row>
    <row r="59" spans="1:34" ht="25.15" customHeight="1">
      <c r="A59" s="543">
        <v>46</v>
      </c>
      <c r="B59" s="546"/>
      <c r="C59" s="541" t="str">
        <f>'LAP. PENJUALAN '!C59</f>
        <v>Paket Matah 1 (Es Teh / S-tee / Lemon Tea)</v>
      </c>
      <c r="D59" s="542"/>
      <c r="E59" s="542"/>
      <c r="F59" s="542"/>
      <c r="G59" s="542"/>
      <c r="H59" s="542"/>
      <c r="I59" s="542"/>
      <c r="J59" s="542"/>
      <c r="K59" s="542"/>
      <c r="L59" s="542"/>
      <c r="M59" s="542"/>
      <c r="N59" s="554">
        <f t="shared" si="0"/>
        <v>0</v>
      </c>
      <c r="O59" s="554">
        <f t="shared" si="1"/>
        <v>0</v>
      </c>
      <c r="P59" s="555" t="e">
        <f>(O59/O270)*100</f>
        <v>#DIV/0!</v>
      </c>
      <c r="Q59" s="570"/>
      <c r="R59" s="555" t="e">
        <f t="shared" si="2"/>
        <v>#DIV/0!</v>
      </c>
      <c r="S59" s="568">
        <f t="shared" si="3"/>
        <v>0</v>
      </c>
      <c r="T59" s="564"/>
      <c r="U59" s="565"/>
      <c r="V59" s="2560"/>
      <c r="W59" s="571"/>
      <c r="X59" s="566">
        <f t="shared" si="4"/>
        <v>0</v>
      </c>
      <c r="Y59" s="566">
        <f t="shared" si="5"/>
        <v>0</v>
      </c>
      <c r="Z59" s="566">
        <f t="shared" si="6"/>
        <v>0</v>
      </c>
      <c r="AA59" s="566">
        <f t="shared" si="7"/>
        <v>0</v>
      </c>
      <c r="AB59" s="566">
        <f t="shared" si="8"/>
        <v>0</v>
      </c>
      <c r="AC59" s="566">
        <f t="shared" si="9"/>
        <v>0</v>
      </c>
      <c r="AD59" s="566">
        <f t="shared" si="10"/>
        <v>0</v>
      </c>
      <c r="AE59" s="566">
        <f t="shared" si="11"/>
        <v>0</v>
      </c>
      <c r="AF59" s="566">
        <f t="shared" si="12"/>
        <v>0</v>
      </c>
      <c r="AG59" s="566">
        <f t="shared" si="13"/>
        <v>0</v>
      </c>
      <c r="AH59" s="573"/>
    </row>
    <row r="60" spans="1:34" ht="25.15" customHeight="1">
      <c r="A60" s="543">
        <v>47</v>
      </c>
      <c r="B60" s="546" t="s">
        <v>1621</v>
      </c>
      <c r="C60" s="541" t="str">
        <f>'LAP. PENJUALAN '!C60</f>
        <v>Paket Matah 2 (Es Teh / S-tee / Lemon Tea)</v>
      </c>
      <c r="D60" s="542"/>
      <c r="E60" s="542"/>
      <c r="F60" s="542"/>
      <c r="G60" s="542"/>
      <c r="H60" s="542"/>
      <c r="I60" s="542"/>
      <c r="J60" s="542"/>
      <c r="K60" s="542"/>
      <c r="L60" s="542"/>
      <c r="M60" s="542"/>
      <c r="N60" s="554">
        <f t="shared" ref="N60:N62" si="60">SUM(D60:M60)</f>
        <v>0</v>
      </c>
      <c r="O60" s="554">
        <f t="shared" ref="O60:O62" si="61">N60*S60</f>
        <v>0</v>
      </c>
      <c r="P60" s="555" t="e">
        <f>(O60/O270)*100</f>
        <v>#DIV/0!</v>
      </c>
      <c r="Q60" s="570"/>
      <c r="R60" s="555" t="e">
        <f t="shared" ref="R60:R62" si="62">P60*Q60</f>
        <v>#DIV/0!</v>
      </c>
      <c r="S60" s="568">
        <f t="shared" ref="S60:S62" si="63">T60+(T60*10%)</f>
        <v>0</v>
      </c>
      <c r="T60" s="564"/>
      <c r="U60" s="565"/>
      <c r="V60" s="2560"/>
      <c r="W60" s="571"/>
      <c r="X60" s="566">
        <f t="shared" ref="X60:X62" si="64">D60*S60</f>
        <v>0</v>
      </c>
      <c r="Y60" s="566">
        <f t="shared" ref="Y60:Y62" si="65">E60*S60</f>
        <v>0</v>
      </c>
      <c r="Z60" s="566">
        <f t="shared" ref="Z60:Z62" si="66">F60*S60</f>
        <v>0</v>
      </c>
      <c r="AA60" s="566">
        <f t="shared" ref="AA60:AA62" si="67">G60*S60</f>
        <v>0</v>
      </c>
      <c r="AB60" s="566">
        <f t="shared" ref="AB60:AB62" si="68">H60*S60</f>
        <v>0</v>
      </c>
      <c r="AC60" s="566">
        <f t="shared" ref="AC60:AC62" si="69">I60*S60</f>
        <v>0</v>
      </c>
      <c r="AD60" s="566">
        <f t="shared" ref="AD60:AD62" si="70">J60*S60</f>
        <v>0</v>
      </c>
      <c r="AE60" s="566">
        <f t="shared" ref="AE60:AE62" si="71">K60*S60</f>
        <v>0</v>
      </c>
      <c r="AF60" s="566">
        <f t="shared" ref="AF60:AF62" si="72">L60*S60</f>
        <v>0</v>
      </c>
      <c r="AG60" s="566">
        <f t="shared" ref="AG60:AG62" si="73">M60*S60</f>
        <v>0</v>
      </c>
      <c r="AH60" s="573"/>
    </row>
    <row r="61" spans="1:34" ht="25.15" customHeight="1">
      <c r="A61" s="543">
        <v>48</v>
      </c>
      <c r="B61" s="546" t="s">
        <v>1622</v>
      </c>
      <c r="C61" s="541" t="str">
        <f>'LAP. PENJUALAN '!C61</f>
        <v>Paket Matah 3 (Es Teh / S-tee / Lemon Tea)</v>
      </c>
      <c r="D61" s="542"/>
      <c r="E61" s="542"/>
      <c r="F61" s="542"/>
      <c r="G61" s="542"/>
      <c r="H61" s="542"/>
      <c r="I61" s="542"/>
      <c r="J61" s="542"/>
      <c r="K61" s="542"/>
      <c r="L61" s="542"/>
      <c r="M61" s="542"/>
      <c r="N61" s="554">
        <f t="shared" si="60"/>
        <v>0</v>
      </c>
      <c r="O61" s="554">
        <f t="shared" si="61"/>
        <v>0</v>
      </c>
      <c r="P61" s="555" t="e">
        <f>(O61/O270)*100</f>
        <v>#DIV/0!</v>
      </c>
      <c r="Q61" s="570"/>
      <c r="R61" s="555" t="e">
        <f t="shared" si="62"/>
        <v>#DIV/0!</v>
      </c>
      <c r="S61" s="568">
        <f t="shared" si="63"/>
        <v>0</v>
      </c>
      <c r="T61" s="564"/>
      <c r="U61" s="565"/>
      <c r="V61" s="2560"/>
      <c r="W61" s="571"/>
      <c r="X61" s="566">
        <f t="shared" si="64"/>
        <v>0</v>
      </c>
      <c r="Y61" s="566">
        <f t="shared" si="65"/>
        <v>0</v>
      </c>
      <c r="Z61" s="566">
        <f t="shared" si="66"/>
        <v>0</v>
      </c>
      <c r="AA61" s="566">
        <f t="shared" si="67"/>
        <v>0</v>
      </c>
      <c r="AB61" s="566">
        <f t="shared" si="68"/>
        <v>0</v>
      </c>
      <c r="AC61" s="566">
        <f t="shared" si="69"/>
        <v>0</v>
      </c>
      <c r="AD61" s="566">
        <f t="shared" si="70"/>
        <v>0</v>
      </c>
      <c r="AE61" s="566">
        <f t="shared" si="71"/>
        <v>0</v>
      </c>
      <c r="AF61" s="566">
        <f t="shared" si="72"/>
        <v>0</v>
      </c>
      <c r="AG61" s="566">
        <f t="shared" si="73"/>
        <v>0</v>
      </c>
      <c r="AH61" s="573"/>
    </row>
    <row r="62" spans="1:34" ht="25.15" customHeight="1">
      <c r="A62" s="543">
        <v>49</v>
      </c>
      <c r="B62" s="546" t="s">
        <v>1623</v>
      </c>
      <c r="C62" s="541" t="str">
        <f>'LAP. PENJUALAN '!C62</f>
        <v>Sayap Matah</v>
      </c>
      <c r="D62" s="542"/>
      <c r="E62" s="542"/>
      <c r="F62" s="542"/>
      <c r="G62" s="542"/>
      <c r="H62" s="542"/>
      <c r="I62" s="542"/>
      <c r="J62" s="542"/>
      <c r="K62" s="542"/>
      <c r="L62" s="542"/>
      <c r="M62" s="542"/>
      <c r="N62" s="554">
        <f t="shared" si="60"/>
        <v>0</v>
      </c>
      <c r="O62" s="554">
        <f t="shared" si="61"/>
        <v>0</v>
      </c>
      <c r="P62" s="555" t="e">
        <f>(O62/O270)*100</f>
        <v>#DIV/0!</v>
      </c>
      <c r="Q62" s="570"/>
      <c r="R62" s="555" t="e">
        <f t="shared" si="62"/>
        <v>#DIV/0!</v>
      </c>
      <c r="S62" s="568">
        <f t="shared" si="63"/>
        <v>0</v>
      </c>
      <c r="T62" s="564"/>
      <c r="U62" s="565"/>
      <c r="V62" s="2560"/>
      <c r="W62" s="571"/>
      <c r="X62" s="566">
        <f t="shared" si="64"/>
        <v>0</v>
      </c>
      <c r="Y62" s="566">
        <f t="shared" si="65"/>
        <v>0</v>
      </c>
      <c r="Z62" s="566">
        <f t="shared" si="66"/>
        <v>0</v>
      </c>
      <c r="AA62" s="566">
        <f t="shared" si="67"/>
        <v>0</v>
      </c>
      <c r="AB62" s="566">
        <f t="shared" si="68"/>
        <v>0</v>
      </c>
      <c r="AC62" s="566">
        <f t="shared" si="69"/>
        <v>0</v>
      </c>
      <c r="AD62" s="566">
        <f t="shared" si="70"/>
        <v>0</v>
      </c>
      <c r="AE62" s="566">
        <f t="shared" si="71"/>
        <v>0</v>
      </c>
      <c r="AF62" s="566">
        <f t="shared" si="72"/>
        <v>0</v>
      </c>
      <c r="AG62" s="566">
        <f t="shared" si="73"/>
        <v>0</v>
      </c>
      <c r="AH62" s="573"/>
    </row>
    <row r="63" spans="1:34" ht="25.15" customHeight="1">
      <c r="A63" s="543">
        <v>50</v>
      </c>
      <c r="B63" s="546" t="s">
        <v>1700</v>
      </c>
      <c r="C63" s="541" t="str">
        <f>'LAP. PENJUALAN '!C63</f>
        <v>Paha Bawah Matah</v>
      </c>
      <c r="D63" s="542"/>
      <c r="E63" s="542"/>
      <c r="F63" s="542"/>
      <c r="G63" s="542"/>
      <c r="H63" s="542"/>
      <c r="I63" s="542"/>
      <c r="J63" s="542"/>
      <c r="K63" s="542"/>
      <c r="L63" s="542"/>
      <c r="M63" s="542"/>
      <c r="N63" s="554">
        <f t="shared" si="0"/>
        <v>0</v>
      </c>
      <c r="O63" s="554">
        <f t="shared" si="1"/>
        <v>0</v>
      </c>
      <c r="P63" s="555" t="e">
        <f>(O63/O270)*100</f>
        <v>#DIV/0!</v>
      </c>
      <c r="Q63" s="570"/>
      <c r="R63" s="555" t="e">
        <f t="shared" si="2"/>
        <v>#DIV/0!</v>
      </c>
      <c r="S63" s="568">
        <f t="shared" si="3"/>
        <v>0</v>
      </c>
      <c r="T63" s="564"/>
      <c r="U63" s="565"/>
      <c r="V63" s="2560"/>
      <c r="W63" s="571"/>
      <c r="X63" s="566">
        <f t="shared" si="4"/>
        <v>0</v>
      </c>
      <c r="Y63" s="566">
        <f t="shared" si="5"/>
        <v>0</v>
      </c>
      <c r="Z63" s="566">
        <f t="shared" si="6"/>
        <v>0</v>
      </c>
      <c r="AA63" s="566">
        <f t="shared" si="7"/>
        <v>0</v>
      </c>
      <c r="AB63" s="566">
        <f t="shared" si="8"/>
        <v>0</v>
      </c>
      <c r="AC63" s="566">
        <f t="shared" si="9"/>
        <v>0</v>
      </c>
      <c r="AD63" s="566">
        <f t="shared" si="10"/>
        <v>0</v>
      </c>
      <c r="AE63" s="566">
        <f t="shared" si="11"/>
        <v>0</v>
      </c>
      <c r="AF63" s="566">
        <f t="shared" si="12"/>
        <v>0</v>
      </c>
      <c r="AG63" s="566">
        <f t="shared" si="13"/>
        <v>0</v>
      </c>
      <c r="AH63" s="573"/>
    </row>
    <row r="64" spans="1:34" ht="25.15" customHeight="1">
      <c r="A64" s="543">
        <v>51</v>
      </c>
      <c r="B64" s="546" t="s">
        <v>1625</v>
      </c>
      <c r="C64" s="541" t="str">
        <f>'LAP. PENJUALAN '!C64</f>
        <v>Paha Atas / Dada  Matah</v>
      </c>
      <c r="D64" s="542"/>
      <c r="E64" s="542"/>
      <c r="F64" s="542"/>
      <c r="G64" s="542"/>
      <c r="H64" s="542"/>
      <c r="I64" s="542"/>
      <c r="J64" s="542"/>
      <c r="K64" s="542"/>
      <c r="L64" s="542"/>
      <c r="M64" s="542"/>
      <c r="N64" s="554">
        <f t="shared" si="0"/>
        <v>0</v>
      </c>
      <c r="O64" s="554">
        <f t="shared" si="1"/>
        <v>0</v>
      </c>
      <c r="P64" s="555" t="e">
        <f>(O64/O270)*100</f>
        <v>#DIV/0!</v>
      </c>
      <c r="Q64" s="570"/>
      <c r="R64" s="555" t="e">
        <f t="shared" si="2"/>
        <v>#DIV/0!</v>
      </c>
      <c r="S64" s="568">
        <f t="shared" si="3"/>
        <v>0</v>
      </c>
      <c r="T64" s="564"/>
      <c r="U64" s="565"/>
      <c r="V64" s="2560"/>
      <c r="W64" s="571"/>
      <c r="X64" s="566">
        <f t="shared" si="4"/>
        <v>0</v>
      </c>
      <c r="Y64" s="566">
        <f t="shared" si="5"/>
        <v>0</v>
      </c>
      <c r="Z64" s="566">
        <f t="shared" si="6"/>
        <v>0</v>
      </c>
      <c r="AA64" s="566">
        <f t="shared" si="7"/>
        <v>0</v>
      </c>
      <c r="AB64" s="566">
        <f t="shared" si="8"/>
        <v>0</v>
      </c>
      <c r="AC64" s="566">
        <f t="shared" si="9"/>
        <v>0</v>
      </c>
      <c r="AD64" s="566">
        <f t="shared" si="10"/>
        <v>0</v>
      </c>
      <c r="AE64" s="566">
        <f t="shared" si="11"/>
        <v>0</v>
      </c>
      <c r="AF64" s="566">
        <f t="shared" si="12"/>
        <v>0</v>
      </c>
      <c r="AG64" s="566">
        <f t="shared" si="13"/>
        <v>0</v>
      </c>
      <c r="AH64" s="573"/>
    </row>
    <row r="65" spans="1:34" ht="25.15" customHeight="1">
      <c r="A65" s="543">
        <v>52</v>
      </c>
      <c r="B65" s="546" t="s">
        <v>1626</v>
      </c>
      <c r="C65" s="541" t="str">
        <f>'LAP. PENJUALAN '!C65</f>
        <v>Sambal Matah</v>
      </c>
      <c r="D65" s="542"/>
      <c r="E65" s="542"/>
      <c r="F65" s="542"/>
      <c r="G65" s="542"/>
      <c r="H65" s="542"/>
      <c r="I65" s="542"/>
      <c r="J65" s="542"/>
      <c r="K65" s="542"/>
      <c r="L65" s="542"/>
      <c r="M65" s="542"/>
      <c r="N65" s="554">
        <f t="shared" si="0"/>
        <v>0</v>
      </c>
      <c r="O65" s="554">
        <f t="shared" si="1"/>
        <v>0</v>
      </c>
      <c r="P65" s="555" t="e">
        <f>(O65/O270)*100</f>
        <v>#DIV/0!</v>
      </c>
      <c r="Q65" s="570"/>
      <c r="R65" s="555" t="e">
        <f t="shared" si="2"/>
        <v>#DIV/0!</v>
      </c>
      <c r="S65" s="568">
        <f t="shared" si="3"/>
        <v>0</v>
      </c>
      <c r="T65" s="564"/>
      <c r="U65" s="565"/>
      <c r="V65" s="2560"/>
      <c r="W65" s="571"/>
      <c r="X65" s="566">
        <f t="shared" si="4"/>
        <v>0</v>
      </c>
      <c r="Y65" s="566">
        <f t="shared" si="5"/>
        <v>0</v>
      </c>
      <c r="Z65" s="566">
        <f t="shared" si="6"/>
        <v>0</v>
      </c>
      <c r="AA65" s="566">
        <f t="shared" si="7"/>
        <v>0</v>
      </c>
      <c r="AB65" s="566">
        <f t="shared" si="8"/>
        <v>0</v>
      </c>
      <c r="AC65" s="566">
        <f t="shared" si="9"/>
        <v>0</v>
      </c>
      <c r="AD65" s="566">
        <f t="shared" si="10"/>
        <v>0</v>
      </c>
      <c r="AE65" s="566">
        <f t="shared" si="11"/>
        <v>0</v>
      </c>
      <c r="AF65" s="566">
        <f t="shared" si="12"/>
        <v>0</v>
      </c>
      <c r="AG65" s="566">
        <f t="shared" si="13"/>
        <v>0</v>
      </c>
      <c r="AH65" s="573"/>
    </row>
    <row r="66" spans="1:34" ht="25.15" customHeight="1">
      <c r="A66" s="543"/>
      <c r="B66" s="546" t="s">
        <v>1537</v>
      </c>
      <c r="C66" s="541"/>
      <c r="D66" s="542"/>
      <c r="E66" s="542"/>
      <c r="F66" s="542"/>
      <c r="G66" s="542"/>
      <c r="H66" s="542"/>
      <c r="I66" s="542"/>
      <c r="J66" s="542"/>
      <c r="K66" s="542"/>
      <c r="L66" s="542"/>
      <c r="M66" s="542"/>
      <c r="N66" s="554">
        <f t="shared" si="0"/>
        <v>0</v>
      </c>
      <c r="O66" s="554">
        <f t="shared" si="1"/>
        <v>0</v>
      </c>
      <c r="P66" s="555" t="e">
        <f>(O66/O270)*100</f>
        <v>#DIV/0!</v>
      </c>
      <c r="Q66" s="570"/>
      <c r="R66" s="555" t="e">
        <f t="shared" si="2"/>
        <v>#DIV/0!</v>
      </c>
      <c r="S66" s="568">
        <f t="shared" si="3"/>
        <v>0</v>
      </c>
      <c r="T66" s="564"/>
      <c r="U66" s="565"/>
      <c r="V66" s="2560"/>
      <c r="W66" s="571"/>
      <c r="X66" s="566">
        <f t="shared" si="4"/>
        <v>0</v>
      </c>
      <c r="Y66" s="566">
        <f t="shared" si="5"/>
        <v>0</v>
      </c>
      <c r="Z66" s="566">
        <f t="shared" si="6"/>
        <v>0</v>
      </c>
      <c r="AA66" s="566">
        <f t="shared" si="7"/>
        <v>0</v>
      </c>
      <c r="AB66" s="566">
        <f t="shared" si="8"/>
        <v>0</v>
      </c>
      <c r="AC66" s="566">
        <f t="shared" si="9"/>
        <v>0</v>
      </c>
      <c r="AD66" s="566">
        <f t="shared" si="10"/>
        <v>0</v>
      </c>
      <c r="AE66" s="566">
        <f t="shared" si="11"/>
        <v>0</v>
      </c>
      <c r="AF66" s="566">
        <f t="shared" si="12"/>
        <v>0</v>
      </c>
      <c r="AG66" s="566">
        <f t="shared" si="13"/>
        <v>0</v>
      </c>
      <c r="AH66" s="573"/>
    </row>
    <row r="67" spans="1:34" ht="25.15" customHeight="1">
      <c r="A67" s="543">
        <v>53</v>
      </c>
      <c r="B67" s="546" t="s">
        <v>1538</v>
      </c>
      <c r="C67" s="541" t="str">
        <f>'LAP. PENJUALAN '!C67</f>
        <v>Paket Terasi 1 (Es Teh / S-tee / Lemon Tea)</v>
      </c>
      <c r="D67" s="542"/>
      <c r="E67" s="542"/>
      <c r="F67" s="542"/>
      <c r="G67" s="542"/>
      <c r="H67" s="542"/>
      <c r="I67" s="542"/>
      <c r="J67" s="542"/>
      <c r="K67" s="542"/>
      <c r="L67" s="542"/>
      <c r="M67" s="542"/>
      <c r="N67" s="554">
        <f t="shared" si="0"/>
        <v>0</v>
      </c>
      <c r="O67" s="554">
        <f t="shared" si="1"/>
        <v>0</v>
      </c>
      <c r="P67" s="555" t="e">
        <f>(O67/O270)*100</f>
        <v>#DIV/0!</v>
      </c>
      <c r="Q67" s="570"/>
      <c r="R67" s="555" t="e">
        <f t="shared" si="2"/>
        <v>#DIV/0!</v>
      </c>
      <c r="S67" s="568">
        <f t="shared" si="3"/>
        <v>0</v>
      </c>
      <c r="T67" s="564"/>
      <c r="U67" s="565"/>
      <c r="V67" s="2560"/>
      <c r="W67" s="571"/>
      <c r="X67" s="566">
        <f t="shared" si="4"/>
        <v>0</v>
      </c>
      <c r="Y67" s="566">
        <f t="shared" si="5"/>
        <v>0</v>
      </c>
      <c r="Z67" s="566">
        <f t="shared" si="6"/>
        <v>0</v>
      </c>
      <c r="AA67" s="566">
        <f t="shared" si="7"/>
        <v>0</v>
      </c>
      <c r="AB67" s="566">
        <f t="shared" si="8"/>
        <v>0</v>
      </c>
      <c r="AC67" s="566">
        <f t="shared" si="9"/>
        <v>0</v>
      </c>
      <c r="AD67" s="566">
        <f t="shared" si="10"/>
        <v>0</v>
      </c>
      <c r="AE67" s="566">
        <f t="shared" si="11"/>
        <v>0</v>
      </c>
      <c r="AF67" s="566">
        <f t="shared" si="12"/>
        <v>0</v>
      </c>
      <c r="AG67" s="566">
        <f t="shared" si="13"/>
        <v>0</v>
      </c>
      <c r="AH67" s="573"/>
    </row>
    <row r="68" spans="1:34" ht="25.15" customHeight="1">
      <c r="A68" s="543">
        <v>54</v>
      </c>
      <c r="B68" s="546" t="s">
        <v>1539</v>
      </c>
      <c r="C68" s="541" t="str">
        <f>'LAP. PENJUALAN '!C68</f>
        <v>Paket Terasi 2 (Es Teh / S-tee / Lemon Tea)</v>
      </c>
      <c r="D68" s="542"/>
      <c r="E68" s="542"/>
      <c r="F68" s="542"/>
      <c r="G68" s="542"/>
      <c r="H68" s="542"/>
      <c r="I68" s="542"/>
      <c r="J68" s="542"/>
      <c r="K68" s="542"/>
      <c r="L68" s="542"/>
      <c r="M68" s="542"/>
      <c r="N68" s="554">
        <f t="shared" si="0"/>
        <v>0</v>
      </c>
      <c r="O68" s="554">
        <f t="shared" si="1"/>
        <v>0</v>
      </c>
      <c r="P68" s="555" t="e">
        <f>(O68/O270)*100</f>
        <v>#DIV/0!</v>
      </c>
      <c r="Q68" s="570"/>
      <c r="R68" s="555" t="e">
        <f t="shared" si="2"/>
        <v>#DIV/0!</v>
      </c>
      <c r="S68" s="568">
        <f t="shared" si="3"/>
        <v>0</v>
      </c>
      <c r="T68" s="564"/>
      <c r="U68" s="565"/>
      <c r="V68" s="2560"/>
      <c r="W68" s="571"/>
      <c r="X68" s="566">
        <f t="shared" si="4"/>
        <v>0</v>
      </c>
      <c r="Y68" s="566">
        <f t="shared" si="5"/>
        <v>0</v>
      </c>
      <c r="Z68" s="566">
        <f t="shared" si="6"/>
        <v>0</v>
      </c>
      <c r="AA68" s="566">
        <f t="shared" si="7"/>
        <v>0</v>
      </c>
      <c r="AB68" s="566">
        <f t="shared" si="8"/>
        <v>0</v>
      </c>
      <c r="AC68" s="566">
        <f t="shared" si="9"/>
        <v>0</v>
      </c>
      <c r="AD68" s="566">
        <f t="shared" si="10"/>
        <v>0</v>
      </c>
      <c r="AE68" s="566">
        <f t="shared" si="11"/>
        <v>0</v>
      </c>
      <c r="AF68" s="566">
        <f t="shared" si="12"/>
        <v>0</v>
      </c>
      <c r="AG68" s="566">
        <f t="shared" si="13"/>
        <v>0</v>
      </c>
      <c r="AH68" s="573"/>
    </row>
    <row r="69" spans="1:34" ht="25.15" customHeight="1">
      <c r="A69" s="543">
        <v>55</v>
      </c>
      <c r="B69" s="546" t="s">
        <v>1540</v>
      </c>
      <c r="C69" s="541" t="str">
        <f>'LAP. PENJUALAN '!C69</f>
        <v>Paket Terasi 3 (Es Teh / S-tee / Lemon Tea)</v>
      </c>
      <c r="D69" s="542"/>
      <c r="E69" s="542"/>
      <c r="F69" s="542"/>
      <c r="G69" s="542"/>
      <c r="H69" s="542"/>
      <c r="I69" s="542"/>
      <c r="J69" s="542"/>
      <c r="K69" s="542"/>
      <c r="L69" s="542"/>
      <c r="M69" s="542"/>
      <c r="N69" s="554">
        <f t="shared" si="0"/>
        <v>0</v>
      </c>
      <c r="O69" s="554">
        <f t="shared" si="1"/>
        <v>0</v>
      </c>
      <c r="P69" s="555" t="e">
        <f>(O69/O270)*100</f>
        <v>#DIV/0!</v>
      </c>
      <c r="Q69" s="567"/>
      <c r="R69" s="555" t="e">
        <f t="shared" si="2"/>
        <v>#DIV/0!</v>
      </c>
      <c r="S69" s="568">
        <f t="shared" si="3"/>
        <v>0</v>
      </c>
      <c r="T69" s="564"/>
      <c r="U69" s="565"/>
      <c r="V69" s="2560"/>
      <c r="W69" s="571"/>
      <c r="X69" s="566">
        <f t="shared" si="4"/>
        <v>0</v>
      </c>
      <c r="Y69" s="566">
        <f t="shared" si="5"/>
        <v>0</v>
      </c>
      <c r="Z69" s="566">
        <f t="shared" si="6"/>
        <v>0</v>
      </c>
      <c r="AA69" s="566">
        <f t="shared" si="7"/>
        <v>0</v>
      </c>
      <c r="AB69" s="566">
        <f t="shared" si="8"/>
        <v>0</v>
      </c>
      <c r="AC69" s="566">
        <f t="shared" si="9"/>
        <v>0</v>
      </c>
      <c r="AD69" s="566">
        <f t="shared" si="10"/>
        <v>0</v>
      </c>
      <c r="AE69" s="566">
        <f t="shared" si="11"/>
        <v>0</v>
      </c>
      <c r="AF69" s="566">
        <f t="shared" si="12"/>
        <v>0</v>
      </c>
      <c r="AG69" s="566">
        <f t="shared" si="13"/>
        <v>0</v>
      </c>
      <c r="AH69" s="573"/>
    </row>
    <row r="70" spans="1:34" ht="25.15" customHeight="1">
      <c r="A70" s="543">
        <v>56</v>
      </c>
      <c r="B70" s="546"/>
      <c r="C70" s="541" t="str">
        <f>'LAP. PENJUALAN '!C70</f>
        <v>Sayap Terasi</v>
      </c>
      <c r="D70" s="542"/>
      <c r="E70" s="542"/>
      <c r="F70" s="542"/>
      <c r="G70" s="542"/>
      <c r="H70" s="542"/>
      <c r="I70" s="542"/>
      <c r="J70" s="542"/>
      <c r="K70" s="542"/>
      <c r="L70" s="542"/>
      <c r="M70" s="542"/>
      <c r="N70" s="554">
        <f t="shared" si="0"/>
        <v>0</v>
      </c>
      <c r="O70" s="554">
        <f t="shared" si="1"/>
        <v>0</v>
      </c>
      <c r="P70" s="555" t="e">
        <f>(O70/O270)*100</f>
        <v>#DIV/0!</v>
      </c>
      <c r="Q70" s="567"/>
      <c r="R70" s="555" t="e">
        <f t="shared" si="2"/>
        <v>#DIV/0!</v>
      </c>
      <c r="S70" s="568">
        <f t="shared" si="3"/>
        <v>0</v>
      </c>
      <c r="T70" s="564"/>
      <c r="U70" s="565"/>
      <c r="V70" s="2560"/>
      <c r="W70" s="571"/>
      <c r="X70" s="566">
        <f t="shared" si="4"/>
        <v>0</v>
      </c>
      <c r="Y70" s="566">
        <f t="shared" si="5"/>
        <v>0</v>
      </c>
      <c r="Z70" s="566">
        <f t="shared" si="6"/>
        <v>0</v>
      </c>
      <c r="AA70" s="566">
        <f t="shared" si="7"/>
        <v>0</v>
      </c>
      <c r="AB70" s="566">
        <f t="shared" si="8"/>
        <v>0</v>
      </c>
      <c r="AC70" s="566">
        <f t="shared" si="9"/>
        <v>0</v>
      </c>
      <c r="AD70" s="566">
        <f t="shared" si="10"/>
        <v>0</v>
      </c>
      <c r="AE70" s="566">
        <f t="shared" si="11"/>
        <v>0</v>
      </c>
      <c r="AF70" s="566">
        <f t="shared" si="12"/>
        <v>0</v>
      </c>
      <c r="AG70" s="566">
        <f t="shared" si="13"/>
        <v>0</v>
      </c>
      <c r="AH70" s="573"/>
    </row>
    <row r="71" spans="1:34" ht="25.15" customHeight="1">
      <c r="A71" s="543">
        <v>57</v>
      </c>
      <c r="B71" s="546" t="s">
        <v>1627</v>
      </c>
      <c r="C71" s="541" t="str">
        <f>'LAP. PENJUALAN '!C71</f>
        <v>Paha Bawah Terasi</v>
      </c>
      <c r="D71" s="542"/>
      <c r="E71" s="542"/>
      <c r="F71" s="542"/>
      <c r="G71" s="542"/>
      <c r="H71" s="542"/>
      <c r="I71" s="542"/>
      <c r="J71" s="542"/>
      <c r="K71" s="542"/>
      <c r="L71" s="542"/>
      <c r="M71" s="542"/>
      <c r="N71" s="554">
        <f t="shared" ref="N71:N73" si="74">SUM(D71:M71)</f>
        <v>0</v>
      </c>
      <c r="O71" s="554">
        <f t="shared" ref="O71:O73" si="75">N71*S71</f>
        <v>0</v>
      </c>
      <c r="P71" s="555" t="e">
        <f>(O71/O270)*100</f>
        <v>#DIV/0!</v>
      </c>
      <c r="Q71" s="567"/>
      <c r="R71" s="555" t="e">
        <f t="shared" ref="R71:R73" si="76">P71*Q71</f>
        <v>#DIV/0!</v>
      </c>
      <c r="S71" s="568">
        <f t="shared" ref="S71:S73" si="77">T71+(T71*10%)</f>
        <v>0</v>
      </c>
      <c r="T71" s="564"/>
      <c r="U71" s="565"/>
      <c r="V71" s="2560"/>
      <c r="W71" s="571"/>
      <c r="X71" s="566">
        <f t="shared" ref="X71:X73" si="78">D71*S71</f>
        <v>0</v>
      </c>
      <c r="Y71" s="566">
        <f t="shared" ref="Y71:Y73" si="79">E71*S71</f>
        <v>0</v>
      </c>
      <c r="Z71" s="566">
        <f t="shared" ref="Z71:Z73" si="80">F71*S71</f>
        <v>0</v>
      </c>
      <c r="AA71" s="566">
        <f t="shared" ref="AA71:AA73" si="81">G71*S71</f>
        <v>0</v>
      </c>
      <c r="AB71" s="566">
        <f t="shared" ref="AB71:AB73" si="82">H71*S71</f>
        <v>0</v>
      </c>
      <c r="AC71" s="566">
        <f t="shared" ref="AC71:AC73" si="83">I71*S71</f>
        <v>0</v>
      </c>
      <c r="AD71" s="566">
        <f t="shared" ref="AD71:AD73" si="84">J71*S71</f>
        <v>0</v>
      </c>
      <c r="AE71" s="566">
        <f t="shared" ref="AE71:AE73" si="85">K71*S71</f>
        <v>0</v>
      </c>
      <c r="AF71" s="566">
        <f t="shared" ref="AF71:AF73" si="86">L71*S71</f>
        <v>0</v>
      </c>
      <c r="AG71" s="566">
        <f t="shared" ref="AG71:AG73" si="87">M71*S71</f>
        <v>0</v>
      </c>
      <c r="AH71" s="573"/>
    </row>
    <row r="72" spans="1:34" ht="25.15" customHeight="1">
      <c r="A72" s="543">
        <v>58</v>
      </c>
      <c r="B72" s="546" t="s">
        <v>1628</v>
      </c>
      <c r="C72" s="541" t="str">
        <f>'LAP. PENJUALAN '!C72</f>
        <v>Paha Atas / Dada Terasi</v>
      </c>
      <c r="D72" s="542"/>
      <c r="E72" s="542"/>
      <c r="F72" s="542"/>
      <c r="G72" s="542"/>
      <c r="H72" s="542"/>
      <c r="I72" s="542"/>
      <c r="J72" s="542"/>
      <c r="K72" s="542"/>
      <c r="L72" s="542"/>
      <c r="M72" s="542"/>
      <c r="N72" s="554">
        <f t="shared" si="74"/>
        <v>0</v>
      </c>
      <c r="O72" s="554">
        <f t="shared" si="75"/>
        <v>0</v>
      </c>
      <c r="P72" s="555" t="e">
        <f>(O72/O270)*100</f>
        <v>#DIV/0!</v>
      </c>
      <c r="Q72" s="567"/>
      <c r="R72" s="555" t="e">
        <f t="shared" si="76"/>
        <v>#DIV/0!</v>
      </c>
      <c r="S72" s="568">
        <f t="shared" si="77"/>
        <v>0</v>
      </c>
      <c r="T72" s="564"/>
      <c r="U72" s="565"/>
      <c r="V72" s="2560"/>
      <c r="W72" s="571"/>
      <c r="X72" s="566">
        <f t="shared" si="78"/>
        <v>0</v>
      </c>
      <c r="Y72" s="566">
        <f t="shared" si="79"/>
        <v>0</v>
      </c>
      <c r="Z72" s="566">
        <f t="shared" si="80"/>
        <v>0</v>
      </c>
      <c r="AA72" s="566">
        <f t="shared" si="81"/>
        <v>0</v>
      </c>
      <c r="AB72" s="566">
        <f t="shared" si="82"/>
        <v>0</v>
      </c>
      <c r="AC72" s="566">
        <f t="shared" si="83"/>
        <v>0</v>
      </c>
      <c r="AD72" s="566">
        <f t="shared" si="84"/>
        <v>0</v>
      </c>
      <c r="AE72" s="566">
        <f t="shared" si="85"/>
        <v>0</v>
      </c>
      <c r="AF72" s="566">
        <f t="shared" si="86"/>
        <v>0</v>
      </c>
      <c r="AG72" s="566">
        <f t="shared" si="87"/>
        <v>0</v>
      </c>
      <c r="AH72" s="573"/>
    </row>
    <row r="73" spans="1:34" ht="25.15" customHeight="1">
      <c r="A73" s="543">
        <v>59</v>
      </c>
      <c r="B73" s="546" t="s">
        <v>1629</v>
      </c>
      <c r="C73" s="541" t="str">
        <f>'LAP. PENJUALAN '!C73</f>
        <v>Sambal  Terasi</v>
      </c>
      <c r="D73" s="542"/>
      <c r="E73" s="542"/>
      <c r="F73" s="542"/>
      <c r="G73" s="542"/>
      <c r="H73" s="542"/>
      <c r="I73" s="542"/>
      <c r="J73" s="542"/>
      <c r="K73" s="542"/>
      <c r="L73" s="542"/>
      <c r="M73" s="542"/>
      <c r="N73" s="554">
        <f t="shared" si="74"/>
        <v>0</v>
      </c>
      <c r="O73" s="554">
        <f t="shared" si="75"/>
        <v>0</v>
      </c>
      <c r="P73" s="555" t="e">
        <f>(O73/O270)*100</f>
        <v>#DIV/0!</v>
      </c>
      <c r="Q73" s="567"/>
      <c r="R73" s="555" t="e">
        <f t="shared" si="76"/>
        <v>#DIV/0!</v>
      </c>
      <c r="S73" s="568">
        <f t="shared" si="77"/>
        <v>0</v>
      </c>
      <c r="T73" s="564"/>
      <c r="U73" s="565"/>
      <c r="V73" s="2560"/>
      <c r="W73" s="571"/>
      <c r="X73" s="566">
        <f t="shared" si="78"/>
        <v>0</v>
      </c>
      <c r="Y73" s="566">
        <f t="shared" si="79"/>
        <v>0</v>
      </c>
      <c r="Z73" s="566">
        <f t="shared" si="80"/>
        <v>0</v>
      </c>
      <c r="AA73" s="566">
        <f t="shared" si="81"/>
        <v>0</v>
      </c>
      <c r="AB73" s="566">
        <f t="shared" si="82"/>
        <v>0</v>
      </c>
      <c r="AC73" s="566">
        <f t="shared" si="83"/>
        <v>0</v>
      </c>
      <c r="AD73" s="566">
        <f t="shared" si="84"/>
        <v>0</v>
      </c>
      <c r="AE73" s="566">
        <f t="shared" si="85"/>
        <v>0</v>
      </c>
      <c r="AF73" s="566">
        <f t="shared" si="86"/>
        <v>0</v>
      </c>
      <c r="AG73" s="566">
        <f t="shared" si="87"/>
        <v>0</v>
      </c>
      <c r="AH73" s="573"/>
    </row>
    <row r="74" spans="1:34" ht="25.15" customHeight="1">
      <c r="A74" s="543"/>
      <c r="B74" s="546" t="s">
        <v>1630</v>
      </c>
      <c r="C74" s="541"/>
      <c r="D74" s="542"/>
      <c r="E74" s="542"/>
      <c r="F74" s="542"/>
      <c r="G74" s="542"/>
      <c r="H74" s="542"/>
      <c r="I74" s="542"/>
      <c r="J74" s="542"/>
      <c r="K74" s="542"/>
      <c r="L74" s="542"/>
      <c r="M74" s="542"/>
      <c r="N74" s="554">
        <f t="shared" si="0"/>
        <v>0</v>
      </c>
      <c r="O74" s="554">
        <f t="shared" si="1"/>
        <v>0</v>
      </c>
      <c r="P74" s="555" t="e">
        <f>(O74/O270)*100</f>
        <v>#DIV/0!</v>
      </c>
      <c r="Q74" s="567"/>
      <c r="R74" s="555" t="e">
        <f t="shared" si="2"/>
        <v>#DIV/0!</v>
      </c>
      <c r="S74" s="568">
        <f t="shared" si="3"/>
        <v>0</v>
      </c>
      <c r="T74" s="564"/>
      <c r="U74" s="565"/>
      <c r="V74" s="2560"/>
      <c r="W74" s="571"/>
      <c r="X74" s="566">
        <f t="shared" si="4"/>
        <v>0</v>
      </c>
      <c r="Y74" s="566">
        <f t="shared" si="5"/>
        <v>0</v>
      </c>
      <c r="Z74" s="566">
        <f t="shared" si="6"/>
        <v>0</v>
      </c>
      <c r="AA74" s="566">
        <f t="shared" si="7"/>
        <v>0</v>
      </c>
      <c r="AB74" s="566">
        <f t="shared" si="8"/>
        <v>0</v>
      </c>
      <c r="AC74" s="566">
        <f t="shared" si="9"/>
        <v>0</v>
      </c>
      <c r="AD74" s="566">
        <f t="shared" si="10"/>
        <v>0</v>
      </c>
      <c r="AE74" s="566">
        <f t="shared" si="11"/>
        <v>0</v>
      </c>
      <c r="AF74" s="566">
        <f t="shared" si="12"/>
        <v>0</v>
      </c>
      <c r="AG74" s="566">
        <f t="shared" si="13"/>
        <v>0</v>
      </c>
      <c r="AH74" s="573"/>
    </row>
    <row r="75" spans="1:34" ht="25.15" customHeight="1">
      <c r="A75" s="543">
        <v>60</v>
      </c>
      <c r="B75" s="546" t="s">
        <v>1631</v>
      </c>
      <c r="C75" s="541" t="str">
        <f>'LAP. PENJUALAN '!C75</f>
        <v>Paket 1 Hot Cheesy (Es Teh / S-tee / Lemon Tea)</v>
      </c>
      <c r="D75" s="542"/>
      <c r="E75" s="542"/>
      <c r="F75" s="542"/>
      <c r="G75" s="542"/>
      <c r="H75" s="542"/>
      <c r="I75" s="542"/>
      <c r="J75" s="542"/>
      <c r="K75" s="542"/>
      <c r="L75" s="542"/>
      <c r="M75" s="542"/>
      <c r="N75" s="554">
        <f t="shared" si="0"/>
        <v>0</v>
      </c>
      <c r="O75" s="554">
        <f t="shared" si="1"/>
        <v>0</v>
      </c>
      <c r="P75" s="555" t="e">
        <f>(O75/O270)*100</f>
        <v>#DIV/0!</v>
      </c>
      <c r="Q75" s="567"/>
      <c r="R75" s="555" t="e">
        <f t="shared" si="2"/>
        <v>#DIV/0!</v>
      </c>
      <c r="S75" s="568">
        <f t="shared" si="3"/>
        <v>0</v>
      </c>
      <c r="T75" s="564"/>
      <c r="U75" s="565"/>
      <c r="V75" s="2560"/>
      <c r="W75" s="571"/>
      <c r="X75" s="566">
        <f t="shared" si="4"/>
        <v>0</v>
      </c>
      <c r="Y75" s="566">
        <f t="shared" si="5"/>
        <v>0</v>
      </c>
      <c r="Z75" s="566">
        <f t="shared" si="6"/>
        <v>0</v>
      </c>
      <c r="AA75" s="566">
        <f t="shared" si="7"/>
        <v>0</v>
      </c>
      <c r="AB75" s="566">
        <f t="shared" si="8"/>
        <v>0</v>
      </c>
      <c r="AC75" s="566">
        <f t="shared" si="9"/>
        <v>0</v>
      </c>
      <c r="AD75" s="566">
        <f t="shared" si="10"/>
        <v>0</v>
      </c>
      <c r="AE75" s="566">
        <f t="shared" si="11"/>
        <v>0</v>
      </c>
      <c r="AF75" s="566">
        <f t="shared" si="12"/>
        <v>0</v>
      </c>
      <c r="AG75" s="566">
        <f t="shared" si="13"/>
        <v>0</v>
      </c>
      <c r="AH75" s="573"/>
    </row>
    <row r="76" spans="1:34" ht="25.15" customHeight="1">
      <c r="A76" s="543">
        <v>61</v>
      </c>
      <c r="B76" s="546" t="s">
        <v>1632</v>
      </c>
      <c r="C76" s="541" t="str">
        <f>'LAP. PENJUALAN '!C76</f>
        <v>Paket 2 Hot Cheesy (Es Teh / S-tee / Lemon Tea)</v>
      </c>
      <c r="D76" s="542"/>
      <c r="E76" s="542"/>
      <c r="F76" s="542"/>
      <c r="G76" s="542"/>
      <c r="H76" s="542"/>
      <c r="I76" s="542"/>
      <c r="J76" s="542"/>
      <c r="K76" s="542"/>
      <c r="L76" s="542"/>
      <c r="M76" s="542"/>
      <c r="N76" s="554">
        <f t="shared" si="0"/>
        <v>0</v>
      </c>
      <c r="O76" s="554">
        <f t="shared" si="1"/>
        <v>0</v>
      </c>
      <c r="P76" s="555" t="e">
        <f>(O76/O270)*100</f>
        <v>#DIV/0!</v>
      </c>
      <c r="Q76" s="567"/>
      <c r="R76" s="555" t="e">
        <f t="shared" si="2"/>
        <v>#DIV/0!</v>
      </c>
      <c r="S76" s="568">
        <f t="shared" si="3"/>
        <v>0</v>
      </c>
      <c r="T76" s="564"/>
      <c r="U76" s="565"/>
      <c r="V76" s="2560"/>
      <c r="W76" s="571"/>
      <c r="X76" s="566">
        <f t="shared" si="4"/>
        <v>0</v>
      </c>
      <c r="Y76" s="566">
        <f t="shared" si="5"/>
        <v>0</v>
      </c>
      <c r="Z76" s="566">
        <f t="shared" si="6"/>
        <v>0</v>
      </c>
      <c r="AA76" s="566">
        <f t="shared" si="7"/>
        <v>0</v>
      </c>
      <c r="AB76" s="566">
        <f t="shared" si="8"/>
        <v>0</v>
      </c>
      <c r="AC76" s="566">
        <f t="shared" si="9"/>
        <v>0</v>
      </c>
      <c r="AD76" s="566">
        <f t="shared" si="10"/>
        <v>0</v>
      </c>
      <c r="AE76" s="566">
        <f t="shared" si="11"/>
        <v>0</v>
      </c>
      <c r="AF76" s="566">
        <f t="shared" si="12"/>
        <v>0</v>
      </c>
      <c r="AG76" s="566">
        <f t="shared" si="13"/>
        <v>0</v>
      </c>
      <c r="AH76" s="573"/>
    </row>
    <row r="77" spans="1:34" ht="25.15" customHeight="1">
      <c r="A77" s="543">
        <v>62</v>
      </c>
      <c r="B77" s="546" t="s">
        <v>1544</v>
      </c>
      <c r="C77" s="541" t="str">
        <f>'LAP. PENJUALAN '!C77</f>
        <v>Paket 3 Hot Cheesy (Es Teh / S-tee / Lemon Tea)</v>
      </c>
      <c r="D77" s="542"/>
      <c r="E77" s="542"/>
      <c r="F77" s="542"/>
      <c r="G77" s="542"/>
      <c r="H77" s="542"/>
      <c r="I77" s="542"/>
      <c r="J77" s="542"/>
      <c r="K77" s="542"/>
      <c r="L77" s="542"/>
      <c r="M77" s="542"/>
      <c r="N77" s="554">
        <f t="shared" si="0"/>
        <v>0</v>
      </c>
      <c r="O77" s="554">
        <f t="shared" si="1"/>
        <v>0</v>
      </c>
      <c r="P77" s="555" t="e">
        <f>(O77/O270)*100</f>
        <v>#DIV/0!</v>
      </c>
      <c r="Q77" s="567"/>
      <c r="R77" s="555" t="e">
        <f t="shared" si="2"/>
        <v>#DIV/0!</v>
      </c>
      <c r="S77" s="568">
        <f t="shared" si="3"/>
        <v>0</v>
      </c>
      <c r="T77" s="564"/>
      <c r="U77" s="565"/>
      <c r="V77" s="2560"/>
      <c r="W77" s="571"/>
      <c r="X77" s="566">
        <f t="shared" si="4"/>
        <v>0</v>
      </c>
      <c r="Y77" s="566">
        <f t="shared" si="5"/>
        <v>0</v>
      </c>
      <c r="Z77" s="566">
        <f t="shared" si="6"/>
        <v>0</v>
      </c>
      <c r="AA77" s="566">
        <f t="shared" si="7"/>
        <v>0</v>
      </c>
      <c r="AB77" s="566">
        <f t="shared" si="8"/>
        <v>0</v>
      </c>
      <c r="AC77" s="566">
        <f t="shared" si="9"/>
        <v>0</v>
      </c>
      <c r="AD77" s="566">
        <f t="shared" si="10"/>
        <v>0</v>
      </c>
      <c r="AE77" s="566">
        <f t="shared" si="11"/>
        <v>0</v>
      </c>
      <c r="AF77" s="566">
        <f t="shared" si="12"/>
        <v>0</v>
      </c>
      <c r="AG77" s="566">
        <f t="shared" si="13"/>
        <v>0</v>
      </c>
      <c r="AH77" s="573"/>
    </row>
    <row r="78" spans="1:34" ht="25.15" customHeight="1">
      <c r="A78" s="543">
        <v>63</v>
      </c>
      <c r="B78" s="546" t="s">
        <v>1545</v>
      </c>
      <c r="C78" s="541" t="str">
        <f>'LAP. PENJUALAN '!C78</f>
        <v>Sayap Hot Cheesy</v>
      </c>
      <c r="D78" s="542"/>
      <c r="E78" s="542"/>
      <c r="F78" s="542"/>
      <c r="G78" s="542"/>
      <c r="H78" s="542"/>
      <c r="I78" s="542"/>
      <c r="J78" s="542"/>
      <c r="K78" s="542"/>
      <c r="L78" s="542"/>
      <c r="M78" s="542"/>
      <c r="N78" s="554">
        <f t="shared" si="0"/>
        <v>0</v>
      </c>
      <c r="O78" s="554">
        <f t="shared" si="1"/>
        <v>0</v>
      </c>
      <c r="P78" s="555" t="e">
        <f>(O78/O270)*100</f>
        <v>#DIV/0!</v>
      </c>
      <c r="Q78" s="567"/>
      <c r="R78" s="555" t="e">
        <f t="shared" si="2"/>
        <v>#DIV/0!</v>
      </c>
      <c r="S78" s="568">
        <f t="shared" si="3"/>
        <v>0</v>
      </c>
      <c r="T78" s="564"/>
      <c r="U78" s="565"/>
      <c r="V78" s="2560"/>
      <c r="W78" s="571"/>
      <c r="X78" s="566">
        <f t="shared" si="4"/>
        <v>0</v>
      </c>
      <c r="Y78" s="566">
        <f t="shared" si="5"/>
        <v>0</v>
      </c>
      <c r="Z78" s="566">
        <f t="shared" si="6"/>
        <v>0</v>
      </c>
      <c r="AA78" s="566">
        <f t="shared" si="7"/>
        <v>0</v>
      </c>
      <c r="AB78" s="566">
        <f t="shared" si="8"/>
        <v>0</v>
      </c>
      <c r="AC78" s="566">
        <f t="shared" si="9"/>
        <v>0</v>
      </c>
      <c r="AD78" s="566">
        <f t="shared" si="10"/>
        <v>0</v>
      </c>
      <c r="AE78" s="566">
        <f t="shared" si="11"/>
        <v>0</v>
      </c>
      <c r="AF78" s="566">
        <f t="shared" si="12"/>
        <v>0</v>
      </c>
      <c r="AG78" s="566">
        <f t="shared" si="13"/>
        <v>0</v>
      </c>
      <c r="AH78" s="573"/>
    </row>
    <row r="79" spans="1:34" ht="25.15" customHeight="1">
      <c r="A79" s="543">
        <v>64</v>
      </c>
      <c r="B79" s="546" t="s">
        <v>1546</v>
      </c>
      <c r="C79" s="541" t="str">
        <f>'LAP. PENJUALAN '!C79</f>
        <v>Paha Bawah Hot Cheesy</v>
      </c>
      <c r="D79" s="542"/>
      <c r="E79" s="542"/>
      <c r="F79" s="542"/>
      <c r="G79" s="542"/>
      <c r="H79" s="542"/>
      <c r="I79" s="542"/>
      <c r="J79" s="542"/>
      <c r="K79" s="542"/>
      <c r="L79" s="542"/>
      <c r="M79" s="542"/>
      <c r="N79" s="554">
        <f t="shared" si="0"/>
        <v>0</v>
      </c>
      <c r="O79" s="554">
        <f t="shared" si="1"/>
        <v>0</v>
      </c>
      <c r="P79" s="555" t="e">
        <f>(O79/O270)*100</f>
        <v>#DIV/0!</v>
      </c>
      <c r="Q79" s="567"/>
      <c r="R79" s="555" t="e">
        <f t="shared" si="2"/>
        <v>#DIV/0!</v>
      </c>
      <c r="S79" s="568">
        <f t="shared" si="3"/>
        <v>0</v>
      </c>
      <c r="T79" s="564"/>
      <c r="U79" s="565"/>
      <c r="V79" s="2560"/>
      <c r="W79" s="571"/>
      <c r="X79" s="566">
        <f t="shared" si="4"/>
        <v>0</v>
      </c>
      <c r="Y79" s="566">
        <f t="shared" si="5"/>
        <v>0</v>
      </c>
      <c r="Z79" s="566">
        <f t="shared" si="6"/>
        <v>0</v>
      </c>
      <c r="AA79" s="566">
        <f t="shared" si="7"/>
        <v>0</v>
      </c>
      <c r="AB79" s="566">
        <f t="shared" si="8"/>
        <v>0</v>
      </c>
      <c r="AC79" s="566">
        <f t="shared" si="9"/>
        <v>0</v>
      </c>
      <c r="AD79" s="566">
        <f t="shared" si="10"/>
        <v>0</v>
      </c>
      <c r="AE79" s="566">
        <f t="shared" si="11"/>
        <v>0</v>
      </c>
      <c r="AF79" s="566">
        <f t="shared" si="12"/>
        <v>0</v>
      </c>
      <c r="AG79" s="566">
        <f t="shared" si="13"/>
        <v>0</v>
      </c>
      <c r="AH79" s="573"/>
    </row>
    <row r="80" spans="1:34" ht="25.15" customHeight="1">
      <c r="A80" s="543">
        <v>65</v>
      </c>
      <c r="B80" s="546" t="s">
        <v>1547</v>
      </c>
      <c r="C80" s="541" t="str">
        <f>'LAP. PENJUALAN '!C80</f>
        <v>Paha Atas / Dada Hot Cheesy</v>
      </c>
      <c r="D80" s="542"/>
      <c r="E80" s="542"/>
      <c r="F80" s="542"/>
      <c r="G80" s="542"/>
      <c r="H80" s="542"/>
      <c r="I80" s="542"/>
      <c r="J80" s="542"/>
      <c r="K80" s="542"/>
      <c r="L80" s="542"/>
      <c r="M80" s="542"/>
      <c r="N80" s="554">
        <f t="shared" si="0"/>
        <v>0</v>
      </c>
      <c r="O80" s="554">
        <f t="shared" si="1"/>
        <v>0</v>
      </c>
      <c r="P80" s="555" t="e">
        <f>(O80/O270)*100</f>
        <v>#DIV/0!</v>
      </c>
      <c r="Q80" s="567"/>
      <c r="R80" s="555" t="e">
        <f t="shared" si="2"/>
        <v>#DIV/0!</v>
      </c>
      <c r="S80" s="568">
        <f t="shared" si="3"/>
        <v>0</v>
      </c>
      <c r="T80" s="564"/>
      <c r="U80" s="565"/>
      <c r="V80" s="2560"/>
      <c r="W80" s="571"/>
      <c r="X80" s="566">
        <f t="shared" si="4"/>
        <v>0</v>
      </c>
      <c r="Y80" s="566">
        <f t="shared" si="5"/>
        <v>0</v>
      </c>
      <c r="Z80" s="566">
        <f t="shared" si="6"/>
        <v>0</v>
      </c>
      <c r="AA80" s="566">
        <f t="shared" si="7"/>
        <v>0</v>
      </c>
      <c r="AB80" s="566">
        <f t="shared" si="8"/>
        <v>0</v>
      </c>
      <c r="AC80" s="566">
        <f t="shared" si="9"/>
        <v>0</v>
      </c>
      <c r="AD80" s="566">
        <f t="shared" si="10"/>
        <v>0</v>
      </c>
      <c r="AE80" s="566">
        <f t="shared" si="11"/>
        <v>0</v>
      </c>
      <c r="AF80" s="566">
        <f t="shared" si="12"/>
        <v>0</v>
      </c>
      <c r="AG80" s="566">
        <f t="shared" si="13"/>
        <v>0</v>
      </c>
      <c r="AH80" s="573"/>
    </row>
    <row r="81" spans="1:36" ht="25.15" customHeight="1">
      <c r="A81" s="543">
        <v>66</v>
      </c>
      <c r="B81" s="546"/>
      <c r="C81" s="541" t="str">
        <f>'LAP. PENJUALAN '!C81</f>
        <v>Saos  Hot Cheesy</v>
      </c>
      <c r="D81" s="542"/>
      <c r="E81" s="542"/>
      <c r="F81" s="542"/>
      <c r="G81" s="542"/>
      <c r="H81" s="542"/>
      <c r="I81" s="542"/>
      <c r="J81" s="542"/>
      <c r="K81" s="542"/>
      <c r="L81" s="542"/>
      <c r="M81" s="542"/>
      <c r="N81" s="554">
        <f t="shared" si="0"/>
        <v>0</v>
      </c>
      <c r="O81" s="554">
        <f t="shared" si="1"/>
        <v>0</v>
      </c>
      <c r="P81" s="555" t="e">
        <f>(O81/O270)*100</f>
        <v>#DIV/0!</v>
      </c>
      <c r="Q81" s="567"/>
      <c r="R81" s="555" t="e">
        <f t="shared" si="2"/>
        <v>#DIV/0!</v>
      </c>
      <c r="S81" s="568">
        <f t="shared" si="3"/>
        <v>0</v>
      </c>
      <c r="T81" s="564"/>
      <c r="U81" s="565"/>
      <c r="V81" s="2560"/>
      <c r="W81" s="571"/>
      <c r="X81" s="566">
        <f t="shared" si="4"/>
        <v>0</v>
      </c>
      <c r="Y81" s="566">
        <f t="shared" si="5"/>
        <v>0</v>
      </c>
      <c r="Z81" s="566">
        <f t="shared" si="6"/>
        <v>0</v>
      </c>
      <c r="AA81" s="566">
        <f t="shared" si="7"/>
        <v>0</v>
      </c>
      <c r="AB81" s="566">
        <f t="shared" si="8"/>
        <v>0</v>
      </c>
      <c r="AC81" s="566">
        <f t="shared" si="9"/>
        <v>0</v>
      </c>
      <c r="AD81" s="566">
        <f t="shared" si="10"/>
        <v>0</v>
      </c>
      <c r="AE81" s="566">
        <f t="shared" si="11"/>
        <v>0</v>
      </c>
      <c r="AF81" s="566">
        <f t="shared" si="12"/>
        <v>0</v>
      </c>
      <c r="AG81" s="566">
        <f t="shared" si="13"/>
        <v>0</v>
      </c>
      <c r="AH81" s="573"/>
    </row>
    <row r="82" spans="1:36" ht="25.15" customHeight="1">
      <c r="A82" s="543"/>
      <c r="B82" s="546" t="s">
        <v>1633</v>
      </c>
      <c r="C82" s="541"/>
      <c r="D82" s="542"/>
      <c r="E82" s="542"/>
      <c r="F82" s="542"/>
      <c r="G82" s="542"/>
      <c r="H82" s="542"/>
      <c r="I82" s="542"/>
      <c r="J82" s="542"/>
      <c r="K82" s="542"/>
      <c r="L82" s="542"/>
      <c r="M82" s="542"/>
      <c r="N82" s="554">
        <f t="shared" ref="N82:N84" si="88">SUM(D82:M82)</f>
        <v>0</v>
      </c>
      <c r="O82" s="554">
        <f t="shared" ref="O82:O84" si="89">N82*S82</f>
        <v>0</v>
      </c>
      <c r="P82" s="555" t="e">
        <f>(O82/O270)*100</f>
        <v>#DIV/0!</v>
      </c>
      <c r="Q82" s="567"/>
      <c r="R82" s="555" t="e">
        <f t="shared" ref="R82:R84" si="90">P82*Q82</f>
        <v>#DIV/0!</v>
      </c>
      <c r="S82" s="568">
        <f t="shared" ref="S82:S84" si="91">T82+(T82*10%)</f>
        <v>0</v>
      </c>
      <c r="T82" s="564"/>
      <c r="U82" s="565"/>
      <c r="V82" s="2560"/>
      <c r="W82" s="571"/>
      <c r="X82" s="566">
        <f t="shared" ref="X82:X84" si="92">D82*S82</f>
        <v>0</v>
      </c>
      <c r="Y82" s="566">
        <f t="shared" ref="Y82:Y84" si="93">E82*S82</f>
        <v>0</v>
      </c>
      <c r="Z82" s="566">
        <f t="shared" ref="Z82:Z84" si="94">F82*S82</f>
        <v>0</v>
      </c>
      <c r="AA82" s="566">
        <f t="shared" ref="AA82:AA84" si="95">G82*S82</f>
        <v>0</v>
      </c>
      <c r="AB82" s="566">
        <f t="shared" ref="AB82:AB84" si="96">H82*S82</f>
        <v>0</v>
      </c>
      <c r="AC82" s="566">
        <f t="shared" ref="AC82:AC84" si="97">I82*S82</f>
        <v>0</v>
      </c>
      <c r="AD82" s="566">
        <f t="shared" ref="AD82:AD84" si="98">J82*S82</f>
        <v>0</v>
      </c>
      <c r="AE82" s="566">
        <f t="shared" ref="AE82:AE84" si="99">K82*S82</f>
        <v>0</v>
      </c>
      <c r="AF82" s="566">
        <f t="shared" ref="AF82:AF84" si="100">L82*S82</f>
        <v>0</v>
      </c>
      <c r="AG82" s="566">
        <f t="shared" ref="AG82:AG84" si="101">M82*S82</f>
        <v>0</v>
      </c>
      <c r="AH82" s="573"/>
    </row>
    <row r="83" spans="1:36" ht="25.15" customHeight="1">
      <c r="A83" s="543">
        <v>67</v>
      </c>
      <c r="B83" s="546" t="s">
        <v>1701</v>
      </c>
      <c r="C83" s="541" t="str">
        <f>'LAP. PENJUALAN '!C83</f>
        <v>Paket Sehat 1</v>
      </c>
      <c r="D83" s="542"/>
      <c r="E83" s="542"/>
      <c r="F83" s="542"/>
      <c r="G83" s="542"/>
      <c r="H83" s="542"/>
      <c r="I83" s="542"/>
      <c r="J83" s="542"/>
      <c r="K83" s="542"/>
      <c r="L83" s="542"/>
      <c r="M83" s="542"/>
      <c r="N83" s="554">
        <f t="shared" si="88"/>
        <v>0</v>
      </c>
      <c r="O83" s="554">
        <f t="shared" si="89"/>
        <v>0</v>
      </c>
      <c r="P83" s="555" t="e">
        <f>(O83/O270)*100</f>
        <v>#DIV/0!</v>
      </c>
      <c r="Q83" s="567"/>
      <c r="R83" s="555" t="e">
        <f t="shared" si="90"/>
        <v>#DIV/0!</v>
      </c>
      <c r="S83" s="568">
        <f t="shared" si="91"/>
        <v>0</v>
      </c>
      <c r="T83" s="564"/>
      <c r="U83" s="565"/>
      <c r="V83" s="2560"/>
      <c r="W83" s="571"/>
      <c r="X83" s="566">
        <f t="shared" si="92"/>
        <v>0</v>
      </c>
      <c r="Y83" s="566">
        <f t="shared" si="93"/>
        <v>0</v>
      </c>
      <c r="Z83" s="566">
        <f t="shared" si="94"/>
        <v>0</v>
      </c>
      <c r="AA83" s="566">
        <f t="shared" si="95"/>
        <v>0</v>
      </c>
      <c r="AB83" s="566">
        <f t="shared" si="96"/>
        <v>0</v>
      </c>
      <c r="AC83" s="566">
        <f t="shared" si="97"/>
        <v>0</v>
      </c>
      <c r="AD83" s="566">
        <f t="shared" si="98"/>
        <v>0</v>
      </c>
      <c r="AE83" s="566">
        <f t="shared" si="99"/>
        <v>0</v>
      </c>
      <c r="AF83" s="566">
        <f t="shared" si="100"/>
        <v>0</v>
      </c>
      <c r="AG83" s="566">
        <f t="shared" si="101"/>
        <v>0</v>
      </c>
      <c r="AH83" s="573"/>
    </row>
    <row r="84" spans="1:36" ht="25.15" customHeight="1">
      <c r="A84" s="543">
        <v>68</v>
      </c>
      <c r="B84" s="546" t="s">
        <v>1635</v>
      </c>
      <c r="C84" s="541" t="str">
        <f>'LAP. PENJUALAN '!C84</f>
        <v>Paket Sehat 2</v>
      </c>
      <c r="D84" s="542"/>
      <c r="E84" s="542"/>
      <c r="F84" s="542"/>
      <c r="G84" s="542"/>
      <c r="H84" s="542"/>
      <c r="I84" s="542"/>
      <c r="J84" s="542"/>
      <c r="K84" s="542"/>
      <c r="L84" s="542"/>
      <c r="M84" s="542"/>
      <c r="N84" s="554">
        <f t="shared" si="88"/>
        <v>0</v>
      </c>
      <c r="O84" s="554">
        <f t="shared" si="89"/>
        <v>0</v>
      </c>
      <c r="P84" s="555" t="e">
        <f>(O84/O270)*100</f>
        <v>#DIV/0!</v>
      </c>
      <c r="Q84" s="567"/>
      <c r="R84" s="555" t="e">
        <f t="shared" si="90"/>
        <v>#DIV/0!</v>
      </c>
      <c r="S84" s="568">
        <f t="shared" si="91"/>
        <v>0</v>
      </c>
      <c r="T84" s="564"/>
      <c r="U84" s="565"/>
      <c r="V84" s="2560"/>
      <c r="W84" s="571"/>
      <c r="X84" s="566">
        <f t="shared" si="92"/>
        <v>0</v>
      </c>
      <c r="Y84" s="566">
        <f t="shared" si="93"/>
        <v>0</v>
      </c>
      <c r="Z84" s="566">
        <f t="shared" si="94"/>
        <v>0</v>
      </c>
      <c r="AA84" s="566">
        <f t="shared" si="95"/>
        <v>0</v>
      </c>
      <c r="AB84" s="566">
        <f t="shared" si="96"/>
        <v>0</v>
      </c>
      <c r="AC84" s="566">
        <f t="shared" si="97"/>
        <v>0</v>
      </c>
      <c r="AD84" s="566">
        <f t="shared" si="98"/>
        <v>0</v>
      </c>
      <c r="AE84" s="566">
        <f t="shared" si="99"/>
        <v>0</v>
      </c>
      <c r="AF84" s="566">
        <f t="shared" si="100"/>
        <v>0</v>
      </c>
      <c r="AG84" s="566">
        <f t="shared" si="101"/>
        <v>0</v>
      </c>
      <c r="AH84" s="573"/>
    </row>
    <row r="85" spans="1:36" ht="25.15" customHeight="1">
      <c r="A85" s="543">
        <v>69</v>
      </c>
      <c r="B85" s="546" t="s">
        <v>1636</v>
      </c>
      <c r="C85" s="541" t="str">
        <f>'LAP. PENJUALAN '!C85</f>
        <v>Paket Sehat 3</v>
      </c>
      <c r="D85" s="542"/>
      <c r="E85" s="542"/>
      <c r="F85" s="542"/>
      <c r="G85" s="542"/>
      <c r="H85" s="542"/>
      <c r="I85" s="542"/>
      <c r="J85" s="542"/>
      <c r="K85" s="542"/>
      <c r="L85" s="542"/>
      <c r="M85" s="542"/>
      <c r="N85" s="554">
        <f t="shared" si="0"/>
        <v>0</v>
      </c>
      <c r="O85" s="554">
        <f t="shared" si="1"/>
        <v>0</v>
      </c>
      <c r="P85" s="555" t="e">
        <f>(O85/O270)*100</f>
        <v>#DIV/0!</v>
      </c>
      <c r="Q85" s="567"/>
      <c r="R85" s="555" t="e">
        <f t="shared" si="2"/>
        <v>#DIV/0!</v>
      </c>
      <c r="S85" s="568">
        <f t="shared" si="3"/>
        <v>0</v>
      </c>
      <c r="T85" s="564"/>
      <c r="U85" s="565"/>
      <c r="V85" s="2560"/>
      <c r="W85" s="571"/>
      <c r="X85" s="566">
        <f t="shared" si="4"/>
        <v>0</v>
      </c>
      <c r="Y85" s="566">
        <f t="shared" si="5"/>
        <v>0</v>
      </c>
      <c r="Z85" s="566">
        <f t="shared" si="6"/>
        <v>0</v>
      </c>
      <c r="AA85" s="566">
        <f t="shared" si="7"/>
        <v>0</v>
      </c>
      <c r="AB85" s="566">
        <f t="shared" si="8"/>
        <v>0</v>
      </c>
      <c r="AC85" s="566">
        <f t="shared" si="9"/>
        <v>0</v>
      </c>
      <c r="AD85" s="566">
        <f t="shared" si="10"/>
        <v>0</v>
      </c>
      <c r="AE85" s="566">
        <f t="shared" si="11"/>
        <v>0</v>
      </c>
      <c r="AF85" s="566">
        <f t="shared" si="12"/>
        <v>0</v>
      </c>
      <c r="AG85" s="566">
        <f t="shared" si="13"/>
        <v>0</v>
      </c>
      <c r="AH85" s="573"/>
    </row>
    <row r="86" spans="1:36" ht="25.15" customHeight="1">
      <c r="A86" s="543">
        <v>70</v>
      </c>
      <c r="B86" s="546" t="s">
        <v>1637</v>
      </c>
      <c r="C86" s="541" t="str">
        <f>'LAP. PENJUALAN '!C86</f>
        <v>Paket Sehat 4</v>
      </c>
      <c r="D86" s="542"/>
      <c r="E86" s="542"/>
      <c r="F86" s="542"/>
      <c r="G86" s="542"/>
      <c r="H86" s="542"/>
      <c r="I86" s="542"/>
      <c r="J86" s="542"/>
      <c r="K86" s="542"/>
      <c r="L86" s="542"/>
      <c r="M86" s="542"/>
      <c r="N86" s="554">
        <f t="shared" si="0"/>
        <v>0</v>
      </c>
      <c r="O86" s="554">
        <f t="shared" si="1"/>
        <v>0</v>
      </c>
      <c r="P86" s="555" t="e">
        <f>(O86/O270)*100</f>
        <v>#DIV/0!</v>
      </c>
      <c r="Q86" s="567"/>
      <c r="R86" s="555" t="e">
        <f t="shared" si="2"/>
        <v>#DIV/0!</v>
      </c>
      <c r="S86" s="568">
        <f t="shared" si="3"/>
        <v>0</v>
      </c>
      <c r="T86" s="564"/>
      <c r="U86" s="565"/>
      <c r="V86" s="2560"/>
      <c r="W86" s="571"/>
      <c r="X86" s="566">
        <f t="shared" si="4"/>
        <v>0</v>
      </c>
      <c r="Y86" s="566">
        <f t="shared" si="5"/>
        <v>0</v>
      </c>
      <c r="Z86" s="566">
        <f t="shared" si="6"/>
        <v>0</v>
      </c>
      <c r="AA86" s="566">
        <f t="shared" si="7"/>
        <v>0</v>
      </c>
      <c r="AB86" s="566">
        <f t="shared" si="8"/>
        <v>0</v>
      </c>
      <c r="AC86" s="566">
        <f t="shared" si="9"/>
        <v>0</v>
      </c>
      <c r="AD86" s="566">
        <f t="shared" si="10"/>
        <v>0</v>
      </c>
      <c r="AE86" s="566">
        <f t="shared" si="11"/>
        <v>0</v>
      </c>
      <c r="AF86" s="566">
        <f t="shared" si="12"/>
        <v>0</v>
      </c>
      <c r="AG86" s="566">
        <f t="shared" si="13"/>
        <v>0</v>
      </c>
      <c r="AH86" s="573"/>
    </row>
    <row r="87" spans="1:36" ht="25.15" customHeight="1">
      <c r="A87" s="543"/>
      <c r="B87" s="546" t="s">
        <v>1638</v>
      </c>
      <c r="C87" s="541"/>
      <c r="D87" s="542"/>
      <c r="E87" s="542"/>
      <c r="F87" s="542"/>
      <c r="G87" s="542"/>
      <c r="H87" s="542"/>
      <c r="I87" s="542"/>
      <c r="J87" s="542"/>
      <c r="K87" s="542"/>
      <c r="L87" s="542"/>
      <c r="M87" s="542"/>
      <c r="N87" s="554">
        <f t="shared" si="0"/>
        <v>0</v>
      </c>
      <c r="O87" s="554">
        <f t="shared" si="1"/>
        <v>0</v>
      </c>
      <c r="P87" s="555" t="e">
        <f>(O87/O270)*100</f>
        <v>#DIV/0!</v>
      </c>
      <c r="Q87" s="570"/>
      <c r="R87" s="555" t="e">
        <f t="shared" si="2"/>
        <v>#DIV/0!</v>
      </c>
      <c r="S87" s="568">
        <f t="shared" si="3"/>
        <v>0</v>
      </c>
      <c r="T87" s="564"/>
      <c r="U87" s="565"/>
      <c r="V87" s="2560"/>
      <c r="W87" s="571"/>
      <c r="X87" s="566">
        <f t="shared" si="4"/>
        <v>0</v>
      </c>
      <c r="Y87" s="566">
        <f t="shared" si="5"/>
        <v>0</v>
      </c>
      <c r="Z87" s="566">
        <f t="shared" si="6"/>
        <v>0</v>
      </c>
      <c r="AA87" s="566">
        <f t="shared" si="7"/>
        <v>0</v>
      </c>
      <c r="AB87" s="566">
        <f t="shared" si="8"/>
        <v>0</v>
      </c>
      <c r="AC87" s="566">
        <f t="shared" si="9"/>
        <v>0</v>
      </c>
      <c r="AD87" s="566">
        <f t="shared" si="10"/>
        <v>0</v>
      </c>
      <c r="AE87" s="566">
        <f t="shared" si="11"/>
        <v>0</v>
      </c>
      <c r="AF87" s="566">
        <f t="shared" si="12"/>
        <v>0</v>
      </c>
      <c r="AG87" s="566">
        <f t="shared" si="13"/>
        <v>0</v>
      </c>
      <c r="AH87" s="573"/>
    </row>
    <row r="88" spans="1:36" ht="25.15" customHeight="1">
      <c r="A88" s="543">
        <v>71</v>
      </c>
      <c r="B88" s="546" t="s">
        <v>1551</v>
      </c>
      <c r="C88" s="541" t="str">
        <f>'LAP. PENJUALAN '!C88</f>
        <v>Paket Catering 1</v>
      </c>
      <c r="D88" s="542"/>
      <c r="E88" s="542"/>
      <c r="F88" s="542"/>
      <c r="G88" s="542"/>
      <c r="H88" s="542"/>
      <c r="I88" s="542"/>
      <c r="J88" s="542"/>
      <c r="K88" s="542"/>
      <c r="L88" s="542"/>
      <c r="M88" s="542"/>
      <c r="N88" s="554">
        <f t="shared" si="0"/>
        <v>0</v>
      </c>
      <c r="O88" s="554">
        <f t="shared" si="1"/>
        <v>0</v>
      </c>
      <c r="P88" s="555" t="e">
        <f>(O88/O270)*100</f>
        <v>#DIV/0!</v>
      </c>
      <c r="Q88" s="570"/>
      <c r="R88" s="555" t="e">
        <f t="shared" si="2"/>
        <v>#DIV/0!</v>
      </c>
      <c r="S88" s="568">
        <f t="shared" si="3"/>
        <v>0</v>
      </c>
      <c r="T88" s="564"/>
      <c r="U88" s="565"/>
      <c r="V88" s="2560"/>
      <c r="W88" s="571"/>
      <c r="X88" s="566">
        <f t="shared" si="4"/>
        <v>0</v>
      </c>
      <c r="Y88" s="566">
        <f t="shared" si="5"/>
        <v>0</v>
      </c>
      <c r="Z88" s="566">
        <f t="shared" si="6"/>
        <v>0</v>
      </c>
      <c r="AA88" s="566">
        <f t="shared" si="7"/>
        <v>0</v>
      </c>
      <c r="AB88" s="566">
        <f t="shared" si="8"/>
        <v>0</v>
      </c>
      <c r="AC88" s="566">
        <f t="shared" si="9"/>
        <v>0</v>
      </c>
      <c r="AD88" s="566">
        <f t="shared" si="10"/>
        <v>0</v>
      </c>
      <c r="AE88" s="566">
        <f t="shared" si="11"/>
        <v>0</v>
      </c>
      <c r="AF88" s="566">
        <f t="shared" si="12"/>
        <v>0</v>
      </c>
      <c r="AG88" s="566">
        <f t="shared" si="13"/>
        <v>0</v>
      </c>
      <c r="AH88" s="573"/>
    </row>
    <row r="89" spans="1:36" ht="25.15" customHeight="1">
      <c r="A89" s="543">
        <v>72</v>
      </c>
      <c r="B89" s="546" t="s">
        <v>1552</v>
      </c>
      <c r="C89" s="541" t="str">
        <f>'LAP. PENJUALAN '!C89</f>
        <v>Paket Catering 2</v>
      </c>
      <c r="D89" s="542"/>
      <c r="E89" s="542"/>
      <c r="F89" s="542"/>
      <c r="G89" s="542"/>
      <c r="H89" s="542"/>
      <c r="I89" s="542"/>
      <c r="J89" s="542"/>
      <c r="K89" s="542"/>
      <c r="L89" s="542"/>
      <c r="M89" s="542"/>
      <c r="N89" s="554">
        <f t="shared" si="0"/>
        <v>0</v>
      </c>
      <c r="O89" s="554">
        <f t="shared" si="1"/>
        <v>0</v>
      </c>
      <c r="P89" s="555" t="e">
        <f>(O89/O270)*100</f>
        <v>#DIV/0!</v>
      </c>
      <c r="Q89" s="570"/>
      <c r="R89" s="555" t="e">
        <f t="shared" si="2"/>
        <v>#DIV/0!</v>
      </c>
      <c r="S89" s="568">
        <f t="shared" si="3"/>
        <v>0</v>
      </c>
      <c r="T89" s="564"/>
      <c r="U89" s="565"/>
      <c r="V89" s="2560"/>
      <c r="W89" s="571"/>
      <c r="X89" s="566">
        <f t="shared" si="4"/>
        <v>0</v>
      </c>
      <c r="Y89" s="566">
        <f t="shared" si="5"/>
        <v>0</v>
      </c>
      <c r="Z89" s="566">
        <f t="shared" si="6"/>
        <v>0</v>
      </c>
      <c r="AA89" s="566">
        <f t="shared" si="7"/>
        <v>0</v>
      </c>
      <c r="AB89" s="566">
        <f t="shared" si="8"/>
        <v>0</v>
      </c>
      <c r="AC89" s="566">
        <f t="shared" si="9"/>
        <v>0</v>
      </c>
      <c r="AD89" s="566">
        <f t="shared" si="10"/>
        <v>0</v>
      </c>
      <c r="AE89" s="566">
        <f t="shared" si="11"/>
        <v>0</v>
      </c>
      <c r="AF89" s="566">
        <f t="shared" si="12"/>
        <v>0</v>
      </c>
      <c r="AG89" s="566">
        <f t="shared" si="13"/>
        <v>0</v>
      </c>
      <c r="AH89" s="573"/>
    </row>
    <row r="90" spans="1:36" ht="25.15" customHeight="1">
      <c r="A90" s="543">
        <v>73</v>
      </c>
      <c r="B90" s="546" t="s">
        <v>1553</v>
      </c>
      <c r="C90" s="541" t="str">
        <f>'LAP. PENJUALAN '!C90</f>
        <v>Paket Catering 3</v>
      </c>
      <c r="D90" s="542"/>
      <c r="E90" s="542"/>
      <c r="F90" s="542"/>
      <c r="G90" s="542"/>
      <c r="H90" s="542"/>
      <c r="I90" s="542"/>
      <c r="J90" s="542"/>
      <c r="K90" s="542"/>
      <c r="L90" s="542"/>
      <c r="M90" s="542"/>
      <c r="N90" s="554">
        <f t="shared" si="0"/>
        <v>0</v>
      </c>
      <c r="O90" s="554">
        <f t="shared" si="1"/>
        <v>0</v>
      </c>
      <c r="P90" s="555" t="e">
        <f>(O90/O270)*100</f>
        <v>#DIV/0!</v>
      </c>
      <c r="Q90" s="570"/>
      <c r="R90" s="555" t="e">
        <f t="shared" si="2"/>
        <v>#DIV/0!</v>
      </c>
      <c r="S90" s="568">
        <f t="shared" si="3"/>
        <v>0</v>
      </c>
      <c r="T90" s="564"/>
      <c r="U90" s="565"/>
      <c r="V90" s="2560"/>
      <c r="W90" s="571"/>
      <c r="X90" s="566">
        <f t="shared" si="4"/>
        <v>0</v>
      </c>
      <c r="Y90" s="566">
        <f t="shared" si="5"/>
        <v>0</v>
      </c>
      <c r="Z90" s="566">
        <f t="shared" si="6"/>
        <v>0</v>
      </c>
      <c r="AA90" s="566">
        <f t="shared" si="7"/>
        <v>0</v>
      </c>
      <c r="AB90" s="566">
        <f t="shared" si="8"/>
        <v>0</v>
      </c>
      <c r="AC90" s="566">
        <f t="shared" si="9"/>
        <v>0</v>
      </c>
      <c r="AD90" s="566">
        <f t="shared" si="10"/>
        <v>0</v>
      </c>
      <c r="AE90" s="566">
        <f t="shared" si="11"/>
        <v>0</v>
      </c>
      <c r="AF90" s="566">
        <f t="shared" si="12"/>
        <v>0</v>
      </c>
      <c r="AG90" s="566">
        <f t="shared" si="13"/>
        <v>0</v>
      </c>
      <c r="AH90" s="573"/>
    </row>
    <row r="91" spans="1:36" ht="25.15" customHeight="1">
      <c r="A91" s="543">
        <v>74</v>
      </c>
      <c r="B91" s="546" t="s">
        <v>1554</v>
      </c>
      <c r="C91" s="541" t="str">
        <f>'LAP. PENJUALAN '!C91</f>
        <v>Paket Catering 4</v>
      </c>
      <c r="D91" s="542"/>
      <c r="E91" s="542"/>
      <c r="F91" s="542"/>
      <c r="G91" s="542"/>
      <c r="H91" s="542"/>
      <c r="I91" s="542"/>
      <c r="J91" s="542"/>
      <c r="K91" s="542"/>
      <c r="L91" s="542"/>
      <c r="M91" s="542"/>
      <c r="N91" s="554">
        <f t="shared" si="0"/>
        <v>0</v>
      </c>
      <c r="O91" s="554">
        <f t="shared" si="1"/>
        <v>0</v>
      </c>
      <c r="P91" s="555" t="e">
        <f>(O91/O270)*100</f>
        <v>#DIV/0!</v>
      </c>
      <c r="Q91" s="570"/>
      <c r="R91" s="555" t="e">
        <f t="shared" si="2"/>
        <v>#DIV/0!</v>
      </c>
      <c r="S91" s="568">
        <f t="shared" si="3"/>
        <v>0</v>
      </c>
      <c r="T91" s="564"/>
      <c r="U91" s="565"/>
      <c r="V91" s="2560"/>
      <c r="W91" s="571"/>
      <c r="X91" s="566">
        <f t="shared" si="4"/>
        <v>0</v>
      </c>
      <c r="Y91" s="566">
        <f t="shared" si="5"/>
        <v>0</v>
      </c>
      <c r="Z91" s="566">
        <f t="shared" si="6"/>
        <v>0</v>
      </c>
      <c r="AA91" s="566">
        <f t="shared" si="7"/>
        <v>0</v>
      </c>
      <c r="AB91" s="566">
        <f t="shared" si="8"/>
        <v>0</v>
      </c>
      <c r="AC91" s="566">
        <f t="shared" si="9"/>
        <v>0</v>
      </c>
      <c r="AD91" s="566">
        <f t="shared" si="10"/>
        <v>0</v>
      </c>
      <c r="AE91" s="566">
        <f t="shared" si="11"/>
        <v>0</v>
      </c>
      <c r="AF91" s="566">
        <f t="shared" si="12"/>
        <v>0</v>
      </c>
      <c r="AG91" s="566">
        <f t="shared" si="13"/>
        <v>0</v>
      </c>
      <c r="AH91" s="573"/>
      <c r="AI91" s="2198"/>
      <c r="AJ91" s="2198"/>
    </row>
    <row r="92" spans="1:36" ht="25.15" customHeight="1">
      <c r="A92" s="543"/>
      <c r="B92" s="546"/>
      <c r="C92" s="541"/>
      <c r="D92" s="542"/>
      <c r="E92" s="542"/>
      <c r="F92" s="542"/>
      <c r="G92" s="542"/>
      <c r="H92" s="542"/>
      <c r="I92" s="542"/>
      <c r="J92" s="542"/>
      <c r="K92" s="542"/>
      <c r="L92" s="542"/>
      <c r="M92" s="542"/>
      <c r="N92" s="554">
        <f t="shared" si="0"/>
        <v>0</v>
      </c>
      <c r="O92" s="554">
        <f t="shared" si="1"/>
        <v>0</v>
      </c>
      <c r="P92" s="555" t="e">
        <f>(O92/O270)*100</f>
        <v>#DIV/0!</v>
      </c>
      <c r="Q92" s="570"/>
      <c r="R92" s="555" t="e">
        <f t="shared" si="2"/>
        <v>#DIV/0!</v>
      </c>
      <c r="S92" s="568">
        <f t="shared" si="3"/>
        <v>0</v>
      </c>
      <c r="T92" s="564"/>
      <c r="U92" s="565"/>
      <c r="V92" s="2560"/>
      <c r="W92" s="571"/>
      <c r="X92" s="566">
        <f t="shared" si="4"/>
        <v>0</v>
      </c>
      <c r="Y92" s="566">
        <f t="shared" si="5"/>
        <v>0</v>
      </c>
      <c r="Z92" s="566">
        <f t="shared" si="6"/>
        <v>0</v>
      </c>
      <c r="AA92" s="566">
        <f t="shared" si="7"/>
        <v>0</v>
      </c>
      <c r="AB92" s="566">
        <f t="shared" si="8"/>
        <v>0</v>
      </c>
      <c r="AC92" s="566">
        <f t="shared" si="9"/>
        <v>0</v>
      </c>
      <c r="AD92" s="566">
        <f t="shared" si="10"/>
        <v>0</v>
      </c>
      <c r="AE92" s="566">
        <f t="shared" si="11"/>
        <v>0</v>
      </c>
      <c r="AF92" s="566">
        <f t="shared" si="12"/>
        <v>0</v>
      </c>
      <c r="AG92" s="566">
        <f t="shared" si="13"/>
        <v>0</v>
      </c>
      <c r="AH92" s="573"/>
    </row>
    <row r="93" spans="1:36" ht="25.15" customHeight="1">
      <c r="A93" s="543">
        <v>73</v>
      </c>
      <c r="B93" s="546"/>
      <c r="C93" s="541" t="str">
        <f>'LAP. PENJUALAN '!C93</f>
        <v>Paket Takjil 1</v>
      </c>
      <c r="D93" s="542"/>
      <c r="E93" s="542"/>
      <c r="F93" s="542"/>
      <c r="G93" s="542"/>
      <c r="H93" s="542"/>
      <c r="I93" s="542"/>
      <c r="J93" s="542"/>
      <c r="K93" s="542"/>
      <c r="L93" s="542"/>
      <c r="M93" s="542"/>
      <c r="N93" s="554">
        <f t="shared" ref="N93:N95" si="102">SUM(D93:M93)</f>
        <v>0</v>
      </c>
      <c r="O93" s="554">
        <f t="shared" ref="O93:O95" si="103">N93*S93</f>
        <v>0</v>
      </c>
      <c r="P93" s="555" t="e">
        <f>(O93/O270)*100</f>
        <v>#DIV/0!</v>
      </c>
      <c r="Q93" s="570"/>
      <c r="R93" s="555" t="e">
        <f t="shared" ref="R93:R95" si="104">P93*Q93</f>
        <v>#DIV/0!</v>
      </c>
      <c r="S93" s="568">
        <f t="shared" ref="S93:S95" si="105">T93+(T93*10%)</f>
        <v>0</v>
      </c>
      <c r="T93" s="564"/>
      <c r="U93" s="565"/>
      <c r="V93" s="2560"/>
      <c r="W93" s="571"/>
      <c r="X93" s="566">
        <f t="shared" ref="X93:X96" si="106">D93*S93</f>
        <v>0</v>
      </c>
      <c r="Y93" s="566">
        <f t="shared" ref="Y93:Y96" si="107">E93*S93</f>
        <v>0</v>
      </c>
      <c r="Z93" s="566">
        <f t="shared" ref="Z93:Z96" si="108">F93*S93</f>
        <v>0</v>
      </c>
      <c r="AA93" s="566">
        <f t="shared" ref="AA93:AA96" si="109">G93*S93</f>
        <v>0</v>
      </c>
      <c r="AB93" s="566">
        <f t="shared" ref="AB93:AB96" si="110">H93*S93</f>
        <v>0</v>
      </c>
      <c r="AC93" s="566">
        <f t="shared" ref="AC93:AC96" si="111">I93*S93</f>
        <v>0</v>
      </c>
      <c r="AD93" s="566">
        <f t="shared" ref="AD93:AD96" si="112">J93*S93</f>
        <v>0</v>
      </c>
      <c r="AE93" s="566">
        <f t="shared" ref="AE93:AE96" si="113">K93*S93</f>
        <v>0</v>
      </c>
      <c r="AF93" s="566">
        <f t="shared" ref="AF93:AF96" si="114">L93*S93</f>
        <v>0</v>
      </c>
      <c r="AG93" s="566">
        <f t="shared" ref="AG93:AG96" si="115">M93*S93</f>
        <v>0</v>
      </c>
      <c r="AH93" s="573"/>
    </row>
    <row r="94" spans="1:36" ht="25.15" customHeight="1">
      <c r="A94" s="543">
        <v>74</v>
      </c>
      <c r="B94" s="546"/>
      <c r="C94" s="541" t="str">
        <f>'LAP. PENJUALAN '!C94</f>
        <v>Paket Takjil 2</v>
      </c>
      <c r="D94" s="542"/>
      <c r="E94" s="542"/>
      <c r="F94" s="542"/>
      <c r="G94" s="542"/>
      <c r="H94" s="542"/>
      <c r="I94" s="542"/>
      <c r="J94" s="542"/>
      <c r="K94" s="542"/>
      <c r="L94" s="542"/>
      <c r="M94" s="542"/>
      <c r="N94" s="554">
        <f t="shared" si="102"/>
        <v>0</v>
      </c>
      <c r="O94" s="554">
        <f t="shared" si="103"/>
        <v>0</v>
      </c>
      <c r="P94" s="555" t="e">
        <f>(O94/O270)*100</f>
        <v>#DIV/0!</v>
      </c>
      <c r="Q94" s="570"/>
      <c r="R94" s="555" t="e">
        <f t="shared" si="104"/>
        <v>#DIV/0!</v>
      </c>
      <c r="S94" s="568">
        <f t="shared" si="105"/>
        <v>0</v>
      </c>
      <c r="T94" s="564"/>
      <c r="U94" s="565"/>
      <c r="V94" s="2560"/>
      <c r="W94" s="571"/>
      <c r="X94" s="566">
        <f t="shared" si="106"/>
        <v>0</v>
      </c>
      <c r="Y94" s="566">
        <f t="shared" si="107"/>
        <v>0</v>
      </c>
      <c r="Z94" s="566">
        <f t="shared" si="108"/>
        <v>0</v>
      </c>
      <c r="AA94" s="566">
        <f t="shared" si="109"/>
        <v>0</v>
      </c>
      <c r="AB94" s="566">
        <f t="shared" si="110"/>
        <v>0</v>
      </c>
      <c r="AC94" s="566">
        <f t="shared" si="111"/>
        <v>0</v>
      </c>
      <c r="AD94" s="566">
        <f t="shared" si="112"/>
        <v>0</v>
      </c>
      <c r="AE94" s="566">
        <f t="shared" si="113"/>
        <v>0</v>
      </c>
      <c r="AF94" s="566">
        <f t="shared" si="114"/>
        <v>0</v>
      </c>
      <c r="AG94" s="566">
        <f t="shared" si="115"/>
        <v>0</v>
      </c>
      <c r="AH94" s="573"/>
    </row>
    <row r="95" spans="1:36" ht="25.15" customHeight="1">
      <c r="A95" s="543">
        <v>75</v>
      </c>
      <c r="B95" s="546"/>
      <c r="C95" s="541" t="str">
        <f>'LAP. PENJUALAN '!C95</f>
        <v>Paket Takjil 3</v>
      </c>
      <c r="D95" s="542"/>
      <c r="E95" s="542"/>
      <c r="F95" s="542"/>
      <c r="G95" s="542"/>
      <c r="H95" s="542"/>
      <c r="I95" s="542"/>
      <c r="J95" s="542"/>
      <c r="K95" s="542"/>
      <c r="L95" s="542"/>
      <c r="M95" s="542"/>
      <c r="N95" s="554">
        <f t="shared" si="102"/>
        <v>0</v>
      </c>
      <c r="O95" s="554">
        <f t="shared" si="103"/>
        <v>0</v>
      </c>
      <c r="P95" s="555" t="e">
        <f>(O95/O270)*100</f>
        <v>#DIV/0!</v>
      </c>
      <c r="Q95" s="570"/>
      <c r="R95" s="555" t="e">
        <f t="shared" si="104"/>
        <v>#DIV/0!</v>
      </c>
      <c r="S95" s="568">
        <f t="shared" si="105"/>
        <v>0</v>
      </c>
      <c r="T95" s="564"/>
      <c r="U95" s="565"/>
      <c r="V95" s="2560"/>
      <c r="W95" s="571"/>
      <c r="X95" s="566">
        <f t="shared" si="106"/>
        <v>0</v>
      </c>
      <c r="Y95" s="566">
        <f t="shared" si="107"/>
        <v>0</v>
      </c>
      <c r="Z95" s="566">
        <f t="shared" si="108"/>
        <v>0</v>
      </c>
      <c r="AA95" s="566">
        <f t="shared" si="109"/>
        <v>0</v>
      </c>
      <c r="AB95" s="566">
        <f t="shared" si="110"/>
        <v>0</v>
      </c>
      <c r="AC95" s="566">
        <f t="shared" si="111"/>
        <v>0</v>
      </c>
      <c r="AD95" s="566">
        <f t="shared" si="112"/>
        <v>0</v>
      </c>
      <c r="AE95" s="566">
        <f t="shared" si="113"/>
        <v>0</v>
      </c>
      <c r="AF95" s="566">
        <f t="shared" si="114"/>
        <v>0</v>
      </c>
      <c r="AG95" s="566">
        <f t="shared" si="115"/>
        <v>0</v>
      </c>
      <c r="AH95" s="573"/>
    </row>
    <row r="96" spans="1:36" ht="25.15" customHeight="1">
      <c r="A96" s="543">
        <v>76</v>
      </c>
      <c r="B96" s="546" t="s">
        <v>1400</v>
      </c>
      <c r="C96" s="541" t="str">
        <f>'LAP. PENJUALAN '!C96</f>
        <v>Paket Takjil 4</v>
      </c>
      <c r="D96" s="542"/>
      <c r="E96" s="542"/>
      <c r="F96" s="542"/>
      <c r="G96" s="542"/>
      <c r="H96" s="542"/>
      <c r="I96" s="542"/>
      <c r="J96" s="542"/>
      <c r="K96" s="542"/>
      <c r="L96" s="542"/>
      <c r="M96" s="542"/>
      <c r="N96" s="554">
        <f t="shared" si="0"/>
        <v>0</v>
      </c>
      <c r="O96" s="554">
        <f t="shared" si="1"/>
        <v>0</v>
      </c>
      <c r="P96" s="555" t="e">
        <f>(O96/O270)*100</f>
        <v>#DIV/0!</v>
      </c>
      <c r="Q96" s="570"/>
      <c r="R96" s="555" t="e">
        <f t="shared" si="2"/>
        <v>#DIV/0!</v>
      </c>
      <c r="S96" s="568">
        <f t="shared" si="3"/>
        <v>0</v>
      </c>
      <c r="T96" s="564"/>
      <c r="U96" s="565"/>
      <c r="V96" s="2560"/>
      <c r="W96" s="571"/>
      <c r="X96" s="566">
        <f t="shared" si="106"/>
        <v>0</v>
      </c>
      <c r="Y96" s="566">
        <f t="shared" si="107"/>
        <v>0</v>
      </c>
      <c r="Z96" s="566">
        <f t="shared" si="108"/>
        <v>0</v>
      </c>
      <c r="AA96" s="566">
        <f t="shared" si="109"/>
        <v>0</v>
      </c>
      <c r="AB96" s="566">
        <f t="shared" si="110"/>
        <v>0</v>
      </c>
      <c r="AC96" s="566">
        <f t="shared" si="111"/>
        <v>0</v>
      </c>
      <c r="AD96" s="566">
        <f t="shared" si="112"/>
        <v>0</v>
      </c>
      <c r="AE96" s="566">
        <f t="shared" si="113"/>
        <v>0</v>
      </c>
      <c r="AF96" s="566">
        <f t="shared" si="114"/>
        <v>0</v>
      </c>
      <c r="AG96" s="566">
        <f t="shared" si="115"/>
        <v>0</v>
      </c>
      <c r="AH96" s="573"/>
    </row>
    <row r="97" spans="1:34" ht="25.15" customHeight="1">
      <c r="A97" s="543">
        <v>77</v>
      </c>
      <c r="B97" s="546" t="s">
        <v>1401</v>
      </c>
      <c r="C97" s="541" t="str">
        <f>'LAP. PENJUALAN '!C97</f>
        <v>Paket Takjil 5</v>
      </c>
      <c r="D97" s="542"/>
      <c r="E97" s="542"/>
      <c r="F97" s="542"/>
      <c r="G97" s="542"/>
      <c r="H97" s="542"/>
      <c r="I97" s="542"/>
      <c r="J97" s="542"/>
      <c r="K97" s="542"/>
      <c r="L97" s="542"/>
      <c r="M97" s="542"/>
      <c r="N97" s="554">
        <f t="shared" si="0"/>
        <v>0</v>
      </c>
      <c r="O97" s="554">
        <f t="shared" si="1"/>
        <v>0</v>
      </c>
      <c r="P97" s="555" t="e">
        <f>(O97/O270)*100</f>
        <v>#DIV/0!</v>
      </c>
      <c r="Q97" s="570"/>
      <c r="R97" s="555" t="e">
        <f t="shared" si="2"/>
        <v>#DIV/0!</v>
      </c>
      <c r="S97" s="568">
        <f t="shared" si="3"/>
        <v>0</v>
      </c>
      <c r="T97" s="564"/>
      <c r="U97" s="565"/>
      <c r="V97" s="2560"/>
      <c r="W97" s="571"/>
      <c r="X97" s="566">
        <f t="shared" si="4"/>
        <v>0</v>
      </c>
      <c r="Y97" s="566">
        <f t="shared" si="5"/>
        <v>0</v>
      </c>
      <c r="Z97" s="566">
        <f t="shared" si="6"/>
        <v>0</v>
      </c>
      <c r="AA97" s="566">
        <f t="shared" si="7"/>
        <v>0</v>
      </c>
      <c r="AB97" s="566">
        <f t="shared" si="8"/>
        <v>0</v>
      </c>
      <c r="AC97" s="566">
        <f t="shared" si="9"/>
        <v>0</v>
      </c>
      <c r="AD97" s="566">
        <f t="shared" si="10"/>
        <v>0</v>
      </c>
      <c r="AE97" s="566">
        <f t="shared" si="11"/>
        <v>0</v>
      </c>
      <c r="AF97" s="566">
        <f t="shared" si="12"/>
        <v>0</v>
      </c>
      <c r="AG97" s="566">
        <f t="shared" si="13"/>
        <v>0</v>
      </c>
      <c r="AH97" s="573"/>
    </row>
    <row r="98" spans="1:34" ht="25.15" customHeight="1">
      <c r="A98" s="543">
        <v>78</v>
      </c>
      <c r="B98" s="546" t="s">
        <v>1402</v>
      </c>
      <c r="C98" s="541" t="str">
        <f>'LAP. PENJUALAN '!C98</f>
        <v>Paket Takjil 6</v>
      </c>
      <c r="D98" s="542"/>
      <c r="E98" s="542"/>
      <c r="F98" s="542"/>
      <c r="G98" s="542"/>
      <c r="H98" s="542"/>
      <c r="I98" s="542"/>
      <c r="J98" s="542"/>
      <c r="K98" s="542"/>
      <c r="L98" s="542"/>
      <c r="M98" s="542"/>
      <c r="N98" s="554">
        <f t="shared" si="0"/>
        <v>0</v>
      </c>
      <c r="O98" s="554">
        <f t="shared" si="1"/>
        <v>0</v>
      </c>
      <c r="P98" s="555" t="e">
        <f>(O98/O270)*100</f>
        <v>#DIV/0!</v>
      </c>
      <c r="Q98" s="570"/>
      <c r="R98" s="555" t="e">
        <f t="shared" si="2"/>
        <v>#DIV/0!</v>
      </c>
      <c r="S98" s="568">
        <f t="shared" si="3"/>
        <v>0</v>
      </c>
      <c r="T98" s="564"/>
      <c r="U98" s="565"/>
      <c r="V98" s="2560"/>
      <c r="W98" s="571"/>
      <c r="X98" s="566">
        <f t="shared" si="4"/>
        <v>0</v>
      </c>
      <c r="Y98" s="566">
        <f t="shared" si="5"/>
        <v>0</v>
      </c>
      <c r="Z98" s="566">
        <f t="shared" si="6"/>
        <v>0</v>
      </c>
      <c r="AA98" s="566">
        <f t="shared" si="7"/>
        <v>0</v>
      </c>
      <c r="AB98" s="566">
        <f t="shared" si="8"/>
        <v>0</v>
      </c>
      <c r="AC98" s="566">
        <f t="shared" si="9"/>
        <v>0</v>
      </c>
      <c r="AD98" s="566">
        <f t="shared" si="10"/>
        <v>0</v>
      </c>
      <c r="AE98" s="566">
        <f t="shared" si="11"/>
        <v>0</v>
      </c>
      <c r="AF98" s="566">
        <f t="shared" si="12"/>
        <v>0</v>
      </c>
      <c r="AG98" s="566">
        <f t="shared" si="13"/>
        <v>0</v>
      </c>
      <c r="AH98" s="573"/>
    </row>
    <row r="99" spans="1:34" ht="25.15" customHeight="1">
      <c r="A99" s="543">
        <v>79</v>
      </c>
      <c r="B99" s="546" t="s">
        <v>1555</v>
      </c>
      <c r="C99" s="541" t="str">
        <f>'LAP. PENJUALAN '!C99</f>
        <v>Paket Takjil 7</v>
      </c>
      <c r="D99" s="542"/>
      <c r="E99" s="542"/>
      <c r="F99" s="542"/>
      <c r="G99" s="542"/>
      <c r="H99" s="542"/>
      <c r="I99" s="542"/>
      <c r="J99" s="542"/>
      <c r="K99" s="542"/>
      <c r="L99" s="542"/>
      <c r="M99" s="542"/>
      <c r="N99" s="554">
        <f t="shared" si="0"/>
        <v>0</v>
      </c>
      <c r="O99" s="554">
        <f t="shared" si="1"/>
        <v>0</v>
      </c>
      <c r="P99" s="555" t="e">
        <f>(O99/O270)*100</f>
        <v>#DIV/0!</v>
      </c>
      <c r="Q99" s="570"/>
      <c r="R99" s="555" t="e">
        <f t="shared" si="2"/>
        <v>#DIV/0!</v>
      </c>
      <c r="S99" s="568">
        <f t="shared" si="3"/>
        <v>0</v>
      </c>
      <c r="T99" s="564"/>
      <c r="U99" s="565"/>
      <c r="V99" s="2560"/>
      <c r="W99" s="571"/>
      <c r="X99" s="566">
        <f t="shared" si="4"/>
        <v>0</v>
      </c>
      <c r="Y99" s="566">
        <f t="shared" si="5"/>
        <v>0</v>
      </c>
      <c r="Z99" s="566">
        <f t="shared" si="6"/>
        <v>0</v>
      </c>
      <c r="AA99" s="566">
        <f t="shared" si="7"/>
        <v>0</v>
      </c>
      <c r="AB99" s="566">
        <f t="shared" si="8"/>
        <v>0</v>
      </c>
      <c r="AC99" s="566">
        <f t="shared" si="9"/>
        <v>0</v>
      </c>
      <c r="AD99" s="566">
        <f t="shared" si="10"/>
        <v>0</v>
      </c>
      <c r="AE99" s="566">
        <f t="shared" si="11"/>
        <v>0</v>
      </c>
      <c r="AF99" s="566">
        <f t="shared" si="12"/>
        <v>0</v>
      </c>
      <c r="AG99" s="566">
        <f t="shared" si="13"/>
        <v>0</v>
      </c>
      <c r="AH99" s="573"/>
    </row>
    <row r="100" spans="1:34" ht="25.15" customHeight="1">
      <c r="A100" s="543">
        <v>80</v>
      </c>
      <c r="B100" s="546" t="s">
        <v>1556</v>
      </c>
      <c r="C100" s="541" t="str">
        <f>'LAP. PENJUALAN '!C100</f>
        <v>Paket Takjil 8</v>
      </c>
      <c r="D100" s="542"/>
      <c r="E100" s="542"/>
      <c r="F100" s="542"/>
      <c r="G100" s="542"/>
      <c r="H100" s="542"/>
      <c r="I100" s="542"/>
      <c r="J100" s="542"/>
      <c r="K100" s="542"/>
      <c r="L100" s="542"/>
      <c r="M100" s="542"/>
      <c r="N100" s="554">
        <f t="shared" si="0"/>
        <v>0</v>
      </c>
      <c r="O100" s="554">
        <f t="shared" si="1"/>
        <v>0</v>
      </c>
      <c r="P100" s="555" t="e">
        <f>(O100/O270)*100</f>
        <v>#DIV/0!</v>
      </c>
      <c r="Q100" s="570"/>
      <c r="R100" s="555" t="e">
        <f t="shared" si="2"/>
        <v>#DIV/0!</v>
      </c>
      <c r="S100" s="568">
        <f t="shared" si="3"/>
        <v>0</v>
      </c>
      <c r="T100" s="564"/>
      <c r="U100" s="565"/>
      <c r="V100" s="2560"/>
      <c r="W100" s="571"/>
      <c r="X100" s="566">
        <f t="shared" si="4"/>
        <v>0</v>
      </c>
      <c r="Y100" s="566">
        <f t="shared" si="5"/>
        <v>0</v>
      </c>
      <c r="Z100" s="566">
        <f t="shared" si="6"/>
        <v>0</v>
      </c>
      <c r="AA100" s="566">
        <f t="shared" si="7"/>
        <v>0</v>
      </c>
      <c r="AB100" s="566">
        <f t="shared" si="8"/>
        <v>0</v>
      </c>
      <c r="AC100" s="566">
        <f t="shared" si="9"/>
        <v>0</v>
      </c>
      <c r="AD100" s="566">
        <f t="shared" si="10"/>
        <v>0</v>
      </c>
      <c r="AE100" s="566">
        <f t="shared" si="11"/>
        <v>0</v>
      </c>
      <c r="AF100" s="566">
        <f t="shared" si="12"/>
        <v>0</v>
      </c>
      <c r="AG100" s="566">
        <f t="shared" si="13"/>
        <v>0</v>
      </c>
      <c r="AH100" s="573"/>
    </row>
    <row r="101" spans="1:34" ht="25.15" customHeight="1">
      <c r="A101" s="543"/>
      <c r="B101" s="546" t="s">
        <v>1557</v>
      </c>
      <c r="C101" s="541"/>
      <c r="D101" s="542"/>
      <c r="E101" s="542"/>
      <c r="F101" s="542"/>
      <c r="G101" s="542"/>
      <c r="H101" s="542"/>
      <c r="I101" s="542"/>
      <c r="J101" s="542"/>
      <c r="K101" s="542"/>
      <c r="L101" s="542"/>
      <c r="M101" s="542"/>
      <c r="N101" s="554">
        <f t="shared" si="0"/>
        <v>0</v>
      </c>
      <c r="O101" s="554">
        <f t="shared" si="1"/>
        <v>0</v>
      </c>
      <c r="P101" s="555" t="e">
        <f>(O101/O270)*100</f>
        <v>#DIV/0!</v>
      </c>
      <c r="Q101" s="570"/>
      <c r="R101" s="555" t="e">
        <f t="shared" si="2"/>
        <v>#DIV/0!</v>
      </c>
      <c r="S101" s="568">
        <f t="shared" si="3"/>
        <v>0</v>
      </c>
      <c r="T101" s="564"/>
      <c r="U101" s="565"/>
      <c r="V101" s="2560"/>
      <c r="W101" s="571"/>
      <c r="X101" s="566">
        <f t="shared" si="4"/>
        <v>0</v>
      </c>
      <c r="Y101" s="566">
        <f t="shared" si="5"/>
        <v>0</v>
      </c>
      <c r="Z101" s="566">
        <f t="shared" si="6"/>
        <v>0</v>
      </c>
      <c r="AA101" s="566">
        <f t="shared" si="7"/>
        <v>0</v>
      </c>
      <c r="AB101" s="566">
        <f t="shared" si="8"/>
        <v>0</v>
      </c>
      <c r="AC101" s="566">
        <f t="shared" si="9"/>
        <v>0</v>
      </c>
      <c r="AD101" s="566">
        <f t="shared" si="10"/>
        <v>0</v>
      </c>
      <c r="AE101" s="566">
        <f t="shared" si="11"/>
        <v>0</v>
      </c>
      <c r="AF101" s="566">
        <f t="shared" si="12"/>
        <v>0</v>
      </c>
      <c r="AG101" s="566">
        <f t="shared" si="13"/>
        <v>0</v>
      </c>
      <c r="AH101" s="573"/>
    </row>
    <row r="102" spans="1:34" ht="25.15" customHeight="1">
      <c r="A102" s="543">
        <v>81</v>
      </c>
      <c r="B102" s="546" t="s">
        <v>1558</v>
      </c>
      <c r="C102" s="541" t="str">
        <f>'LAP. PENJUALAN '!C102</f>
        <v>Ayam Utuh Original</v>
      </c>
      <c r="D102" s="542"/>
      <c r="E102" s="542"/>
      <c r="F102" s="542"/>
      <c r="G102" s="542"/>
      <c r="H102" s="542"/>
      <c r="I102" s="542"/>
      <c r="J102" s="542"/>
      <c r="K102" s="542"/>
      <c r="L102" s="542"/>
      <c r="M102" s="542"/>
      <c r="N102" s="554">
        <f t="shared" si="0"/>
        <v>0</v>
      </c>
      <c r="O102" s="554">
        <f t="shared" si="1"/>
        <v>0</v>
      </c>
      <c r="P102" s="555" t="e">
        <f>(O102/O270)*100</f>
        <v>#DIV/0!</v>
      </c>
      <c r="Q102" s="570"/>
      <c r="R102" s="555" t="e">
        <f t="shared" si="2"/>
        <v>#DIV/0!</v>
      </c>
      <c r="S102" s="568">
        <f t="shared" si="3"/>
        <v>0</v>
      </c>
      <c r="T102" s="564"/>
      <c r="U102" s="565"/>
      <c r="V102" s="2560"/>
      <c r="W102" s="571"/>
      <c r="X102" s="566">
        <f t="shared" si="4"/>
        <v>0</v>
      </c>
      <c r="Y102" s="566">
        <f t="shared" si="5"/>
        <v>0</v>
      </c>
      <c r="Z102" s="566">
        <f t="shared" si="6"/>
        <v>0</v>
      </c>
      <c r="AA102" s="566">
        <f t="shared" si="7"/>
        <v>0</v>
      </c>
      <c r="AB102" s="566">
        <f t="shared" si="8"/>
        <v>0</v>
      </c>
      <c r="AC102" s="566">
        <f t="shared" si="9"/>
        <v>0</v>
      </c>
      <c r="AD102" s="566">
        <f t="shared" si="10"/>
        <v>0</v>
      </c>
      <c r="AE102" s="566">
        <f t="shared" si="11"/>
        <v>0</v>
      </c>
      <c r="AF102" s="566">
        <f t="shared" si="12"/>
        <v>0</v>
      </c>
      <c r="AG102" s="566">
        <f t="shared" si="13"/>
        <v>0</v>
      </c>
      <c r="AH102" s="573"/>
    </row>
    <row r="103" spans="1:34" ht="25.15" customHeight="1">
      <c r="A103" s="543">
        <v>82</v>
      </c>
      <c r="B103" s="546" t="s">
        <v>1559</v>
      </c>
      <c r="C103" s="541" t="str">
        <f>'LAP. PENJUALAN '!C103</f>
        <v>Ayam Utuh Hot Cheesy</v>
      </c>
      <c r="D103" s="542"/>
      <c r="E103" s="542"/>
      <c r="F103" s="542"/>
      <c r="G103" s="542"/>
      <c r="H103" s="542"/>
      <c r="I103" s="542"/>
      <c r="J103" s="542"/>
      <c r="K103" s="542"/>
      <c r="L103" s="542"/>
      <c r="M103" s="542"/>
      <c r="N103" s="554">
        <f t="shared" si="0"/>
        <v>0</v>
      </c>
      <c r="O103" s="554">
        <f t="shared" si="1"/>
        <v>0</v>
      </c>
      <c r="P103" s="555" t="e">
        <f>(O103/O270)*100</f>
        <v>#DIV/0!</v>
      </c>
      <c r="Q103" s="570"/>
      <c r="R103" s="555" t="e">
        <f t="shared" si="2"/>
        <v>#DIV/0!</v>
      </c>
      <c r="S103" s="568">
        <f t="shared" si="3"/>
        <v>0</v>
      </c>
      <c r="T103" s="564"/>
      <c r="U103" s="565"/>
      <c r="V103" s="2560"/>
      <c r="W103" s="571"/>
      <c r="X103" s="566">
        <f t="shared" si="4"/>
        <v>0</v>
      </c>
      <c r="Y103" s="566">
        <f t="shared" si="5"/>
        <v>0</v>
      </c>
      <c r="Z103" s="566">
        <f t="shared" si="6"/>
        <v>0</v>
      </c>
      <c r="AA103" s="566">
        <f t="shared" si="7"/>
        <v>0</v>
      </c>
      <c r="AB103" s="566">
        <f t="shared" si="8"/>
        <v>0</v>
      </c>
      <c r="AC103" s="566">
        <f t="shared" si="9"/>
        <v>0</v>
      </c>
      <c r="AD103" s="566">
        <f t="shared" si="10"/>
        <v>0</v>
      </c>
      <c r="AE103" s="566">
        <f t="shared" si="11"/>
        <v>0</v>
      </c>
      <c r="AF103" s="566">
        <f t="shared" si="12"/>
        <v>0</v>
      </c>
      <c r="AG103" s="566">
        <f t="shared" si="13"/>
        <v>0</v>
      </c>
      <c r="AH103" s="573"/>
    </row>
    <row r="104" spans="1:34" ht="25.15" customHeight="1">
      <c r="A104" s="543">
        <v>83</v>
      </c>
      <c r="B104" s="546" t="s">
        <v>1560</v>
      </c>
      <c r="C104" s="541" t="str">
        <f>'LAP. PENJUALAN '!C104</f>
        <v>Ayam Utuh Geprek</v>
      </c>
      <c r="D104" s="542"/>
      <c r="E104" s="542"/>
      <c r="F104" s="542"/>
      <c r="G104" s="542"/>
      <c r="H104" s="542"/>
      <c r="I104" s="542"/>
      <c r="J104" s="542"/>
      <c r="K104" s="542"/>
      <c r="L104" s="542"/>
      <c r="M104" s="542"/>
      <c r="N104" s="554">
        <f t="shared" ref="N104:N131" si="116">SUM(D104:M104)</f>
        <v>0</v>
      </c>
      <c r="O104" s="554">
        <f t="shared" ref="O104:O131" si="117">N104*S104</f>
        <v>0</v>
      </c>
      <c r="P104" s="555" t="e">
        <f>(O104/O270)*100</f>
        <v>#DIV/0!</v>
      </c>
      <c r="Q104" s="570"/>
      <c r="R104" s="555" t="e">
        <f t="shared" ref="R104:R131" si="118">P104*Q104</f>
        <v>#DIV/0!</v>
      </c>
      <c r="S104" s="568">
        <f t="shared" ref="S104:S131" si="119">T104+(T104*10%)</f>
        <v>0</v>
      </c>
      <c r="T104" s="564"/>
      <c r="U104" s="565"/>
      <c r="V104" s="2560"/>
      <c r="W104" s="571"/>
      <c r="X104" s="566">
        <f t="shared" ref="X104:X131" si="120">D104*S104</f>
        <v>0</v>
      </c>
      <c r="Y104" s="566">
        <f t="shared" ref="Y104:Y131" si="121">E104*S104</f>
        <v>0</v>
      </c>
      <c r="Z104" s="566">
        <f t="shared" ref="Z104:Z131" si="122">F104*S104</f>
        <v>0</v>
      </c>
      <c r="AA104" s="566">
        <f t="shared" ref="AA104:AA131" si="123">G104*S104</f>
        <v>0</v>
      </c>
      <c r="AB104" s="566">
        <f t="shared" ref="AB104:AB131" si="124">H104*S104</f>
        <v>0</v>
      </c>
      <c r="AC104" s="566">
        <f t="shared" ref="AC104:AC131" si="125">I104*S104</f>
        <v>0</v>
      </c>
      <c r="AD104" s="566">
        <f t="shared" ref="AD104:AD131" si="126">J104*S104</f>
        <v>0</v>
      </c>
      <c r="AE104" s="566">
        <f t="shared" ref="AE104:AE131" si="127">K104*S104</f>
        <v>0</v>
      </c>
      <c r="AF104" s="566">
        <f t="shared" ref="AF104:AF131" si="128">L104*S104</f>
        <v>0</v>
      </c>
      <c r="AG104" s="566">
        <f t="shared" ref="AG104:AG131" si="129">M104*S104</f>
        <v>0</v>
      </c>
      <c r="AH104" s="573"/>
    </row>
    <row r="105" spans="1:34" ht="25.15" customHeight="1">
      <c r="A105" s="543">
        <v>84</v>
      </c>
      <c r="B105" s="546" t="s">
        <v>1646</v>
      </c>
      <c r="C105" s="541" t="str">
        <f>'LAP. PENJUALAN '!C105</f>
        <v>P. Ayam Utuh Original</v>
      </c>
      <c r="D105" s="542"/>
      <c r="E105" s="542"/>
      <c r="F105" s="542"/>
      <c r="G105" s="542"/>
      <c r="H105" s="542"/>
      <c r="I105" s="542"/>
      <c r="J105" s="542"/>
      <c r="K105" s="542"/>
      <c r="L105" s="542"/>
      <c r="M105" s="542"/>
      <c r="N105" s="554">
        <f t="shared" si="116"/>
        <v>0</v>
      </c>
      <c r="O105" s="554">
        <f t="shared" si="117"/>
        <v>0</v>
      </c>
      <c r="P105" s="555" t="e">
        <f>(O105/O270)*100</f>
        <v>#DIV/0!</v>
      </c>
      <c r="Q105" s="570"/>
      <c r="R105" s="555" t="e">
        <f t="shared" si="118"/>
        <v>#DIV/0!</v>
      </c>
      <c r="S105" s="568">
        <f t="shared" si="119"/>
        <v>0</v>
      </c>
      <c r="T105" s="564"/>
      <c r="U105" s="565"/>
      <c r="V105" s="571"/>
      <c r="W105" s="571"/>
      <c r="X105" s="566">
        <f t="shared" si="120"/>
        <v>0</v>
      </c>
      <c r="Y105" s="566">
        <f t="shared" si="121"/>
        <v>0</v>
      </c>
      <c r="Z105" s="566">
        <f t="shared" si="122"/>
        <v>0</v>
      </c>
      <c r="AA105" s="566">
        <f t="shared" si="123"/>
        <v>0</v>
      </c>
      <c r="AB105" s="566">
        <f t="shared" si="124"/>
        <v>0</v>
      </c>
      <c r="AC105" s="566">
        <f t="shared" si="125"/>
        <v>0</v>
      </c>
      <c r="AD105" s="566">
        <f t="shared" si="126"/>
        <v>0</v>
      </c>
      <c r="AE105" s="566">
        <f t="shared" si="127"/>
        <v>0</v>
      </c>
      <c r="AF105" s="566">
        <f t="shared" si="128"/>
        <v>0</v>
      </c>
      <c r="AG105" s="566">
        <f t="shared" si="129"/>
        <v>0</v>
      </c>
      <c r="AH105" s="573"/>
    </row>
    <row r="106" spans="1:34" ht="25.15" customHeight="1">
      <c r="A106" s="543">
        <v>85</v>
      </c>
      <c r="B106" s="546"/>
      <c r="C106" s="541" t="str">
        <f>'LAP. PENJUALAN '!C106</f>
        <v>P. Ayam Utuh Hot Cheesy</v>
      </c>
      <c r="D106" s="542"/>
      <c r="E106" s="542"/>
      <c r="F106" s="542"/>
      <c r="G106" s="542"/>
      <c r="H106" s="542"/>
      <c r="I106" s="542"/>
      <c r="J106" s="542"/>
      <c r="K106" s="542"/>
      <c r="L106" s="542"/>
      <c r="M106" s="542"/>
      <c r="N106" s="554">
        <f t="shared" si="116"/>
        <v>0</v>
      </c>
      <c r="O106" s="554">
        <f t="shared" si="117"/>
        <v>0</v>
      </c>
      <c r="P106" s="555" t="e">
        <f>(O106/O270)*100</f>
        <v>#DIV/0!</v>
      </c>
      <c r="Q106" s="570"/>
      <c r="R106" s="555" t="e">
        <f t="shared" si="118"/>
        <v>#DIV/0!</v>
      </c>
      <c r="S106" s="568">
        <f t="shared" si="119"/>
        <v>0</v>
      </c>
      <c r="T106" s="564"/>
      <c r="U106" s="571"/>
      <c r="V106" s="571"/>
      <c r="W106" s="571"/>
      <c r="X106" s="566">
        <f t="shared" si="120"/>
        <v>0</v>
      </c>
      <c r="Y106" s="566">
        <f t="shared" si="121"/>
        <v>0</v>
      </c>
      <c r="Z106" s="566">
        <f t="shared" si="122"/>
        <v>0</v>
      </c>
      <c r="AA106" s="566">
        <f t="shared" si="123"/>
        <v>0</v>
      </c>
      <c r="AB106" s="566">
        <f t="shared" si="124"/>
        <v>0</v>
      </c>
      <c r="AC106" s="566">
        <f t="shared" si="125"/>
        <v>0</v>
      </c>
      <c r="AD106" s="566">
        <f t="shared" si="126"/>
        <v>0</v>
      </c>
      <c r="AE106" s="566">
        <f t="shared" si="127"/>
        <v>0</v>
      </c>
      <c r="AF106" s="566">
        <f t="shared" si="128"/>
        <v>0</v>
      </c>
      <c r="AG106" s="566">
        <f t="shared" si="129"/>
        <v>0</v>
      </c>
      <c r="AH106" s="573"/>
    </row>
    <row r="107" spans="1:34" ht="25.15" customHeight="1">
      <c r="A107" s="543">
        <v>86</v>
      </c>
      <c r="B107" s="546" t="s">
        <v>1561</v>
      </c>
      <c r="C107" s="541" t="str">
        <f>'LAP. PENJUALAN '!C107</f>
        <v>P. Ayam Utuh Geprek</v>
      </c>
      <c r="D107" s="542"/>
      <c r="E107" s="542"/>
      <c r="F107" s="542"/>
      <c r="G107" s="542"/>
      <c r="H107" s="542"/>
      <c r="I107" s="542"/>
      <c r="J107" s="542"/>
      <c r="K107" s="542"/>
      <c r="L107" s="542"/>
      <c r="M107" s="542"/>
      <c r="N107" s="554">
        <f t="shared" si="116"/>
        <v>0</v>
      </c>
      <c r="O107" s="554">
        <f t="shared" si="117"/>
        <v>0</v>
      </c>
      <c r="P107" s="555" t="e">
        <f>(O107/O270)*100</f>
        <v>#DIV/0!</v>
      </c>
      <c r="Q107" s="570"/>
      <c r="R107" s="555" t="e">
        <f t="shared" si="118"/>
        <v>#DIV/0!</v>
      </c>
      <c r="S107" s="568">
        <f t="shared" si="119"/>
        <v>0</v>
      </c>
      <c r="T107" s="564"/>
      <c r="U107" s="565"/>
      <c r="V107" s="571"/>
      <c r="W107" s="571"/>
      <c r="X107" s="566">
        <f t="shared" si="120"/>
        <v>0</v>
      </c>
      <c r="Y107" s="566">
        <f t="shared" si="121"/>
        <v>0</v>
      </c>
      <c r="Z107" s="566">
        <f t="shared" si="122"/>
        <v>0</v>
      </c>
      <c r="AA107" s="566">
        <f t="shared" si="123"/>
        <v>0</v>
      </c>
      <c r="AB107" s="566">
        <f t="shared" si="124"/>
        <v>0</v>
      </c>
      <c r="AC107" s="566">
        <f t="shared" si="125"/>
        <v>0</v>
      </c>
      <c r="AD107" s="566">
        <f t="shared" si="126"/>
        <v>0</v>
      </c>
      <c r="AE107" s="566">
        <f t="shared" si="127"/>
        <v>0</v>
      </c>
      <c r="AF107" s="566">
        <f t="shared" si="128"/>
        <v>0</v>
      </c>
      <c r="AG107" s="566">
        <f t="shared" si="129"/>
        <v>0</v>
      </c>
      <c r="AH107" s="573"/>
    </row>
    <row r="108" spans="1:34" ht="25.15" customHeight="1">
      <c r="A108" s="543">
        <v>87</v>
      </c>
      <c r="B108" s="546" t="s">
        <v>1562</v>
      </c>
      <c r="C108" s="541" t="str">
        <f>'LAP. PENJUALAN '!C108</f>
        <v>Ayam Utuh Hot Spicy</v>
      </c>
      <c r="D108" s="542"/>
      <c r="E108" s="542"/>
      <c r="F108" s="542"/>
      <c r="G108" s="542"/>
      <c r="H108" s="542"/>
      <c r="I108" s="542"/>
      <c r="J108" s="542"/>
      <c r="K108" s="542"/>
      <c r="L108" s="542"/>
      <c r="M108" s="542"/>
      <c r="N108" s="554">
        <f t="shared" si="116"/>
        <v>0</v>
      </c>
      <c r="O108" s="554">
        <f t="shared" si="117"/>
        <v>0</v>
      </c>
      <c r="P108" s="555" t="e">
        <f>(O108/O270)*100</f>
        <v>#DIV/0!</v>
      </c>
      <c r="Q108" s="570"/>
      <c r="R108" s="555" t="e">
        <f t="shared" si="118"/>
        <v>#DIV/0!</v>
      </c>
      <c r="S108" s="568">
        <f t="shared" si="119"/>
        <v>0</v>
      </c>
      <c r="T108" s="564"/>
      <c r="U108" s="565"/>
      <c r="V108" s="2569" t="s">
        <v>129</v>
      </c>
      <c r="W108" s="571"/>
      <c r="X108" s="566">
        <f t="shared" si="120"/>
        <v>0</v>
      </c>
      <c r="Y108" s="566">
        <f t="shared" si="121"/>
        <v>0</v>
      </c>
      <c r="Z108" s="566">
        <f t="shared" si="122"/>
        <v>0</v>
      </c>
      <c r="AA108" s="566">
        <f t="shared" si="123"/>
        <v>0</v>
      </c>
      <c r="AB108" s="566">
        <f t="shared" si="124"/>
        <v>0</v>
      </c>
      <c r="AC108" s="566">
        <f t="shared" si="125"/>
        <v>0</v>
      </c>
      <c r="AD108" s="566">
        <f t="shared" si="126"/>
        <v>0</v>
      </c>
      <c r="AE108" s="566">
        <f t="shared" si="127"/>
        <v>0</v>
      </c>
      <c r="AF108" s="566">
        <f t="shared" si="128"/>
        <v>0</v>
      </c>
      <c r="AG108" s="566">
        <f t="shared" si="129"/>
        <v>0</v>
      </c>
      <c r="AH108" s="573"/>
    </row>
    <row r="109" spans="1:34" ht="25.15" customHeight="1">
      <c r="A109" s="543">
        <v>88</v>
      </c>
      <c r="B109" s="546" t="s">
        <v>1563</v>
      </c>
      <c r="C109" s="541" t="str">
        <f>'LAP. PENJUALAN '!C109</f>
        <v>Paket Ayam Utuh Hot Spicy</v>
      </c>
      <c r="D109" s="542"/>
      <c r="E109" s="542"/>
      <c r="F109" s="542"/>
      <c r="G109" s="542"/>
      <c r="H109" s="542"/>
      <c r="I109" s="542"/>
      <c r="J109" s="542"/>
      <c r="K109" s="542"/>
      <c r="L109" s="542"/>
      <c r="M109" s="542"/>
      <c r="N109" s="554">
        <f t="shared" si="116"/>
        <v>0</v>
      </c>
      <c r="O109" s="554">
        <f t="shared" si="117"/>
        <v>0</v>
      </c>
      <c r="P109" s="555" t="e">
        <f>(O109/O270)*100</f>
        <v>#DIV/0!</v>
      </c>
      <c r="Q109" s="570"/>
      <c r="R109" s="555" t="e">
        <f t="shared" si="118"/>
        <v>#DIV/0!</v>
      </c>
      <c r="S109" s="568">
        <f t="shared" si="119"/>
        <v>0</v>
      </c>
      <c r="T109" s="564"/>
      <c r="U109" s="565"/>
      <c r="V109" s="2569"/>
      <c r="W109" s="571"/>
      <c r="X109" s="566">
        <f t="shared" si="120"/>
        <v>0</v>
      </c>
      <c r="Y109" s="566">
        <f t="shared" si="121"/>
        <v>0</v>
      </c>
      <c r="Z109" s="566">
        <f t="shared" si="122"/>
        <v>0</v>
      </c>
      <c r="AA109" s="566">
        <f t="shared" si="123"/>
        <v>0</v>
      </c>
      <c r="AB109" s="566">
        <f t="shared" si="124"/>
        <v>0</v>
      </c>
      <c r="AC109" s="566">
        <f t="shared" si="125"/>
        <v>0</v>
      </c>
      <c r="AD109" s="566">
        <f t="shared" si="126"/>
        <v>0</v>
      </c>
      <c r="AE109" s="566">
        <f t="shared" si="127"/>
        <v>0</v>
      </c>
      <c r="AF109" s="566">
        <f t="shared" si="128"/>
        <v>0</v>
      </c>
      <c r="AG109" s="566">
        <f t="shared" si="129"/>
        <v>0</v>
      </c>
      <c r="AH109" s="573"/>
    </row>
    <row r="110" spans="1:34" ht="25.15" customHeight="1">
      <c r="A110" s="543"/>
      <c r="B110" s="546" t="s">
        <v>1564</v>
      </c>
      <c r="C110" s="541"/>
      <c r="D110" s="542"/>
      <c r="E110" s="542"/>
      <c r="F110" s="542"/>
      <c r="G110" s="542"/>
      <c r="H110" s="542"/>
      <c r="I110" s="542"/>
      <c r="J110" s="542"/>
      <c r="K110" s="542"/>
      <c r="L110" s="542"/>
      <c r="M110" s="542"/>
      <c r="N110" s="554">
        <f t="shared" si="116"/>
        <v>0</v>
      </c>
      <c r="O110" s="554">
        <f t="shared" si="117"/>
        <v>0</v>
      </c>
      <c r="P110" s="555" t="e">
        <f>(O110/O270)*100</f>
        <v>#DIV/0!</v>
      </c>
      <c r="Q110" s="570"/>
      <c r="R110" s="555" t="e">
        <f t="shared" si="118"/>
        <v>#DIV/0!</v>
      </c>
      <c r="S110" s="568">
        <f t="shared" si="119"/>
        <v>0</v>
      </c>
      <c r="T110" s="564"/>
      <c r="U110" s="565"/>
      <c r="V110" s="2569"/>
      <c r="W110" s="571"/>
      <c r="X110" s="566">
        <f t="shared" si="120"/>
        <v>0</v>
      </c>
      <c r="Y110" s="566">
        <f t="shared" si="121"/>
        <v>0</v>
      </c>
      <c r="Z110" s="566">
        <f t="shared" si="122"/>
        <v>0</v>
      </c>
      <c r="AA110" s="566">
        <f t="shared" si="123"/>
        <v>0</v>
      </c>
      <c r="AB110" s="566">
        <f t="shared" si="124"/>
        <v>0</v>
      </c>
      <c r="AC110" s="566">
        <f t="shared" si="125"/>
        <v>0</v>
      </c>
      <c r="AD110" s="566">
        <f t="shared" si="126"/>
        <v>0</v>
      </c>
      <c r="AE110" s="566">
        <f t="shared" si="127"/>
        <v>0</v>
      </c>
      <c r="AF110" s="566">
        <f t="shared" si="128"/>
        <v>0</v>
      </c>
      <c r="AG110" s="566">
        <f t="shared" si="129"/>
        <v>0</v>
      </c>
      <c r="AH110" s="573"/>
    </row>
    <row r="111" spans="1:34" ht="25.15" customHeight="1">
      <c r="A111" s="543">
        <v>89</v>
      </c>
      <c r="B111" s="546" t="s">
        <v>1565</v>
      </c>
      <c r="C111" s="541" t="str">
        <f>'LAP. PENJUALAN '!C111</f>
        <v>Beef Burger</v>
      </c>
      <c r="D111" s="542"/>
      <c r="E111" s="542"/>
      <c r="F111" s="542"/>
      <c r="G111" s="542"/>
      <c r="H111" s="542"/>
      <c r="I111" s="542"/>
      <c r="J111" s="542"/>
      <c r="K111" s="542"/>
      <c r="L111" s="542"/>
      <c r="M111" s="542"/>
      <c r="N111" s="554">
        <f t="shared" si="116"/>
        <v>0</v>
      </c>
      <c r="O111" s="554">
        <f t="shared" si="117"/>
        <v>0</v>
      </c>
      <c r="P111" s="555" t="e">
        <f>(O111/O270)*100</f>
        <v>#DIV/0!</v>
      </c>
      <c r="Q111" s="570"/>
      <c r="R111" s="555" t="e">
        <f t="shared" si="118"/>
        <v>#DIV/0!</v>
      </c>
      <c r="S111" s="568">
        <f t="shared" si="119"/>
        <v>0</v>
      </c>
      <c r="T111" s="564"/>
      <c r="U111" s="565"/>
      <c r="V111" s="2569"/>
      <c r="W111" s="571"/>
      <c r="X111" s="566">
        <f t="shared" si="120"/>
        <v>0</v>
      </c>
      <c r="Y111" s="566">
        <f t="shared" si="121"/>
        <v>0</v>
      </c>
      <c r="Z111" s="566">
        <f t="shared" si="122"/>
        <v>0</v>
      </c>
      <c r="AA111" s="566">
        <f t="shared" si="123"/>
        <v>0</v>
      </c>
      <c r="AB111" s="566">
        <f t="shared" si="124"/>
        <v>0</v>
      </c>
      <c r="AC111" s="566">
        <f t="shared" si="125"/>
        <v>0</v>
      </c>
      <c r="AD111" s="566">
        <f t="shared" si="126"/>
        <v>0</v>
      </c>
      <c r="AE111" s="566">
        <f t="shared" si="127"/>
        <v>0</v>
      </c>
      <c r="AF111" s="566">
        <f t="shared" si="128"/>
        <v>0</v>
      </c>
      <c r="AG111" s="566">
        <f t="shared" si="129"/>
        <v>0</v>
      </c>
      <c r="AH111" s="573"/>
    </row>
    <row r="112" spans="1:34" ht="25.15" customHeight="1">
      <c r="A112" s="543">
        <v>90</v>
      </c>
      <c r="B112" s="546" t="s">
        <v>1566</v>
      </c>
      <c r="C112" s="541" t="str">
        <f>'LAP. PENJUALAN '!C112</f>
        <v>Beef Burger + Lemon Tea</v>
      </c>
      <c r="D112" s="542"/>
      <c r="E112" s="542"/>
      <c r="F112" s="542"/>
      <c r="G112" s="542"/>
      <c r="H112" s="542"/>
      <c r="I112" s="542"/>
      <c r="J112" s="542"/>
      <c r="K112" s="542"/>
      <c r="L112" s="542"/>
      <c r="M112" s="542"/>
      <c r="N112" s="554">
        <f t="shared" si="116"/>
        <v>0</v>
      </c>
      <c r="O112" s="554">
        <f t="shared" si="117"/>
        <v>0</v>
      </c>
      <c r="P112" s="555" t="e">
        <f>(O112/O270)*100</f>
        <v>#DIV/0!</v>
      </c>
      <c r="Q112" s="570"/>
      <c r="R112" s="555" t="e">
        <f t="shared" si="118"/>
        <v>#DIV/0!</v>
      </c>
      <c r="S112" s="568">
        <f t="shared" si="119"/>
        <v>0</v>
      </c>
      <c r="T112" s="564"/>
      <c r="U112" s="565"/>
      <c r="V112" s="2569"/>
      <c r="W112" s="571"/>
      <c r="X112" s="566">
        <f t="shared" si="120"/>
        <v>0</v>
      </c>
      <c r="Y112" s="566">
        <f t="shared" si="121"/>
        <v>0</v>
      </c>
      <c r="Z112" s="566">
        <f t="shared" si="122"/>
        <v>0</v>
      </c>
      <c r="AA112" s="566">
        <f t="shared" si="123"/>
        <v>0</v>
      </c>
      <c r="AB112" s="566">
        <f t="shared" si="124"/>
        <v>0</v>
      </c>
      <c r="AC112" s="566">
        <f t="shared" si="125"/>
        <v>0</v>
      </c>
      <c r="AD112" s="566">
        <f t="shared" si="126"/>
        <v>0</v>
      </c>
      <c r="AE112" s="566">
        <f t="shared" si="127"/>
        <v>0</v>
      </c>
      <c r="AF112" s="566">
        <f t="shared" si="128"/>
        <v>0</v>
      </c>
      <c r="AG112" s="566">
        <f t="shared" si="129"/>
        <v>0</v>
      </c>
      <c r="AH112" s="573"/>
    </row>
    <row r="113" spans="1:34" ht="25.15" customHeight="1">
      <c r="A113" s="543">
        <v>91</v>
      </c>
      <c r="B113" s="546"/>
      <c r="C113" s="541" t="str">
        <f>'LAP. PENJUALAN '!C113</f>
        <v>Beef cheese Burger</v>
      </c>
      <c r="D113" s="542"/>
      <c r="E113" s="542"/>
      <c r="F113" s="542"/>
      <c r="G113" s="542"/>
      <c r="H113" s="542"/>
      <c r="I113" s="542"/>
      <c r="J113" s="542"/>
      <c r="K113" s="542"/>
      <c r="L113" s="542"/>
      <c r="M113" s="542"/>
      <c r="N113" s="554">
        <f t="shared" si="116"/>
        <v>0</v>
      </c>
      <c r="O113" s="554">
        <f t="shared" si="117"/>
        <v>0</v>
      </c>
      <c r="P113" s="555" t="e">
        <f>(O113/O270)*100</f>
        <v>#DIV/0!</v>
      </c>
      <c r="Q113" s="570"/>
      <c r="R113" s="555" t="e">
        <f t="shared" si="118"/>
        <v>#DIV/0!</v>
      </c>
      <c r="S113" s="568">
        <f t="shared" si="119"/>
        <v>0</v>
      </c>
      <c r="T113" s="564"/>
      <c r="U113" s="565"/>
      <c r="V113" s="2569"/>
      <c r="W113" s="571"/>
      <c r="X113" s="566">
        <f t="shared" si="120"/>
        <v>0</v>
      </c>
      <c r="Y113" s="566">
        <f t="shared" si="121"/>
        <v>0</v>
      </c>
      <c r="Z113" s="566">
        <f t="shared" si="122"/>
        <v>0</v>
      </c>
      <c r="AA113" s="566">
        <f t="shared" si="123"/>
        <v>0</v>
      </c>
      <c r="AB113" s="566">
        <f t="shared" si="124"/>
        <v>0</v>
      </c>
      <c r="AC113" s="566">
        <f t="shared" si="125"/>
        <v>0</v>
      </c>
      <c r="AD113" s="566">
        <f t="shared" si="126"/>
        <v>0</v>
      </c>
      <c r="AE113" s="566">
        <f t="shared" si="127"/>
        <v>0</v>
      </c>
      <c r="AF113" s="566">
        <f t="shared" si="128"/>
        <v>0</v>
      </c>
      <c r="AG113" s="566">
        <f t="shared" si="129"/>
        <v>0</v>
      </c>
      <c r="AH113" s="573"/>
    </row>
    <row r="114" spans="1:34" ht="25.15" customHeight="1">
      <c r="A114" s="543">
        <v>92</v>
      </c>
      <c r="B114" s="546" t="s">
        <v>1567</v>
      </c>
      <c r="C114" s="541" t="str">
        <f>'LAP. PENJUALAN '!C114</f>
        <v>Beef cheese Burger + Lemon Tea</v>
      </c>
      <c r="D114" s="542"/>
      <c r="E114" s="542"/>
      <c r="F114" s="542"/>
      <c r="G114" s="542"/>
      <c r="H114" s="542"/>
      <c r="I114" s="542"/>
      <c r="J114" s="542"/>
      <c r="K114" s="542"/>
      <c r="L114" s="542"/>
      <c r="M114" s="542"/>
      <c r="N114" s="554">
        <f t="shared" si="116"/>
        <v>0</v>
      </c>
      <c r="O114" s="554">
        <f t="shared" si="117"/>
        <v>0</v>
      </c>
      <c r="P114" s="555" t="e">
        <f>(O114/O270)*100</f>
        <v>#DIV/0!</v>
      </c>
      <c r="Q114" s="570"/>
      <c r="R114" s="555" t="e">
        <f t="shared" si="118"/>
        <v>#DIV/0!</v>
      </c>
      <c r="S114" s="568">
        <f t="shared" si="119"/>
        <v>0</v>
      </c>
      <c r="T114" s="564"/>
      <c r="U114" s="565"/>
      <c r="V114" s="2569"/>
      <c r="W114" s="571"/>
      <c r="X114" s="566">
        <f t="shared" si="120"/>
        <v>0</v>
      </c>
      <c r="Y114" s="566">
        <f t="shared" si="121"/>
        <v>0</v>
      </c>
      <c r="Z114" s="566">
        <f t="shared" si="122"/>
        <v>0</v>
      </c>
      <c r="AA114" s="566">
        <f t="shared" si="123"/>
        <v>0</v>
      </c>
      <c r="AB114" s="566">
        <f t="shared" si="124"/>
        <v>0</v>
      </c>
      <c r="AC114" s="566">
        <f t="shared" si="125"/>
        <v>0</v>
      </c>
      <c r="AD114" s="566">
        <f t="shared" si="126"/>
        <v>0</v>
      </c>
      <c r="AE114" s="566">
        <f t="shared" si="127"/>
        <v>0</v>
      </c>
      <c r="AF114" s="566">
        <f t="shared" si="128"/>
        <v>0</v>
      </c>
      <c r="AG114" s="566">
        <f t="shared" si="129"/>
        <v>0</v>
      </c>
      <c r="AH114" s="573"/>
    </row>
    <row r="115" spans="1:34" ht="25.15" customHeight="1">
      <c r="A115" s="543">
        <v>93</v>
      </c>
      <c r="B115" s="546" t="s">
        <v>1568</v>
      </c>
      <c r="C115" s="541" t="str">
        <f>'LAP. PENJUALAN '!C115</f>
        <v>Beef Steak</v>
      </c>
      <c r="D115" s="542"/>
      <c r="E115" s="542"/>
      <c r="F115" s="542"/>
      <c r="G115" s="542"/>
      <c r="H115" s="542"/>
      <c r="I115" s="542"/>
      <c r="J115" s="542"/>
      <c r="K115" s="542"/>
      <c r="L115" s="542"/>
      <c r="M115" s="542"/>
      <c r="N115" s="554">
        <f t="shared" si="116"/>
        <v>0</v>
      </c>
      <c r="O115" s="554">
        <f t="shared" si="117"/>
        <v>0</v>
      </c>
      <c r="P115" s="555" t="e">
        <f>(O115/O270)*100</f>
        <v>#DIV/0!</v>
      </c>
      <c r="Q115" s="570"/>
      <c r="R115" s="555" t="e">
        <f t="shared" si="118"/>
        <v>#DIV/0!</v>
      </c>
      <c r="S115" s="568">
        <f t="shared" si="119"/>
        <v>0</v>
      </c>
      <c r="T115" s="564"/>
      <c r="U115" s="565"/>
      <c r="V115" s="2569"/>
      <c r="W115" s="571"/>
      <c r="X115" s="566">
        <f t="shared" si="120"/>
        <v>0</v>
      </c>
      <c r="Y115" s="566">
        <f t="shared" si="121"/>
        <v>0</v>
      </c>
      <c r="Z115" s="566">
        <f t="shared" si="122"/>
        <v>0</v>
      </c>
      <c r="AA115" s="566">
        <f t="shared" si="123"/>
        <v>0</v>
      </c>
      <c r="AB115" s="566">
        <f t="shared" si="124"/>
        <v>0</v>
      </c>
      <c r="AC115" s="566">
        <f t="shared" si="125"/>
        <v>0</v>
      </c>
      <c r="AD115" s="566">
        <f t="shared" si="126"/>
        <v>0</v>
      </c>
      <c r="AE115" s="566">
        <f t="shared" si="127"/>
        <v>0</v>
      </c>
      <c r="AF115" s="566">
        <f t="shared" si="128"/>
        <v>0</v>
      </c>
      <c r="AG115" s="566">
        <f t="shared" si="129"/>
        <v>0</v>
      </c>
      <c r="AH115" s="573"/>
    </row>
    <row r="116" spans="1:34" ht="25.15" customHeight="1">
      <c r="A116" s="543">
        <v>94</v>
      </c>
      <c r="B116" s="546" t="s">
        <v>1569</v>
      </c>
      <c r="C116" s="541" t="str">
        <f>'LAP. PENJUALAN '!C116</f>
        <v>Beef Steak + Lemon Tea</v>
      </c>
      <c r="D116" s="542"/>
      <c r="E116" s="542"/>
      <c r="F116" s="542"/>
      <c r="G116" s="542"/>
      <c r="H116" s="542"/>
      <c r="I116" s="542"/>
      <c r="J116" s="542"/>
      <c r="K116" s="542"/>
      <c r="L116" s="542"/>
      <c r="M116" s="542"/>
      <c r="N116" s="554">
        <f t="shared" si="116"/>
        <v>0</v>
      </c>
      <c r="O116" s="554">
        <f t="shared" si="117"/>
        <v>0</v>
      </c>
      <c r="P116" s="555" t="e">
        <f>(O116/O270)*100</f>
        <v>#DIV/0!</v>
      </c>
      <c r="Q116" s="570"/>
      <c r="R116" s="555" t="e">
        <f t="shared" si="118"/>
        <v>#DIV/0!</v>
      </c>
      <c r="S116" s="568">
        <f t="shared" si="119"/>
        <v>0</v>
      </c>
      <c r="T116" s="564"/>
      <c r="U116" s="565"/>
      <c r="V116" s="2569"/>
      <c r="W116" s="571"/>
      <c r="X116" s="566">
        <f t="shared" si="120"/>
        <v>0</v>
      </c>
      <c r="Y116" s="566">
        <f t="shared" si="121"/>
        <v>0</v>
      </c>
      <c r="Z116" s="566">
        <f t="shared" si="122"/>
        <v>0</v>
      </c>
      <c r="AA116" s="566">
        <f t="shared" si="123"/>
        <v>0</v>
      </c>
      <c r="AB116" s="566">
        <f t="shared" si="124"/>
        <v>0</v>
      </c>
      <c r="AC116" s="566">
        <f t="shared" si="125"/>
        <v>0</v>
      </c>
      <c r="AD116" s="566">
        <f t="shared" si="126"/>
        <v>0</v>
      </c>
      <c r="AE116" s="566">
        <f t="shared" si="127"/>
        <v>0</v>
      </c>
      <c r="AF116" s="566">
        <f t="shared" si="128"/>
        <v>0</v>
      </c>
      <c r="AG116" s="566">
        <f t="shared" si="129"/>
        <v>0</v>
      </c>
      <c r="AH116" s="573"/>
    </row>
    <row r="117" spans="1:34" ht="25.15" customHeight="1">
      <c r="A117" s="543">
        <v>95</v>
      </c>
      <c r="B117" s="546"/>
      <c r="C117" s="541" t="str">
        <f>'LAP. PENJUALAN '!C117</f>
        <v>Beef Steak + Lemon Tea + Nasi</v>
      </c>
      <c r="D117" s="542"/>
      <c r="E117" s="542"/>
      <c r="F117" s="542"/>
      <c r="G117" s="542"/>
      <c r="H117" s="542"/>
      <c r="I117" s="542"/>
      <c r="J117" s="542"/>
      <c r="K117" s="542"/>
      <c r="L117" s="542"/>
      <c r="M117" s="542"/>
      <c r="N117" s="554">
        <f t="shared" si="116"/>
        <v>0</v>
      </c>
      <c r="O117" s="554">
        <f t="shared" si="117"/>
        <v>0</v>
      </c>
      <c r="P117" s="555" t="e">
        <f>(O117/O270)*100</f>
        <v>#DIV/0!</v>
      </c>
      <c r="Q117" s="570"/>
      <c r="R117" s="555" t="e">
        <f t="shared" si="118"/>
        <v>#DIV/0!</v>
      </c>
      <c r="S117" s="568">
        <f t="shared" si="119"/>
        <v>0</v>
      </c>
      <c r="T117" s="564"/>
      <c r="U117" s="565"/>
      <c r="V117" s="2569"/>
      <c r="W117" s="571"/>
      <c r="X117" s="566">
        <f t="shared" si="120"/>
        <v>0</v>
      </c>
      <c r="Y117" s="566">
        <f t="shared" si="121"/>
        <v>0</v>
      </c>
      <c r="Z117" s="566">
        <f t="shared" si="122"/>
        <v>0</v>
      </c>
      <c r="AA117" s="566">
        <f t="shared" si="123"/>
        <v>0</v>
      </c>
      <c r="AB117" s="566">
        <f t="shared" si="124"/>
        <v>0</v>
      </c>
      <c r="AC117" s="566">
        <f t="shared" si="125"/>
        <v>0</v>
      </c>
      <c r="AD117" s="566">
        <f t="shared" si="126"/>
        <v>0</v>
      </c>
      <c r="AE117" s="566">
        <f t="shared" si="127"/>
        <v>0</v>
      </c>
      <c r="AF117" s="566">
        <f t="shared" si="128"/>
        <v>0</v>
      </c>
      <c r="AG117" s="566">
        <f t="shared" si="129"/>
        <v>0</v>
      </c>
      <c r="AH117" s="573"/>
    </row>
    <row r="118" spans="1:34" ht="25.15" customHeight="1">
      <c r="A118" s="543"/>
      <c r="B118" s="546" t="s">
        <v>1398</v>
      </c>
      <c r="C118" s="541"/>
      <c r="D118" s="542"/>
      <c r="E118" s="542"/>
      <c r="F118" s="542"/>
      <c r="G118" s="542"/>
      <c r="H118" s="542"/>
      <c r="I118" s="542"/>
      <c r="J118" s="542"/>
      <c r="K118" s="542"/>
      <c r="L118" s="542"/>
      <c r="M118" s="542"/>
      <c r="N118" s="554">
        <f t="shared" si="116"/>
        <v>0</v>
      </c>
      <c r="O118" s="554">
        <f t="shared" si="117"/>
        <v>0</v>
      </c>
      <c r="P118" s="555" t="e">
        <f>(O118/O270)*100</f>
        <v>#DIV/0!</v>
      </c>
      <c r="Q118" s="570"/>
      <c r="R118" s="555" t="e">
        <f t="shared" si="118"/>
        <v>#DIV/0!</v>
      </c>
      <c r="S118" s="568">
        <f t="shared" si="119"/>
        <v>0</v>
      </c>
      <c r="T118" s="564"/>
      <c r="U118" s="565"/>
      <c r="V118" s="2569"/>
      <c r="W118" s="571"/>
      <c r="X118" s="566">
        <f t="shared" si="120"/>
        <v>0</v>
      </c>
      <c r="Y118" s="566">
        <f t="shared" si="121"/>
        <v>0</v>
      </c>
      <c r="Z118" s="566">
        <f t="shared" si="122"/>
        <v>0</v>
      </c>
      <c r="AA118" s="566">
        <f t="shared" si="123"/>
        <v>0</v>
      </c>
      <c r="AB118" s="566">
        <f t="shared" si="124"/>
        <v>0</v>
      </c>
      <c r="AC118" s="566">
        <f t="shared" si="125"/>
        <v>0</v>
      </c>
      <c r="AD118" s="566">
        <f t="shared" si="126"/>
        <v>0</v>
      </c>
      <c r="AE118" s="566">
        <f t="shared" si="127"/>
        <v>0</v>
      </c>
      <c r="AF118" s="566">
        <f t="shared" si="128"/>
        <v>0</v>
      </c>
      <c r="AG118" s="566">
        <f t="shared" si="129"/>
        <v>0</v>
      </c>
      <c r="AH118" s="573"/>
    </row>
    <row r="119" spans="1:34" ht="25.15" customHeight="1">
      <c r="A119" s="543">
        <v>96</v>
      </c>
      <c r="B119" s="546" t="s">
        <v>1399</v>
      </c>
      <c r="C119" s="541" t="str">
        <f>'LAP. PENJUALAN '!C119</f>
        <v>Dada / Paha Atas Hot Spicy</v>
      </c>
      <c r="D119" s="542"/>
      <c r="E119" s="542"/>
      <c r="F119" s="542"/>
      <c r="G119" s="542"/>
      <c r="H119" s="542"/>
      <c r="I119" s="542"/>
      <c r="J119" s="542"/>
      <c r="K119" s="542"/>
      <c r="L119" s="542"/>
      <c r="M119" s="542"/>
      <c r="N119" s="554">
        <f t="shared" si="116"/>
        <v>0</v>
      </c>
      <c r="O119" s="554">
        <f t="shared" si="117"/>
        <v>0</v>
      </c>
      <c r="P119" s="555" t="e">
        <f>(O119/O270)*100</f>
        <v>#DIV/0!</v>
      </c>
      <c r="Q119" s="570"/>
      <c r="R119" s="555" t="e">
        <f t="shared" si="118"/>
        <v>#DIV/0!</v>
      </c>
      <c r="S119" s="568">
        <f t="shared" si="119"/>
        <v>0</v>
      </c>
      <c r="T119" s="564"/>
      <c r="U119" s="565"/>
      <c r="V119" s="2569"/>
      <c r="W119" s="571"/>
      <c r="X119" s="566">
        <f t="shared" si="120"/>
        <v>0</v>
      </c>
      <c r="Y119" s="566">
        <f t="shared" si="121"/>
        <v>0</v>
      </c>
      <c r="Z119" s="566">
        <f t="shared" si="122"/>
        <v>0</v>
      </c>
      <c r="AA119" s="566">
        <f t="shared" si="123"/>
        <v>0</v>
      </c>
      <c r="AB119" s="566">
        <f t="shared" si="124"/>
        <v>0</v>
      </c>
      <c r="AC119" s="566">
        <f t="shared" si="125"/>
        <v>0</v>
      </c>
      <c r="AD119" s="566">
        <f t="shared" si="126"/>
        <v>0</v>
      </c>
      <c r="AE119" s="566">
        <f t="shared" si="127"/>
        <v>0</v>
      </c>
      <c r="AF119" s="566">
        <f t="shared" si="128"/>
        <v>0</v>
      </c>
      <c r="AG119" s="566">
        <f t="shared" si="129"/>
        <v>0</v>
      </c>
      <c r="AH119" s="573"/>
    </row>
    <row r="120" spans="1:34" ht="25.15" customHeight="1">
      <c r="A120" s="543">
        <v>97</v>
      </c>
      <c r="B120" s="546"/>
      <c r="C120" s="541" t="str">
        <f>'LAP. PENJUALAN '!C120</f>
        <v>Paha Bawah Hot Spicy</v>
      </c>
      <c r="D120" s="542"/>
      <c r="E120" s="542"/>
      <c r="F120" s="542"/>
      <c r="G120" s="542"/>
      <c r="H120" s="542"/>
      <c r="I120" s="542"/>
      <c r="J120" s="542"/>
      <c r="K120" s="542"/>
      <c r="L120" s="542"/>
      <c r="M120" s="542"/>
      <c r="N120" s="554">
        <f t="shared" si="116"/>
        <v>0</v>
      </c>
      <c r="O120" s="554">
        <f t="shared" si="117"/>
        <v>0</v>
      </c>
      <c r="P120" s="555" t="e">
        <f>(O120/O270)*100</f>
        <v>#DIV/0!</v>
      </c>
      <c r="Q120" s="570"/>
      <c r="R120" s="555" t="e">
        <f t="shared" si="118"/>
        <v>#DIV/0!</v>
      </c>
      <c r="S120" s="568">
        <f t="shared" si="119"/>
        <v>0</v>
      </c>
      <c r="T120" s="564"/>
      <c r="U120" s="565"/>
      <c r="V120" s="2569"/>
      <c r="W120" s="571"/>
      <c r="X120" s="566">
        <f t="shared" si="120"/>
        <v>0</v>
      </c>
      <c r="Y120" s="566">
        <f t="shared" si="121"/>
        <v>0</v>
      </c>
      <c r="Z120" s="566">
        <f t="shared" si="122"/>
        <v>0</v>
      </c>
      <c r="AA120" s="566">
        <f t="shared" si="123"/>
        <v>0</v>
      </c>
      <c r="AB120" s="566">
        <f t="shared" si="124"/>
        <v>0</v>
      </c>
      <c r="AC120" s="566">
        <f t="shared" si="125"/>
        <v>0</v>
      </c>
      <c r="AD120" s="566">
        <f t="shared" si="126"/>
        <v>0</v>
      </c>
      <c r="AE120" s="566">
        <f t="shared" si="127"/>
        <v>0</v>
      </c>
      <c r="AF120" s="566">
        <f t="shared" si="128"/>
        <v>0</v>
      </c>
      <c r="AG120" s="566">
        <f t="shared" si="129"/>
        <v>0</v>
      </c>
      <c r="AH120" s="573"/>
    </row>
    <row r="121" spans="1:34" ht="25.15" customHeight="1">
      <c r="A121" s="543">
        <v>98</v>
      </c>
      <c r="B121" s="546" t="s">
        <v>1349</v>
      </c>
      <c r="C121" s="541" t="str">
        <f>'LAP. PENJUALAN '!C121</f>
        <v>Sayap Hot Spicy</v>
      </c>
      <c r="D121" s="542"/>
      <c r="E121" s="542"/>
      <c r="F121" s="542"/>
      <c r="G121" s="542"/>
      <c r="H121" s="542"/>
      <c r="I121" s="542"/>
      <c r="J121" s="542"/>
      <c r="K121" s="542"/>
      <c r="L121" s="542"/>
      <c r="M121" s="542"/>
      <c r="N121" s="554">
        <f t="shared" si="116"/>
        <v>0</v>
      </c>
      <c r="O121" s="554">
        <f t="shared" si="117"/>
        <v>0</v>
      </c>
      <c r="P121" s="555" t="e">
        <f>(O121/O270)*100</f>
        <v>#DIV/0!</v>
      </c>
      <c r="Q121" s="570"/>
      <c r="R121" s="555" t="e">
        <f t="shared" si="118"/>
        <v>#DIV/0!</v>
      </c>
      <c r="S121" s="568">
        <f t="shared" si="119"/>
        <v>0</v>
      </c>
      <c r="T121" s="564"/>
      <c r="U121" s="565"/>
      <c r="V121" s="2569"/>
      <c r="W121" s="571"/>
      <c r="X121" s="566">
        <f t="shared" si="120"/>
        <v>0</v>
      </c>
      <c r="Y121" s="566">
        <f t="shared" si="121"/>
        <v>0</v>
      </c>
      <c r="Z121" s="566">
        <f t="shared" si="122"/>
        <v>0</v>
      </c>
      <c r="AA121" s="566">
        <f t="shared" si="123"/>
        <v>0</v>
      </c>
      <c r="AB121" s="566">
        <f t="shared" si="124"/>
        <v>0</v>
      </c>
      <c r="AC121" s="566">
        <f t="shared" si="125"/>
        <v>0</v>
      </c>
      <c r="AD121" s="566">
        <f t="shared" si="126"/>
        <v>0</v>
      </c>
      <c r="AE121" s="566">
        <f t="shared" si="127"/>
        <v>0</v>
      </c>
      <c r="AF121" s="566">
        <f t="shared" si="128"/>
        <v>0</v>
      </c>
      <c r="AG121" s="566">
        <f t="shared" si="129"/>
        <v>0</v>
      </c>
      <c r="AH121" s="573"/>
    </row>
    <row r="122" spans="1:34" ht="25.15" customHeight="1">
      <c r="A122" s="543">
        <v>99</v>
      </c>
      <c r="B122" s="546" t="s">
        <v>1350</v>
      </c>
      <c r="C122" s="541" t="str">
        <f>'LAP. PENJUALAN '!C122</f>
        <v>P. Hot Spicy 1 (Lemon Tea)</v>
      </c>
      <c r="D122" s="542"/>
      <c r="E122" s="542"/>
      <c r="F122" s="542"/>
      <c r="G122" s="542"/>
      <c r="H122" s="542"/>
      <c r="I122" s="542"/>
      <c r="J122" s="542"/>
      <c r="K122" s="542"/>
      <c r="L122" s="542"/>
      <c r="M122" s="542"/>
      <c r="N122" s="554">
        <f t="shared" si="116"/>
        <v>0</v>
      </c>
      <c r="O122" s="554">
        <f t="shared" si="117"/>
        <v>0</v>
      </c>
      <c r="P122" s="555" t="e">
        <f>(O122/O270)*100</f>
        <v>#DIV/0!</v>
      </c>
      <c r="Q122" s="570"/>
      <c r="R122" s="555" t="e">
        <f t="shared" si="118"/>
        <v>#DIV/0!</v>
      </c>
      <c r="S122" s="568">
        <f t="shared" si="119"/>
        <v>0</v>
      </c>
      <c r="T122" s="564"/>
      <c r="U122" s="565"/>
      <c r="V122" s="2569"/>
      <c r="X122" s="566">
        <f t="shared" si="120"/>
        <v>0</v>
      </c>
      <c r="Y122" s="566">
        <f t="shared" si="121"/>
        <v>0</v>
      </c>
      <c r="Z122" s="566">
        <f t="shared" si="122"/>
        <v>0</v>
      </c>
      <c r="AA122" s="566">
        <f t="shared" si="123"/>
        <v>0</v>
      </c>
      <c r="AB122" s="566">
        <f t="shared" si="124"/>
        <v>0</v>
      </c>
      <c r="AC122" s="566">
        <f t="shared" si="125"/>
        <v>0</v>
      </c>
      <c r="AD122" s="566">
        <f t="shared" si="126"/>
        <v>0</v>
      </c>
      <c r="AE122" s="566">
        <f t="shared" si="127"/>
        <v>0</v>
      </c>
      <c r="AF122" s="566">
        <f t="shared" si="128"/>
        <v>0</v>
      </c>
      <c r="AG122" s="566">
        <f t="shared" si="129"/>
        <v>0</v>
      </c>
      <c r="AH122" s="573"/>
    </row>
    <row r="123" spans="1:34" ht="25.15" customHeight="1">
      <c r="A123" s="543">
        <v>100</v>
      </c>
      <c r="B123" s="546" t="s">
        <v>1351</v>
      </c>
      <c r="C123" s="541" t="str">
        <f>'LAP. PENJUALAN '!C123</f>
        <v>P. Hot Spicy 2 (Lemon Tea)</v>
      </c>
      <c r="D123" s="542"/>
      <c r="E123" s="542"/>
      <c r="F123" s="542"/>
      <c r="G123" s="542"/>
      <c r="H123" s="542"/>
      <c r="I123" s="542"/>
      <c r="J123" s="542"/>
      <c r="K123" s="542"/>
      <c r="L123" s="542"/>
      <c r="M123" s="542"/>
      <c r="N123" s="554">
        <f t="shared" si="116"/>
        <v>0</v>
      </c>
      <c r="O123" s="554">
        <f t="shared" si="117"/>
        <v>0</v>
      </c>
      <c r="P123" s="555" t="e">
        <f>(O123/O270)*100</f>
        <v>#DIV/0!</v>
      </c>
      <c r="Q123" s="570"/>
      <c r="R123" s="555" t="e">
        <f t="shared" si="118"/>
        <v>#DIV/0!</v>
      </c>
      <c r="S123" s="568">
        <f t="shared" si="119"/>
        <v>0</v>
      </c>
      <c r="T123" s="564"/>
      <c r="U123" s="565"/>
      <c r="V123" s="2569"/>
      <c r="X123" s="566">
        <f t="shared" si="120"/>
        <v>0</v>
      </c>
      <c r="Y123" s="566">
        <f t="shared" si="121"/>
        <v>0</v>
      </c>
      <c r="Z123" s="566">
        <f t="shared" si="122"/>
        <v>0</v>
      </c>
      <c r="AA123" s="566">
        <f t="shared" si="123"/>
        <v>0</v>
      </c>
      <c r="AB123" s="566">
        <f t="shared" si="124"/>
        <v>0</v>
      </c>
      <c r="AC123" s="566">
        <f t="shared" si="125"/>
        <v>0</v>
      </c>
      <c r="AD123" s="566">
        <f t="shared" si="126"/>
        <v>0</v>
      </c>
      <c r="AE123" s="566">
        <f t="shared" si="127"/>
        <v>0</v>
      </c>
      <c r="AF123" s="566">
        <f t="shared" si="128"/>
        <v>0</v>
      </c>
      <c r="AG123" s="566">
        <f t="shared" si="129"/>
        <v>0</v>
      </c>
      <c r="AH123" s="573"/>
    </row>
    <row r="124" spans="1:34" ht="25.15" customHeight="1">
      <c r="A124" s="543">
        <v>101</v>
      </c>
      <c r="B124" s="546" t="s">
        <v>1352</v>
      </c>
      <c r="C124" s="541" t="str">
        <f>'LAP. PENJUALAN '!C124</f>
        <v>P. Hot Spicy 3 (Lemon Tea)</v>
      </c>
      <c r="D124" s="542"/>
      <c r="E124" s="542"/>
      <c r="F124" s="542"/>
      <c r="G124" s="542"/>
      <c r="H124" s="542"/>
      <c r="I124" s="542"/>
      <c r="J124" s="542"/>
      <c r="K124" s="542"/>
      <c r="L124" s="542"/>
      <c r="M124" s="542"/>
      <c r="N124" s="554">
        <f t="shared" si="116"/>
        <v>0</v>
      </c>
      <c r="O124" s="554">
        <f t="shared" si="117"/>
        <v>0</v>
      </c>
      <c r="P124" s="555" t="e">
        <f>(O124/O270)*100</f>
        <v>#DIV/0!</v>
      </c>
      <c r="Q124" s="570"/>
      <c r="R124" s="555" t="e">
        <f t="shared" si="118"/>
        <v>#DIV/0!</v>
      </c>
      <c r="S124" s="568">
        <f t="shared" si="119"/>
        <v>0</v>
      </c>
      <c r="T124" s="564"/>
      <c r="U124" s="565"/>
      <c r="V124" s="2569"/>
      <c r="X124" s="566">
        <f t="shared" si="120"/>
        <v>0</v>
      </c>
      <c r="Y124" s="566">
        <f t="shared" si="121"/>
        <v>0</v>
      </c>
      <c r="Z124" s="566">
        <f t="shared" si="122"/>
        <v>0</v>
      </c>
      <c r="AA124" s="566">
        <f t="shared" si="123"/>
        <v>0</v>
      </c>
      <c r="AB124" s="566">
        <f t="shared" si="124"/>
        <v>0</v>
      </c>
      <c r="AC124" s="566">
        <f t="shared" si="125"/>
        <v>0</v>
      </c>
      <c r="AD124" s="566">
        <f t="shared" si="126"/>
        <v>0</v>
      </c>
      <c r="AE124" s="566">
        <f t="shared" si="127"/>
        <v>0</v>
      </c>
      <c r="AF124" s="566">
        <f t="shared" si="128"/>
        <v>0</v>
      </c>
      <c r="AG124" s="566">
        <f t="shared" si="129"/>
        <v>0</v>
      </c>
      <c r="AH124" s="573"/>
    </row>
    <row r="125" spans="1:34" ht="25.15" customHeight="1">
      <c r="A125" s="543">
        <v>102</v>
      </c>
      <c r="B125" s="546"/>
      <c r="C125" s="541" t="str">
        <f>'LAP. PENJUALAN '!C125</f>
        <v>P. Hot Spicy 1 Green Crispy (Es Teh / S-tee)</v>
      </c>
      <c r="D125" s="542"/>
      <c r="E125" s="542"/>
      <c r="F125" s="542"/>
      <c r="G125" s="542"/>
      <c r="H125" s="542"/>
      <c r="I125" s="542"/>
      <c r="J125" s="542"/>
      <c r="K125" s="542"/>
      <c r="L125" s="542"/>
      <c r="M125" s="542"/>
      <c r="N125" s="554">
        <f t="shared" si="116"/>
        <v>0</v>
      </c>
      <c r="O125" s="554">
        <f t="shared" si="117"/>
        <v>0</v>
      </c>
      <c r="P125" s="555" t="e">
        <f>(O125/O270)*100</f>
        <v>#DIV/0!</v>
      </c>
      <c r="Q125" s="570"/>
      <c r="R125" s="555" t="e">
        <f t="shared" si="118"/>
        <v>#DIV/0!</v>
      </c>
      <c r="S125" s="568">
        <f t="shared" si="119"/>
        <v>0</v>
      </c>
      <c r="T125" s="564"/>
      <c r="U125" s="569"/>
      <c r="V125" s="2569"/>
      <c r="X125" s="566">
        <f t="shared" si="120"/>
        <v>0</v>
      </c>
      <c r="Y125" s="566">
        <f t="shared" si="121"/>
        <v>0</v>
      </c>
      <c r="Z125" s="566">
        <f t="shared" si="122"/>
        <v>0</v>
      </c>
      <c r="AA125" s="566">
        <f t="shared" si="123"/>
        <v>0</v>
      </c>
      <c r="AB125" s="566">
        <f t="shared" si="124"/>
        <v>0</v>
      </c>
      <c r="AC125" s="566">
        <f t="shared" si="125"/>
        <v>0</v>
      </c>
      <c r="AD125" s="566">
        <f t="shared" si="126"/>
        <v>0</v>
      </c>
      <c r="AE125" s="566">
        <f t="shared" si="127"/>
        <v>0</v>
      </c>
      <c r="AF125" s="566">
        <f t="shared" si="128"/>
        <v>0</v>
      </c>
      <c r="AG125" s="566">
        <f t="shared" si="129"/>
        <v>0</v>
      </c>
      <c r="AH125" s="573"/>
    </row>
    <row r="126" spans="1:34" ht="25.15" customHeight="1">
      <c r="A126" s="543">
        <v>103</v>
      </c>
      <c r="B126" s="546" t="s">
        <v>1570</v>
      </c>
      <c r="C126" s="541" t="str">
        <f>'LAP. PENJUALAN '!C126</f>
        <v>P. Hot Spicy 2 Green Crispy (Es Teh / S-tee)</v>
      </c>
      <c r="D126" s="542"/>
      <c r="E126" s="542"/>
      <c r="F126" s="542"/>
      <c r="G126" s="542"/>
      <c r="H126" s="542"/>
      <c r="I126" s="542"/>
      <c r="J126" s="542"/>
      <c r="K126" s="542"/>
      <c r="L126" s="542"/>
      <c r="M126" s="542"/>
      <c r="N126" s="554">
        <f t="shared" si="116"/>
        <v>0</v>
      </c>
      <c r="O126" s="554">
        <f t="shared" si="117"/>
        <v>0</v>
      </c>
      <c r="P126" s="555" t="e">
        <f>(O126/O270)*100</f>
        <v>#DIV/0!</v>
      </c>
      <c r="Q126" s="570"/>
      <c r="R126" s="555" t="e">
        <f t="shared" si="118"/>
        <v>#DIV/0!</v>
      </c>
      <c r="S126" s="568">
        <f t="shared" si="119"/>
        <v>0</v>
      </c>
      <c r="T126" s="564"/>
      <c r="U126" s="569"/>
      <c r="V126" s="2569"/>
      <c r="X126" s="566">
        <f t="shared" si="120"/>
        <v>0</v>
      </c>
      <c r="Y126" s="566">
        <f t="shared" si="121"/>
        <v>0</v>
      </c>
      <c r="Z126" s="566">
        <f t="shared" si="122"/>
        <v>0</v>
      </c>
      <c r="AA126" s="566">
        <f t="shared" si="123"/>
        <v>0</v>
      </c>
      <c r="AB126" s="566">
        <f t="shared" si="124"/>
        <v>0</v>
      </c>
      <c r="AC126" s="566">
        <f t="shared" si="125"/>
        <v>0</v>
      </c>
      <c r="AD126" s="566">
        <f t="shared" si="126"/>
        <v>0</v>
      </c>
      <c r="AE126" s="566">
        <f t="shared" si="127"/>
        <v>0</v>
      </c>
      <c r="AF126" s="566">
        <f t="shared" si="128"/>
        <v>0</v>
      </c>
      <c r="AG126" s="566">
        <f t="shared" si="129"/>
        <v>0</v>
      </c>
      <c r="AH126" s="573"/>
    </row>
    <row r="127" spans="1:34" ht="25.15" customHeight="1">
      <c r="A127" s="543">
        <v>104</v>
      </c>
      <c r="B127" s="546"/>
      <c r="C127" s="541" t="str">
        <f>'LAP. PENJUALAN '!C127</f>
        <v>P. Hot Spicy 3 Green Crispy (Es Teh / S-tee)</v>
      </c>
      <c r="D127" s="542"/>
      <c r="E127" s="542"/>
      <c r="F127" s="542"/>
      <c r="G127" s="542"/>
      <c r="H127" s="542"/>
      <c r="I127" s="542"/>
      <c r="J127" s="542"/>
      <c r="K127" s="542"/>
      <c r="L127" s="542"/>
      <c r="M127" s="542"/>
      <c r="N127" s="554">
        <f t="shared" si="116"/>
        <v>0</v>
      </c>
      <c r="O127" s="554">
        <f t="shared" si="117"/>
        <v>0</v>
      </c>
      <c r="P127" s="555" t="e">
        <f>(O127/O270)*100</f>
        <v>#DIV/0!</v>
      </c>
      <c r="Q127" s="570"/>
      <c r="R127" s="555" t="e">
        <f t="shared" si="118"/>
        <v>#DIV/0!</v>
      </c>
      <c r="S127" s="568">
        <f t="shared" si="119"/>
        <v>0</v>
      </c>
      <c r="T127" s="564"/>
      <c r="U127" s="569"/>
      <c r="V127" s="2569"/>
      <c r="X127" s="566">
        <f t="shared" si="120"/>
        <v>0</v>
      </c>
      <c r="Y127" s="566">
        <f t="shared" si="121"/>
        <v>0</v>
      </c>
      <c r="Z127" s="566">
        <f t="shared" si="122"/>
        <v>0</v>
      </c>
      <c r="AA127" s="566">
        <f t="shared" si="123"/>
        <v>0</v>
      </c>
      <c r="AB127" s="566">
        <f t="shared" si="124"/>
        <v>0</v>
      </c>
      <c r="AC127" s="566">
        <f t="shared" si="125"/>
        <v>0</v>
      </c>
      <c r="AD127" s="566">
        <f t="shared" si="126"/>
        <v>0</v>
      </c>
      <c r="AE127" s="566">
        <f t="shared" si="127"/>
        <v>0</v>
      </c>
      <c r="AF127" s="566">
        <f t="shared" si="128"/>
        <v>0</v>
      </c>
      <c r="AG127" s="566">
        <f t="shared" si="129"/>
        <v>0</v>
      </c>
      <c r="AH127" s="573"/>
    </row>
    <row r="128" spans="1:34" ht="25.15" customHeight="1">
      <c r="A128" s="543"/>
      <c r="B128" s="546" t="s">
        <v>1360</v>
      </c>
      <c r="C128" s="541"/>
      <c r="D128" s="542"/>
      <c r="E128" s="542"/>
      <c r="F128" s="542"/>
      <c r="G128" s="542"/>
      <c r="H128" s="542"/>
      <c r="I128" s="542"/>
      <c r="J128" s="542"/>
      <c r="K128" s="542"/>
      <c r="L128" s="542"/>
      <c r="M128" s="542"/>
      <c r="N128" s="554">
        <f t="shared" si="116"/>
        <v>0</v>
      </c>
      <c r="O128" s="554">
        <f t="shared" si="117"/>
        <v>0</v>
      </c>
      <c r="P128" s="555" t="e">
        <f>(O128/O270)*100</f>
        <v>#DIV/0!</v>
      </c>
      <c r="Q128" s="570"/>
      <c r="R128" s="555" t="e">
        <f t="shared" si="118"/>
        <v>#DIV/0!</v>
      </c>
      <c r="S128" s="568">
        <f t="shared" si="119"/>
        <v>0</v>
      </c>
      <c r="T128" s="564"/>
      <c r="U128" s="569"/>
      <c r="V128" s="2569"/>
      <c r="X128" s="566">
        <f t="shared" si="120"/>
        <v>0</v>
      </c>
      <c r="Y128" s="566">
        <f t="shared" si="121"/>
        <v>0</v>
      </c>
      <c r="Z128" s="566">
        <f t="shared" si="122"/>
        <v>0</v>
      </c>
      <c r="AA128" s="566">
        <f t="shared" si="123"/>
        <v>0</v>
      </c>
      <c r="AB128" s="566">
        <f t="shared" si="124"/>
        <v>0</v>
      </c>
      <c r="AC128" s="566">
        <f t="shared" si="125"/>
        <v>0</v>
      </c>
      <c r="AD128" s="566">
        <f t="shared" si="126"/>
        <v>0</v>
      </c>
      <c r="AE128" s="566">
        <f t="shared" si="127"/>
        <v>0</v>
      </c>
      <c r="AF128" s="566">
        <f t="shared" si="128"/>
        <v>0</v>
      </c>
      <c r="AG128" s="566">
        <f t="shared" si="129"/>
        <v>0</v>
      </c>
      <c r="AH128" s="573"/>
    </row>
    <row r="129" spans="1:34" ht="25.15" customHeight="1">
      <c r="A129" s="543">
        <v>105</v>
      </c>
      <c r="B129" s="546" t="s">
        <v>1361</v>
      </c>
      <c r="C129" s="541" t="str">
        <f>'LAP. PENJUALAN '!C129</f>
        <v>P. Hot Cheesy 1 Green Crispy  (Es Teh / S-tee)</v>
      </c>
      <c r="D129" s="542"/>
      <c r="E129" s="542"/>
      <c r="F129" s="542"/>
      <c r="G129" s="542"/>
      <c r="H129" s="542"/>
      <c r="I129" s="542"/>
      <c r="J129" s="542"/>
      <c r="K129" s="542"/>
      <c r="L129" s="542"/>
      <c r="M129" s="542"/>
      <c r="N129" s="554">
        <f t="shared" si="116"/>
        <v>0</v>
      </c>
      <c r="O129" s="554">
        <f t="shared" si="117"/>
        <v>0</v>
      </c>
      <c r="P129" s="555" t="e">
        <f>(O129/O270)*100</f>
        <v>#DIV/0!</v>
      </c>
      <c r="Q129" s="570"/>
      <c r="R129" s="555" t="e">
        <f t="shared" si="118"/>
        <v>#DIV/0!</v>
      </c>
      <c r="S129" s="568">
        <f t="shared" si="119"/>
        <v>0</v>
      </c>
      <c r="T129" s="564"/>
      <c r="U129" s="569"/>
      <c r="V129" s="2569"/>
      <c r="X129" s="566">
        <f t="shared" si="120"/>
        <v>0</v>
      </c>
      <c r="Y129" s="566">
        <f t="shared" si="121"/>
        <v>0</v>
      </c>
      <c r="Z129" s="566">
        <f t="shared" si="122"/>
        <v>0</v>
      </c>
      <c r="AA129" s="566">
        <f t="shared" si="123"/>
        <v>0</v>
      </c>
      <c r="AB129" s="566">
        <f t="shared" si="124"/>
        <v>0</v>
      </c>
      <c r="AC129" s="566">
        <f t="shared" si="125"/>
        <v>0</v>
      </c>
      <c r="AD129" s="566">
        <f t="shared" si="126"/>
        <v>0</v>
      </c>
      <c r="AE129" s="566">
        <f t="shared" si="127"/>
        <v>0</v>
      </c>
      <c r="AF129" s="566">
        <f t="shared" si="128"/>
        <v>0</v>
      </c>
      <c r="AG129" s="566">
        <f t="shared" si="129"/>
        <v>0</v>
      </c>
      <c r="AH129" s="573"/>
    </row>
    <row r="130" spans="1:34" ht="25.15" customHeight="1">
      <c r="A130" s="543">
        <v>106</v>
      </c>
      <c r="B130" s="546" t="s">
        <v>1362</v>
      </c>
      <c r="C130" s="541" t="str">
        <f>'LAP. PENJUALAN '!C130</f>
        <v>P. Hot Cheesy 2 Green Crispy (Es Teh / S-tee)</v>
      </c>
      <c r="D130" s="542"/>
      <c r="E130" s="542"/>
      <c r="F130" s="542"/>
      <c r="G130" s="542"/>
      <c r="H130" s="542"/>
      <c r="I130" s="542"/>
      <c r="J130" s="542"/>
      <c r="K130" s="542"/>
      <c r="L130" s="542"/>
      <c r="M130" s="542"/>
      <c r="N130" s="554">
        <f t="shared" si="116"/>
        <v>0</v>
      </c>
      <c r="O130" s="554">
        <f t="shared" si="117"/>
        <v>0</v>
      </c>
      <c r="P130" s="555" t="e">
        <f>(O130/O270)*100</f>
        <v>#DIV/0!</v>
      </c>
      <c r="Q130" s="570"/>
      <c r="R130" s="555" t="e">
        <f t="shared" si="118"/>
        <v>#DIV/0!</v>
      </c>
      <c r="S130" s="568">
        <f t="shared" si="119"/>
        <v>0</v>
      </c>
      <c r="T130" s="564"/>
      <c r="U130" s="569"/>
      <c r="V130" s="2569"/>
      <c r="X130" s="566">
        <f t="shared" si="120"/>
        <v>0</v>
      </c>
      <c r="Y130" s="566">
        <f t="shared" si="121"/>
        <v>0</v>
      </c>
      <c r="Z130" s="566">
        <f t="shared" si="122"/>
        <v>0</v>
      </c>
      <c r="AA130" s="566">
        <f t="shared" si="123"/>
        <v>0</v>
      </c>
      <c r="AB130" s="566">
        <f t="shared" si="124"/>
        <v>0</v>
      </c>
      <c r="AC130" s="566">
        <f t="shared" si="125"/>
        <v>0</v>
      </c>
      <c r="AD130" s="566">
        <f t="shared" si="126"/>
        <v>0</v>
      </c>
      <c r="AE130" s="566">
        <f t="shared" si="127"/>
        <v>0</v>
      </c>
      <c r="AF130" s="566">
        <f t="shared" si="128"/>
        <v>0</v>
      </c>
      <c r="AG130" s="566">
        <f t="shared" si="129"/>
        <v>0</v>
      </c>
      <c r="AH130" s="573"/>
    </row>
    <row r="131" spans="1:34" ht="25.15" customHeight="1">
      <c r="A131" s="543">
        <v>107</v>
      </c>
      <c r="B131" s="546"/>
      <c r="C131" s="541" t="str">
        <f>'LAP. PENJUALAN '!C131</f>
        <v>P. Hot Cheesy 3 Green Crispy (Es Teh / S-tee)</v>
      </c>
      <c r="D131" s="542"/>
      <c r="E131" s="542"/>
      <c r="F131" s="542"/>
      <c r="G131" s="542"/>
      <c r="H131" s="542"/>
      <c r="I131" s="542"/>
      <c r="J131" s="542"/>
      <c r="K131" s="542"/>
      <c r="L131" s="542"/>
      <c r="M131" s="542"/>
      <c r="N131" s="554">
        <f t="shared" si="116"/>
        <v>0</v>
      </c>
      <c r="O131" s="554">
        <f t="shared" si="117"/>
        <v>0</v>
      </c>
      <c r="P131" s="555" t="e">
        <f>(O131/O270)*100</f>
        <v>#DIV/0!</v>
      </c>
      <c r="Q131" s="570"/>
      <c r="R131" s="555" t="e">
        <f t="shared" si="118"/>
        <v>#DIV/0!</v>
      </c>
      <c r="S131" s="568">
        <f t="shared" si="119"/>
        <v>0</v>
      </c>
      <c r="T131" s="564"/>
      <c r="U131" s="569"/>
      <c r="V131" s="2569"/>
      <c r="X131" s="566">
        <f t="shared" si="120"/>
        <v>0</v>
      </c>
      <c r="Y131" s="566">
        <f t="shared" si="121"/>
        <v>0</v>
      </c>
      <c r="Z131" s="566">
        <f t="shared" si="122"/>
        <v>0</v>
      </c>
      <c r="AA131" s="566">
        <f t="shared" si="123"/>
        <v>0</v>
      </c>
      <c r="AB131" s="566">
        <f t="shared" si="124"/>
        <v>0</v>
      </c>
      <c r="AC131" s="566">
        <f t="shared" si="125"/>
        <v>0</v>
      </c>
      <c r="AD131" s="566">
        <f t="shared" si="126"/>
        <v>0</v>
      </c>
      <c r="AE131" s="566">
        <f t="shared" si="127"/>
        <v>0</v>
      </c>
      <c r="AF131" s="566">
        <f t="shared" si="128"/>
        <v>0</v>
      </c>
      <c r="AG131" s="566">
        <f t="shared" si="129"/>
        <v>0</v>
      </c>
      <c r="AH131" s="573"/>
    </row>
    <row r="132" spans="1:34" ht="25.15" customHeight="1">
      <c r="A132" s="543">
        <v>108</v>
      </c>
      <c r="B132" s="546"/>
      <c r="C132" s="541" t="str">
        <f>'LAP. PENJUALAN '!C132</f>
        <v>Green Crispy</v>
      </c>
      <c r="D132" s="542"/>
      <c r="E132" s="542"/>
      <c r="F132" s="542"/>
      <c r="G132" s="542"/>
      <c r="H132" s="542"/>
      <c r="I132" s="542"/>
      <c r="J132" s="542"/>
      <c r="K132" s="542"/>
      <c r="L132" s="542"/>
      <c r="M132" s="542"/>
      <c r="N132" s="554">
        <f t="shared" ref="N132:N161" si="130">SUM(D132:M132)</f>
        <v>0</v>
      </c>
      <c r="O132" s="554">
        <f t="shared" ref="O132:O161" si="131">N132*S132</f>
        <v>0</v>
      </c>
      <c r="P132" s="555" t="e">
        <f>(O132/O270)*100</f>
        <v>#DIV/0!</v>
      </c>
      <c r="Q132" s="570"/>
      <c r="R132" s="555" t="e">
        <f t="shared" ref="R132:R161" si="132">P132*Q132</f>
        <v>#DIV/0!</v>
      </c>
      <c r="S132" s="568">
        <f t="shared" ref="S132:S161" si="133">T132+(T132*10%)</f>
        <v>0</v>
      </c>
      <c r="T132" s="564"/>
      <c r="U132" s="569"/>
      <c r="V132" s="2569"/>
      <c r="X132" s="566">
        <f t="shared" ref="X132:X161" si="134">D132*S132</f>
        <v>0</v>
      </c>
      <c r="Y132" s="566">
        <f t="shared" ref="Y132:Y191" si="135">E132*S132</f>
        <v>0</v>
      </c>
      <c r="Z132" s="566">
        <f t="shared" ref="Z132:Z192" si="136">F132*S132</f>
        <v>0</v>
      </c>
      <c r="AA132" s="566">
        <f t="shared" ref="AA132:AA191" si="137">G132*S132</f>
        <v>0</v>
      </c>
      <c r="AB132" s="566">
        <f t="shared" ref="AB132:AB192" si="138">H132*S132</f>
        <v>0</v>
      </c>
      <c r="AC132" s="566">
        <f t="shared" ref="AC132:AC192" si="139">I132*S132</f>
        <v>0</v>
      </c>
      <c r="AD132" s="566">
        <f t="shared" ref="AD132:AD192" si="140">J132*S132</f>
        <v>0</v>
      </c>
      <c r="AE132" s="566">
        <f t="shared" ref="AE132:AE191" si="141">K132*S132</f>
        <v>0</v>
      </c>
      <c r="AF132" s="566">
        <f t="shared" ref="AF132:AF191" si="142">L132*S132</f>
        <v>0</v>
      </c>
      <c r="AG132" s="566">
        <f t="shared" ref="AG132:AG192" si="143">M132*S132</f>
        <v>0</v>
      </c>
      <c r="AH132" s="573"/>
    </row>
    <row r="133" spans="1:34" ht="25.15" customHeight="1">
      <c r="A133" s="543"/>
      <c r="B133" s="546"/>
      <c r="C133" s="541"/>
      <c r="D133" s="542"/>
      <c r="E133" s="542"/>
      <c r="F133" s="542"/>
      <c r="G133" s="542"/>
      <c r="H133" s="542"/>
      <c r="I133" s="542"/>
      <c r="J133" s="542"/>
      <c r="K133" s="542"/>
      <c r="L133" s="542"/>
      <c r="M133" s="542"/>
      <c r="N133" s="554">
        <f t="shared" si="130"/>
        <v>0</v>
      </c>
      <c r="O133" s="554">
        <f t="shared" si="131"/>
        <v>0</v>
      </c>
      <c r="P133" s="555" t="e">
        <f>(O133/O270)*100</f>
        <v>#DIV/0!</v>
      </c>
      <c r="Q133" s="570"/>
      <c r="R133" s="555" t="e">
        <f t="shared" si="132"/>
        <v>#DIV/0!</v>
      </c>
      <c r="S133" s="568">
        <f t="shared" si="133"/>
        <v>0</v>
      </c>
      <c r="T133" s="564"/>
      <c r="U133" s="569"/>
      <c r="V133" s="2569"/>
      <c r="X133" s="566">
        <f t="shared" si="134"/>
        <v>0</v>
      </c>
      <c r="Y133" s="566">
        <f t="shared" si="135"/>
        <v>0</v>
      </c>
      <c r="Z133" s="566">
        <f t="shared" si="136"/>
        <v>0</v>
      </c>
      <c r="AA133" s="566">
        <f t="shared" si="137"/>
        <v>0</v>
      </c>
      <c r="AB133" s="566">
        <f t="shared" si="138"/>
        <v>0</v>
      </c>
      <c r="AC133" s="566">
        <f t="shared" si="139"/>
        <v>0</v>
      </c>
      <c r="AD133" s="566">
        <f t="shared" si="140"/>
        <v>0</v>
      </c>
      <c r="AE133" s="566">
        <f t="shared" si="141"/>
        <v>0</v>
      </c>
      <c r="AF133" s="566">
        <f t="shared" si="142"/>
        <v>0</v>
      </c>
      <c r="AG133" s="566">
        <f t="shared" si="143"/>
        <v>0</v>
      </c>
      <c r="AH133" s="573"/>
    </row>
    <row r="134" spans="1:34" ht="25.15" customHeight="1">
      <c r="A134" s="543">
        <v>109</v>
      </c>
      <c r="B134" s="546"/>
      <c r="C134" s="541" t="str">
        <f>'LAP. PENJUALAN '!C134</f>
        <v>Paket Bucket 1</v>
      </c>
      <c r="D134" s="542"/>
      <c r="E134" s="542"/>
      <c r="F134" s="542"/>
      <c r="G134" s="542"/>
      <c r="H134" s="542"/>
      <c r="I134" s="542"/>
      <c r="J134" s="542"/>
      <c r="K134" s="542"/>
      <c r="L134" s="542"/>
      <c r="M134" s="542"/>
      <c r="N134" s="554">
        <f t="shared" si="130"/>
        <v>0</v>
      </c>
      <c r="O134" s="554">
        <f t="shared" si="131"/>
        <v>0</v>
      </c>
      <c r="P134" s="555" t="e">
        <f>(O134/O270)*100</f>
        <v>#DIV/0!</v>
      </c>
      <c r="Q134" s="570">
        <v>0.5</v>
      </c>
      <c r="R134" s="555" t="e">
        <f t="shared" si="132"/>
        <v>#DIV/0!</v>
      </c>
      <c r="S134" s="568">
        <f t="shared" si="133"/>
        <v>0</v>
      </c>
      <c r="T134" s="564"/>
      <c r="U134" s="569"/>
      <c r="V134" s="2569"/>
      <c r="X134" s="566">
        <f t="shared" si="134"/>
        <v>0</v>
      </c>
      <c r="Y134" s="566">
        <f t="shared" si="135"/>
        <v>0</v>
      </c>
      <c r="Z134" s="566">
        <f t="shared" si="136"/>
        <v>0</v>
      </c>
      <c r="AA134" s="566">
        <f t="shared" si="137"/>
        <v>0</v>
      </c>
      <c r="AB134" s="566">
        <f t="shared" si="138"/>
        <v>0</v>
      </c>
      <c r="AC134" s="566">
        <f t="shared" si="139"/>
        <v>0</v>
      </c>
      <c r="AD134" s="566">
        <f t="shared" si="140"/>
        <v>0</v>
      </c>
      <c r="AE134" s="566">
        <f t="shared" si="141"/>
        <v>0</v>
      </c>
      <c r="AF134" s="566">
        <f t="shared" si="142"/>
        <v>0</v>
      </c>
      <c r="AG134" s="566">
        <f t="shared" si="143"/>
        <v>0</v>
      </c>
      <c r="AH134" s="573"/>
    </row>
    <row r="135" spans="1:34" ht="25.15" customHeight="1">
      <c r="A135" s="543">
        <v>110</v>
      </c>
      <c r="B135" s="546"/>
      <c r="C135" s="541" t="str">
        <f>'LAP. PENJUALAN '!C135</f>
        <v>Paket Bucket 2</v>
      </c>
      <c r="D135" s="542"/>
      <c r="E135" s="542"/>
      <c r="F135" s="542"/>
      <c r="G135" s="542"/>
      <c r="H135" s="542"/>
      <c r="I135" s="542"/>
      <c r="J135" s="542"/>
      <c r="K135" s="542"/>
      <c r="L135" s="542"/>
      <c r="M135" s="542"/>
      <c r="N135" s="554">
        <f t="shared" si="130"/>
        <v>0</v>
      </c>
      <c r="O135" s="554">
        <f t="shared" si="131"/>
        <v>0</v>
      </c>
      <c r="P135" s="555" t="e">
        <f>(O135/O270)*100</f>
        <v>#DIV/0!</v>
      </c>
      <c r="Q135" s="570">
        <v>0.5</v>
      </c>
      <c r="R135" s="555" t="e">
        <f t="shared" si="132"/>
        <v>#DIV/0!</v>
      </c>
      <c r="S135" s="568">
        <f t="shared" si="133"/>
        <v>0</v>
      </c>
      <c r="T135" s="564"/>
      <c r="U135" s="569"/>
      <c r="V135" s="2569"/>
      <c r="X135" s="566">
        <f t="shared" si="134"/>
        <v>0</v>
      </c>
      <c r="Y135" s="566">
        <f t="shared" si="135"/>
        <v>0</v>
      </c>
      <c r="Z135" s="566">
        <f t="shared" si="136"/>
        <v>0</v>
      </c>
      <c r="AA135" s="566">
        <f t="shared" si="137"/>
        <v>0</v>
      </c>
      <c r="AB135" s="566">
        <f t="shared" si="138"/>
        <v>0</v>
      </c>
      <c r="AC135" s="566">
        <f t="shared" si="139"/>
        <v>0</v>
      </c>
      <c r="AD135" s="566">
        <f t="shared" si="140"/>
        <v>0</v>
      </c>
      <c r="AE135" s="566">
        <f t="shared" si="141"/>
        <v>0</v>
      </c>
      <c r="AF135" s="566">
        <f t="shared" si="142"/>
        <v>0</v>
      </c>
      <c r="AG135" s="566">
        <f t="shared" si="143"/>
        <v>0</v>
      </c>
      <c r="AH135" s="573"/>
    </row>
    <row r="136" spans="1:34" ht="25.15" customHeight="1">
      <c r="A136" s="543">
        <v>111</v>
      </c>
      <c r="B136" s="546"/>
      <c r="C136" s="541" t="str">
        <f>'LAP. PENJUALAN '!C136</f>
        <v>Paket Bucket 3</v>
      </c>
      <c r="D136" s="542"/>
      <c r="E136" s="542"/>
      <c r="F136" s="542"/>
      <c r="G136" s="542"/>
      <c r="H136" s="542"/>
      <c r="I136" s="542"/>
      <c r="J136" s="542"/>
      <c r="K136" s="542"/>
      <c r="L136" s="542"/>
      <c r="M136" s="542"/>
      <c r="N136" s="554">
        <f t="shared" si="130"/>
        <v>0</v>
      </c>
      <c r="O136" s="554">
        <f t="shared" si="131"/>
        <v>0</v>
      </c>
      <c r="P136" s="555" t="e">
        <f>(O136/O270)*100</f>
        <v>#DIV/0!</v>
      </c>
      <c r="Q136" s="570">
        <v>0.5</v>
      </c>
      <c r="R136" s="555" t="e">
        <f t="shared" si="132"/>
        <v>#DIV/0!</v>
      </c>
      <c r="S136" s="568">
        <f t="shared" si="133"/>
        <v>0</v>
      </c>
      <c r="T136" s="564"/>
      <c r="U136" s="569"/>
      <c r="V136" s="2569"/>
      <c r="X136" s="566">
        <f t="shared" si="134"/>
        <v>0</v>
      </c>
      <c r="Y136" s="566">
        <f t="shared" si="135"/>
        <v>0</v>
      </c>
      <c r="Z136" s="566">
        <f t="shared" si="136"/>
        <v>0</v>
      </c>
      <c r="AA136" s="566">
        <f t="shared" si="137"/>
        <v>0</v>
      </c>
      <c r="AB136" s="566">
        <f t="shared" si="138"/>
        <v>0</v>
      </c>
      <c r="AC136" s="566">
        <f t="shared" si="139"/>
        <v>0</v>
      </c>
      <c r="AD136" s="566">
        <f t="shared" si="140"/>
        <v>0</v>
      </c>
      <c r="AE136" s="566">
        <f t="shared" si="141"/>
        <v>0</v>
      </c>
      <c r="AF136" s="566">
        <f t="shared" si="142"/>
        <v>0</v>
      </c>
      <c r="AG136" s="566">
        <f t="shared" si="143"/>
        <v>0</v>
      </c>
      <c r="AH136" s="573"/>
    </row>
    <row r="137" spans="1:34" ht="25.15" customHeight="1">
      <c r="A137" s="543">
        <v>112</v>
      </c>
      <c r="B137" s="546"/>
      <c r="C137" s="541" t="str">
        <f>'LAP. PENJUALAN '!C137</f>
        <v>Paket Bucket 4 (Sambal Geprek)</v>
      </c>
      <c r="D137" s="542"/>
      <c r="E137" s="542"/>
      <c r="F137" s="542"/>
      <c r="G137" s="542"/>
      <c r="H137" s="542"/>
      <c r="I137" s="542"/>
      <c r="J137" s="542"/>
      <c r="K137" s="542"/>
      <c r="L137" s="542"/>
      <c r="M137" s="542"/>
      <c r="N137" s="554">
        <f t="shared" si="130"/>
        <v>0</v>
      </c>
      <c r="O137" s="554">
        <f t="shared" si="131"/>
        <v>0</v>
      </c>
      <c r="P137" s="555" t="e">
        <f>(O137/O270)*100</f>
        <v>#DIV/0!</v>
      </c>
      <c r="Q137" s="570">
        <v>0.5</v>
      </c>
      <c r="R137" s="555" t="e">
        <f t="shared" si="132"/>
        <v>#DIV/0!</v>
      </c>
      <c r="S137" s="568">
        <f t="shared" si="133"/>
        <v>0</v>
      </c>
      <c r="T137" s="564"/>
      <c r="U137" s="569"/>
      <c r="V137" s="2569"/>
      <c r="X137" s="566">
        <f t="shared" si="134"/>
        <v>0</v>
      </c>
      <c r="Y137" s="566">
        <f t="shared" si="135"/>
        <v>0</v>
      </c>
      <c r="Z137" s="566">
        <f t="shared" si="136"/>
        <v>0</v>
      </c>
      <c r="AA137" s="566">
        <f t="shared" si="137"/>
        <v>0</v>
      </c>
      <c r="AB137" s="566">
        <f t="shared" si="138"/>
        <v>0</v>
      </c>
      <c r="AC137" s="566">
        <f t="shared" si="139"/>
        <v>0</v>
      </c>
      <c r="AD137" s="566">
        <f t="shared" si="140"/>
        <v>0</v>
      </c>
      <c r="AE137" s="566">
        <f t="shared" si="141"/>
        <v>0</v>
      </c>
      <c r="AF137" s="566">
        <f t="shared" si="142"/>
        <v>0</v>
      </c>
      <c r="AG137" s="566">
        <f t="shared" si="143"/>
        <v>0</v>
      </c>
      <c r="AH137" s="573"/>
    </row>
    <row r="138" spans="1:34" ht="25.15" customHeight="1">
      <c r="A138" s="543">
        <v>113</v>
      </c>
      <c r="B138" s="546"/>
      <c r="C138" s="541" t="str">
        <f>'LAP. PENJUALAN '!C138</f>
        <v>Paket Bucket 4 (Hot Cheesy)</v>
      </c>
      <c r="D138" s="542"/>
      <c r="E138" s="542"/>
      <c r="F138" s="542"/>
      <c r="G138" s="542"/>
      <c r="H138" s="542"/>
      <c r="I138" s="542"/>
      <c r="J138" s="542"/>
      <c r="K138" s="542"/>
      <c r="L138" s="542"/>
      <c r="M138" s="542"/>
      <c r="N138" s="554">
        <f t="shared" si="130"/>
        <v>0</v>
      </c>
      <c r="O138" s="554">
        <f t="shared" si="131"/>
        <v>0</v>
      </c>
      <c r="P138" s="555" t="e">
        <f>(O138/O270)*100</f>
        <v>#DIV/0!</v>
      </c>
      <c r="Q138" s="570">
        <v>0.5</v>
      </c>
      <c r="R138" s="555" t="e">
        <f t="shared" si="132"/>
        <v>#DIV/0!</v>
      </c>
      <c r="S138" s="568">
        <f t="shared" si="133"/>
        <v>0</v>
      </c>
      <c r="T138" s="564"/>
      <c r="U138" s="569"/>
      <c r="V138" s="2569"/>
      <c r="X138" s="566">
        <f t="shared" si="134"/>
        <v>0</v>
      </c>
      <c r="Y138" s="566">
        <f t="shared" si="135"/>
        <v>0</v>
      </c>
      <c r="Z138" s="566">
        <f t="shared" si="136"/>
        <v>0</v>
      </c>
      <c r="AA138" s="566">
        <f t="shared" si="137"/>
        <v>0</v>
      </c>
      <c r="AB138" s="566">
        <f t="shared" si="138"/>
        <v>0</v>
      </c>
      <c r="AC138" s="566">
        <f t="shared" si="139"/>
        <v>0</v>
      </c>
      <c r="AD138" s="566">
        <f t="shared" si="140"/>
        <v>0</v>
      </c>
      <c r="AE138" s="566">
        <f t="shared" si="141"/>
        <v>0</v>
      </c>
      <c r="AF138" s="566">
        <f t="shared" si="142"/>
        <v>0</v>
      </c>
      <c r="AG138" s="566">
        <f t="shared" si="143"/>
        <v>0</v>
      </c>
      <c r="AH138" s="573"/>
    </row>
    <row r="139" spans="1:34" ht="25.15" customHeight="1">
      <c r="A139" s="543"/>
      <c r="B139" s="546"/>
      <c r="C139" s="541"/>
      <c r="D139" s="542"/>
      <c r="E139" s="542"/>
      <c r="F139" s="542"/>
      <c r="G139" s="542"/>
      <c r="H139" s="542"/>
      <c r="I139" s="542"/>
      <c r="J139" s="542"/>
      <c r="K139" s="542"/>
      <c r="L139" s="542"/>
      <c r="M139" s="542"/>
      <c r="N139" s="554">
        <f t="shared" si="130"/>
        <v>0</v>
      </c>
      <c r="O139" s="554">
        <f t="shared" si="131"/>
        <v>0</v>
      </c>
      <c r="P139" s="555" t="e">
        <f>(O139/O270)*100</f>
        <v>#DIV/0!</v>
      </c>
      <c r="Q139" s="570">
        <v>0.5</v>
      </c>
      <c r="R139" s="555" t="e">
        <f t="shared" si="132"/>
        <v>#DIV/0!</v>
      </c>
      <c r="S139" s="568">
        <f t="shared" si="133"/>
        <v>0</v>
      </c>
      <c r="T139" s="564"/>
      <c r="U139" s="569"/>
      <c r="V139" s="2569"/>
      <c r="X139" s="566">
        <f t="shared" si="134"/>
        <v>0</v>
      </c>
      <c r="Y139" s="566">
        <f t="shared" si="135"/>
        <v>0</v>
      </c>
      <c r="Z139" s="566">
        <f t="shared" si="136"/>
        <v>0</v>
      </c>
      <c r="AA139" s="566">
        <f t="shared" si="137"/>
        <v>0</v>
      </c>
      <c r="AB139" s="566">
        <f t="shared" si="138"/>
        <v>0</v>
      </c>
      <c r="AC139" s="566">
        <f t="shared" si="139"/>
        <v>0</v>
      </c>
      <c r="AD139" s="566">
        <f t="shared" si="140"/>
        <v>0</v>
      </c>
      <c r="AE139" s="566">
        <f t="shared" si="141"/>
        <v>0</v>
      </c>
      <c r="AF139" s="566">
        <f t="shared" si="142"/>
        <v>0</v>
      </c>
      <c r="AG139" s="566">
        <f t="shared" si="143"/>
        <v>0</v>
      </c>
      <c r="AH139" s="573"/>
    </row>
    <row r="140" spans="1:34" ht="25.15" customHeight="1">
      <c r="A140" s="543">
        <v>114</v>
      </c>
      <c r="B140" s="546"/>
      <c r="C140" s="541" t="str">
        <f>'LAP. PENJUALAN '!C140</f>
        <v>Paket Ultah 1</v>
      </c>
      <c r="D140" s="542"/>
      <c r="E140" s="542"/>
      <c r="F140" s="542"/>
      <c r="G140" s="542"/>
      <c r="H140" s="542"/>
      <c r="I140" s="542"/>
      <c r="J140" s="542"/>
      <c r="K140" s="542"/>
      <c r="L140" s="542"/>
      <c r="M140" s="542"/>
      <c r="N140" s="554">
        <f t="shared" si="130"/>
        <v>0</v>
      </c>
      <c r="O140" s="554">
        <f t="shared" si="131"/>
        <v>0</v>
      </c>
      <c r="P140" s="555" t="e">
        <f>(O140/O270)*100</f>
        <v>#DIV/0!</v>
      </c>
      <c r="Q140" s="570">
        <v>0.5</v>
      </c>
      <c r="R140" s="555" t="e">
        <f t="shared" si="132"/>
        <v>#DIV/0!</v>
      </c>
      <c r="S140" s="568">
        <f t="shared" si="133"/>
        <v>0</v>
      </c>
      <c r="T140" s="564"/>
      <c r="U140" s="569"/>
      <c r="V140" s="2569"/>
      <c r="X140" s="566">
        <f t="shared" si="134"/>
        <v>0</v>
      </c>
      <c r="Y140" s="566">
        <f t="shared" si="135"/>
        <v>0</v>
      </c>
      <c r="Z140" s="566">
        <f t="shared" si="136"/>
        <v>0</v>
      </c>
      <c r="AA140" s="566">
        <f t="shared" si="137"/>
        <v>0</v>
      </c>
      <c r="AB140" s="566">
        <f t="shared" si="138"/>
        <v>0</v>
      </c>
      <c r="AC140" s="566">
        <f t="shared" si="139"/>
        <v>0</v>
      </c>
      <c r="AD140" s="566">
        <f t="shared" si="140"/>
        <v>0</v>
      </c>
      <c r="AE140" s="566">
        <f t="shared" si="141"/>
        <v>0</v>
      </c>
      <c r="AF140" s="566">
        <f t="shared" si="142"/>
        <v>0</v>
      </c>
      <c r="AG140" s="566">
        <f t="shared" si="143"/>
        <v>0</v>
      </c>
      <c r="AH140" s="573"/>
    </row>
    <row r="141" spans="1:34" ht="25.15" customHeight="1">
      <c r="A141" s="543">
        <v>115</v>
      </c>
      <c r="B141" s="546"/>
      <c r="C141" s="541" t="str">
        <f>'LAP. PENJUALAN '!C141</f>
        <v>Paket Ultah 2</v>
      </c>
      <c r="D141" s="542"/>
      <c r="E141" s="542"/>
      <c r="F141" s="542"/>
      <c r="G141" s="542"/>
      <c r="H141" s="542"/>
      <c r="I141" s="542"/>
      <c r="J141" s="542"/>
      <c r="K141" s="542"/>
      <c r="L141" s="542"/>
      <c r="M141" s="542"/>
      <c r="N141" s="554">
        <f t="shared" si="130"/>
        <v>0</v>
      </c>
      <c r="O141" s="554">
        <f t="shared" si="131"/>
        <v>0</v>
      </c>
      <c r="P141" s="555" t="e">
        <f>(O141/O270)*100</f>
        <v>#DIV/0!</v>
      </c>
      <c r="Q141" s="570">
        <v>0.5</v>
      </c>
      <c r="R141" s="555" t="e">
        <f t="shared" si="132"/>
        <v>#DIV/0!</v>
      </c>
      <c r="S141" s="568">
        <f t="shared" si="133"/>
        <v>0</v>
      </c>
      <c r="T141" s="564"/>
      <c r="U141" s="569"/>
      <c r="V141" s="2569"/>
      <c r="X141" s="566">
        <f t="shared" si="134"/>
        <v>0</v>
      </c>
      <c r="Y141" s="566">
        <f t="shared" si="135"/>
        <v>0</v>
      </c>
      <c r="Z141" s="566">
        <f t="shared" si="136"/>
        <v>0</v>
      </c>
      <c r="AA141" s="566">
        <f t="shared" si="137"/>
        <v>0</v>
      </c>
      <c r="AB141" s="566">
        <f t="shared" si="138"/>
        <v>0</v>
      </c>
      <c r="AC141" s="566">
        <f t="shared" si="139"/>
        <v>0</v>
      </c>
      <c r="AD141" s="566">
        <f t="shared" si="140"/>
        <v>0</v>
      </c>
      <c r="AE141" s="566">
        <f t="shared" si="141"/>
        <v>0</v>
      </c>
      <c r="AF141" s="566">
        <f t="shared" si="142"/>
        <v>0</v>
      </c>
      <c r="AG141" s="566">
        <f t="shared" si="143"/>
        <v>0</v>
      </c>
      <c r="AH141" s="573"/>
    </row>
    <row r="142" spans="1:34" ht="25.15" customHeight="1">
      <c r="A142" s="543"/>
      <c r="B142" s="546"/>
      <c r="C142" s="541"/>
      <c r="D142" s="542"/>
      <c r="E142" s="542"/>
      <c r="F142" s="542"/>
      <c r="G142" s="542"/>
      <c r="H142" s="542"/>
      <c r="I142" s="542"/>
      <c r="J142" s="542"/>
      <c r="K142" s="542"/>
      <c r="L142" s="542"/>
      <c r="M142" s="542"/>
      <c r="N142" s="554">
        <f t="shared" si="130"/>
        <v>0</v>
      </c>
      <c r="O142" s="554">
        <f t="shared" si="131"/>
        <v>0</v>
      </c>
      <c r="P142" s="555" t="e">
        <f>(O142/O270)*100</f>
        <v>#DIV/0!</v>
      </c>
      <c r="Q142" s="570">
        <v>0.5</v>
      </c>
      <c r="R142" s="555" t="e">
        <f t="shared" si="132"/>
        <v>#DIV/0!</v>
      </c>
      <c r="S142" s="568">
        <f t="shared" si="133"/>
        <v>0</v>
      </c>
      <c r="T142" s="564"/>
      <c r="U142" s="569"/>
      <c r="V142" s="2569"/>
      <c r="X142" s="566">
        <f t="shared" si="134"/>
        <v>0</v>
      </c>
      <c r="Y142" s="566">
        <f t="shared" si="135"/>
        <v>0</v>
      </c>
      <c r="Z142" s="566">
        <f t="shared" si="136"/>
        <v>0</v>
      </c>
      <c r="AA142" s="566">
        <f t="shared" si="137"/>
        <v>0</v>
      </c>
      <c r="AB142" s="566">
        <f t="shared" si="138"/>
        <v>0</v>
      </c>
      <c r="AC142" s="566">
        <f t="shared" si="139"/>
        <v>0</v>
      </c>
      <c r="AD142" s="566">
        <f t="shared" si="140"/>
        <v>0</v>
      </c>
      <c r="AE142" s="566">
        <f t="shared" si="141"/>
        <v>0</v>
      </c>
      <c r="AF142" s="566">
        <f t="shared" si="142"/>
        <v>0</v>
      </c>
      <c r="AG142" s="566">
        <f t="shared" si="143"/>
        <v>0</v>
      </c>
      <c r="AH142" s="573"/>
    </row>
    <row r="143" spans="1:34" ht="25.15" customHeight="1">
      <c r="A143" s="543">
        <v>116</v>
      </c>
      <c r="B143" s="546"/>
      <c r="C143" s="541" t="str">
        <f>'LAP. PENJUALAN '!C143</f>
        <v>Paket Rocket Kids 1</v>
      </c>
      <c r="D143" s="542"/>
      <c r="E143" s="542"/>
      <c r="F143" s="542"/>
      <c r="G143" s="542"/>
      <c r="H143" s="542"/>
      <c r="I143" s="542"/>
      <c r="J143" s="542"/>
      <c r="K143" s="542"/>
      <c r="L143" s="542"/>
      <c r="M143" s="542"/>
      <c r="N143" s="554">
        <f t="shared" si="130"/>
        <v>0</v>
      </c>
      <c r="O143" s="554">
        <f t="shared" si="131"/>
        <v>0</v>
      </c>
      <c r="P143" s="555" t="e">
        <f>(O143/O270)*100</f>
        <v>#DIV/0!</v>
      </c>
      <c r="Q143" s="570">
        <v>0.5</v>
      </c>
      <c r="R143" s="555" t="e">
        <f t="shared" si="132"/>
        <v>#DIV/0!</v>
      </c>
      <c r="S143" s="568">
        <f t="shared" si="133"/>
        <v>0</v>
      </c>
      <c r="T143" s="564"/>
      <c r="U143" s="569"/>
      <c r="V143" s="2569"/>
      <c r="X143" s="566">
        <f t="shared" si="134"/>
        <v>0</v>
      </c>
      <c r="Y143" s="566">
        <f t="shared" si="135"/>
        <v>0</v>
      </c>
      <c r="Z143" s="566">
        <f t="shared" si="136"/>
        <v>0</v>
      </c>
      <c r="AA143" s="566">
        <f t="shared" si="137"/>
        <v>0</v>
      </c>
      <c r="AB143" s="566">
        <f t="shared" si="138"/>
        <v>0</v>
      </c>
      <c r="AC143" s="566">
        <f t="shared" si="139"/>
        <v>0</v>
      </c>
      <c r="AD143" s="566">
        <f t="shared" si="140"/>
        <v>0</v>
      </c>
      <c r="AE143" s="566">
        <f t="shared" si="141"/>
        <v>0</v>
      </c>
      <c r="AF143" s="566">
        <f t="shared" si="142"/>
        <v>0</v>
      </c>
      <c r="AG143" s="566">
        <f t="shared" si="143"/>
        <v>0</v>
      </c>
      <c r="AH143" s="573"/>
    </row>
    <row r="144" spans="1:34" ht="25.15" customHeight="1">
      <c r="A144" s="543">
        <v>117</v>
      </c>
      <c r="B144" s="546"/>
      <c r="C144" s="541" t="str">
        <f>'LAP. PENJUALAN '!C144</f>
        <v>Paket Rocket Kids 2</v>
      </c>
      <c r="D144" s="542"/>
      <c r="E144" s="542"/>
      <c r="F144" s="542"/>
      <c r="G144" s="542"/>
      <c r="H144" s="542"/>
      <c r="I144" s="542"/>
      <c r="J144" s="542"/>
      <c r="K144" s="542"/>
      <c r="L144" s="542"/>
      <c r="M144" s="542"/>
      <c r="N144" s="554">
        <f t="shared" si="130"/>
        <v>0</v>
      </c>
      <c r="O144" s="554">
        <f t="shared" si="131"/>
        <v>0</v>
      </c>
      <c r="P144" s="555" t="e">
        <f>(O144/O270)*100</f>
        <v>#DIV/0!</v>
      </c>
      <c r="Q144" s="570">
        <v>0.5</v>
      </c>
      <c r="R144" s="555" t="e">
        <f t="shared" si="132"/>
        <v>#DIV/0!</v>
      </c>
      <c r="S144" s="568">
        <f t="shared" si="133"/>
        <v>0</v>
      </c>
      <c r="T144" s="564"/>
      <c r="U144" s="569"/>
      <c r="V144" s="2569"/>
      <c r="X144" s="566">
        <f t="shared" si="134"/>
        <v>0</v>
      </c>
      <c r="Y144" s="566">
        <f t="shared" si="135"/>
        <v>0</v>
      </c>
      <c r="Z144" s="566">
        <f t="shared" si="136"/>
        <v>0</v>
      </c>
      <c r="AA144" s="566">
        <f t="shared" si="137"/>
        <v>0</v>
      </c>
      <c r="AB144" s="566">
        <f t="shared" si="138"/>
        <v>0</v>
      </c>
      <c r="AC144" s="566">
        <f t="shared" si="139"/>
        <v>0</v>
      </c>
      <c r="AD144" s="566">
        <f t="shared" si="140"/>
        <v>0</v>
      </c>
      <c r="AE144" s="566">
        <f t="shared" si="141"/>
        <v>0</v>
      </c>
      <c r="AF144" s="566">
        <f t="shared" si="142"/>
        <v>0</v>
      </c>
      <c r="AG144" s="566">
        <f t="shared" si="143"/>
        <v>0</v>
      </c>
      <c r="AH144" s="573"/>
    </row>
    <row r="145" spans="1:34" ht="25.15" customHeight="1">
      <c r="A145" s="543">
        <v>118</v>
      </c>
      <c r="B145" s="546"/>
      <c r="C145" s="541" t="str">
        <f>'LAP. PENJUALAN '!C145</f>
        <v>Paket Rocket Kids 3</v>
      </c>
      <c r="D145" s="542"/>
      <c r="E145" s="542"/>
      <c r="F145" s="542"/>
      <c r="G145" s="542"/>
      <c r="H145" s="542"/>
      <c r="I145" s="542"/>
      <c r="J145" s="542"/>
      <c r="K145" s="542"/>
      <c r="L145" s="542"/>
      <c r="M145" s="542"/>
      <c r="N145" s="554">
        <f t="shared" si="130"/>
        <v>0</v>
      </c>
      <c r="O145" s="554">
        <f t="shared" si="131"/>
        <v>0</v>
      </c>
      <c r="P145" s="555" t="e">
        <f>(O145/O270)*100</f>
        <v>#DIV/0!</v>
      </c>
      <c r="Q145" s="570">
        <v>0.5</v>
      </c>
      <c r="R145" s="555" t="e">
        <f t="shared" si="132"/>
        <v>#DIV/0!</v>
      </c>
      <c r="S145" s="568">
        <f t="shared" si="133"/>
        <v>0</v>
      </c>
      <c r="T145" s="564"/>
      <c r="U145" s="569"/>
      <c r="V145" s="2569"/>
      <c r="X145" s="566">
        <f t="shared" si="134"/>
        <v>0</v>
      </c>
      <c r="Y145" s="566">
        <f t="shared" si="135"/>
        <v>0</v>
      </c>
      <c r="Z145" s="566">
        <f t="shared" si="136"/>
        <v>0</v>
      </c>
      <c r="AA145" s="566">
        <f t="shared" si="137"/>
        <v>0</v>
      </c>
      <c r="AB145" s="566">
        <f t="shared" si="138"/>
        <v>0</v>
      </c>
      <c r="AC145" s="566">
        <f t="shared" si="139"/>
        <v>0</v>
      </c>
      <c r="AD145" s="566">
        <f t="shared" si="140"/>
        <v>0</v>
      </c>
      <c r="AE145" s="566">
        <f t="shared" si="141"/>
        <v>0</v>
      </c>
      <c r="AF145" s="566">
        <f t="shared" si="142"/>
        <v>0</v>
      </c>
      <c r="AG145" s="566">
        <f t="shared" si="143"/>
        <v>0</v>
      </c>
      <c r="AH145" s="573"/>
    </row>
    <row r="146" spans="1:34" ht="25.15" customHeight="1">
      <c r="A146" s="543"/>
      <c r="B146" s="546"/>
      <c r="C146" s="541"/>
      <c r="D146" s="542"/>
      <c r="E146" s="542"/>
      <c r="F146" s="542"/>
      <c r="G146" s="542"/>
      <c r="H146" s="542"/>
      <c r="I146" s="542"/>
      <c r="J146" s="542"/>
      <c r="K146" s="542"/>
      <c r="L146" s="542"/>
      <c r="M146" s="542"/>
      <c r="N146" s="554">
        <f t="shared" si="130"/>
        <v>0</v>
      </c>
      <c r="O146" s="554">
        <f t="shared" si="131"/>
        <v>0</v>
      </c>
      <c r="P146" s="555" t="e">
        <f>(O146/O270)*100</f>
        <v>#DIV/0!</v>
      </c>
      <c r="Q146" s="570">
        <v>0.5</v>
      </c>
      <c r="R146" s="555" t="e">
        <f t="shared" si="132"/>
        <v>#DIV/0!</v>
      </c>
      <c r="S146" s="568">
        <f t="shared" si="133"/>
        <v>0</v>
      </c>
      <c r="T146" s="564"/>
      <c r="U146" s="569"/>
      <c r="V146" s="2569"/>
      <c r="X146" s="566">
        <f t="shared" si="134"/>
        <v>0</v>
      </c>
      <c r="Y146" s="566">
        <f t="shared" si="135"/>
        <v>0</v>
      </c>
      <c r="Z146" s="566">
        <f t="shared" si="136"/>
        <v>0</v>
      </c>
      <c r="AA146" s="566">
        <f t="shared" si="137"/>
        <v>0</v>
      </c>
      <c r="AB146" s="566">
        <f t="shared" si="138"/>
        <v>0</v>
      </c>
      <c r="AC146" s="566">
        <f t="shared" si="139"/>
        <v>0</v>
      </c>
      <c r="AD146" s="566">
        <f t="shared" si="140"/>
        <v>0</v>
      </c>
      <c r="AE146" s="566">
        <f t="shared" si="141"/>
        <v>0</v>
      </c>
      <c r="AF146" s="566">
        <f t="shared" si="142"/>
        <v>0</v>
      </c>
      <c r="AG146" s="566">
        <f t="shared" si="143"/>
        <v>0</v>
      </c>
      <c r="AH146" s="573"/>
    </row>
    <row r="147" spans="1:34" ht="25.15" customHeight="1">
      <c r="A147" s="543">
        <v>119</v>
      </c>
      <c r="B147" s="546"/>
      <c r="C147" s="541" t="str">
        <f>'LAP. PENJUALAN '!C147</f>
        <v>Koin kids</v>
      </c>
      <c r="D147" s="542"/>
      <c r="E147" s="542"/>
      <c r="F147" s="542"/>
      <c r="G147" s="542"/>
      <c r="H147" s="542"/>
      <c r="I147" s="542"/>
      <c r="J147" s="542"/>
      <c r="K147" s="542"/>
      <c r="L147" s="542"/>
      <c r="M147" s="542"/>
      <c r="N147" s="554">
        <f t="shared" si="130"/>
        <v>0</v>
      </c>
      <c r="O147" s="554">
        <f t="shared" si="131"/>
        <v>0</v>
      </c>
      <c r="P147" s="555" t="e">
        <f>(O147/O270)*100</f>
        <v>#DIV/0!</v>
      </c>
      <c r="Q147" s="570">
        <v>0.5</v>
      </c>
      <c r="R147" s="555" t="e">
        <f t="shared" si="132"/>
        <v>#DIV/0!</v>
      </c>
      <c r="S147" s="568">
        <f t="shared" si="133"/>
        <v>0</v>
      </c>
      <c r="T147" s="564"/>
      <c r="U147" s="569"/>
      <c r="V147" s="2569"/>
      <c r="X147" s="566">
        <f t="shared" si="134"/>
        <v>0</v>
      </c>
      <c r="Y147" s="566">
        <f t="shared" si="135"/>
        <v>0</v>
      </c>
      <c r="Z147" s="566">
        <f t="shared" si="136"/>
        <v>0</v>
      </c>
      <c r="AA147" s="566">
        <f t="shared" si="137"/>
        <v>0</v>
      </c>
      <c r="AB147" s="566">
        <f t="shared" si="138"/>
        <v>0</v>
      </c>
      <c r="AC147" s="566">
        <f t="shared" si="139"/>
        <v>0</v>
      </c>
      <c r="AD147" s="566">
        <f t="shared" si="140"/>
        <v>0</v>
      </c>
      <c r="AE147" s="566">
        <f t="shared" si="141"/>
        <v>0</v>
      </c>
      <c r="AF147" s="566">
        <f t="shared" si="142"/>
        <v>0</v>
      </c>
      <c r="AG147" s="566">
        <f t="shared" si="143"/>
        <v>0</v>
      </c>
      <c r="AH147" s="573"/>
    </row>
    <row r="148" spans="1:34" ht="25.15" customHeight="1">
      <c r="A148" s="543"/>
      <c r="B148" s="546"/>
      <c r="C148" s="574" t="str">
        <f>'LAP. PENJUALAN '!C154</f>
        <v>PAKET PROMO REGION/AREA , DISKON KARYAWAN &amp; PAKET INDOMIE</v>
      </c>
      <c r="D148" s="542"/>
      <c r="E148" s="542"/>
      <c r="F148" s="542"/>
      <c r="G148" s="542"/>
      <c r="H148" s="542"/>
      <c r="I148" s="542"/>
      <c r="J148" s="542"/>
      <c r="K148" s="542"/>
      <c r="L148" s="542"/>
      <c r="M148" s="542"/>
      <c r="N148" s="554">
        <f t="shared" si="130"/>
        <v>0</v>
      </c>
      <c r="O148" s="554">
        <f t="shared" si="131"/>
        <v>0</v>
      </c>
      <c r="P148" s="555" t="e">
        <f>(O148/O270)*100</f>
        <v>#DIV/0!</v>
      </c>
      <c r="Q148" s="570">
        <v>0.5</v>
      </c>
      <c r="R148" s="555" t="e">
        <f t="shared" si="132"/>
        <v>#DIV/0!</v>
      </c>
      <c r="S148" s="568">
        <f t="shared" si="133"/>
        <v>0</v>
      </c>
      <c r="T148" s="564"/>
      <c r="U148" s="569"/>
      <c r="V148" s="2569"/>
      <c r="X148" s="566">
        <f t="shared" si="134"/>
        <v>0</v>
      </c>
      <c r="Y148" s="566">
        <f t="shared" si="135"/>
        <v>0</v>
      </c>
      <c r="Z148" s="566">
        <f t="shared" si="136"/>
        <v>0</v>
      </c>
      <c r="AA148" s="566">
        <f t="shared" si="137"/>
        <v>0</v>
      </c>
      <c r="AB148" s="566">
        <f t="shared" si="138"/>
        <v>0</v>
      </c>
      <c r="AC148" s="566">
        <f t="shared" si="139"/>
        <v>0</v>
      </c>
      <c r="AD148" s="566">
        <f t="shared" si="140"/>
        <v>0</v>
      </c>
      <c r="AE148" s="566">
        <f t="shared" si="141"/>
        <v>0</v>
      </c>
      <c r="AF148" s="566">
        <f t="shared" si="142"/>
        <v>0</v>
      </c>
      <c r="AG148" s="566">
        <f t="shared" si="143"/>
        <v>0</v>
      </c>
      <c r="AH148" s="573"/>
    </row>
    <row r="149" spans="1:34" ht="25.15" customHeight="1">
      <c r="A149" s="543">
        <v>1</v>
      </c>
      <c r="B149" s="546"/>
      <c r="C149" s="575"/>
      <c r="D149" s="542"/>
      <c r="E149" s="542"/>
      <c r="F149" s="542"/>
      <c r="G149" s="542"/>
      <c r="H149" s="542"/>
      <c r="I149" s="542"/>
      <c r="J149" s="542"/>
      <c r="K149" s="542"/>
      <c r="L149" s="542"/>
      <c r="M149" s="542"/>
      <c r="N149" s="554">
        <f t="shared" si="130"/>
        <v>0</v>
      </c>
      <c r="O149" s="554">
        <f t="shared" si="131"/>
        <v>0</v>
      </c>
      <c r="P149" s="555" t="e">
        <f>(O149/O270)*100</f>
        <v>#DIV/0!</v>
      </c>
      <c r="Q149" s="570">
        <v>0.5</v>
      </c>
      <c r="R149" s="555" t="e">
        <f t="shared" si="132"/>
        <v>#DIV/0!</v>
      </c>
      <c r="S149" s="568">
        <f t="shared" si="133"/>
        <v>0</v>
      </c>
      <c r="T149" s="564"/>
      <c r="U149" s="569"/>
      <c r="V149" s="2569"/>
      <c r="X149" s="566">
        <f t="shared" si="134"/>
        <v>0</v>
      </c>
      <c r="Y149" s="566">
        <f t="shared" si="135"/>
        <v>0</v>
      </c>
      <c r="Z149" s="566">
        <f t="shared" si="136"/>
        <v>0</v>
      </c>
      <c r="AA149" s="566">
        <f t="shared" si="137"/>
        <v>0</v>
      </c>
      <c r="AB149" s="566">
        <f t="shared" si="138"/>
        <v>0</v>
      </c>
      <c r="AC149" s="566">
        <f t="shared" si="139"/>
        <v>0</v>
      </c>
      <c r="AD149" s="566">
        <f t="shared" si="140"/>
        <v>0</v>
      </c>
      <c r="AE149" s="566">
        <f t="shared" si="141"/>
        <v>0</v>
      </c>
      <c r="AF149" s="566">
        <f t="shared" si="142"/>
        <v>0</v>
      </c>
      <c r="AG149" s="566">
        <f t="shared" si="143"/>
        <v>0</v>
      </c>
      <c r="AH149" s="573"/>
    </row>
    <row r="150" spans="1:34" ht="25.15" customHeight="1">
      <c r="A150" s="543">
        <v>2</v>
      </c>
      <c r="B150" s="546"/>
      <c r="C150" s="575"/>
      <c r="D150" s="542"/>
      <c r="E150" s="542"/>
      <c r="F150" s="542"/>
      <c r="G150" s="542"/>
      <c r="H150" s="542"/>
      <c r="I150" s="542"/>
      <c r="J150" s="542"/>
      <c r="K150" s="542"/>
      <c r="L150" s="542"/>
      <c r="M150" s="542"/>
      <c r="N150" s="554">
        <f t="shared" si="130"/>
        <v>0</v>
      </c>
      <c r="O150" s="554">
        <f t="shared" si="131"/>
        <v>0</v>
      </c>
      <c r="P150" s="555" t="e">
        <f>(O150/O270)*100</f>
        <v>#DIV/0!</v>
      </c>
      <c r="Q150" s="570">
        <v>0.5</v>
      </c>
      <c r="R150" s="555" t="e">
        <f t="shared" si="132"/>
        <v>#DIV/0!</v>
      </c>
      <c r="S150" s="568">
        <f t="shared" si="133"/>
        <v>0</v>
      </c>
      <c r="T150" s="564"/>
      <c r="U150" s="569"/>
      <c r="V150" s="2569"/>
      <c r="X150" s="566">
        <f t="shared" si="134"/>
        <v>0</v>
      </c>
      <c r="Y150" s="566">
        <f t="shared" si="135"/>
        <v>0</v>
      </c>
      <c r="Z150" s="566">
        <f t="shared" si="136"/>
        <v>0</v>
      </c>
      <c r="AA150" s="566">
        <f t="shared" si="137"/>
        <v>0</v>
      </c>
      <c r="AB150" s="566">
        <f t="shared" si="138"/>
        <v>0</v>
      </c>
      <c r="AC150" s="566">
        <f t="shared" si="139"/>
        <v>0</v>
      </c>
      <c r="AD150" s="566">
        <f t="shared" si="140"/>
        <v>0</v>
      </c>
      <c r="AE150" s="566">
        <f t="shared" si="141"/>
        <v>0</v>
      </c>
      <c r="AF150" s="566">
        <f t="shared" si="142"/>
        <v>0</v>
      </c>
      <c r="AG150" s="566">
        <f t="shared" si="143"/>
        <v>0</v>
      </c>
      <c r="AH150" s="573"/>
    </row>
    <row r="151" spans="1:34" ht="25.15" customHeight="1">
      <c r="A151" s="543">
        <v>3</v>
      </c>
      <c r="B151" s="546"/>
      <c r="C151" s="575"/>
      <c r="D151" s="542"/>
      <c r="E151" s="542"/>
      <c r="F151" s="542"/>
      <c r="G151" s="542"/>
      <c r="H151" s="542"/>
      <c r="I151" s="542"/>
      <c r="J151" s="542"/>
      <c r="K151" s="542"/>
      <c r="L151" s="542"/>
      <c r="M151" s="542"/>
      <c r="N151" s="554">
        <f t="shared" si="130"/>
        <v>0</v>
      </c>
      <c r="O151" s="554">
        <f t="shared" si="131"/>
        <v>0</v>
      </c>
      <c r="P151" s="555" t="e">
        <f>(O151/O270)*100</f>
        <v>#DIV/0!</v>
      </c>
      <c r="Q151" s="570">
        <v>0.5</v>
      </c>
      <c r="R151" s="555" t="e">
        <f t="shared" si="132"/>
        <v>#DIV/0!</v>
      </c>
      <c r="S151" s="568">
        <f t="shared" si="133"/>
        <v>0</v>
      </c>
      <c r="T151" s="564"/>
      <c r="U151" s="569"/>
      <c r="V151" s="2569"/>
      <c r="X151" s="566">
        <f t="shared" si="134"/>
        <v>0</v>
      </c>
      <c r="Y151" s="566">
        <f t="shared" si="135"/>
        <v>0</v>
      </c>
      <c r="Z151" s="566">
        <f t="shared" si="136"/>
        <v>0</v>
      </c>
      <c r="AA151" s="566">
        <f t="shared" si="137"/>
        <v>0</v>
      </c>
      <c r="AB151" s="566">
        <f t="shared" si="138"/>
        <v>0</v>
      </c>
      <c r="AC151" s="566">
        <f t="shared" si="139"/>
        <v>0</v>
      </c>
      <c r="AD151" s="566">
        <f t="shared" si="140"/>
        <v>0</v>
      </c>
      <c r="AE151" s="566">
        <f t="shared" si="141"/>
        <v>0</v>
      </c>
      <c r="AF151" s="566">
        <f t="shared" si="142"/>
        <v>0</v>
      </c>
      <c r="AG151" s="566">
        <f t="shared" si="143"/>
        <v>0</v>
      </c>
      <c r="AH151" s="573"/>
    </row>
    <row r="152" spans="1:34" customFormat="1" ht="25.15" customHeight="1">
      <c r="A152" s="543">
        <v>4</v>
      </c>
      <c r="B152" s="546"/>
      <c r="C152" s="575"/>
      <c r="D152" s="542"/>
      <c r="E152" s="542"/>
      <c r="F152" s="542"/>
      <c r="G152" s="542"/>
      <c r="H152" s="542"/>
      <c r="I152" s="542"/>
      <c r="J152" s="542"/>
      <c r="K152" s="542"/>
      <c r="L152" s="542"/>
      <c r="M152" s="542"/>
      <c r="N152" s="554">
        <f t="shared" si="130"/>
        <v>0</v>
      </c>
      <c r="O152" s="554">
        <f t="shared" si="131"/>
        <v>0</v>
      </c>
      <c r="P152" s="555" t="e">
        <f>(O152/O270)*100</f>
        <v>#DIV/0!</v>
      </c>
      <c r="Q152" s="570">
        <v>0.5</v>
      </c>
      <c r="R152" s="555" t="e">
        <f t="shared" si="132"/>
        <v>#DIV/0!</v>
      </c>
      <c r="S152" s="568">
        <f t="shared" si="133"/>
        <v>0</v>
      </c>
      <c r="T152" s="564"/>
      <c r="U152" s="569"/>
      <c r="V152" s="2569"/>
      <c r="X152" s="566">
        <f t="shared" si="134"/>
        <v>0</v>
      </c>
      <c r="Y152" s="566">
        <f t="shared" si="135"/>
        <v>0</v>
      </c>
      <c r="Z152" s="566">
        <f t="shared" si="136"/>
        <v>0</v>
      </c>
      <c r="AA152" s="566">
        <f t="shared" si="137"/>
        <v>0</v>
      </c>
      <c r="AB152" s="566">
        <f t="shared" si="138"/>
        <v>0</v>
      </c>
      <c r="AC152" s="566">
        <f t="shared" si="139"/>
        <v>0</v>
      </c>
      <c r="AD152" s="566">
        <f t="shared" si="140"/>
        <v>0</v>
      </c>
      <c r="AE152" s="566">
        <f t="shared" si="141"/>
        <v>0</v>
      </c>
      <c r="AF152" s="566">
        <f t="shared" si="142"/>
        <v>0</v>
      </c>
      <c r="AG152" s="566">
        <f t="shared" si="143"/>
        <v>0</v>
      </c>
      <c r="AH152" s="573"/>
    </row>
    <row r="153" spans="1:34" customFormat="1" ht="25.15" customHeight="1">
      <c r="A153" s="543">
        <v>5</v>
      </c>
      <c r="B153" s="546"/>
      <c r="C153" s="575"/>
      <c r="D153" s="542"/>
      <c r="E153" s="542"/>
      <c r="F153" s="542"/>
      <c r="G153" s="542"/>
      <c r="H153" s="542"/>
      <c r="I153" s="542"/>
      <c r="J153" s="542"/>
      <c r="K153" s="542"/>
      <c r="L153" s="542"/>
      <c r="M153" s="542"/>
      <c r="N153" s="554">
        <f t="shared" si="130"/>
        <v>0</v>
      </c>
      <c r="O153" s="554">
        <f t="shared" si="131"/>
        <v>0</v>
      </c>
      <c r="P153" s="555" t="e">
        <f>(O153/O270)*100</f>
        <v>#DIV/0!</v>
      </c>
      <c r="Q153" s="570">
        <v>0.5</v>
      </c>
      <c r="R153" s="555" t="e">
        <f t="shared" si="132"/>
        <v>#DIV/0!</v>
      </c>
      <c r="S153" s="568">
        <f t="shared" si="133"/>
        <v>0</v>
      </c>
      <c r="T153" s="564"/>
      <c r="U153" s="569"/>
      <c r="V153" s="2569"/>
      <c r="X153" s="566">
        <f t="shared" si="134"/>
        <v>0</v>
      </c>
      <c r="Y153" s="566">
        <f t="shared" si="135"/>
        <v>0</v>
      </c>
      <c r="Z153" s="566">
        <f t="shared" si="136"/>
        <v>0</v>
      </c>
      <c r="AA153" s="566">
        <f t="shared" si="137"/>
        <v>0</v>
      </c>
      <c r="AB153" s="566">
        <f t="shared" si="138"/>
        <v>0</v>
      </c>
      <c r="AC153" s="566">
        <f t="shared" si="139"/>
        <v>0</v>
      </c>
      <c r="AD153" s="566">
        <f t="shared" si="140"/>
        <v>0</v>
      </c>
      <c r="AE153" s="566">
        <f t="shared" si="141"/>
        <v>0</v>
      </c>
      <c r="AF153" s="566">
        <f t="shared" si="142"/>
        <v>0</v>
      </c>
      <c r="AG153" s="566">
        <f t="shared" si="143"/>
        <v>0</v>
      </c>
      <c r="AH153" s="573"/>
    </row>
    <row r="154" spans="1:34" customFormat="1" ht="25.15" customHeight="1">
      <c r="A154" s="543">
        <v>6</v>
      </c>
      <c r="B154" s="546"/>
      <c r="C154" s="575"/>
      <c r="D154" s="542"/>
      <c r="E154" s="542"/>
      <c r="F154" s="542"/>
      <c r="G154" s="542"/>
      <c r="H154" s="542"/>
      <c r="I154" s="542"/>
      <c r="J154" s="542"/>
      <c r="K154" s="542"/>
      <c r="L154" s="542"/>
      <c r="M154" s="542"/>
      <c r="N154" s="554">
        <f t="shared" si="130"/>
        <v>0</v>
      </c>
      <c r="O154" s="554">
        <f t="shared" si="131"/>
        <v>0</v>
      </c>
      <c r="P154" s="555" t="e">
        <f>(O154/O270)*100</f>
        <v>#DIV/0!</v>
      </c>
      <c r="Q154" s="570">
        <v>0.5</v>
      </c>
      <c r="R154" s="555" t="e">
        <f t="shared" si="132"/>
        <v>#DIV/0!</v>
      </c>
      <c r="S154" s="568">
        <f t="shared" si="133"/>
        <v>0</v>
      </c>
      <c r="T154" s="564"/>
      <c r="U154" s="569"/>
      <c r="V154" s="2569"/>
      <c r="X154" s="566">
        <f t="shared" si="134"/>
        <v>0</v>
      </c>
      <c r="Y154" s="566">
        <f t="shared" si="135"/>
        <v>0</v>
      </c>
      <c r="Z154" s="566">
        <f t="shared" si="136"/>
        <v>0</v>
      </c>
      <c r="AA154" s="566">
        <f t="shared" si="137"/>
        <v>0</v>
      </c>
      <c r="AB154" s="566">
        <f t="shared" si="138"/>
        <v>0</v>
      </c>
      <c r="AC154" s="566">
        <f t="shared" si="139"/>
        <v>0</v>
      </c>
      <c r="AD154" s="566">
        <f t="shared" si="140"/>
        <v>0</v>
      </c>
      <c r="AE154" s="566">
        <f t="shared" si="141"/>
        <v>0</v>
      </c>
      <c r="AF154" s="566">
        <f t="shared" si="142"/>
        <v>0</v>
      </c>
      <c r="AG154" s="566">
        <f t="shared" si="143"/>
        <v>0</v>
      </c>
      <c r="AH154" s="573"/>
    </row>
    <row r="155" spans="1:34" customFormat="1" ht="25.15" customHeight="1">
      <c r="A155" s="543">
        <v>7</v>
      </c>
      <c r="B155" s="546"/>
      <c r="C155" s="575"/>
      <c r="D155" s="542"/>
      <c r="E155" s="542"/>
      <c r="F155" s="542"/>
      <c r="G155" s="542"/>
      <c r="H155" s="542"/>
      <c r="I155" s="542"/>
      <c r="J155" s="542"/>
      <c r="K155" s="542"/>
      <c r="L155" s="542"/>
      <c r="M155" s="542"/>
      <c r="N155" s="554">
        <f t="shared" si="130"/>
        <v>0</v>
      </c>
      <c r="O155" s="554">
        <f t="shared" si="131"/>
        <v>0</v>
      </c>
      <c r="P155" s="555" t="e">
        <f>(O155/O270)*100</f>
        <v>#DIV/0!</v>
      </c>
      <c r="Q155" s="570">
        <v>0.5</v>
      </c>
      <c r="R155" s="555" t="e">
        <f t="shared" si="132"/>
        <v>#DIV/0!</v>
      </c>
      <c r="S155" s="568">
        <f t="shared" si="133"/>
        <v>0</v>
      </c>
      <c r="T155" s="564"/>
      <c r="U155" s="569"/>
      <c r="V155" s="2569"/>
      <c r="X155" s="566">
        <f t="shared" si="134"/>
        <v>0</v>
      </c>
      <c r="Y155" s="566">
        <f t="shared" si="135"/>
        <v>0</v>
      </c>
      <c r="Z155" s="566">
        <f t="shared" si="136"/>
        <v>0</v>
      </c>
      <c r="AA155" s="566">
        <f t="shared" si="137"/>
        <v>0</v>
      </c>
      <c r="AB155" s="566">
        <f t="shared" si="138"/>
        <v>0</v>
      </c>
      <c r="AC155" s="566">
        <f t="shared" si="139"/>
        <v>0</v>
      </c>
      <c r="AD155" s="566">
        <f t="shared" si="140"/>
        <v>0</v>
      </c>
      <c r="AE155" s="566">
        <f t="shared" si="141"/>
        <v>0</v>
      </c>
      <c r="AF155" s="566">
        <f t="shared" si="142"/>
        <v>0</v>
      </c>
      <c r="AG155" s="566">
        <f t="shared" si="143"/>
        <v>0</v>
      </c>
      <c r="AH155" s="573"/>
    </row>
    <row r="156" spans="1:34" customFormat="1" ht="25.15" customHeight="1">
      <c r="A156" s="543">
        <v>8</v>
      </c>
      <c r="B156" s="546"/>
      <c r="C156" s="575"/>
      <c r="D156" s="542"/>
      <c r="E156" s="542"/>
      <c r="F156" s="542"/>
      <c r="G156" s="542"/>
      <c r="H156" s="542"/>
      <c r="I156" s="542"/>
      <c r="J156" s="542"/>
      <c r="K156" s="542"/>
      <c r="L156" s="542"/>
      <c r="M156" s="542"/>
      <c r="N156" s="554">
        <f t="shared" si="130"/>
        <v>0</v>
      </c>
      <c r="O156" s="554">
        <f t="shared" si="131"/>
        <v>0</v>
      </c>
      <c r="P156" s="555" t="e">
        <f>(O156/O270)*100</f>
        <v>#DIV/0!</v>
      </c>
      <c r="Q156" s="570">
        <v>0.5</v>
      </c>
      <c r="R156" s="555" t="e">
        <f t="shared" si="132"/>
        <v>#DIV/0!</v>
      </c>
      <c r="S156" s="568">
        <f t="shared" si="133"/>
        <v>0</v>
      </c>
      <c r="T156" s="564"/>
      <c r="U156" s="569"/>
      <c r="V156" s="2569"/>
      <c r="X156" s="566">
        <f t="shared" si="134"/>
        <v>0</v>
      </c>
      <c r="Y156" s="566">
        <f t="shared" si="135"/>
        <v>0</v>
      </c>
      <c r="Z156" s="566">
        <f t="shared" si="136"/>
        <v>0</v>
      </c>
      <c r="AA156" s="566">
        <f t="shared" si="137"/>
        <v>0</v>
      </c>
      <c r="AB156" s="566">
        <f t="shared" si="138"/>
        <v>0</v>
      </c>
      <c r="AC156" s="566">
        <f t="shared" si="139"/>
        <v>0</v>
      </c>
      <c r="AD156" s="566">
        <f t="shared" si="140"/>
        <v>0</v>
      </c>
      <c r="AE156" s="566">
        <f t="shared" si="141"/>
        <v>0</v>
      </c>
      <c r="AF156" s="566">
        <f t="shared" si="142"/>
        <v>0</v>
      </c>
      <c r="AG156" s="566">
        <f t="shared" si="143"/>
        <v>0</v>
      </c>
      <c r="AH156" s="573"/>
    </row>
    <row r="157" spans="1:34" customFormat="1" ht="25.15" customHeight="1">
      <c r="A157" s="543">
        <v>9</v>
      </c>
      <c r="B157" s="546"/>
      <c r="C157" s="575"/>
      <c r="D157" s="542"/>
      <c r="E157" s="542"/>
      <c r="F157" s="542"/>
      <c r="G157" s="542"/>
      <c r="H157" s="542"/>
      <c r="I157" s="542"/>
      <c r="J157" s="542"/>
      <c r="K157" s="542"/>
      <c r="L157" s="542"/>
      <c r="M157" s="542"/>
      <c r="N157" s="554">
        <f t="shared" si="130"/>
        <v>0</v>
      </c>
      <c r="O157" s="554">
        <f t="shared" si="131"/>
        <v>0</v>
      </c>
      <c r="P157" s="555" t="e">
        <f>(O157/O270)*100</f>
        <v>#DIV/0!</v>
      </c>
      <c r="Q157" s="570">
        <v>0.5</v>
      </c>
      <c r="R157" s="555" t="e">
        <f t="shared" si="132"/>
        <v>#DIV/0!</v>
      </c>
      <c r="S157" s="568">
        <f t="shared" si="133"/>
        <v>0</v>
      </c>
      <c r="T157" s="564"/>
      <c r="U157" s="569"/>
      <c r="V157" s="2569"/>
      <c r="X157" s="566">
        <f t="shared" si="134"/>
        <v>0</v>
      </c>
      <c r="Y157" s="566">
        <f t="shared" si="135"/>
        <v>0</v>
      </c>
      <c r="Z157" s="566">
        <f t="shared" si="136"/>
        <v>0</v>
      </c>
      <c r="AA157" s="566">
        <f t="shared" si="137"/>
        <v>0</v>
      </c>
      <c r="AB157" s="566">
        <f t="shared" si="138"/>
        <v>0</v>
      </c>
      <c r="AC157" s="566">
        <f t="shared" si="139"/>
        <v>0</v>
      </c>
      <c r="AD157" s="566">
        <f t="shared" si="140"/>
        <v>0</v>
      </c>
      <c r="AE157" s="566">
        <f t="shared" si="141"/>
        <v>0</v>
      </c>
      <c r="AF157" s="566">
        <f t="shared" si="142"/>
        <v>0</v>
      </c>
      <c r="AG157" s="566">
        <f t="shared" si="143"/>
        <v>0</v>
      </c>
      <c r="AH157" s="573"/>
    </row>
    <row r="158" spans="1:34" customFormat="1" ht="25.15" customHeight="1">
      <c r="A158" s="543">
        <v>10</v>
      </c>
      <c r="B158" s="546"/>
      <c r="C158" s="575"/>
      <c r="D158" s="542"/>
      <c r="E158" s="542"/>
      <c r="F158" s="542"/>
      <c r="G158" s="542"/>
      <c r="H158" s="542"/>
      <c r="I158" s="542"/>
      <c r="J158" s="542"/>
      <c r="K158" s="542"/>
      <c r="L158" s="542"/>
      <c r="M158" s="542"/>
      <c r="N158" s="554">
        <f t="shared" si="130"/>
        <v>0</v>
      </c>
      <c r="O158" s="554">
        <f t="shared" si="131"/>
        <v>0</v>
      </c>
      <c r="P158" s="555" t="e">
        <f>(O158/O270)*100</f>
        <v>#DIV/0!</v>
      </c>
      <c r="Q158" s="570">
        <v>0.5</v>
      </c>
      <c r="R158" s="555" t="e">
        <f t="shared" si="132"/>
        <v>#DIV/0!</v>
      </c>
      <c r="S158" s="568">
        <f t="shared" si="133"/>
        <v>0</v>
      </c>
      <c r="T158" s="564"/>
      <c r="U158" s="569"/>
      <c r="V158" s="2569"/>
      <c r="X158" s="566">
        <f t="shared" si="134"/>
        <v>0</v>
      </c>
      <c r="Y158" s="566">
        <f t="shared" si="135"/>
        <v>0</v>
      </c>
      <c r="Z158" s="566">
        <f t="shared" si="136"/>
        <v>0</v>
      </c>
      <c r="AA158" s="566">
        <f t="shared" si="137"/>
        <v>0</v>
      </c>
      <c r="AB158" s="566">
        <f t="shared" si="138"/>
        <v>0</v>
      </c>
      <c r="AC158" s="566">
        <f t="shared" si="139"/>
        <v>0</v>
      </c>
      <c r="AD158" s="566">
        <f t="shared" si="140"/>
        <v>0</v>
      </c>
      <c r="AE158" s="566">
        <f t="shared" si="141"/>
        <v>0</v>
      </c>
      <c r="AF158" s="566">
        <f t="shared" si="142"/>
        <v>0</v>
      </c>
      <c r="AG158" s="566">
        <f t="shared" si="143"/>
        <v>0</v>
      </c>
      <c r="AH158" s="573"/>
    </row>
    <row r="159" spans="1:34" customFormat="1" ht="25.15" customHeight="1">
      <c r="A159" s="543">
        <v>11</v>
      </c>
      <c r="B159" s="546"/>
      <c r="C159" s="575"/>
      <c r="D159" s="542"/>
      <c r="E159" s="542"/>
      <c r="F159" s="542"/>
      <c r="G159" s="542"/>
      <c r="H159" s="542"/>
      <c r="I159" s="542"/>
      <c r="J159" s="542"/>
      <c r="K159" s="542"/>
      <c r="L159" s="542"/>
      <c r="M159" s="542"/>
      <c r="N159" s="554">
        <f t="shared" si="130"/>
        <v>0</v>
      </c>
      <c r="O159" s="554">
        <f t="shared" si="131"/>
        <v>0</v>
      </c>
      <c r="P159" s="555" t="e">
        <f>(O159/O270)*100</f>
        <v>#DIV/0!</v>
      </c>
      <c r="Q159" s="570">
        <v>0.5</v>
      </c>
      <c r="R159" s="555" t="e">
        <f t="shared" si="132"/>
        <v>#DIV/0!</v>
      </c>
      <c r="S159" s="568">
        <f t="shared" si="133"/>
        <v>0</v>
      </c>
      <c r="T159" s="564"/>
      <c r="U159" s="569"/>
      <c r="V159" s="2569"/>
      <c r="X159" s="566">
        <f t="shared" si="134"/>
        <v>0</v>
      </c>
      <c r="Y159" s="566">
        <f t="shared" si="135"/>
        <v>0</v>
      </c>
      <c r="Z159" s="566">
        <f t="shared" si="136"/>
        <v>0</v>
      </c>
      <c r="AA159" s="566">
        <f t="shared" si="137"/>
        <v>0</v>
      </c>
      <c r="AB159" s="566">
        <f t="shared" si="138"/>
        <v>0</v>
      </c>
      <c r="AC159" s="566">
        <f t="shared" si="139"/>
        <v>0</v>
      </c>
      <c r="AD159" s="566">
        <f t="shared" si="140"/>
        <v>0</v>
      </c>
      <c r="AE159" s="566">
        <f t="shared" si="141"/>
        <v>0</v>
      </c>
      <c r="AF159" s="566">
        <f t="shared" si="142"/>
        <v>0</v>
      </c>
      <c r="AG159" s="566">
        <f t="shared" si="143"/>
        <v>0</v>
      </c>
      <c r="AH159" s="573"/>
    </row>
    <row r="160" spans="1:34" customFormat="1" ht="25.15" customHeight="1">
      <c r="A160" s="543">
        <v>12</v>
      </c>
      <c r="B160" s="546"/>
      <c r="C160" s="575"/>
      <c r="D160" s="542"/>
      <c r="E160" s="542"/>
      <c r="F160" s="542"/>
      <c r="G160" s="542"/>
      <c r="H160" s="542"/>
      <c r="I160" s="542"/>
      <c r="J160" s="542"/>
      <c r="K160" s="542"/>
      <c r="L160" s="542"/>
      <c r="M160" s="542"/>
      <c r="N160" s="554">
        <f t="shared" si="130"/>
        <v>0</v>
      </c>
      <c r="O160" s="554">
        <f t="shared" si="131"/>
        <v>0</v>
      </c>
      <c r="P160" s="555" t="e">
        <f>(O160/O270)*100</f>
        <v>#DIV/0!</v>
      </c>
      <c r="Q160" s="570">
        <v>0.5</v>
      </c>
      <c r="R160" s="555" t="e">
        <f t="shared" si="132"/>
        <v>#DIV/0!</v>
      </c>
      <c r="S160" s="568">
        <f t="shared" si="133"/>
        <v>0</v>
      </c>
      <c r="T160" s="564"/>
      <c r="U160" s="569"/>
      <c r="V160" s="2569"/>
      <c r="X160" s="566">
        <f t="shared" si="134"/>
        <v>0</v>
      </c>
      <c r="Y160" s="566">
        <f t="shared" si="135"/>
        <v>0</v>
      </c>
      <c r="Z160" s="566">
        <f t="shared" si="136"/>
        <v>0</v>
      </c>
      <c r="AA160" s="566">
        <f t="shared" si="137"/>
        <v>0</v>
      </c>
      <c r="AB160" s="566">
        <f t="shared" si="138"/>
        <v>0</v>
      </c>
      <c r="AC160" s="566">
        <f t="shared" si="139"/>
        <v>0</v>
      </c>
      <c r="AD160" s="566">
        <f t="shared" si="140"/>
        <v>0</v>
      </c>
      <c r="AE160" s="566">
        <f t="shared" si="141"/>
        <v>0</v>
      </c>
      <c r="AF160" s="566">
        <f t="shared" si="142"/>
        <v>0</v>
      </c>
      <c r="AG160" s="566">
        <f t="shared" si="143"/>
        <v>0</v>
      </c>
      <c r="AH160" s="573"/>
    </row>
    <row r="161" spans="1:34" customFormat="1" ht="25.15" customHeight="1">
      <c r="A161" s="543">
        <v>13</v>
      </c>
      <c r="B161" s="546"/>
      <c r="C161" s="575"/>
      <c r="D161" s="542"/>
      <c r="E161" s="542"/>
      <c r="F161" s="542"/>
      <c r="G161" s="542"/>
      <c r="H161" s="542"/>
      <c r="I161" s="542"/>
      <c r="J161" s="542"/>
      <c r="K161" s="542"/>
      <c r="L161" s="542"/>
      <c r="M161" s="542"/>
      <c r="N161" s="554">
        <f t="shared" si="130"/>
        <v>0</v>
      </c>
      <c r="O161" s="554">
        <f t="shared" si="131"/>
        <v>0</v>
      </c>
      <c r="P161" s="555" t="e">
        <f>(O161/O270)*100</f>
        <v>#DIV/0!</v>
      </c>
      <c r="Q161" s="570">
        <v>0.5</v>
      </c>
      <c r="R161" s="555" t="e">
        <f t="shared" si="132"/>
        <v>#DIV/0!</v>
      </c>
      <c r="S161" s="568">
        <f t="shared" si="133"/>
        <v>0</v>
      </c>
      <c r="T161" s="564"/>
      <c r="U161" s="569"/>
      <c r="V161" s="2569"/>
      <c r="X161" s="566">
        <f t="shared" si="134"/>
        <v>0</v>
      </c>
      <c r="Y161" s="566">
        <f t="shared" si="135"/>
        <v>0</v>
      </c>
      <c r="Z161" s="566">
        <f t="shared" si="136"/>
        <v>0</v>
      </c>
      <c r="AA161" s="566">
        <f t="shared" si="137"/>
        <v>0</v>
      </c>
      <c r="AB161" s="566">
        <f t="shared" si="138"/>
        <v>0</v>
      </c>
      <c r="AC161" s="566">
        <f t="shared" si="139"/>
        <v>0</v>
      </c>
      <c r="AD161" s="566">
        <f t="shared" si="140"/>
        <v>0</v>
      </c>
      <c r="AE161" s="566">
        <f t="shared" si="141"/>
        <v>0</v>
      </c>
      <c r="AF161" s="566">
        <f t="shared" si="142"/>
        <v>0</v>
      </c>
      <c r="AG161" s="566">
        <f t="shared" si="143"/>
        <v>0</v>
      </c>
      <c r="AH161" s="573"/>
    </row>
    <row r="162" spans="1:34" customFormat="1" ht="25.15" customHeight="1">
      <c r="A162" s="543">
        <v>14</v>
      </c>
      <c r="B162" s="546"/>
      <c r="C162" s="575"/>
      <c r="D162" s="542"/>
      <c r="E162" s="542"/>
      <c r="F162" s="542"/>
      <c r="G162" s="542"/>
      <c r="H162" s="542"/>
      <c r="I162" s="542"/>
      <c r="J162" s="542"/>
      <c r="K162" s="542"/>
      <c r="L162" s="542"/>
      <c r="M162" s="542"/>
      <c r="N162" s="554">
        <f t="shared" ref="N162:N210" si="144">SUM(D162:M162)</f>
        <v>0</v>
      </c>
      <c r="O162" s="554">
        <f t="shared" ref="O162:O210" si="145">N162*S162</f>
        <v>0</v>
      </c>
      <c r="P162" s="555" t="e">
        <f>(O162/O270)*100</f>
        <v>#DIV/0!</v>
      </c>
      <c r="Q162" s="570">
        <v>0.5</v>
      </c>
      <c r="R162" s="555" t="e">
        <f t="shared" ref="R162:R210" si="146">P162*Q162</f>
        <v>#DIV/0!</v>
      </c>
      <c r="S162" s="568">
        <f t="shared" ref="S162:S210" si="147">T162+(T162*10%)</f>
        <v>0</v>
      </c>
      <c r="T162" s="564"/>
      <c r="U162" s="569"/>
      <c r="V162" s="2569"/>
      <c r="X162" s="566">
        <f t="shared" ref="X162:X210" si="148">D162*S162</f>
        <v>0</v>
      </c>
      <c r="Y162" s="566">
        <f t="shared" si="135"/>
        <v>0</v>
      </c>
      <c r="Z162" s="566">
        <f t="shared" si="136"/>
        <v>0</v>
      </c>
      <c r="AA162" s="566">
        <f t="shared" si="137"/>
        <v>0</v>
      </c>
      <c r="AB162" s="566">
        <f t="shared" si="138"/>
        <v>0</v>
      </c>
      <c r="AC162" s="566">
        <f t="shared" si="139"/>
        <v>0</v>
      </c>
      <c r="AD162" s="566">
        <f t="shared" si="140"/>
        <v>0</v>
      </c>
      <c r="AE162" s="566">
        <f t="shared" si="141"/>
        <v>0</v>
      </c>
      <c r="AF162" s="566">
        <f t="shared" si="142"/>
        <v>0</v>
      </c>
      <c r="AG162" s="566">
        <f t="shared" si="143"/>
        <v>0</v>
      </c>
      <c r="AH162" s="573"/>
    </row>
    <row r="163" spans="1:34" customFormat="1" ht="25.15" customHeight="1">
      <c r="A163" s="543">
        <v>15</v>
      </c>
      <c r="B163" s="546"/>
      <c r="C163" s="575"/>
      <c r="D163" s="542"/>
      <c r="E163" s="542"/>
      <c r="F163" s="542"/>
      <c r="G163" s="542"/>
      <c r="H163" s="542"/>
      <c r="I163" s="542"/>
      <c r="J163" s="542"/>
      <c r="K163" s="542"/>
      <c r="L163" s="542"/>
      <c r="M163" s="542"/>
      <c r="N163" s="554">
        <f t="shared" si="144"/>
        <v>0</v>
      </c>
      <c r="O163" s="554">
        <f t="shared" si="145"/>
        <v>0</v>
      </c>
      <c r="P163" s="555" t="e">
        <f>(O163/O270)*100</f>
        <v>#DIV/0!</v>
      </c>
      <c r="Q163" s="570">
        <v>0.5</v>
      </c>
      <c r="R163" s="555" t="e">
        <f t="shared" si="146"/>
        <v>#DIV/0!</v>
      </c>
      <c r="S163" s="568">
        <f t="shared" si="147"/>
        <v>0</v>
      </c>
      <c r="T163" s="564"/>
      <c r="U163" s="569"/>
      <c r="V163" s="2569"/>
      <c r="X163" s="566">
        <f t="shared" si="148"/>
        <v>0</v>
      </c>
      <c r="Y163" s="566">
        <f t="shared" si="135"/>
        <v>0</v>
      </c>
      <c r="Z163" s="566">
        <f t="shared" si="136"/>
        <v>0</v>
      </c>
      <c r="AA163" s="566">
        <f t="shared" si="137"/>
        <v>0</v>
      </c>
      <c r="AB163" s="566">
        <f t="shared" si="138"/>
        <v>0</v>
      </c>
      <c r="AC163" s="566">
        <f t="shared" si="139"/>
        <v>0</v>
      </c>
      <c r="AD163" s="566">
        <f t="shared" si="140"/>
        <v>0</v>
      </c>
      <c r="AE163" s="566">
        <f t="shared" si="141"/>
        <v>0</v>
      </c>
      <c r="AF163" s="566">
        <f t="shared" si="142"/>
        <v>0</v>
      </c>
      <c r="AG163" s="566">
        <f t="shared" si="143"/>
        <v>0</v>
      </c>
      <c r="AH163" s="573"/>
    </row>
    <row r="164" spans="1:34" customFormat="1" ht="25.15" customHeight="1">
      <c r="A164" s="543">
        <v>16</v>
      </c>
      <c r="B164" s="546"/>
      <c r="C164" s="575"/>
      <c r="D164" s="542"/>
      <c r="E164" s="542"/>
      <c r="F164" s="542"/>
      <c r="G164" s="542"/>
      <c r="H164" s="542"/>
      <c r="I164" s="542"/>
      <c r="J164" s="542"/>
      <c r="K164" s="542"/>
      <c r="L164" s="542"/>
      <c r="M164" s="542"/>
      <c r="N164" s="554">
        <f t="shared" si="144"/>
        <v>0</v>
      </c>
      <c r="O164" s="554">
        <f t="shared" si="145"/>
        <v>0</v>
      </c>
      <c r="P164" s="555" t="e">
        <f>(O164/O270)*100</f>
        <v>#DIV/0!</v>
      </c>
      <c r="Q164" s="570">
        <v>0.5</v>
      </c>
      <c r="R164" s="555" t="e">
        <f t="shared" si="146"/>
        <v>#DIV/0!</v>
      </c>
      <c r="S164" s="568">
        <f t="shared" si="147"/>
        <v>0</v>
      </c>
      <c r="T164" s="564"/>
      <c r="U164" s="569"/>
      <c r="V164" s="2569"/>
      <c r="X164" s="566">
        <f t="shared" si="148"/>
        <v>0</v>
      </c>
      <c r="Y164" s="566">
        <f t="shared" si="135"/>
        <v>0</v>
      </c>
      <c r="Z164" s="566">
        <f t="shared" si="136"/>
        <v>0</v>
      </c>
      <c r="AA164" s="566">
        <f t="shared" si="137"/>
        <v>0</v>
      </c>
      <c r="AB164" s="566">
        <f t="shared" si="138"/>
        <v>0</v>
      </c>
      <c r="AC164" s="566">
        <f t="shared" si="139"/>
        <v>0</v>
      </c>
      <c r="AD164" s="566">
        <f t="shared" si="140"/>
        <v>0</v>
      </c>
      <c r="AE164" s="566">
        <f t="shared" si="141"/>
        <v>0</v>
      </c>
      <c r="AF164" s="566">
        <f t="shared" si="142"/>
        <v>0</v>
      </c>
      <c r="AG164" s="566">
        <f t="shared" si="143"/>
        <v>0</v>
      </c>
      <c r="AH164" s="573"/>
    </row>
    <row r="165" spans="1:34" customFormat="1" ht="25.15" customHeight="1">
      <c r="A165" s="543">
        <v>17</v>
      </c>
      <c r="B165" s="546"/>
      <c r="C165" s="575"/>
      <c r="D165" s="542"/>
      <c r="E165" s="542"/>
      <c r="F165" s="542"/>
      <c r="G165" s="542"/>
      <c r="H165" s="542"/>
      <c r="I165" s="542"/>
      <c r="J165" s="542"/>
      <c r="K165" s="542"/>
      <c r="L165" s="542"/>
      <c r="M165" s="542"/>
      <c r="N165" s="554">
        <f t="shared" si="144"/>
        <v>0</v>
      </c>
      <c r="O165" s="554">
        <f t="shared" si="145"/>
        <v>0</v>
      </c>
      <c r="P165" s="555" t="e">
        <f>(O165/O270)*100</f>
        <v>#DIV/0!</v>
      </c>
      <c r="Q165" s="570">
        <v>0.5</v>
      </c>
      <c r="R165" s="555" t="e">
        <f t="shared" si="146"/>
        <v>#DIV/0!</v>
      </c>
      <c r="S165" s="568">
        <f t="shared" si="147"/>
        <v>0</v>
      </c>
      <c r="T165" s="564"/>
      <c r="U165" s="569"/>
      <c r="V165" s="2569"/>
      <c r="X165" s="566">
        <f t="shared" si="148"/>
        <v>0</v>
      </c>
      <c r="Y165" s="566">
        <f t="shared" si="135"/>
        <v>0</v>
      </c>
      <c r="Z165" s="566">
        <f t="shared" si="136"/>
        <v>0</v>
      </c>
      <c r="AA165" s="566">
        <f t="shared" si="137"/>
        <v>0</v>
      </c>
      <c r="AB165" s="566">
        <f t="shared" si="138"/>
        <v>0</v>
      </c>
      <c r="AC165" s="566">
        <f t="shared" si="139"/>
        <v>0</v>
      </c>
      <c r="AD165" s="566">
        <f t="shared" si="140"/>
        <v>0</v>
      </c>
      <c r="AE165" s="566">
        <f t="shared" si="141"/>
        <v>0</v>
      </c>
      <c r="AF165" s="566">
        <f t="shared" si="142"/>
        <v>0</v>
      </c>
      <c r="AG165" s="566">
        <f t="shared" si="143"/>
        <v>0</v>
      </c>
      <c r="AH165" s="573"/>
    </row>
    <row r="166" spans="1:34" customFormat="1" ht="25.15" customHeight="1">
      <c r="A166" s="543">
        <v>18</v>
      </c>
      <c r="B166" s="546"/>
      <c r="C166" s="575"/>
      <c r="D166" s="542"/>
      <c r="E166" s="542"/>
      <c r="F166" s="542"/>
      <c r="G166" s="542"/>
      <c r="H166" s="542"/>
      <c r="I166" s="542"/>
      <c r="J166" s="542"/>
      <c r="K166" s="542"/>
      <c r="L166" s="542"/>
      <c r="M166" s="542"/>
      <c r="N166" s="554">
        <f t="shared" si="144"/>
        <v>0</v>
      </c>
      <c r="O166" s="554">
        <f t="shared" si="145"/>
        <v>0</v>
      </c>
      <c r="P166" s="555" t="e">
        <f>(O166/O270)*100</f>
        <v>#DIV/0!</v>
      </c>
      <c r="Q166" s="570">
        <v>0.5</v>
      </c>
      <c r="R166" s="555" t="e">
        <f t="shared" si="146"/>
        <v>#DIV/0!</v>
      </c>
      <c r="S166" s="568">
        <f t="shared" si="147"/>
        <v>0</v>
      </c>
      <c r="T166" s="564"/>
      <c r="U166" s="569"/>
      <c r="V166" s="2569"/>
      <c r="X166" s="566">
        <f t="shared" si="148"/>
        <v>0</v>
      </c>
      <c r="Y166" s="566">
        <f t="shared" si="135"/>
        <v>0</v>
      </c>
      <c r="Z166" s="566">
        <f t="shared" si="136"/>
        <v>0</v>
      </c>
      <c r="AA166" s="566">
        <f t="shared" si="137"/>
        <v>0</v>
      </c>
      <c r="AB166" s="566">
        <f t="shared" si="138"/>
        <v>0</v>
      </c>
      <c r="AC166" s="566">
        <f t="shared" si="139"/>
        <v>0</v>
      </c>
      <c r="AD166" s="566">
        <f t="shared" si="140"/>
        <v>0</v>
      </c>
      <c r="AE166" s="566">
        <f t="shared" si="141"/>
        <v>0</v>
      </c>
      <c r="AF166" s="566">
        <f t="shared" si="142"/>
        <v>0</v>
      </c>
      <c r="AG166" s="566">
        <f t="shared" si="143"/>
        <v>0</v>
      </c>
      <c r="AH166" s="573"/>
    </row>
    <row r="167" spans="1:34" customFormat="1" ht="25.15" customHeight="1">
      <c r="A167" s="543">
        <v>19</v>
      </c>
      <c r="B167" s="546"/>
      <c r="C167" s="575"/>
      <c r="D167" s="542"/>
      <c r="E167" s="542"/>
      <c r="F167" s="542"/>
      <c r="G167" s="542"/>
      <c r="H167" s="542"/>
      <c r="I167" s="542"/>
      <c r="J167" s="542"/>
      <c r="K167" s="542"/>
      <c r="L167" s="542"/>
      <c r="M167" s="542"/>
      <c r="N167" s="554">
        <f t="shared" si="144"/>
        <v>0</v>
      </c>
      <c r="O167" s="554">
        <f t="shared" si="145"/>
        <v>0</v>
      </c>
      <c r="P167" s="555" t="e">
        <f>(O167/O270)*100</f>
        <v>#DIV/0!</v>
      </c>
      <c r="Q167" s="570">
        <v>0.5</v>
      </c>
      <c r="R167" s="555" t="e">
        <f t="shared" si="146"/>
        <v>#DIV/0!</v>
      </c>
      <c r="S167" s="568">
        <f t="shared" si="147"/>
        <v>0</v>
      </c>
      <c r="T167" s="564"/>
      <c r="U167" s="569"/>
      <c r="V167" s="2569"/>
      <c r="X167" s="566">
        <f t="shared" si="148"/>
        <v>0</v>
      </c>
      <c r="Y167" s="566">
        <f t="shared" si="135"/>
        <v>0</v>
      </c>
      <c r="Z167" s="566">
        <f t="shared" si="136"/>
        <v>0</v>
      </c>
      <c r="AA167" s="566">
        <f t="shared" si="137"/>
        <v>0</v>
      </c>
      <c r="AB167" s="566">
        <f t="shared" si="138"/>
        <v>0</v>
      </c>
      <c r="AC167" s="566">
        <f t="shared" si="139"/>
        <v>0</v>
      </c>
      <c r="AD167" s="566">
        <f t="shared" si="140"/>
        <v>0</v>
      </c>
      <c r="AE167" s="566">
        <f t="shared" si="141"/>
        <v>0</v>
      </c>
      <c r="AF167" s="566">
        <f t="shared" si="142"/>
        <v>0</v>
      </c>
      <c r="AG167" s="566">
        <f t="shared" si="143"/>
        <v>0</v>
      </c>
      <c r="AH167" s="573"/>
    </row>
    <row r="168" spans="1:34" customFormat="1" ht="25.15" customHeight="1">
      <c r="A168" s="543">
        <v>20</v>
      </c>
      <c r="B168" s="546"/>
      <c r="C168" s="575"/>
      <c r="D168" s="542"/>
      <c r="E168" s="542"/>
      <c r="F168" s="542"/>
      <c r="G168" s="542"/>
      <c r="H168" s="542"/>
      <c r="I168" s="542"/>
      <c r="J168" s="542"/>
      <c r="K168" s="542"/>
      <c r="L168" s="542"/>
      <c r="M168" s="542"/>
      <c r="N168" s="554">
        <f t="shared" si="144"/>
        <v>0</v>
      </c>
      <c r="O168" s="554">
        <f t="shared" si="145"/>
        <v>0</v>
      </c>
      <c r="P168" s="555" t="e">
        <f>(O168/O270)*100</f>
        <v>#DIV/0!</v>
      </c>
      <c r="Q168" s="570">
        <v>0.5</v>
      </c>
      <c r="R168" s="555" t="e">
        <f t="shared" si="146"/>
        <v>#DIV/0!</v>
      </c>
      <c r="S168" s="568">
        <f t="shared" si="147"/>
        <v>0</v>
      </c>
      <c r="T168" s="564"/>
      <c r="U168" s="569"/>
      <c r="V168" s="2569"/>
      <c r="X168" s="566">
        <f t="shared" si="148"/>
        <v>0</v>
      </c>
      <c r="Y168" s="566">
        <f t="shared" si="135"/>
        <v>0</v>
      </c>
      <c r="Z168" s="566">
        <f t="shared" si="136"/>
        <v>0</v>
      </c>
      <c r="AA168" s="566">
        <f t="shared" si="137"/>
        <v>0</v>
      </c>
      <c r="AB168" s="566">
        <f t="shared" si="138"/>
        <v>0</v>
      </c>
      <c r="AC168" s="566">
        <f t="shared" si="139"/>
        <v>0</v>
      </c>
      <c r="AD168" s="566">
        <f t="shared" si="140"/>
        <v>0</v>
      </c>
      <c r="AE168" s="566">
        <f t="shared" si="141"/>
        <v>0</v>
      </c>
      <c r="AF168" s="566">
        <f t="shared" si="142"/>
        <v>0</v>
      </c>
      <c r="AG168" s="566">
        <f t="shared" si="143"/>
        <v>0</v>
      </c>
      <c r="AH168" s="573"/>
    </row>
    <row r="169" spans="1:34" customFormat="1" ht="25.15" customHeight="1">
      <c r="A169" s="543">
        <v>21</v>
      </c>
      <c r="B169" s="546"/>
      <c r="C169" s="575"/>
      <c r="D169" s="542"/>
      <c r="E169" s="542"/>
      <c r="F169" s="542"/>
      <c r="G169" s="542"/>
      <c r="H169" s="542"/>
      <c r="I169" s="542"/>
      <c r="J169" s="542"/>
      <c r="K169" s="542"/>
      <c r="L169" s="542"/>
      <c r="M169" s="542"/>
      <c r="N169" s="554">
        <f t="shared" si="144"/>
        <v>0</v>
      </c>
      <c r="O169" s="554">
        <f t="shared" si="145"/>
        <v>0</v>
      </c>
      <c r="P169" s="555" t="e">
        <f>(O169/O270)*100</f>
        <v>#DIV/0!</v>
      </c>
      <c r="Q169" s="570">
        <v>0.5</v>
      </c>
      <c r="R169" s="555" t="e">
        <f t="shared" si="146"/>
        <v>#DIV/0!</v>
      </c>
      <c r="S169" s="568">
        <f t="shared" si="147"/>
        <v>0</v>
      </c>
      <c r="T169" s="564"/>
      <c r="U169" s="569"/>
      <c r="V169" s="2569"/>
      <c r="X169" s="566">
        <f t="shared" si="148"/>
        <v>0</v>
      </c>
      <c r="Y169" s="566">
        <f t="shared" si="135"/>
        <v>0</v>
      </c>
      <c r="Z169" s="566">
        <f t="shared" si="136"/>
        <v>0</v>
      </c>
      <c r="AA169" s="566">
        <f t="shared" si="137"/>
        <v>0</v>
      </c>
      <c r="AB169" s="566">
        <f t="shared" si="138"/>
        <v>0</v>
      </c>
      <c r="AC169" s="566">
        <f t="shared" si="139"/>
        <v>0</v>
      </c>
      <c r="AD169" s="566">
        <f t="shared" si="140"/>
        <v>0</v>
      </c>
      <c r="AE169" s="566">
        <f t="shared" si="141"/>
        <v>0</v>
      </c>
      <c r="AF169" s="566">
        <f t="shared" si="142"/>
        <v>0</v>
      </c>
      <c r="AG169" s="566">
        <f t="shared" si="143"/>
        <v>0</v>
      </c>
      <c r="AH169" s="573"/>
    </row>
    <row r="170" spans="1:34" customFormat="1" ht="25.15" customHeight="1">
      <c r="A170" s="543">
        <v>22</v>
      </c>
      <c r="B170" s="546"/>
      <c r="C170" s="575"/>
      <c r="D170" s="542"/>
      <c r="E170" s="542"/>
      <c r="F170" s="542"/>
      <c r="G170" s="542"/>
      <c r="H170" s="542"/>
      <c r="I170" s="542"/>
      <c r="J170" s="542"/>
      <c r="K170" s="542"/>
      <c r="L170" s="542"/>
      <c r="M170" s="542"/>
      <c r="N170" s="554">
        <f t="shared" si="144"/>
        <v>0</v>
      </c>
      <c r="O170" s="554">
        <f t="shared" si="145"/>
        <v>0</v>
      </c>
      <c r="P170" s="555" t="e">
        <f>(O170/O270)*100</f>
        <v>#DIV/0!</v>
      </c>
      <c r="Q170" s="570">
        <v>0.5</v>
      </c>
      <c r="R170" s="555" t="e">
        <f t="shared" si="146"/>
        <v>#DIV/0!</v>
      </c>
      <c r="S170" s="568">
        <f t="shared" si="147"/>
        <v>0</v>
      </c>
      <c r="T170" s="564"/>
      <c r="U170" s="569"/>
      <c r="V170" s="2569"/>
      <c r="X170" s="566">
        <f t="shared" si="148"/>
        <v>0</v>
      </c>
      <c r="Y170" s="566">
        <f t="shared" si="135"/>
        <v>0</v>
      </c>
      <c r="Z170" s="566">
        <f t="shared" si="136"/>
        <v>0</v>
      </c>
      <c r="AA170" s="566">
        <f t="shared" si="137"/>
        <v>0</v>
      </c>
      <c r="AB170" s="566">
        <f t="shared" si="138"/>
        <v>0</v>
      </c>
      <c r="AC170" s="566">
        <f t="shared" si="139"/>
        <v>0</v>
      </c>
      <c r="AD170" s="566">
        <f t="shared" si="140"/>
        <v>0</v>
      </c>
      <c r="AE170" s="566">
        <f t="shared" si="141"/>
        <v>0</v>
      </c>
      <c r="AF170" s="566">
        <f t="shared" si="142"/>
        <v>0</v>
      </c>
      <c r="AG170" s="566">
        <f t="shared" si="143"/>
        <v>0</v>
      </c>
      <c r="AH170" s="573"/>
    </row>
    <row r="171" spans="1:34" customFormat="1" ht="25.15" customHeight="1">
      <c r="A171" s="543">
        <v>23</v>
      </c>
      <c r="B171" s="546"/>
      <c r="C171" s="575"/>
      <c r="D171" s="542"/>
      <c r="E171" s="542"/>
      <c r="F171" s="542"/>
      <c r="G171" s="542"/>
      <c r="H171" s="542"/>
      <c r="I171" s="542"/>
      <c r="J171" s="542"/>
      <c r="K171" s="542"/>
      <c r="L171" s="542"/>
      <c r="M171" s="542"/>
      <c r="N171" s="554">
        <f t="shared" si="144"/>
        <v>0</v>
      </c>
      <c r="O171" s="554">
        <f t="shared" si="145"/>
        <v>0</v>
      </c>
      <c r="P171" s="555" t="e">
        <f>(O171/O270)*100</f>
        <v>#DIV/0!</v>
      </c>
      <c r="Q171" s="570">
        <v>0.5</v>
      </c>
      <c r="R171" s="555" t="e">
        <f t="shared" si="146"/>
        <v>#DIV/0!</v>
      </c>
      <c r="S171" s="568">
        <f t="shared" si="147"/>
        <v>0</v>
      </c>
      <c r="T171" s="564"/>
      <c r="U171" s="569"/>
      <c r="V171" s="2569"/>
      <c r="X171" s="566">
        <f t="shared" si="148"/>
        <v>0</v>
      </c>
      <c r="Y171" s="566">
        <f t="shared" si="135"/>
        <v>0</v>
      </c>
      <c r="Z171" s="566">
        <f t="shared" si="136"/>
        <v>0</v>
      </c>
      <c r="AA171" s="566">
        <f t="shared" si="137"/>
        <v>0</v>
      </c>
      <c r="AB171" s="566">
        <f t="shared" si="138"/>
        <v>0</v>
      </c>
      <c r="AC171" s="566">
        <f t="shared" si="139"/>
        <v>0</v>
      </c>
      <c r="AD171" s="566">
        <f t="shared" si="140"/>
        <v>0</v>
      </c>
      <c r="AE171" s="566">
        <f t="shared" si="141"/>
        <v>0</v>
      </c>
      <c r="AF171" s="566">
        <f t="shared" si="142"/>
        <v>0</v>
      </c>
      <c r="AG171" s="566">
        <f t="shared" si="143"/>
        <v>0</v>
      </c>
      <c r="AH171" s="573"/>
    </row>
    <row r="172" spans="1:34" customFormat="1" ht="25.15" customHeight="1">
      <c r="A172" s="543">
        <v>24</v>
      </c>
      <c r="B172" s="546"/>
      <c r="C172" s="575"/>
      <c r="D172" s="542"/>
      <c r="E172" s="542"/>
      <c r="F172" s="542"/>
      <c r="G172" s="542"/>
      <c r="H172" s="542"/>
      <c r="I172" s="542"/>
      <c r="J172" s="542"/>
      <c r="K172" s="542"/>
      <c r="L172" s="542"/>
      <c r="M172" s="542"/>
      <c r="N172" s="554">
        <f t="shared" si="144"/>
        <v>0</v>
      </c>
      <c r="O172" s="554">
        <f t="shared" si="145"/>
        <v>0</v>
      </c>
      <c r="P172" s="555" t="e">
        <f>(O172/O270)*100</f>
        <v>#DIV/0!</v>
      </c>
      <c r="Q172" s="570">
        <v>0.5</v>
      </c>
      <c r="R172" s="555" t="e">
        <f t="shared" si="146"/>
        <v>#DIV/0!</v>
      </c>
      <c r="S172" s="568">
        <f t="shared" si="147"/>
        <v>0</v>
      </c>
      <c r="T172" s="564"/>
      <c r="U172" s="569"/>
      <c r="V172" s="2569"/>
      <c r="X172" s="566">
        <f t="shared" si="148"/>
        <v>0</v>
      </c>
      <c r="Y172" s="566">
        <f t="shared" si="135"/>
        <v>0</v>
      </c>
      <c r="Z172" s="566">
        <f t="shared" si="136"/>
        <v>0</v>
      </c>
      <c r="AA172" s="566">
        <f t="shared" si="137"/>
        <v>0</v>
      </c>
      <c r="AB172" s="566">
        <f t="shared" si="138"/>
        <v>0</v>
      </c>
      <c r="AC172" s="566">
        <f t="shared" si="139"/>
        <v>0</v>
      </c>
      <c r="AD172" s="566">
        <f t="shared" si="140"/>
        <v>0</v>
      </c>
      <c r="AE172" s="566">
        <f t="shared" si="141"/>
        <v>0</v>
      </c>
      <c r="AF172" s="566">
        <f t="shared" si="142"/>
        <v>0</v>
      </c>
      <c r="AG172" s="566">
        <f t="shared" si="143"/>
        <v>0</v>
      </c>
      <c r="AH172" s="573"/>
    </row>
    <row r="173" spans="1:34" customFormat="1" ht="25.15" customHeight="1">
      <c r="A173" s="543">
        <v>25</v>
      </c>
      <c r="B173" s="546"/>
      <c r="C173" s="575"/>
      <c r="D173" s="542"/>
      <c r="E173" s="542"/>
      <c r="F173" s="542"/>
      <c r="G173" s="542"/>
      <c r="H173" s="542"/>
      <c r="I173" s="542"/>
      <c r="J173" s="542"/>
      <c r="K173" s="542"/>
      <c r="L173" s="542"/>
      <c r="M173" s="542"/>
      <c r="N173" s="554">
        <f t="shared" si="144"/>
        <v>0</v>
      </c>
      <c r="O173" s="554">
        <f t="shared" si="145"/>
        <v>0</v>
      </c>
      <c r="P173" s="555" t="e">
        <f>(O173/O270)*100</f>
        <v>#DIV/0!</v>
      </c>
      <c r="Q173" s="570">
        <v>0.5</v>
      </c>
      <c r="R173" s="555" t="e">
        <f t="shared" si="146"/>
        <v>#DIV/0!</v>
      </c>
      <c r="S173" s="568">
        <f t="shared" si="147"/>
        <v>0</v>
      </c>
      <c r="T173" s="564"/>
      <c r="U173" s="569"/>
      <c r="V173" s="2569"/>
      <c r="X173" s="566">
        <f t="shared" si="148"/>
        <v>0</v>
      </c>
      <c r="Y173" s="566">
        <f t="shared" si="135"/>
        <v>0</v>
      </c>
      <c r="Z173" s="566">
        <f t="shared" si="136"/>
        <v>0</v>
      </c>
      <c r="AA173" s="566">
        <f t="shared" si="137"/>
        <v>0</v>
      </c>
      <c r="AB173" s="566">
        <f t="shared" si="138"/>
        <v>0</v>
      </c>
      <c r="AC173" s="566">
        <f t="shared" si="139"/>
        <v>0</v>
      </c>
      <c r="AD173" s="566">
        <f t="shared" si="140"/>
        <v>0</v>
      </c>
      <c r="AE173" s="566">
        <f t="shared" si="141"/>
        <v>0</v>
      </c>
      <c r="AF173" s="566">
        <f t="shared" si="142"/>
        <v>0</v>
      </c>
      <c r="AG173" s="566">
        <f t="shared" si="143"/>
        <v>0</v>
      </c>
      <c r="AH173" s="573"/>
    </row>
    <row r="174" spans="1:34" customFormat="1" ht="25.15" customHeight="1">
      <c r="A174" s="543">
        <v>26</v>
      </c>
      <c r="B174" s="546"/>
      <c r="C174" s="575"/>
      <c r="D174" s="542"/>
      <c r="E174" s="542"/>
      <c r="F174" s="542"/>
      <c r="G174" s="542"/>
      <c r="H174" s="542"/>
      <c r="I174" s="542"/>
      <c r="J174" s="542"/>
      <c r="K174" s="542"/>
      <c r="L174" s="542"/>
      <c r="M174" s="542"/>
      <c r="N174" s="554">
        <f t="shared" si="144"/>
        <v>0</v>
      </c>
      <c r="O174" s="554">
        <f t="shared" si="145"/>
        <v>0</v>
      </c>
      <c r="P174" s="555" t="e">
        <f>(O174/O270)*100</f>
        <v>#DIV/0!</v>
      </c>
      <c r="Q174" s="570">
        <v>0.5</v>
      </c>
      <c r="R174" s="555" t="e">
        <f t="shared" si="146"/>
        <v>#DIV/0!</v>
      </c>
      <c r="S174" s="568">
        <f t="shared" si="147"/>
        <v>0</v>
      </c>
      <c r="T174" s="564"/>
      <c r="U174" s="569"/>
      <c r="V174" s="2569"/>
      <c r="X174" s="566">
        <f t="shared" si="148"/>
        <v>0</v>
      </c>
      <c r="Y174" s="566">
        <f t="shared" si="135"/>
        <v>0</v>
      </c>
      <c r="Z174" s="566">
        <f t="shared" si="136"/>
        <v>0</v>
      </c>
      <c r="AA174" s="566">
        <f t="shared" si="137"/>
        <v>0</v>
      </c>
      <c r="AB174" s="566">
        <f t="shared" si="138"/>
        <v>0</v>
      </c>
      <c r="AC174" s="566">
        <f t="shared" si="139"/>
        <v>0</v>
      </c>
      <c r="AD174" s="566">
        <f t="shared" si="140"/>
        <v>0</v>
      </c>
      <c r="AE174" s="566">
        <f t="shared" si="141"/>
        <v>0</v>
      </c>
      <c r="AF174" s="566">
        <f t="shared" si="142"/>
        <v>0</v>
      </c>
      <c r="AG174" s="566">
        <f t="shared" si="143"/>
        <v>0</v>
      </c>
      <c r="AH174" s="573"/>
    </row>
    <row r="175" spans="1:34" customFormat="1" ht="25.15" customHeight="1">
      <c r="A175" s="543">
        <v>27</v>
      </c>
      <c r="B175" s="546"/>
      <c r="C175" s="575"/>
      <c r="D175" s="542"/>
      <c r="E175" s="542"/>
      <c r="F175" s="542"/>
      <c r="G175" s="542"/>
      <c r="H175" s="542"/>
      <c r="I175" s="542"/>
      <c r="J175" s="542"/>
      <c r="K175" s="542"/>
      <c r="L175" s="542"/>
      <c r="M175" s="542"/>
      <c r="N175" s="554">
        <f t="shared" si="144"/>
        <v>0</v>
      </c>
      <c r="O175" s="554">
        <f t="shared" si="145"/>
        <v>0</v>
      </c>
      <c r="P175" s="555" t="e">
        <f>(O175/O270)*100</f>
        <v>#DIV/0!</v>
      </c>
      <c r="Q175" s="570">
        <v>0.5</v>
      </c>
      <c r="R175" s="555" t="e">
        <f t="shared" si="146"/>
        <v>#DIV/0!</v>
      </c>
      <c r="S175" s="568">
        <f t="shared" si="147"/>
        <v>0</v>
      </c>
      <c r="T175" s="564"/>
      <c r="U175" s="569"/>
      <c r="V175" s="2569"/>
      <c r="X175" s="566">
        <f t="shared" si="148"/>
        <v>0</v>
      </c>
      <c r="Y175" s="566">
        <f t="shared" si="135"/>
        <v>0</v>
      </c>
      <c r="Z175" s="566">
        <f t="shared" si="136"/>
        <v>0</v>
      </c>
      <c r="AA175" s="566">
        <f t="shared" si="137"/>
        <v>0</v>
      </c>
      <c r="AB175" s="566">
        <f t="shared" si="138"/>
        <v>0</v>
      </c>
      <c r="AC175" s="566">
        <f t="shared" si="139"/>
        <v>0</v>
      </c>
      <c r="AD175" s="566">
        <f t="shared" si="140"/>
        <v>0</v>
      </c>
      <c r="AE175" s="566">
        <f t="shared" si="141"/>
        <v>0</v>
      </c>
      <c r="AF175" s="566">
        <f t="shared" si="142"/>
        <v>0</v>
      </c>
      <c r="AG175" s="566">
        <f t="shared" si="143"/>
        <v>0</v>
      </c>
      <c r="AH175" s="573"/>
    </row>
    <row r="176" spans="1:34" customFormat="1" ht="25.15" customHeight="1">
      <c r="A176" s="543">
        <v>28</v>
      </c>
      <c r="B176" s="546"/>
      <c r="C176" s="575"/>
      <c r="D176" s="542"/>
      <c r="E176" s="542"/>
      <c r="F176" s="542"/>
      <c r="G176" s="542"/>
      <c r="H176" s="542"/>
      <c r="I176" s="542"/>
      <c r="J176" s="542"/>
      <c r="K176" s="542"/>
      <c r="L176" s="542"/>
      <c r="M176" s="542"/>
      <c r="N176" s="554">
        <f t="shared" si="144"/>
        <v>0</v>
      </c>
      <c r="O176" s="554">
        <f t="shared" si="145"/>
        <v>0</v>
      </c>
      <c r="P176" s="555" t="e">
        <f>(O176/O270)*100</f>
        <v>#DIV/0!</v>
      </c>
      <c r="Q176" s="570">
        <v>0.5</v>
      </c>
      <c r="R176" s="555" t="e">
        <f t="shared" si="146"/>
        <v>#DIV/0!</v>
      </c>
      <c r="S176" s="568">
        <f t="shared" si="147"/>
        <v>0</v>
      </c>
      <c r="T176" s="564"/>
      <c r="U176" s="569"/>
      <c r="V176" s="2569"/>
      <c r="X176" s="566">
        <f t="shared" si="148"/>
        <v>0</v>
      </c>
      <c r="Y176" s="566">
        <f t="shared" si="135"/>
        <v>0</v>
      </c>
      <c r="Z176" s="566">
        <f t="shared" si="136"/>
        <v>0</v>
      </c>
      <c r="AA176" s="566">
        <f t="shared" si="137"/>
        <v>0</v>
      </c>
      <c r="AB176" s="566">
        <f t="shared" si="138"/>
        <v>0</v>
      </c>
      <c r="AC176" s="566">
        <f t="shared" si="139"/>
        <v>0</v>
      </c>
      <c r="AD176" s="566">
        <f t="shared" si="140"/>
        <v>0</v>
      </c>
      <c r="AE176" s="566">
        <f t="shared" si="141"/>
        <v>0</v>
      </c>
      <c r="AF176" s="566">
        <f t="shared" si="142"/>
        <v>0</v>
      </c>
      <c r="AG176" s="566">
        <f t="shared" si="143"/>
        <v>0</v>
      </c>
      <c r="AH176" s="573"/>
    </row>
    <row r="177" spans="1:34" customFormat="1" ht="25.15" customHeight="1">
      <c r="A177" s="543">
        <v>29</v>
      </c>
      <c r="B177" s="546"/>
      <c r="C177" s="575"/>
      <c r="D177" s="542"/>
      <c r="E177" s="542"/>
      <c r="F177" s="542"/>
      <c r="G177" s="542"/>
      <c r="H177" s="542"/>
      <c r="I177" s="542"/>
      <c r="J177" s="542"/>
      <c r="K177" s="542"/>
      <c r="L177" s="542"/>
      <c r="M177" s="542"/>
      <c r="N177" s="554">
        <f t="shared" si="144"/>
        <v>0</v>
      </c>
      <c r="O177" s="554">
        <f t="shared" si="145"/>
        <v>0</v>
      </c>
      <c r="P177" s="555" t="e">
        <f>(O177/O270)*100</f>
        <v>#DIV/0!</v>
      </c>
      <c r="Q177" s="570">
        <v>0.5</v>
      </c>
      <c r="R177" s="555" t="e">
        <f t="shared" si="146"/>
        <v>#DIV/0!</v>
      </c>
      <c r="S177" s="568">
        <f t="shared" si="147"/>
        <v>0</v>
      </c>
      <c r="T177" s="564"/>
      <c r="U177" s="569"/>
      <c r="V177" s="2569"/>
      <c r="X177" s="566">
        <f t="shared" si="148"/>
        <v>0</v>
      </c>
      <c r="Y177" s="566">
        <f t="shared" si="135"/>
        <v>0</v>
      </c>
      <c r="Z177" s="566">
        <f t="shared" si="136"/>
        <v>0</v>
      </c>
      <c r="AA177" s="566">
        <f t="shared" si="137"/>
        <v>0</v>
      </c>
      <c r="AB177" s="566">
        <f t="shared" si="138"/>
        <v>0</v>
      </c>
      <c r="AC177" s="566">
        <f t="shared" si="139"/>
        <v>0</v>
      </c>
      <c r="AD177" s="566">
        <f t="shared" si="140"/>
        <v>0</v>
      </c>
      <c r="AE177" s="566">
        <f t="shared" si="141"/>
        <v>0</v>
      </c>
      <c r="AF177" s="566">
        <f t="shared" si="142"/>
        <v>0</v>
      </c>
      <c r="AG177" s="566">
        <f t="shared" si="143"/>
        <v>0</v>
      </c>
      <c r="AH177" s="573"/>
    </row>
    <row r="178" spans="1:34" customFormat="1" ht="25.15" customHeight="1">
      <c r="A178" s="543">
        <v>30</v>
      </c>
      <c r="B178" s="546"/>
      <c r="C178" s="575"/>
      <c r="D178" s="542"/>
      <c r="E178" s="542"/>
      <c r="F178" s="542"/>
      <c r="G178" s="542"/>
      <c r="H178" s="542"/>
      <c r="I178" s="542"/>
      <c r="J178" s="542"/>
      <c r="K178" s="542"/>
      <c r="L178" s="542"/>
      <c r="M178" s="542"/>
      <c r="N178" s="554">
        <f t="shared" si="144"/>
        <v>0</v>
      </c>
      <c r="O178" s="554">
        <f t="shared" si="145"/>
        <v>0</v>
      </c>
      <c r="P178" s="555" t="e">
        <f>(O178/O270)*100</f>
        <v>#DIV/0!</v>
      </c>
      <c r="Q178" s="570">
        <v>0.5</v>
      </c>
      <c r="R178" s="555" t="e">
        <f t="shared" si="146"/>
        <v>#DIV/0!</v>
      </c>
      <c r="S178" s="568">
        <f t="shared" si="147"/>
        <v>0</v>
      </c>
      <c r="T178" s="564"/>
      <c r="U178" s="569"/>
      <c r="V178" s="2569"/>
      <c r="X178" s="566">
        <f t="shared" si="148"/>
        <v>0</v>
      </c>
      <c r="Y178" s="566">
        <f t="shared" si="135"/>
        <v>0</v>
      </c>
      <c r="Z178" s="566">
        <f t="shared" si="136"/>
        <v>0</v>
      </c>
      <c r="AA178" s="566">
        <f t="shared" si="137"/>
        <v>0</v>
      </c>
      <c r="AB178" s="566">
        <f t="shared" si="138"/>
        <v>0</v>
      </c>
      <c r="AC178" s="566">
        <f t="shared" si="139"/>
        <v>0</v>
      </c>
      <c r="AD178" s="566">
        <f t="shared" si="140"/>
        <v>0</v>
      </c>
      <c r="AE178" s="566">
        <f t="shared" si="141"/>
        <v>0</v>
      </c>
      <c r="AF178" s="566">
        <f t="shared" si="142"/>
        <v>0</v>
      </c>
      <c r="AG178" s="566">
        <f t="shared" si="143"/>
        <v>0</v>
      </c>
      <c r="AH178" s="573"/>
    </row>
    <row r="179" spans="1:34" customFormat="1" ht="25.15" customHeight="1">
      <c r="A179" s="543">
        <v>31</v>
      </c>
      <c r="B179" s="546"/>
      <c r="C179" s="575"/>
      <c r="D179" s="542"/>
      <c r="E179" s="542"/>
      <c r="F179" s="542"/>
      <c r="G179" s="542"/>
      <c r="H179" s="542"/>
      <c r="I179" s="542"/>
      <c r="J179" s="542"/>
      <c r="K179" s="542"/>
      <c r="L179" s="542"/>
      <c r="M179" s="542"/>
      <c r="N179" s="554">
        <f t="shared" si="144"/>
        <v>0</v>
      </c>
      <c r="O179" s="554">
        <f t="shared" si="145"/>
        <v>0</v>
      </c>
      <c r="P179" s="555" t="e">
        <f>(O179/O270)*100</f>
        <v>#DIV/0!</v>
      </c>
      <c r="Q179" s="570">
        <v>0.5</v>
      </c>
      <c r="R179" s="555" t="e">
        <f t="shared" si="146"/>
        <v>#DIV/0!</v>
      </c>
      <c r="S179" s="568">
        <f t="shared" si="147"/>
        <v>0</v>
      </c>
      <c r="T179" s="564"/>
      <c r="U179" s="569"/>
      <c r="V179" s="2569"/>
      <c r="X179" s="566">
        <f t="shared" si="148"/>
        <v>0</v>
      </c>
      <c r="Y179" s="566">
        <f t="shared" si="135"/>
        <v>0</v>
      </c>
      <c r="Z179" s="566">
        <f t="shared" si="136"/>
        <v>0</v>
      </c>
      <c r="AA179" s="566">
        <f t="shared" si="137"/>
        <v>0</v>
      </c>
      <c r="AB179" s="566">
        <f t="shared" si="138"/>
        <v>0</v>
      </c>
      <c r="AC179" s="566">
        <f t="shared" si="139"/>
        <v>0</v>
      </c>
      <c r="AD179" s="566">
        <f t="shared" si="140"/>
        <v>0</v>
      </c>
      <c r="AE179" s="566">
        <f t="shared" si="141"/>
        <v>0</v>
      </c>
      <c r="AF179" s="566">
        <f t="shared" si="142"/>
        <v>0</v>
      </c>
      <c r="AG179" s="566">
        <f t="shared" si="143"/>
        <v>0</v>
      </c>
      <c r="AH179" s="573"/>
    </row>
    <row r="180" spans="1:34" customFormat="1" ht="25.15" customHeight="1">
      <c r="A180" s="543">
        <v>32</v>
      </c>
      <c r="B180" s="546"/>
      <c r="C180" s="575"/>
      <c r="D180" s="542"/>
      <c r="E180" s="542"/>
      <c r="F180" s="542"/>
      <c r="G180" s="542"/>
      <c r="H180" s="542"/>
      <c r="I180" s="542"/>
      <c r="J180" s="542"/>
      <c r="K180" s="542"/>
      <c r="L180" s="542"/>
      <c r="M180" s="542"/>
      <c r="N180" s="554">
        <f t="shared" si="144"/>
        <v>0</v>
      </c>
      <c r="O180" s="554">
        <f t="shared" si="145"/>
        <v>0</v>
      </c>
      <c r="P180" s="555" t="e">
        <f>(O180/O270)*100</f>
        <v>#DIV/0!</v>
      </c>
      <c r="Q180" s="570">
        <v>0.5</v>
      </c>
      <c r="R180" s="555" t="e">
        <f t="shared" si="146"/>
        <v>#DIV/0!</v>
      </c>
      <c r="S180" s="568">
        <f t="shared" si="147"/>
        <v>0</v>
      </c>
      <c r="T180" s="564"/>
      <c r="U180" s="569"/>
      <c r="V180" s="2569"/>
      <c r="X180" s="566">
        <f t="shared" si="148"/>
        <v>0</v>
      </c>
      <c r="Y180" s="566">
        <f t="shared" si="135"/>
        <v>0</v>
      </c>
      <c r="Z180" s="566">
        <f t="shared" si="136"/>
        <v>0</v>
      </c>
      <c r="AA180" s="566">
        <f t="shared" si="137"/>
        <v>0</v>
      </c>
      <c r="AB180" s="566">
        <f t="shared" si="138"/>
        <v>0</v>
      </c>
      <c r="AC180" s="566">
        <f t="shared" si="139"/>
        <v>0</v>
      </c>
      <c r="AD180" s="566">
        <f t="shared" si="140"/>
        <v>0</v>
      </c>
      <c r="AE180" s="566">
        <f t="shared" si="141"/>
        <v>0</v>
      </c>
      <c r="AF180" s="566">
        <f t="shared" si="142"/>
        <v>0</v>
      </c>
      <c r="AG180" s="566">
        <f t="shared" si="143"/>
        <v>0</v>
      </c>
      <c r="AH180" s="573"/>
    </row>
    <row r="181" spans="1:34" customFormat="1" ht="25.15" customHeight="1">
      <c r="A181" s="543">
        <v>33</v>
      </c>
      <c r="B181" s="546"/>
      <c r="C181" s="575"/>
      <c r="D181" s="542"/>
      <c r="E181" s="542"/>
      <c r="F181" s="542"/>
      <c r="G181" s="542"/>
      <c r="H181" s="542"/>
      <c r="I181" s="542"/>
      <c r="J181" s="542"/>
      <c r="K181" s="542"/>
      <c r="L181" s="542"/>
      <c r="M181" s="542"/>
      <c r="N181" s="554">
        <f t="shared" si="144"/>
        <v>0</v>
      </c>
      <c r="O181" s="554">
        <f t="shared" si="145"/>
        <v>0</v>
      </c>
      <c r="P181" s="555" t="e">
        <f>(O181/O270)*100</f>
        <v>#DIV/0!</v>
      </c>
      <c r="Q181" s="570">
        <v>0.5</v>
      </c>
      <c r="R181" s="555" t="e">
        <f t="shared" si="146"/>
        <v>#DIV/0!</v>
      </c>
      <c r="S181" s="568">
        <f t="shared" si="147"/>
        <v>0</v>
      </c>
      <c r="T181" s="564"/>
      <c r="U181" s="569"/>
      <c r="V181" s="2569"/>
      <c r="X181" s="566">
        <f t="shared" si="148"/>
        <v>0</v>
      </c>
      <c r="Y181" s="566">
        <f t="shared" si="135"/>
        <v>0</v>
      </c>
      <c r="Z181" s="566">
        <f t="shared" si="136"/>
        <v>0</v>
      </c>
      <c r="AA181" s="566">
        <f t="shared" si="137"/>
        <v>0</v>
      </c>
      <c r="AB181" s="566">
        <f t="shared" si="138"/>
        <v>0</v>
      </c>
      <c r="AC181" s="566">
        <f t="shared" si="139"/>
        <v>0</v>
      </c>
      <c r="AD181" s="566">
        <f t="shared" si="140"/>
        <v>0</v>
      </c>
      <c r="AE181" s="566">
        <f t="shared" si="141"/>
        <v>0</v>
      </c>
      <c r="AF181" s="566">
        <f t="shared" si="142"/>
        <v>0</v>
      </c>
      <c r="AG181" s="566">
        <f t="shared" si="143"/>
        <v>0</v>
      </c>
      <c r="AH181" s="573"/>
    </row>
    <row r="182" spans="1:34" customFormat="1" ht="25.15" customHeight="1">
      <c r="A182" s="543">
        <v>34</v>
      </c>
      <c r="B182" s="546"/>
      <c r="C182" s="575"/>
      <c r="D182" s="542"/>
      <c r="E182" s="542"/>
      <c r="F182" s="542"/>
      <c r="G182" s="542"/>
      <c r="H182" s="542"/>
      <c r="I182" s="542"/>
      <c r="J182" s="542"/>
      <c r="K182" s="542"/>
      <c r="L182" s="542"/>
      <c r="M182" s="542"/>
      <c r="N182" s="554">
        <f t="shared" si="144"/>
        <v>0</v>
      </c>
      <c r="O182" s="554">
        <f t="shared" si="145"/>
        <v>0</v>
      </c>
      <c r="P182" s="555" t="e">
        <f>(O182/O270)*100</f>
        <v>#DIV/0!</v>
      </c>
      <c r="Q182" s="570">
        <v>0.5</v>
      </c>
      <c r="R182" s="555" t="e">
        <f t="shared" si="146"/>
        <v>#DIV/0!</v>
      </c>
      <c r="S182" s="568">
        <f t="shared" si="147"/>
        <v>0</v>
      </c>
      <c r="T182" s="564"/>
      <c r="U182" s="569"/>
      <c r="V182" s="2569"/>
      <c r="X182" s="566">
        <f t="shared" si="148"/>
        <v>0</v>
      </c>
      <c r="Y182" s="566">
        <f t="shared" si="135"/>
        <v>0</v>
      </c>
      <c r="Z182" s="566">
        <f t="shared" si="136"/>
        <v>0</v>
      </c>
      <c r="AA182" s="566">
        <f t="shared" si="137"/>
        <v>0</v>
      </c>
      <c r="AB182" s="566">
        <f t="shared" si="138"/>
        <v>0</v>
      </c>
      <c r="AC182" s="566">
        <f t="shared" si="139"/>
        <v>0</v>
      </c>
      <c r="AD182" s="566">
        <f t="shared" si="140"/>
        <v>0</v>
      </c>
      <c r="AE182" s="566">
        <f t="shared" si="141"/>
        <v>0</v>
      </c>
      <c r="AF182" s="566">
        <f t="shared" si="142"/>
        <v>0</v>
      </c>
      <c r="AG182" s="566">
        <f t="shared" si="143"/>
        <v>0</v>
      </c>
      <c r="AH182" s="573"/>
    </row>
    <row r="183" spans="1:34" customFormat="1" ht="25.15" customHeight="1">
      <c r="A183" s="543">
        <v>35</v>
      </c>
      <c r="B183" s="546"/>
      <c r="C183" s="575"/>
      <c r="D183" s="542"/>
      <c r="E183" s="542"/>
      <c r="F183" s="542"/>
      <c r="G183" s="542"/>
      <c r="H183" s="542"/>
      <c r="I183" s="542"/>
      <c r="J183" s="542"/>
      <c r="K183" s="542"/>
      <c r="L183" s="542"/>
      <c r="M183" s="542"/>
      <c r="N183" s="554">
        <f t="shared" si="144"/>
        <v>0</v>
      </c>
      <c r="O183" s="554">
        <f t="shared" si="145"/>
        <v>0</v>
      </c>
      <c r="P183" s="555" t="e">
        <f>(O183/O270)*100</f>
        <v>#DIV/0!</v>
      </c>
      <c r="Q183" s="570">
        <v>0.5</v>
      </c>
      <c r="R183" s="555" t="e">
        <f t="shared" si="146"/>
        <v>#DIV/0!</v>
      </c>
      <c r="S183" s="568">
        <f t="shared" si="147"/>
        <v>0</v>
      </c>
      <c r="T183" s="564"/>
      <c r="U183" s="569"/>
      <c r="V183" s="2569"/>
      <c r="X183" s="566">
        <f t="shared" si="148"/>
        <v>0</v>
      </c>
      <c r="Y183" s="566">
        <f t="shared" si="135"/>
        <v>0</v>
      </c>
      <c r="Z183" s="566">
        <f t="shared" si="136"/>
        <v>0</v>
      </c>
      <c r="AA183" s="566">
        <f t="shared" si="137"/>
        <v>0</v>
      </c>
      <c r="AB183" s="566">
        <f t="shared" si="138"/>
        <v>0</v>
      </c>
      <c r="AC183" s="566">
        <f t="shared" si="139"/>
        <v>0</v>
      </c>
      <c r="AD183" s="566">
        <f t="shared" si="140"/>
        <v>0</v>
      </c>
      <c r="AE183" s="566">
        <f t="shared" si="141"/>
        <v>0</v>
      </c>
      <c r="AF183" s="566">
        <f t="shared" si="142"/>
        <v>0</v>
      </c>
      <c r="AG183" s="566">
        <f t="shared" si="143"/>
        <v>0</v>
      </c>
      <c r="AH183" s="573"/>
    </row>
    <row r="184" spans="1:34" customFormat="1" ht="25.15" customHeight="1">
      <c r="A184" s="543">
        <v>36</v>
      </c>
      <c r="B184" s="546"/>
      <c r="C184" s="575"/>
      <c r="D184" s="542"/>
      <c r="E184" s="542"/>
      <c r="F184" s="542"/>
      <c r="G184" s="542"/>
      <c r="H184" s="542"/>
      <c r="I184" s="542"/>
      <c r="J184" s="542"/>
      <c r="K184" s="542"/>
      <c r="L184" s="542"/>
      <c r="M184" s="542"/>
      <c r="N184" s="554">
        <f t="shared" si="144"/>
        <v>0</v>
      </c>
      <c r="O184" s="554">
        <f t="shared" si="145"/>
        <v>0</v>
      </c>
      <c r="P184" s="555" t="e">
        <f>(O184/O270)*100</f>
        <v>#DIV/0!</v>
      </c>
      <c r="Q184" s="570">
        <v>0.5</v>
      </c>
      <c r="R184" s="555" t="e">
        <f t="shared" si="146"/>
        <v>#DIV/0!</v>
      </c>
      <c r="S184" s="568">
        <f t="shared" si="147"/>
        <v>0</v>
      </c>
      <c r="T184" s="564"/>
      <c r="U184" s="569"/>
      <c r="V184" s="2569"/>
      <c r="X184" s="566">
        <f t="shared" si="148"/>
        <v>0</v>
      </c>
      <c r="Y184" s="566">
        <f t="shared" si="135"/>
        <v>0</v>
      </c>
      <c r="Z184" s="566">
        <f t="shared" si="136"/>
        <v>0</v>
      </c>
      <c r="AA184" s="566">
        <f t="shared" si="137"/>
        <v>0</v>
      </c>
      <c r="AB184" s="566">
        <f t="shared" si="138"/>
        <v>0</v>
      </c>
      <c r="AC184" s="566">
        <f t="shared" si="139"/>
        <v>0</v>
      </c>
      <c r="AD184" s="566">
        <f t="shared" si="140"/>
        <v>0</v>
      </c>
      <c r="AE184" s="566">
        <f t="shared" si="141"/>
        <v>0</v>
      </c>
      <c r="AF184" s="566">
        <f t="shared" si="142"/>
        <v>0</v>
      </c>
      <c r="AG184" s="566">
        <f t="shared" si="143"/>
        <v>0</v>
      </c>
      <c r="AH184" s="573"/>
    </row>
    <row r="185" spans="1:34" customFormat="1" ht="25.15" customHeight="1">
      <c r="A185" s="543">
        <v>37</v>
      </c>
      <c r="B185" s="546"/>
      <c r="C185" s="575"/>
      <c r="D185" s="542"/>
      <c r="E185" s="542"/>
      <c r="F185" s="542"/>
      <c r="G185" s="542"/>
      <c r="H185" s="542"/>
      <c r="I185" s="542"/>
      <c r="J185" s="542"/>
      <c r="K185" s="542"/>
      <c r="L185" s="542"/>
      <c r="M185" s="542"/>
      <c r="N185" s="554">
        <f t="shared" si="144"/>
        <v>0</v>
      </c>
      <c r="O185" s="554">
        <f t="shared" si="145"/>
        <v>0</v>
      </c>
      <c r="P185" s="555" t="e">
        <f>(O185/O270)*100</f>
        <v>#DIV/0!</v>
      </c>
      <c r="Q185" s="570">
        <v>0.5</v>
      </c>
      <c r="R185" s="555" t="e">
        <f t="shared" si="146"/>
        <v>#DIV/0!</v>
      </c>
      <c r="S185" s="568">
        <f t="shared" si="147"/>
        <v>0</v>
      </c>
      <c r="T185" s="564"/>
      <c r="U185" s="569"/>
      <c r="V185" s="2569"/>
      <c r="X185" s="566">
        <f t="shared" si="148"/>
        <v>0</v>
      </c>
      <c r="Y185" s="566">
        <f t="shared" si="135"/>
        <v>0</v>
      </c>
      <c r="Z185" s="566">
        <f t="shared" si="136"/>
        <v>0</v>
      </c>
      <c r="AA185" s="566">
        <f t="shared" si="137"/>
        <v>0</v>
      </c>
      <c r="AB185" s="566">
        <f t="shared" si="138"/>
        <v>0</v>
      </c>
      <c r="AC185" s="566">
        <f t="shared" si="139"/>
        <v>0</v>
      </c>
      <c r="AD185" s="566">
        <f t="shared" si="140"/>
        <v>0</v>
      </c>
      <c r="AE185" s="566">
        <f t="shared" si="141"/>
        <v>0</v>
      </c>
      <c r="AF185" s="566">
        <f t="shared" si="142"/>
        <v>0</v>
      </c>
      <c r="AG185" s="566">
        <f t="shared" si="143"/>
        <v>0</v>
      </c>
      <c r="AH185" s="573"/>
    </row>
    <row r="186" spans="1:34" customFormat="1" ht="25.15" customHeight="1">
      <c r="A186" s="543">
        <v>38</v>
      </c>
      <c r="B186" s="546"/>
      <c r="C186" s="575"/>
      <c r="D186" s="542"/>
      <c r="E186" s="542"/>
      <c r="F186" s="542"/>
      <c r="G186" s="542"/>
      <c r="H186" s="542"/>
      <c r="I186" s="542"/>
      <c r="J186" s="542"/>
      <c r="K186" s="542"/>
      <c r="L186" s="542"/>
      <c r="M186" s="542"/>
      <c r="N186" s="554">
        <f t="shared" si="144"/>
        <v>0</v>
      </c>
      <c r="O186" s="554">
        <f t="shared" si="145"/>
        <v>0</v>
      </c>
      <c r="P186" s="555" t="e">
        <f>(O186/O270)*100</f>
        <v>#DIV/0!</v>
      </c>
      <c r="Q186" s="570">
        <v>0.5</v>
      </c>
      <c r="R186" s="555" t="e">
        <f t="shared" si="146"/>
        <v>#DIV/0!</v>
      </c>
      <c r="S186" s="568">
        <f t="shared" si="147"/>
        <v>0</v>
      </c>
      <c r="T186" s="564"/>
      <c r="U186" s="569"/>
      <c r="V186" s="2569"/>
      <c r="X186" s="566">
        <f t="shared" si="148"/>
        <v>0</v>
      </c>
      <c r="Y186" s="566">
        <f t="shared" si="135"/>
        <v>0</v>
      </c>
      <c r="Z186" s="566">
        <f t="shared" si="136"/>
        <v>0</v>
      </c>
      <c r="AA186" s="566">
        <f t="shared" si="137"/>
        <v>0</v>
      </c>
      <c r="AB186" s="566">
        <f t="shared" si="138"/>
        <v>0</v>
      </c>
      <c r="AC186" s="566">
        <f t="shared" si="139"/>
        <v>0</v>
      </c>
      <c r="AD186" s="566">
        <f t="shared" si="140"/>
        <v>0</v>
      </c>
      <c r="AE186" s="566">
        <f t="shared" si="141"/>
        <v>0</v>
      </c>
      <c r="AF186" s="566">
        <f t="shared" si="142"/>
        <v>0</v>
      </c>
      <c r="AG186" s="566">
        <f t="shared" si="143"/>
        <v>0</v>
      </c>
      <c r="AH186" s="573"/>
    </row>
    <row r="187" spans="1:34" customFormat="1" ht="25.15" customHeight="1">
      <c r="A187" s="543">
        <v>39</v>
      </c>
      <c r="B187" s="546"/>
      <c r="C187" s="575"/>
      <c r="D187" s="542"/>
      <c r="E187" s="542"/>
      <c r="F187" s="542"/>
      <c r="G187" s="542"/>
      <c r="H187" s="542"/>
      <c r="I187" s="542"/>
      <c r="J187" s="542"/>
      <c r="K187" s="542"/>
      <c r="L187" s="542"/>
      <c r="M187" s="542"/>
      <c r="N187" s="554">
        <f t="shared" si="144"/>
        <v>0</v>
      </c>
      <c r="O187" s="554">
        <f t="shared" si="145"/>
        <v>0</v>
      </c>
      <c r="P187" s="555" t="e">
        <f>(O187/O270)*100</f>
        <v>#DIV/0!</v>
      </c>
      <c r="Q187" s="570">
        <v>0.5</v>
      </c>
      <c r="R187" s="555" t="e">
        <f t="shared" si="146"/>
        <v>#DIV/0!</v>
      </c>
      <c r="S187" s="568">
        <f t="shared" si="147"/>
        <v>0</v>
      </c>
      <c r="T187" s="564"/>
      <c r="U187" s="569"/>
      <c r="V187" s="2569"/>
      <c r="X187" s="566">
        <f t="shared" si="148"/>
        <v>0</v>
      </c>
      <c r="Y187" s="566">
        <f t="shared" si="135"/>
        <v>0</v>
      </c>
      <c r="Z187" s="566">
        <f t="shared" si="136"/>
        <v>0</v>
      </c>
      <c r="AA187" s="566">
        <f t="shared" si="137"/>
        <v>0</v>
      </c>
      <c r="AB187" s="566">
        <f t="shared" si="138"/>
        <v>0</v>
      </c>
      <c r="AC187" s="566">
        <f t="shared" si="139"/>
        <v>0</v>
      </c>
      <c r="AD187" s="566">
        <f t="shared" si="140"/>
        <v>0</v>
      </c>
      <c r="AE187" s="566">
        <f t="shared" si="141"/>
        <v>0</v>
      </c>
      <c r="AF187" s="566">
        <f t="shared" si="142"/>
        <v>0</v>
      </c>
      <c r="AG187" s="566">
        <f t="shared" si="143"/>
        <v>0</v>
      </c>
      <c r="AH187" s="573"/>
    </row>
    <row r="188" spans="1:34" customFormat="1" ht="25.15" customHeight="1">
      <c r="A188" s="543">
        <v>40</v>
      </c>
      <c r="B188" s="546"/>
      <c r="C188" s="575"/>
      <c r="D188" s="542"/>
      <c r="E188" s="542"/>
      <c r="F188" s="542"/>
      <c r="G188" s="542"/>
      <c r="H188" s="542"/>
      <c r="I188" s="542"/>
      <c r="J188" s="542"/>
      <c r="K188" s="542"/>
      <c r="L188" s="542"/>
      <c r="M188" s="542"/>
      <c r="N188" s="554">
        <f t="shared" si="144"/>
        <v>0</v>
      </c>
      <c r="O188" s="554">
        <f t="shared" si="145"/>
        <v>0</v>
      </c>
      <c r="P188" s="555" t="e">
        <f>(O188/O270)*100</f>
        <v>#DIV/0!</v>
      </c>
      <c r="Q188" s="570">
        <v>0.5</v>
      </c>
      <c r="R188" s="555" t="e">
        <f t="shared" si="146"/>
        <v>#DIV/0!</v>
      </c>
      <c r="S188" s="568">
        <f t="shared" si="147"/>
        <v>0</v>
      </c>
      <c r="T188" s="564"/>
      <c r="U188" s="569"/>
      <c r="V188" s="2569"/>
      <c r="X188" s="566">
        <f t="shared" si="148"/>
        <v>0</v>
      </c>
      <c r="Y188" s="566">
        <f t="shared" si="135"/>
        <v>0</v>
      </c>
      <c r="Z188" s="566">
        <f t="shared" si="136"/>
        <v>0</v>
      </c>
      <c r="AA188" s="566">
        <f t="shared" si="137"/>
        <v>0</v>
      </c>
      <c r="AB188" s="566">
        <f t="shared" si="138"/>
        <v>0</v>
      </c>
      <c r="AC188" s="566">
        <f t="shared" si="139"/>
        <v>0</v>
      </c>
      <c r="AD188" s="566">
        <f t="shared" si="140"/>
        <v>0</v>
      </c>
      <c r="AE188" s="566">
        <f t="shared" si="141"/>
        <v>0</v>
      </c>
      <c r="AF188" s="566">
        <f t="shared" si="142"/>
        <v>0</v>
      </c>
      <c r="AG188" s="566">
        <f t="shared" si="143"/>
        <v>0</v>
      </c>
      <c r="AH188" s="573"/>
    </row>
    <row r="189" spans="1:34" customFormat="1" ht="25.15" customHeight="1">
      <c r="A189" s="543">
        <v>41</v>
      </c>
      <c r="B189" s="546"/>
      <c r="C189" s="575"/>
      <c r="D189" s="542"/>
      <c r="E189" s="542"/>
      <c r="F189" s="542"/>
      <c r="G189" s="542"/>
      <c r="H189" s="542"/>
      <c r="I189" s="542"/>
      <c r="J189" s="542"/>
      <c r="K189" s="542"/>
      <c r="L189" s="542"/>
      <c r="M189" s="542"/>
      <c r="N189" s="554">
        <f t="shared" si="144"/>
        <v>0</v>
      </c>
      <c r="O189" s="554">
        <f t="shared" si="145"/>
        <v>0</v>
      </c>
      <c r="P189" s="555" t="e">
        <f>(O189/O270)*100</f>
        <v>#DIV/0!</v>
      </c>
      <c r="Q189" s="570">
        <v>0.5</v>
      </c>
      <c r="R189" s="555" t="e">
        <f t="shared" si="146"/>
        <v>#DIV/0!</v>
      </c>
      <c r="S189" s="568">
        <f t="shared" si="147"/>
        <v>0</v>
      </c>
      <c r="T189" s="564"/>
      <c r="U189" s="569"/>
      <c r="V189" s="2569"/>
      <c r="X189" s="566">
        <f t="shared" si="148"/>
        <v>0</v>
      </c>
      <c r="Y189" s="566">
        <f t="shared" si="135"/>
        <v>0</v>
      </c>
      <c r="Z189" s="566">
        <f t="shared" si="136"/>
        <v>0</v>
      </c>
      <c r="AA189" s="566">
        <f t="shared" si="137"/>
        <v>0</v>
      </c>
      <c r="AB189" s="566">
        <f t="shared" si="138"/>
        <v>0</v>
      </c>
      <c r="AC189" s="566">
        <f t="shared" si="139"/>
        <v>0</v>
      </c>
      <c r="AD189" s="566">
        <f t="shared" si="140"/>
        <v>0</v>
      </c>
      <c r="AE189" s="566">
        <f t="shared" si="141"/>
        <v>0</v>
      </c>
      <c r="AF189" s="566">
        <f t="shared" si="142"/>
        <v>0</v>
      </c>
      <c r="AG189" s="566">
        <f t="shared" si="143"/>
        <v>0</v>
      </c>
      <c r="AH189" s="573"/>
    </row>
    <row r="190" spans="1:34" customFormat="1" ht="25.15" customHeight="1">
      <c r="A190" s="543">
        <v>42</v>
      </c>
      <c r="B190" s="546"/>
      <c r="C190" s="575"/>
      <c r="D190" s="542"/>
      <c r="E190" s="542"/>
      <c r="F190" s="542"/>
      <c r="G190" s="542"/>
      <c r="H190" s="542"/>
      <c r="I190" s="542"/>
      <c r="J190" s="542"/>
      <c r="K190" s="542"/>
      <c r="L190" s="542"/>
      <c r="M190" s="542"/>
      <c r="N190" s="554">
        <f t="shared" si="144"/>
        <v>0</v>
      </c>
      <c r="O190" s="554">
        <f t="shared" si="145"/>
        <v>0</v>
      </c>
      <c r="P190" s="555" t="e">
        <f>(O190/O270)*100</f>
        <v>#DIV/0!</v>
      </c>
      <c r="Q190" s="570">
        <v>0.5</v>
      </c>
      <c r="R190" s="555" t="e">
        <f t="shared" si="146"/>
        <v>#DIV/0!</v>
      </c>
      <c r="S190" s="568">
        <f t="shared" si="147"/>
        <v>0</v>
      </c>
      <c r="T190" s="564"/>
      <c r="U190" s="569"/>
      <c r="V190" s="2569"/>
      <c r="X190" s="566">
        <f t="shared" si="148"/>
        <v>0</v>
      </c>
      <c r="Y190" s="566">
        <f t="shared" si="135"/>
        <v>0</v>
      </c>
      <c r="Z190" s="566">
        <f t="shared" si="136"/>
        <v>0</v>
      </c>
      <c r="AA190" s="566">
        <f t="shared" si="137"/>
        <v>0</v>
      </c>
      <c r="AB190" s="566">
        <f t="shared" si="138"/>
        <v>0</v>
      </c>
      <c r="AC190" s="566">
        <f t="shared" si="139"/>
        <v>0</v>
      </c>
      <c r="AD190" s="566">
        <f t="shared" si="140"/>
        <v>0</v>
      </c>
      <c r="AE190" s="566">
        <f t="shared" si="141"/>
        <v>0</v>
      </c>
      <c r="AF190" s="566">
        <f t="shared" si="142"/>
        <v>0</v>
      </c>
      <c r="AG190" s="566">
        <f t="shared" si="143"/>
        <v>0</v>
      </c>
      <c r="AH190" s="573"/>
    </row>
    <row r="191" spans="1:34" ht="25.15" customHeight="1">
      <c r="A191" s="543">
        <v>43</v>
      </c>
      <c r="B191" s="546"/>
      <c r="C191" s="575"/>
      <c r="D191" s="542"/>
      <c r="E191" s="542"/>
      <c r="F191" s="542"/>
      <c r="G191" s="542"/>
      <c r="H191" s="542"/>
      <c r="I191" s="542"/>
      <c r="J191" s="542"/>
      <c r="K191" s="542"/>
      <c r="L191" s="542"/>
      <c r="M191" s="542"/>
      <c r="N191" s="554">
        <f t="shared" si="144"/>
        <v>0</v>
      </c>
      <c r="O191" s="554">
        <f t="shared" si="145"/>
        <v>0</v>
      </c>
      <c r="P191" s="555" t="e">
        <f>(O191/O270)*100</f>
        <v>#DIV/0!</v>
      </c>
      <c r="Q191" s="570">
        <v>0.5</v>
      </c>
      <c r="R191" s="555" t="e">
        <f t="shared" si="146"/>
        <v>#DIV/0!</v>
      </c>
      <c r="S191" s="568">
        <f t="shared" si="147"/>
        <v>0</v>
      </c>
      <c r="T191" s="564"/>
      <c r="U191" s="569"/>
      <c r="V191" s="2569"/>
      <c r="X191" s="566">
        <f t="shared" si="148"/>
        <v>0</v>
      </c>
      <c r="Y191" s="566">
        <f t="shared" si="135"/>
        <v>0</v>
      </c>
      <c r="Z191" s="566">
        <f t="shared" si="136"/>
        <v>0</v>
      </c>
      <c r="AA191" s="566">
        <f t="shared" si="137"/>
        <v>0</v>
      </c>
      <c r="AB191" s="566">
        <f t="shared" si="138"/>
        <v>0</v>
      </c>
      <c r="AC191" s="566">
        <f t="shared" si="139"/>
        <v>0</v>
      </c>
      <c r="AD191" s="566">
        <f t="shared" si="140"/>
        <v>0</v>
      </c>
      <c r="AE191" s="566">
        <f t="shared" si="141"/>
        <v>0</v>
      </c>
      <c r="AF191" s="566">
        <f t="shared" si="142"/>
        <v>0</v>
      </c>
      <c r="AG191" s="566">
        <f t="shared" si="143"/>
        <v>0</v>
      </c>
      <c r="AH191" s="573"/>
    </row>
    <row r="192" spans="1:34" ht="25.15" customHeight="1">
      <c r="A192" s="543">
        <v>44</v>
      </c>
      <c r="B192" s="546"/>
      <c r="C192" s="575"/>
      <c r="D192" s="542"/>
      <c r="E192" s="542"/>
      <c r="F192" s="542"/>
      <c r="G192" s="542"/>
      <c r="H192" s="542"/>
      <c r="I192" s="542"/>
      <c r="J192" s="542"/>
      <c r="K192" s="542"/>
      <c r="L192" s="542"/>
      <c r="M192" s="542"/>
      <c r="N192" s="554">
        <f t="shared" si="144"/>
        <v>0</v>
      </c>
      <c r="O192" s="554">
        <f t="shared" si="145"/>
        <v>0</v>
      </c>
      <c r="P192" s="555" t="e">
        <f>(O192/O270)*100</f>
        <v>#DIV/0!</v>
      </c>
      <c r="Q192" s="570"/>
      <c r="R192" s="555" t="e">
        <f t="shared" si="146"/>
        <v>#DIV/0!</v>
      </c>
      <c r="S192" s="568">
        <f t="shared" si="147"/>
        <v>0</v>
      </c>
      <c r="T192" s="564"/>
      <c r="U192" s="569"/>
      <c r="V192" s="2569"/>
      <c r="X192" s="566">
        <f t="shared" si="148"/>
        <v>0</v>
      </c>
      <c r="Y192" s="566">
        <f t="shared" ref="Y192:Y210" si="149">E192*S192</f>
        <v>0</v>
      </c>
      <c r="Z192" s="566">
        <f t="shared" si="136"/>
        <v>0</v>
      </c>
      <c r="AA192" s="566">
        <f t="shared" ref="AA192:AA210" si="150">G192*S192</f>
        <v>0</v>
      </c>
      <c r="AB192" s="566">
        <f t="shared" si="138"/>
        <v>0</v>
      </c>
      <c r="AC192" s="566">
        <f t="shared" si="139"/>
        <v>0</v>
      </c>
      <c r="AD192" s="566">
        <f t="shared" si="140"/>
        <v>0</v>
      </c>
      <c r="AE192" s="566">
        <f t="shared" ref="AE192:AE210" si="151">K192*S192</f>
        <v>0</v>
      </c>
      <c r="AF192" s="566">
        <f t="shared" ref="AF192:AF210" si="152">L192*S192</f>
        <v>0</v>
      </c>
      <c r="AG192" s="566">
        <f t="shared" si="143"/>
        <v>0</v>
      </c>
      <c r="AH192" s="573"/>
    </row>
    <row r="193" spans="1:34" ht="25.15" customHeight="1">
      <c r="A193" s="543">
        <v>45</v>
      </c>
      <c r="B193" s="546"/>
      <c r="C193" s="575"/>
      <c r="D193" s="542"/>
      <c r="E193" s="542"/>
      <c r="F193" s="542"/>
      <c r="G193" s="542"/>
      <c r="H193" s="542"/>
      <c r="I193" s="542"/>
      <c r="J193" s="542"/>
      <c r="K193" s="542"/>
      <c r="L193" s="542"/>
      <c r="M193" s="542"/>
      <c r="N193" s="554">
        <f t="shared" si="144"/>
        <v>0</v>
      </c>
      <c r="O193" s="554">
        <f t="shared" si="145"/>
        <v>0</v>
      </c>
      <c r="P193" s="555" t="e">
        <f>(O193/O270)*100</f>
        <v>#DIV/0!</v>
      </c>
      <c r="Q193" s="570"/>
      <c r="R193" s="555" t="e">
        <f t="shared" si="146"/>
        <v>#DIV/0!</v>
      </c>
      <c r="S193" s="568">
        <f t="shared" si="147"/>
        <v>0</v>
      </c>
      <c r="T193" s="564"/>
      <c r="U193" s="569"/>
      <c r="V193" s="2569"/>
      <c r="X193" s="566">
        <f t="shared" si="148"/>
        <v>0</v>
      </c>
      <c r="Y193" s="566">
        <f t="shared" si="149"/>
        <v>0</v>
      </c>
      <c r="Z193" s="566">
        <f t="shared" ref="Z193:Z210" si="153">F193*S193</f>
        <v>0</v>
      </c>
      <c r="AA193" s="566">
        <f t="shared" si="150"/>
        <v>0</v>
      </c>
      <c r="AB193" s="566">
        <f t="shared" ref="AB193:AB210" si="154">H193*S193</f>
        <v>0</v>
      </c>
      <c r="AC193" s="566">
        <f t="shared" ref="AC193:AC210" si="155">I193*S193</f>
        <v>0</v>
      </c>
      <c r="AD193" s="566">
        <f t="shared" ref="AD193:AD210" si="156">J193*S193</f>
        <v>0</v>
      </c>
      <c r="AE193" s="566">
        <f t="shared" si="151"/>
        <v>0</v>
      </c>
      <c r="AF193" s="566">
        <f t="shared" si="152"/>
        <v>0</v>
      </c>
      <c r="AG193" s="566">
        <f t="shared" ref="AG193:AG210" si="157">M193*S193</f>
        <v>0</v>
      </c>
      <c r="AH193" s="573"/>
    </row>
    <row r="194" spans="1:34" ht="25.15" customHeight="1">
      <c r="A194" s="543">
        <v>46</v>
      </c>
      <c r="B194" s="546"/>
      <c r="C194" s="575"/>
      <c r="D194" s="542"/>
      <c r="E194" s="542"/>
      <c r="F194" s="542"/>
      <c r="G194" s="542"/>
      <c r="H194" s="542"/>
      <c r="I194" s="542"/>
      <c r="J194" s="542"/>
      <c r="K194" s="542"/>
      <c r="L194" s="542"/>
      <c r="M194" s="542"/>
      <c r="N194" s="554">
        <f t="shared" si="144"/>
        <v>0</v>
      </c>
      <c r="O194" s="554">
        <f t="shared" si="145"/>
        <v>0</v>
      </c>
      <c r="P194" s="555" t="e">
        <f>(O194/O270)*100</f>
        <v>#DIV/0!</v>
      </c>
      <c r="Q194" s="570"/>
      <c r="R194" s="555" t="e">
        <f t="shared" si="146"/>
        <v>#DIV/0!</v>
      </c>
      <c r="S194" s="568">
        <f t="shared" si="147"/>
        <v>0</v>
      </c>
      <c r="T194" s="564"/>
      <c r="U194" s="569"/>
      <c r="V194" s="2569"/>
      <c r="X194" s="566">
        <f t="shared" si="148"/>
        <v>0</v>
      </c>
      <c r="Y194" s="566">
        <f t="shared" si="149"/>
        <v>0</v>
      </c>
      <c r="Z194" s="566">
        <f t="shared" si="153"/>
        <v>0</v>
      </c>
      <c r="AA194" s="566">
        <f t="shared" si="150"/>
        <v>0</v>
      </c>
      <c r="AB194" s="566">
        <f t="shared" si="154"/>
        <v>0</v>
      </c>
      <c r="AC194" s="566">
        <f t="shared" si="155"/>
        <v>0</v>
      </c>
      <c r="AD194" s="566">
        <f t="shared" si="156"/>
        <v>0</v>
      </c>
      <c r="AE194" s="566">
        <f t="shared" si="151"/>
        <v>0</v>
      </c>
      <c r="AF194" s="566">
        <f t="shared" si="152"/>
        <v>0</v>
      </c>
      <c r="AG194" s="566">
        <f t="shared" si="157"/>
        <v>0</v>
      </c>
      <c r="AH194" s="573"/>
    </row>
    <row r="195" spans="1:34" ht="25.15" customHeight="1">
      <c r="A195" s="543">
        <v>47</v>
      </c>
      <c r="B195" s="546"/>
      <c r="C195" s="575"/>
      <c r="D195" s="542"/>
      <c r="E195" s="542"/>
      <c r="F195" s="542"/>
      <c r="G195" s="542"/>
      <c r="H195" s="542"/>
      <c r="I195" s="542"/>
      <c r="J195" s="542"/>
      <c r="K195" s="542"/>
      <c r="L195" s="542"/>
      <c r="M195" s="542"/>
      <c r="N195" s="554">
        <f t="shared" si="144"/>
        <v>0</v>
      </c>
      <c r="O195" s="554">
        <f t="shared" si="145"/>
        <v>0</v>
      </c>
      <c r="P195" s="555" t="e">
        <f>(O195/O270)*100</f>
        <v>#DIV/0!</v>
      </c>
      <c r="Q195" s="570"/>
      <c r="R195" s="555" t="e">
        <f t="shared" si="146"/>
        <v>#DIV/0!</v>
      </c>
      <c r="S195" s="568">
        <f t="shared" si="147"/>
        <v>0</v>
      </c>
      <c r="T195" s="564"/>
      <c r="U195" s="569"/>
      <c r="V195" s="2569"/>
      <c r="X195" s="566">
        <f t="shared" si="148"/>
        <v>0</v>
      </c>
      <c r="Y195" s="566">
        <f t="shared" si="149"/>
        <v>0</v>
      </c>
      <c r="Z195" s="566">
        <f t="shared" si="153"/>
        <v>0</v>
      </c>
      <c r="AA195" s="566">
        <f t="shared" si="150"/>
        <v>0</v>
      </c>
      <c r="AB195" s="566">
        <f t="shared" si="154"/>
        <v>0</v>
      </c>
      <c r="AC195" s="566">
        <f t="shared" si="155"/>
        <v>0</v>
      </c>
      <c r="AD195" s="566">
        <f t="shared" si="156"/>
        <v>0</v>
      </c>
      <c r="AE195" s="566">
        <f t="shared" si="151"/>
        <v>0</v>
      </c>
      <c r="AF195" s="566">
        <f t="shared" si="152"/>
        <v>0</v>
      </c>
      <c r="AG195" s="566">
        <f t="shared" si="157"/>
        <v>0</v>
      </c>
      <c r="AH195" s="573"/>
    </row>
    <row r="196" spans="1:34" ht="25.15" customHeight="1">
      <c r="A196" s="543">
        <v>48</v>
      </c>
      <c r="B196" s="546"/>
      <c r="C196" s="575"/>
      <c r="D196" s="542"/>
      <c r="E196" s="542"/>
      <c r="F196" s="542"/>
      <c r="G196" s="542"/>
      <c r="H196" s="542"/>
      <c r="I196" s="542"/>
      <c r="J196" s="542"/>
      <c r="K196" s="542"/>
      <c r="L196" s="542"/>
      <c r="M196" s="542"/>
      <c r="N196" s="554">
        <f t="shared" si="144"/>
        <v>0</v>
      </c>
      <c r="O196" s="554">
        <f t="shared" si="145"/>
        <v>0</v>
      </c>
      <c r="P196" s="555" t="e">
        <f>(O196/O270)*100</f>
        <v>#DIV/0!</v>
      </c>
      <c r="Q196" s="570"/>
      <c r="R196" s="555" t="e">
        <f t="shared" si="146"/>
        <v>#DIV/0!</v>
      </c>
      <c r="S196" s="568">
        <f t="shared" si="147"/>
        <v>0</v>
      </c>
      <c r="T196" s="564"/>
      <c r="U196" s="569"/>
      <c r="V196" s="2569"/>
      <c r="X196" s="566">
        <f t="shared" si="148"/>
        <v>0</v>
      </c>
      <c r="Y196" s="566">
        <f t="shared" si="149"/>
        <v>0</v>
      </c>
      <c r="Z196" s="566">
        <f t="shared" si="153"/>
        <v>0</v>
      </c>
      <c r="AA196" s="566">
        <f t="shared" si="150"/>
        <v>0</v>
      </c>
      <c r="AB196" s="566">
        <f t="shared" si="154"/>
        <v>0</v>
      </c>
      <c r="AC196" s="566">
        <f t="shared" si="155"/>
        <v>0</v>
      </c>
      <c r="AD196" s="566">
        <f t="shared" si="156"/>
        <v>0</v>
      </c>
      <c r="AE196" s="566">
        <f t="shared" si="151"/>
        <v>0</v>
      </c>
      <c r="AF196" s="566">
        <f t="shared" si="152"/>
        <v>0</v>
      </c>
      <c r="AG196" s="566">
        <f t="shared" si="157"/>
        <v>0</v>
      </c>
      <c r="AH196" s="573"/>
    </row>
    <row r="197" spans="1:34" ht="25.15" customHeight="1">
      <c r="A197" s="543">
        <v>49</v>
      </c>
      <c r="B197" s="546"/>
      <c r="C197" s="575"/>
      <c r="D197" s="542"/>
      <c r="E197" s="542"/>
      <c r="F197" s="542"/>
      <c r="G197" s="542"/>
      <c r="H197" s="542"/>
      <c r="I197" s="542"/>
      <c r="J197" s="542"/>
      <c r="K197" s="542"/>
      <c r="L197" s="542"/>
      <c r="M197" s="542"/>
      <c r="N197" s="554">
        <f t="shared" si="144"/>
        <v>0</v>
      </c>
      <c r="O197" s="554">
        <f t="shared" si="145"/>
        <v>0</v>
      </c>
      <c r="P197" s="555" t="e">
        <f>(O197/O270)*100</f>
        <v>#DIV/0!</v>
      </c>
      <c r="Q197" s="570"/>
      <c r="R197" s="555" t="e">
        <f t="shared" si="146"/>
        <v>#DIV/0!</v>
      </c>
      <c r="S197" s="568">
        <f t="shared" si="147"/>
        <v>0</v>
      </c>
      <c r="T197" s="564"/>
      <c r="U197" s="569"/>
      <c r="V197" s="2569"/>
      <c r="X197" s="566">
        <f t="shared" si="148"/>
        <v>0</v>
      </c>
      <c r="Y197" s="566">
        <f t="shared" si="149"/>
        <v>0</v>
      </c>
      <c r="Z197" s="566">
        <f t="shared" si="153"/>
        <v>0</v>
      </c>
      <c r="AA197" s="566">
        <f t="shared" si="150"/>
        <v>0</v>
      </c>
      <c r="AB197" s="566">
        <f t="shared" si="154"/>
        <v>0</v>
      </c>
      <c r="AC197" s="566">
        <f t="shared" si="155"/>
        <v>0</v>
      </c>
      <c r="AD197" s="566">
        <f t="shared" si="156"/>
        <v>0</v>
      </c>
      <c r="AE197" s="566">
        <f t="shared" si="151"/>
        <v>0</v>
      </c>
      <c r="AF197" s="566">
        <f t="shared" si="152"/>
        <v>0</v>
      </c>
      <c r="AG197" s="566">
        <f t="shared" si="157"/>
        <v>0</v>
      </c>
      <c r="AH197" s="573"/>
    </row>
    <row r="198" spans="1:34" ht="25.15" customHeight="1">
      <c r="A198" s="543">
        <v>50</v>
      </c>
      <c r="B198" s="546"/>
      <c r="C198" s="575"/>
      <c r="D198" s="542"/>
      <c r="E198" s="542"/>
      <c r="F198" s="542"/>
      <c r="G198" s="542"/>
      <c r="H198" s="542"/>
      <c r="I198" s="542"/>
      <c r="J198" s="542"/>
      <c r="K198" s="542"/>
      <c r="L198" s="542"/>
      <c r="M198" s="542"/>
      <c r="N198" s="554">
        <f t="shared" si="144"/>
        <v>0</v>
      </c>
      <c r="O198" s="554">
        <f t="shared" si="145"/>
        <v>0</v>
      </c>
      <c r="P198" s="555" t="e">
        <f>(O198/O270)*100</f>
        <v>#DIV/0!</v>
      </c>
      <c r="Q198" s="570"/>
      <c r="R198" s="555" t="e">
        <f t="shared" si="146"/>
        <v>#DIV/0!</v>
      </c>
      <c r="S198" s="568">
        <f t="shared" si="147"/>
        <v>0</v>
      </c>
      <c r="T198" s="564"/>
      <c r="U198" s="569"/>
      <c r="V198" s="2569"/>
      <c r="X198" s="566">
        <f t="shared" si="148"/>
        <v>0</v>
      </c>
      <c r="Y198" s="566">
        <f t="shared" si="149"/>
        <v>0</v>
      </c>
      <c r="Z198" s="566">
        <f t="shared" si="153"/>
        <v>0</v>
      </c>
      <c r="AA198" s="566">
        <f t="shared" si="150"/>
        <v>0</v>
      </c>
      <c r="AB198" s="566">
        <f t="shared" si="154"/>
        <v>0</v>
      </c>
      <c r="AC198" s="566">
        <f t="shared" si="155"/>
        <v>0</v>
      </c>
      <c r="AD198" s="566">
        <f t="shared" si="156"/>
        <v>0</v>
      </c>
      <c r="AE198" s="566">
        <f t="shared" si="151"/>
        <v>0</v>
      </c>
      <c r="AF198" s="566">
        <f t="shared" si="152"/>
        <v>0</v>
      </c>
      <c r="AG198" s="566">
        <f t="shared" si="157"/>
        <v>0</v>
      </c>
      <c r="AH198" s="573"/>
    </row>
    <row r="199" spans="1:34" ht="25.15" customHeight="1">
      <c r="A199" s="543">
        <v>51</v>
      </c>
      <c r="B199" s="546"/>
      <c r="C199" s="575"/>
      <c r="D199" s="542"/>
      <c r="E199" s="542"/>
      <c r="F199" s="542"/>
      <c r="G199" s="542"/>
      <c r="H199" s="542"/>
      <c r="I199" s="542"/>
      <c r="J199" s="542"/>
      <c r="K199" s="542"/>
      <c r="L199" s="542"/>
      <c r="M199" s="542"/>
      <c r="N199" s="554">
        <f t="shared" si="144"/>
        <v>0</v>
      </c>
      <c r="O199" s="554">
        <f t="shared" si="145"/>
        <v>0</v>
      </c>
      <c r="P199" s="555" t="e">
        <f>(O199/O270)*100</f>
        <v>#DIV/0!</v>
      </c>
      <c r="Q199" s="570"/>
      <c r="R199" s="555" t="e">
        <f t="shared" si="146"/>
        <v>#DIV/0!</v>
      </c>
      <c r="S199" s="568">
        <f t="shared" si="147"/>
        <v>0</v>
      </c>
      <c r="T199" s="564"/>
      <c r="U199" s="569"/>
      <c r="V199" s="2569"/>
      <c r="X199" s="566">
        <f t="shared" si="148"/>
        <v>0</v>
      </c>
      <c r="Y199" s="566">
        <f t="shared" si="149"/>
        <v>0</v>
      </c>
      <c r="Z199" s="566">
        <f t="shared" si="153"/>
        <v>0</v>
      </c>
      <c r="AA199" s="566">
        <f t="shared" si="150"/>
        <v>0</v>
      </c>
      <c r="AB199" s="566">
        <f t="shared" si="154"/>
        <v>0</v>
      </c>
      <c r="AC199" s="566">
        <f t="shared" si="155"/>
        <v>0</v>
      </c>
      <c r="AD199" s="566">
        <f t="shared" si="156"/>
        <v>0</v>
      </c>
      <c r="AE199" s="566">
        <f t="shared" si="151"/>
        <v>0</v>
      </c>
      <c r="AF199" s="566">
        <f t="shared" si="152"/>
        <v>0</v>
      </c>
      <c r="AG199" s="566">
        <f t="shared" si="157"/>
        <v>0</v>
      </c>
      <c r="AH199" s="573"/>
    </row>
    <row r="200" spans="1:34" ht="25.15" customHeight="1">
      <c r="A200" s="543">
        <v>52</v>
      </c>
      <c r="B200" s="546"/>
      <c r="C200" s="575"/>
      <c r="D200" s="542"/>
      <c r="E200" s="542"/>
      <c r="F200" s="542"/>
      <c r="G200" s="542"/>
      <c r="H200" s="542"/>
      <c r="I200" s="542"/>
      <c r="J200" s="542"/>
      <c r="K200" s="542"/>
      <c r="L200" s="542"/>
      <c r="M200" s="542"/>
      <c r="N200" s="554">
        <f t="shared" si="144"/>
        <v>0</v>
      </c>
      <c r="O200" s="554">
        <f t="shared" si="145"/>
        <v>0</v>
      </c>
      <c r="P200" s="555" t="e">
        <f>(O200/O270)*100</f>
        <v>#DIV/0!</v>
      </c>
      <c r="Q200" s="570"/>
      <c r="R200" s="555" t="e">
        <f t="shared" si="146"/>
        <v>#DIV/0!</v>
      </c>
      <c r="S200" s="568">
        <f t="shared" si="147"/>
        <v>0</v>
      </c>
      <c r="T200" s="564"/>
      <c r="U200" s="569"/>
      <c r="V200" s="2569"/>
      <c r="X200" s="566">
        <f t="shared" si="148"/>
        <v>0</v>
      </c>
      <c r="Y200" s="566">
        <f t="shared" si="149"/>
        <v>0</v>
      </c>
      <c r="Z200" s="566">
        <f t="shared" si="153"/>
        <v>0</v>
      </c>
      <c r="AA200" s="566">
        <f t="shared" si="150"/>
        <v>0</v>
      </c>
      <c r="AB200" s="566">
        <f t="shared" si="154"/>
        <v>0</v>
      </c>
      <c r="AC200" s="566">
        <f t="shared" si="155"/>
        <v>0</v>
      </c>
      <c r="AD200" s="566">
        <f t="shared" si="156"/>
        <v>0</v>
      </c>
      <c r="AE200" s="566">
        <f t="shared" si="151"/>
        <v>0</v>
      </c>
      <c r="AF200" s="566">
        <f t="shared" si="152"/>
        <v>0</v>
      </c>
      <c r="AG200" s="566">
        <f t="shared" si="157"/>
        <v>0</v>
      </c>
      <c r="AH200" s="573"/>
    </row>
    <row r="201" spans="1:34" ht="25.15" customHeight="1">
      <c r="A201" s="543">
        <v>53</v>
      </c>
      <c r="B201" s="546"/>
      <c r="C201" s="575"/>
      <c r="D201" s="542"/>
      <c r="E201" s="542"/>
      <c r="F201" s="542"/>
      <c r="G201" s="542"/>
      <c r="H201" s="542"/>
      <c r="I201" s="542"/>
      <c r="J201" s="542"/>
      <c r="K201" s="542"/>
      <c r="L201" s="542"/>
      <c r="M201" s="542"/>
      <c r="N201" s="554">
        <f t="shared" si="144"/>
        <v>0</v>
      </c>
      <c r="O201" s="554">
        <f t="shared" si="145"/>
        <v>0</v>
      </c>
      <c r="P201" s="555" t="e">
        <f>(O201/O270)*100</f>
        <v>#DIV/0!</v>
      </c>
      <c r="Q201" s="570"/>
      <c r="R201" s="555" t="e">
        <f t="shared" si="146"/>
        <v>#DIV/0!</v>
      </c>
      <c r="S201" s="568">
        <f t="shared" si="147"/>
        <v>0</v>
      </c>
      <c r="T201" s="564"/>
      <c r="U201" s="569"/>
      <c r="V201" s="2569"/>
      <c r="X201" s="566">
        <f t="shared" si="148"/>
        <v>0</v>
      </c>
      <c r="Y201" s="566">
        <f t="shared" si="149"/>
        <v>0</v>
      </c>
      <c r="Z201" s="566">
        <f t="shared" si="153"/>
        <v>0</v>
      </c>
      <c r="AA201" s="566">
        <f t="shared" si="150"/>
        <v>0</v>
      </c>
      <c r="AB201" s="566">
        <f t="shared" si="154"/>
        <v>0</v>
      </c>
      <c r="AC201" s="566">
        <f t="shared" si="155"/>
        <v>0</v>
      </c>
      <c r="AD201" s="566">
        <f t="shared" si="156"/>
        <v>0</v>
      </c>
      <c r="AE201" s="566">
        <f t="shared" si="151"/>
        <v>0</v>
      </c>
      <c r="AF201" s="566">
        <f t="shared" si="152"/>
        <v>0</v>
      </c>
      <c r="AG201" s="566">
        <f t="shared" si="157"/>
        <v>0</v>
      </c>
      <c r="AH201" s="573"/>
    </row>
    <row r="202" spans="1:34" ht="25.15" customHeight="1">
      <c r="A202" s="543">
        <v>54</v>
      </c>
      <c r="B202" s="546"/>
      <c r="C202" s="575"/>
      <c r="D202" s="542"/>
      <c r="E202" s="542"/>
      <c r="F202" s="542"/>
      <c r="G202" s="542"/>
      <c r="H202" s="542"/>
      <c r="I202" s="542"/>
      <c r="J202" s="542"/>
      <c r="K202" s="542"/>
      <c r="L202" s="542"/>
      <c r="M202" s="542"/>
      <c r="N202" s="554">
        <f t="shared" si="144"/>
        <v>0</v>
      </c>
      <c r="O202" s="554">
        <f t="shared" si="145"/>
        <v>0</v>
      </c>
      <c r="P202" s="555" t="e">
        <f>(O202/O270)*100</f>
        <v>#DIV/0!</v>
      </c>
      <c r="Q202" s="570"/>
      <c r="R202" s="555" t="e">
        <f t="shared" si="146"/>
        <v>#DIV/0!</v>
      </c>
      <c r="S202" s="568">
        <f t="shared" si="147"/>
        <v>0</v>
      </c>
      <c r="T202" s="564"/>
      <c r="U202" s="569"/>
      <c r="V202" s="2569"/>
      <c r="X202" s="566">
        <f t="shared" si="148"/>
        <v>0</v>
      </c>
      <c r="Y202" s="566">
        <f t="shared" si="149"/>
        <v>0</v>
      </c>
      <c r="Z202" s="566">
        <f t="shared" si="153"/>
        <v>0</v>
      </c>
      <c r="AA202" s="566">
        <f t="shared" si="150"/>
        <v>0</v>
      </c>
      <c r="AB202" s="566">
        <f t="shared" si="154"/>
        <v>0</v>
      </c>
      <c r="AC202" s="566">
        <f t="shared" si="155"/>
        <v>0</v>
      </c>
      <c r="AD202" s="566">
        <f t="shared" si="156"/>
        <v>0</v>
      </c>
      <c r="AE202" s="566">
        <f t="shared" si="151"/>
        <v>0</v>
      </c>
      <c r="AF202" s="566">
        <f t="shared" si="152"/>
        <v>0</v>
      </c>
      <c r="AG202" s="566">
        <f t="shared" si="157"/>
        <v>0</v>
      </c>
      <c r="AH202" s="573"/>
    </row>
    <row r="203" spans="1:34" ht="25.15" customHeight="1">
      <c r="A203" s="543">
        <v>55</v>
      </c>
      <c r="B203" s="546"/>
      <c r="C203" s="575"/>
      <c r="D203" s="542"/>
      <c r="E203" s="542"/>
      <c r="F203" s="542"/>
      <c r="G203" s="542"/>
      <c r="H203" s="542"/>
      <c r="I203" s="542"/>
      <c r="J203" s="542"/>
      <c r="K203" s="542"/>
      <c r="L203" s="542"/>
      <c r="M203" s="542"/>
      <c r="N203" s="554">
        <f t="shared" si="144"/>
        <v>0</v>
      </c>
      <c r="O203" s="554">
        <f t="shared" si="145"/>
        <v>0</v>
      </c>
      <c r="P203" s="555" t="e">
        <f>(O203/O270)*100</f>
        <v>#DIV/0!</v>
      </c>
      <c r="Q203" s="570"/>
      <c r="R203" s="555" t="e">
        <f t="shared" si="146"/>
        <v>#DIV/0!</v>
      </c>
      <c r="S203" s="568">
        <f t="shared" si="147"/>
        <v>0</v>
      </c>
      <c r="T203" s="564"/>
      <c r="U203" s="569"/>
      <c r="V203" s="2569"/>
      <c r="X203" s="566">
        <f t="shared" si="148"/>
        <v>0</v>
      </c>
      <c r="Y203" s="566">
        <f t="shared" si="149"/>
        <v>0</v>
      </c>
      <c r="Z203" s="566">
        <f t="shared" si="153"/>
        <v>0</v>
      </c>
      <c r="AA203" s="566">
        <f t="shared" si="150"/>
        <v>0</v>
      </c>
      <c r="AB203" s="566">
        <f t="shared" si="154"/>
        <v>0</v>
      </c>
      <c r="AC203" s="566">
        <f t="shared" si="155"/>
        <v>0</v>
      </c>
      <c r="AD203" s="566">
        <f t="shared" si="156"/>
        <v>0</v>
      </c>
      <c r="AE203" s="566">
        <f t="shared" si="151"/>
        <v>0</v>
      </c>
      <c r="AF203" s="566">
        <f t="shared" si="152"/>
        <v>0</v>
      </c>
      <c r="AG203" s="566">
        <f t="shared" si="157"/>
        <v>0</v>
      </c>
      <c r="AH203" s="573"/>
    </row>
    <row r="204" spans="1:34" ht="25.15" customHeight="1">
      <c r="A204" s="543">
        <v>56</v>
      </c>
      <c r="B204" s="546"/>
      <c r="C204" s="575"/>
      <c r="D204" s="542"/>
      <c r="E204" s="542"/>
      <c r="F204" s="542"/>
      <c r="G204" s="542"/>
      <c r="H204" s="542"/>
      <c r="I204" s="542"/>
      <c r="J204" s="542"/>
      <c r="K204" s="542"/>
      <c r="L204" s="542"/>
      <c r="M204" s="542"/>
      <c r="N204" s="554">
        <f t="shared" si="144"/>
        <v>0</v>
      </c>
      <c r="O204" s="554">
        <f t="shared" si="145"/>
        <v>0</v>
      </c>
      <c r="P204" s="555" t="e">
        <f>(O204/O270)*100</f>
        <v>#DIV/0!</v>
      </c>
      <c r="Q204" s="570"/>
      <c r="R204" s="555" t="e">
        <f t="shared" si="146"/>
        <v>#DIV/0!</v>
      </c>
      <c r="S204" s="568">
        <f t="shared" si="147"/>
        <v>0</v>
      </c>
      <c r="T204" s="564"/>
      <c r="U204" s="569"/>
      <c r="V204" s="2569"/>
      <c r="X204" s="566">
        <f t="shared" si="148"/>
        <v>0</v>
      </c>
      <c r="Y204" s="566">
        <f t="shared" si="149"/>
        <v>0</v>
      </c>
      <c r="Z204" s="566">
        <f t="shared" si="153"/>
        <v>0</v>
      </c>
      <c r="AA204" s="566">
        <f t="shared" si="150"/>
        <v>0</v>
      </c>
      <c r="AB204" s="566">
        <f t="shared" si="154"/>
        <v>0</v>
      </c>
      <c r="AC204" s="566">
        <f t="shared" si="155"/>
        <v>0</v>
      </c>
      <c r="AD204" s="566">
        <f t="shared" si="156"/>
        <v>0</v>
      </c>
      <c r="AE204" s="566">
        <f t="shared" si="151"/>
        <v>0</v>
      </c>
      <c r="AF204" s="566">
        <f t="shared" si="152"/>
        <v>0</v>
      </c>
      <c r="AG204" s="566">
        <f t="shared" si="157"/>
        <v>0</v>
      </c>
      <c r="AH204" s="573"/>
    </row>
    <row r="205" spans="1:34" ht="25.15" customHeight="1">
      <c r="A205" s="543">
        <v>57</v>
      </c>
      <c r="B205" s="546"/>
      <c r="C205" s="575"/>
      <c r="D205" s="542"/>
      <c r="E205" s="542"/>
      <c r="F205" s="542"/>
      <c r="G205" s="542"/>
      <c r="H205" s="542"/>
      <c r="I205" s="542"/>
      <c r="J205" s="542"/>
      <c r="K205" s="542"/>
      <c r="L205" s="542"/>
      <c r="M205" s="542"/>
      <c r="N205" s="554">
        <f t="shared" si="144"/>
        <v>0</v>
      </c>
      <c r="O205" s="554">
        <f t="shared" si="145"/>
        <v>0</v>
      </c>
      <c r="P205" s="555" t="e">
        <f>(O205/O270)*100</f>
        <v>#DIV/0!</v>
      </c>
      <c r="Q205" s="570"/>
      <c r="R205" s="555" t="e">
        <f t="shared" si="146"/>
        <v>#DIV/0!</v>
      </c>
      <c r="S205" s="568">
        <f t="shared" si="147"/>
        <v>0</v>
      </c>
      <c r="T205" s="564"/>
      <c r="U205" s="569"/>
      <c r="V205" s="2569"/>
      <c r="X205" s="566">
        <f t="shared" si="148"/>
        <v>0</v>
      </c>
      <c r="Y205" s="566">
        <f t="shared" si="149"/>
        <v>0</v>
      </c>
      <c r="Z205" s="566">
        <f t="shared" si="153"/>
        <v>0</v>
      </c>
      <c r="AA205" s="566">
        <f t="shared" si="150"/>
        <v>0</v>
      </c>
      <c r="AB205" s="566">
        <f t="shared" si="154"/>
        <v>0</v>
      </c>
      <c r="AC205" s="566">
        <f t="shared" si="155"/>
        <v>0</v>
      </c>
      <c r="AD205" s="566">
        <f t="shared" si="156"/>
        <v>0</v>
      </c>
      <c r="AE205" s="566">
        <f t="shared" si="151"/>
        <v>0</v>
      </c>
      <c r="AF205" s="566">
        <f t="shared" si="152"/>
        <v>0</v>
      </c>
      <c r="AG205" s="566">
        <f t="shared" si="157"/>
        <v>0</v>
      </c>
      <c r="AH205" s="573"/>
    </row>
    <row r="206" spans="1:34" ht="25.15" customHeight="1">
      <c r="A206" s="543">
        <v>58</v>
      </c>
      <c r="B206" s="546"/>
      <c r="C206" s="575"/>
      <c r="D206" s="542"/>
      <c r="E206" s="542"/>
      <c r="F206" s="542"/>
      <c r="G206" s="542"/>
      <c r="H206" s="542"/>
      <c r="I206" s="542"/>
      <c r="J206" s="542"/>
      <c r="K206" s="542"/>
      <c r="L206" s="542"/>
      <c r="M206" s="542"/>
      <c r="N206" s="554">
        <f t="shared" si="144"/>
        <v>0</v>
      </c>
      <c r="O206" s="554">
        <f t="shared" si="145"/>
        <v>0</v>
      </c>
      <c r="P206" s="555" t="e">
        <f>(O206/O270)*100</f>
        <v>#DIV/0!</v>
      </c>
      <c r="Q206" s="570"/>
      <c r="R206" s="555" t="e">
        <f t="shared" si="146"/>
        <v>#DIV/0!</v>
      </c>
      <c r="S206" s="568">
        <f t="shared" si="147"/>
        <v>0</v>
      </c>
      <c r="T206" s="564"/>
      <c r="U206" s="569"/>
      <c r="V206" s="2569"/>
      <c r="X206" s="566">
        <f t="shared" si="148"/>
        <v>0</v>
      </c>
      <c r="Y206" s="566">
        <f t="shared" si="149"/>
        <v>0</v>
      </c>
      <c r="Z206" s="566">
        <f t="shared" si="153"/>
        <v>0</v>
      </c>
      <c r="AA206" s="566">
        <f t="shared" si="150"/>
        <v>0</v>
      </c>
      <c r="AB206" s="566">
        <f t="shared" si="154"/>
        <v>0</v>
      </c>
      <c r="AC206" s="566">
        <f t="shared" si="155"/>
        <v>0</v>
      </c>
      <c r="AD206" s="566">
        <f t="shared" si="156"/>
        <v>0</v>
      </c>
      <c r="AE206" s="566">
        <f t="shared" si="151"/>
        <v>0</v>
      </c>
      <c r="AF206" s="566">
        <f t="shared" si="152"/>
        <v>0</v>
      </c>
      <c r="AG206" s="566">
        <f t="shared" si="157"/>
        <v>0</v>
      </c>
      <c r="AH206" s="573"/>
    </row>
    <row r="207" spans="1:34" ht="25.15" customHeight="1">
      <c r="A207" s="543">
        <v>59</v>
      </c>
      <c r="B207" s="546"/>
      <c r="C207" s="575"/>
      <c r="D207" s="542"/>
      <c r="E207" s="542"/>
      <c r="F207" s="542"/>
      <c r="G207" s="542"/>
      <c r="H207" s="542"/>
      <c r="I207" s="542"/>
      <c r="J207" s="542"/>
      <c r="K207" s="542"/>
      <c r="L207" s="542"/>
      <c r="M207" s="542"/>
      <c r="N207" s="554">
        <f t="shared" si="144"/>
        <v>0</v>
      </c>
      <c r="O207" s="554">
        <f t="shared" si="145"/>
        <v>0</v>
      </c>
      <c r="P207" s="555" t="e">
        <f>(O207/O270)*100</f>
        <v>#DIV/0!</v>
      </c>
      <c r="Q207" s="570"/>
      <c r="R207" s="555" t="e">
        <f t="shared" si="146"/>
        <v>#DIV/0!</v>
      </c>
      <c r="S207" s="568">
        <f t="shared" si="147"/>
        <v>0</v>
      </c>
      <c r="T207" s="564"/>
      <c r="U207" s="569"/>
      <c r="V207" s="2569"/>
      <c r="X207" s="566">
        <f t="shared" si="148"/>
        <v>0</v>
      </c>
      <c r="Y207" s="566">
        <f t="shared" si="149"/>
        <v>0</v>
      </c>
      <c r="Z207" s="566">
        <f t="shared" si="153"/>
        <v>0</v>
      </c>
      <c r="AA207" s="566">
        <f t="shared" si="150"/>
        <v>0</v>
      </c>
      <c r="AB207" s="566">
        <f t="shared" si="154"/>
        <v>0</v>
      </c>
      <c r="AC207" s="566">
        <f t="shared" si="155"/>
        <v>0</v>
      </c>
      <c r="AD207" s="566">
        <f t="shared" si="156"/>
        <v>0</v>
      </c>
      <c r="AE207" s="566">
        <f t="shared" si="151"/>
        <v>0</v>
      </c>
      <c r="AF207" s="566">
        <f t="shared" si="152"/>
        <v>0</v>
      </c>
      <c r="AG207" s="566">
        <f t="shared" si="157"/>
        <v>0</v>
      </c>
      <c r="AH207" s="573"/>
    </row>
    <row r="208" spans="1:34" ht="25.15" customHeight="1">
      <c r="A208" s="543">
        <v>60</v>
      </c>
      <c r="B208" s="546"/>
      <c r="C208" s="575"/>
      <c r="D208" s="542"/>
      <c r="E208" s="542"/>
      <c r="F208" s="542"/>
      <c r="G208" s="542"/>
      <c r="H208" s="542"/>
      <c r="I208" s="542"/>
      <c r="J208" s="542"/>
      <c r="K208" s="542"/>
      <c r="L208" s="542"/>
      <c r="M208" s="542"/>
      <c r="N208" s="554">
        <f t="shared" si="144"/>
        <v>0</v>
      </c>
      <c r="O208" s="554">
        <f t="shared" si="145"/>
        <v>0</v>
      </c>
      <c r="P208" s="555" t="e">
        <f>(O208/O270)*100</f>
        <v>#DIV/0!</v>
      </c>
      <c r="Q208" s="570"/>
      <c r="R208" s="555" t="e">
        <f t="shared" si="146"/>
        <v>#DIV/0!</v>
      </c>
      <c r="S208" s="568">
        <f t="shared" si="147"/>
        <v>0</v>
      </c>
      <c r="T208" s="564"/>
      <c r="U208" s="569"/>
      <c r="V208" s="2569"/>
      <c r="X208" s="566">
        <f t="shared" si="148"/>
        <v>0</v>
      </c>
      <c r="Y208" s="566">
        <f t="shared" si="149"/>
        <v>0</v>
      </c>
      <c r="Z208" s="566">
        <f t="shared" si="153"/>
        <v>0</v>
      </c>
      <c r="AA208" s="566">
        <f t="shared" si="150"/>
        <v>0</v>
      </c>
      <c r="AB208" s="566">
        <f t="shared" si="154"/>
        <v>0</v>
      </c>
      <c r="AC208" s="566">
        <f t="shared" si="155"/>
        <v>0</v>
      </c>
      <c r="AD208" s="566">
        <f t="shared" si="156"/>
        <v>0</v>
      </c>
      <c r="AE208" s="566">
        <f t="shared" si="151"/>
        <v>0</v>
      </c>
      <c r="AF208" s="566">
        <f t="shared" si="152"/>
        <v>0</v>
      </c>
      <c r="AG208" s="566">
        <f t="shared" si="157"/>
        <v>0</v>
      </c>
      <c r="AH208" s="573"/>
    </row>
    <row r="209" spans="1:34" ht="25.15" customHeight="1">
      <c r="A209" s="543">
        <v>61</v>
      </c>
      <c r="B209" s="546"/>
      <c r="C209" s="575"/>
      <c r="D209" s="542"/>
      <c r="E209" s="542"/>
      <c r="F209" s="542"/>
      <c r="G209" s="542"/>
      <c r="H209" s="542"/>
      <c r="I209" s="542"/>
      <c r="J209" s="542"/>
      <c r="K209" s="542"/>
      <c r="L209" s="542"/>
      <c r="M209" s="542"/>
      <c r="N209" s="554">
        <f t="shared" si="144"/>
        <v>0</v>
      </c>
      <c r="O209" s="554">
        <f t="shared" si="145"/>
        <v>0</v>
      </c>
      <c r="P209" s="555" t="e">
        <f>(O209/O270)*100</f>
        <v>#DIV/0!</v>
      </c>
      <c r="Q209" s="570"/>
      <c r="R209" s="555" t="e">
        <f t="shared" si="146"/>
        <v>#DIV/0!</v>
      </c>
      <c r="S209" s="568">
        <f t="shared" si="147"/>
        <v>0</v>
      </c>
      <c r="T209" s="564"/>
      <c r="U209" s="569"/>
      <c r="V209" s="2569"/>
      <c r="X209" s="566">
        <f t="shared" si="148"/>
        <v>0</v>
      </c>
      <c r="Y209" s="566">
        <f t="shared" si="149"/>
        <v>0</v>
      </c>
      <c r="Z209" s="566">
        <f t="shared" si="153"/>
        <v>0</v>
      </c>
      <c r="AA209" s="566">
        <f t="shared" si="150"/>
        <v>0</v>
      </c>
      <c r="AB209" s="566">
        <f t="shared" si="154"/>
        <v>0</v>
      </c>
      <c r="AC209" s="566">
        <f t="shared" si="155"/>
        <v>0</v>
      </c>
      <c r="AD209" s="566">
        <f t="shared" si="156"/>
        <v>0</v>
      </c>
      <c r="AE209" s="566">
        <f t="shared" si="151"/>
        <v>0</v>
      </c>
      <c r="AF209" s="566">
        <f t="shared" si="152"/>
        <v>0</v>
      </c>
      <c r="AG209" s="566">
        <f t="shared" si="157"/>
        <v>0</v>
      </c>
      <c r="AH209" s="573"/>
    </row>
    <row r="210" spans="1:34" ht="25.15" customHeight="1">
      <c r="A210" s="543">
        <v>62</v>
      </c>
      <c r="B210" s="576"/>
      <c r="C210" s="575"/>
      <c r="D210" s="542"/>
      <c r="E210" s="542"/>
      <c r="F210" s="542"/>
      <c r="G210" s="542"/>
      <c r="H210" s="542"/>
      <c r="I210" s="542"/>
      <c r="J210" s="542"/>
      <c r="K210" s="542"/>
      <c r="L210" s="542"/>
      <c r="M210" s="542"/>
      <c r="N210" s="590">
        <f t="shared" si="144"/>
        <v>0</v>
      </c>
      <c r="O210" s="590">
        <f t="shared" si="145"/>
        <v>0</v>
      </c>
      <c r="P210" s="591" t="e">
        <f>(O210/O270)*100</f>
        <v>#DIV/0!</v>
      </c>
      <c r="Q210" s="602"/>
      <c r="R210" s="591" t="e">
        <f t="shared" si="146"/>
        <v>#DIV/0!</v>
      </c>
      <c r="S210" s="603">
        <f t="shared" si="147"/>
        <v>0</v>
      </c>
      <c r="T210" s="564"/>
      <c r="U210" s="569"/>
      <c r="V210" s="2569"/>
      <c r="X210" s="566">
        <f t="shared" si="148"/>
        <v>0</v>
      </c>
      <c r="Y210" s="566">
        <f t="shared" si="149"/>
        <v>0</v>
      </c>
      <c r="Z210" s="566">
        <f t="shared" si="153"/>
        <v>0</v>
      </c>
      <c r="AA210" s="566">
        <f t="shared" si="150"/>
        <v>0</v>
      </c>
      <c r="AB210" s="566">
        <f t="shared" si="154"/>
        <v>0</v>
      </c>
      <c r="AC210" s="566">
        <f t="shared" si="155"/>
        <v>0</v>
      </c>
      <c r="AD210" s="566">
        <f t="shared" si="156"/>
        <v>0</v>
      </c>
      <c r="AE210" s="566">
        <f t="shared" si="151"/>
        <v>0</v>
      </c>
      <c r="AF210" s="566">
        <f t="shared" si="152"/>
        <v>0</v>
      </c>
      <c r="AG210" s="566">
        <f t="shared" si="157"/>
        <v>0</v>
      </c>
      <c r="AH210" s="573"/>
    </row>
    <row r="211" spans="1:34" ht="112.15" customHeight="1">
      <c r="A211" s="2561" t="s">
        <v>300</v>
      </c>
      <c r="B211" s="2562"/>
      <c r="C211" s="2563"/>
      <c r="D211" s="577">
        <f t="shared" ref="D211:M211" si="158">X211</f>
        <v>0</v>
      </c>
      <c r="E211" s="578">
        <f t="shared" si="158"/>
        <v>0</v>
      </c>
      <c r="F211" s="578">
        <f t="shared" si="158"/>
        <v>0</v>
      </c>
      <c r="G211" s="578">
        <f t="shared" si="158"/>
        <v>0</v>
      </c>
      <c r="H211" s="578">
        <f t="shared" si="158"/>
        <v>0</v>
      </c>
      <c r="I211" s="578">
        <f t="shared" si="158"/>
        <v>0</v>
      </c>
      <c r="J211" s="578">
        <f t="shared" si="158"/>
        <v>0</v>
      </c>
      <c r="K211" s="578">
        <f t="shared" si="158"/>
        <v>0</v>
      </c>
      <c r="L211" s="578">
        <f t="shared" si="158"/>
        <v>0</v>
      </c>
      <c r="M211" s="578">
        <f t="shared" si="158"/>
        <v>0</v>
      </c>
      <c r="N211" s="578"/>
      <c r="O211" s="592">
        <f>SUM(D211:M211)</f>
        <v>0</v>
      </c>
      <c r="P211" s="593" t="e">
        <f>SUM(P8:P210)/100</f>
        <v>#DIV/0!</v>
      </c>
      <c r="Q211" s="604"/>
      <c r="R211" s="605" t="e">
        <f>SUM(R8:R210)/100</f>
        <v>#DIV/0!</v>
      </c>
      <c r="S211" s="606"/>
      <c r="T211" s="607"/>
      <c r="U211" s="608"/>
      <c r="V211" s="573"/>
      <c r="X211" s="609">
        <f t="shared" ref="X211:AG211" si="159">SUM(X8:X210)</f>
        <v>0</v>
      </c>
      <c r="Y211" s="609">
        <f t="shared" si="159"/>
        <v>0</v>
      </c>
      <c r="Z211" s="609">
        <f t="shared" si="159"/>
        <v>0</v>
      </c>
      <c r="AA211" s="609">
        <f t="shared" si="159"/>
        <v>0</v>
      </c>
      <c r="AB211" s="609">
        <f t="shared" si="159"/>
        <v>0</v>
      </c>
      <c r="AC211" s="609">
        <f t="shared" si="159"/>
        <v>0</v>
      </c>
      <c r="AD211" s="609">
        <f t="shared" si="159"/>
        <v>0</v>
      </c>
      <c r="AE211" s="609">
        <f t="shared" si="159"/>
        <v>0</v>
      </c>
      <c r="AF211" s="609">
        <f t="shared" si="159"/>
        <v>0</v>
      </c>
      <c r="AG211" s="609">
        <f t="shared" si="159"/>
        <v>0</v>
      </c>
      <c r="AH211" s="573"/>
    </row>
    <row r="212" spans="1:34" ht="45" customHeight="1">
      <c r="A212" s="579"/>
      <c r="B212" s="579"/>
      <c r="C212" s="579"/>
      <c r="D212" s="573"/>
      <c r="E212" s="573"/>
      <c r="F212" s="573"/>
      <c r="G212" s="573"/>
      <c r="H212" s="573"/>
      <c r="I212" s="573"/>
      <c r="J212" s="573"/>
      <c r="K212" s="573"/>
      <c r="L212" s="573"/>
      <c r="M212" s="573"/>
      <c r="N212" s="573"/>
      <c r="O212" s="573"/>
      <c r="Q212" s="610"/>
      <c r="R212" s="611"/>
      <c r="S212" s="612"/>
      <c r="T212" s="612"/>
      <c r="U212" s="573"/>
      <c r="V212" s="573"/>
      <c r="X212" s="573"/>
      <c r="Y212" s="573"/>
      <c r="Z212" s="573"/>
      <c r="AA212" s="573"/>
      <c r="AB212" s="573"/>
      <c r="AC212" s="573"/>
      <c r="AD212" s="573"/>
      <c r="AE212" s="573"/>
      <c r="AF212" s="573"/>
      <c r="AG212" s="573"/>
      <c r="AH212" s="573"/>
    </row>
    <row r="213" spans="1:34" ht="45" customHeight="1">
      <c r="A213" s="580" t="s">
        <v>65</v>
      </c>
      <c r="B213" s="580" t="s">
        <v>1465</v>
      </c>
      <c r="C213" s="580" t="str">
        <f t="shared" ref="C213" si="160">B213</f>
        <v>BEVERAGES</v>
      </c>
      <c r="D213" s="581">
        <f>'LAP. PENJUALAN '!D6</f>
        <v>46030</v>
      </c>
      <c r="E213" s="581">
        <f>'LAP. PENJUALAN '!E6</f>
        <v>46031</v>
      </c>
      <c r="F213" s="581">
        <f>'LAP. PENJUALAN '!F6</f>
        <v>46032</v>
      </c>
      <c r="G213" s="581">
        <f>'LAP. PENJUALAN '!G6</f>
        <v>46033</v>
      </c>
      <c r="H213" s="581">
        <f>'LAP. PENJUALAN '!H6</f>
        <v>46034</v>
      </c>
      <c r="I213" s="581">
        <f>'LAP. PENJUALAN '!I6</f>
        <v>46035</v>
      </c>
      <c r="J213" s="581">
        <f>'LAP. PENJUALAN '!J6</f>
        <v>46036</v>
      </c>
      <c r="K213" s="581">
        <f>'LAP. PENJUALAN '!K6</f>
        <v>0</v>
      </c>
      <c r="L213" s="581">
        <f>'LAP. PENJUALAN '!L6</f>
        <v>0</v>
      </c>
      <c r="M213" s="581">
        <f>'LAP. PENJUALAN '!M6</f>
        <v>0</v>
      </c>
      <c r="N213" s="594" t="s">
        <v>67</v>
      </c>
      <c r="O213" s="594" t="s">
        <v>415</v>
      </c>
      <c r="P213" s="595" t="s">
        <v>1154</v>
      </c>
      <c r="Q213" s="613" t="s">
        <v>1280</v>
      </c>
      <c r="R213" s="613" t="s">
        <v>1281</v>
      </c>
      <c r="S213" s="614" t="s">
        <v>1702</v>
      </c>
      <c r="T213" s="615" t="s">
        <v>1466</v>
      </c>
      <c r="U213" s="616"/>
      <c r="V213" s="2570" t="s">
        <v>180</v>
      </c>
      <c r="X213" s="573"/>
      <c r="Y213" s="573"/>
      <c r="Z213" s="573"/>
      <c r="AA213" s="573"/>
      <c r="AB213" s="573"/>
      <c r="AC213" s="573"/>
      <c r="AD213" s="573"/>
      <c r="AE213" s="573"/>
      <c r="AF213" s="573"/>
      <c r="AG213" s="573"/>
      <c r="AH213" s="573"/>
    </row>
    <row r="214" spans="1:34" ht="25.15" customHeight="1">
      <c r="A214" s="582">
        <v>1</v>
      </c>
      <c r="B214" s="583" t="s">
        <v>1575</v>
      </c>
      <c r="C214" s="541" t="str">
        <f>'LAP. PENJUALAN '!C216</f>
        <v>Air Mineral Botol  (600 ML)</v>
      </c>
      <c r="D214" s="584"/>
      <c r="E214" s="584"/>
      <c r="F214" s="584"/>
      <c r="G214" s="584"/>
      <c r="H214" s="584"/>
      <c r="I214" s="584"/>
      <c r="J214" s="584"/>
      <c r="K214" s="584"/>
      <c r="L214" s="584"/>
      <c r="M214" s="584"/>
      <c r="N214" s="596">
        <f t="shared" ref="N214:N245" si="161">SUM(D214:M214)</f>
        <v>0</v>
      </c>
      <c r="O214" s="597">
        <f t="shared" ref="O214:O245" si="162">N214*S214</f>
        <v>0</v>
      </c>
      <c r="P214" s="598" t="e">
        <f>(O214/O270)*100</f>
        <v>#DIV/0!</v>
      </c>
      <c r="Q214" s="617"/>
      <c r="R214" s="618" t="e">
        <f t="shared" ref="R214:R245" si="163">P214*Q214</f>
        <v>#DIV/0!</v>
      </c>
      <c r="S214" s="619">
        <f t="shared" ref="S214:S245" si="164">T214+(T214*10%)</f>
        <v>0</v>
      </c>
      <c r="T214" s="584"/>
      <c r="U214" s="569"/>
      <c r="V214" s="2570"/>
      <c r="X214" s="566">
        <f t="shared" ref="X214:X245" si="165">D214*S214</f>
        <v>0</v>
      </c>
      <c r="Y214" s="566">
        <f t="shared" ref="Y214:Y245" si="166">E214*S214</f>
        <v>0</v>
      </c>
      <c r="Z214" s="566">
        <f t="shared" ref="Z214:Z245" si="167">F214*S214</f>
        <v>0</v>
      </c>
      <c r="AA214" s="566">
        <f t="shared" ref="AA214:AA245" si="168">G214*S214</f>
        <v>0</v>
      </c>
      <c r="AB214" s="566">
        <f t="shared" ref="AB214:AB245" si="169">H214*S214</f>
        <v>0</v>
      </c>
      <c r="AC214" s="566">
        <f t="shared" ref="AC214:AC245" si="170">I214*S214</f>
        <v>0</v>
      </c>
      <c r="AD214" s="566">
        <f t="shared" ref="AD214:AD245" si="171">J214*S214</f>
        <v>0</v>
      </c>
      <c r="AE214" s="566">
        <f t="shared" ref="AE214:AE245" si="172">K214*S214</f>
        <v>0</v>
      </c>
      <c r="AF214" s="566">
        <f t="shared" ref="AF214:AF245" si="173">L214*S214</f>
        <v>0</v>
      </c>
      <c r="AG214" s="566">
        <f t="shared" ref="AG214:AG245" si="174">M214*S214</f>
        <v>0</v>
      </c>
      <c r="AH214" s="573"/>
    </row>
    <row r="215" spans="1:34" ht="25.15" customHeight="1">
      <c r="A215" s="585">
        <v>2</v>
      </c>
      <c r="B215" s="586" t="s">
        <v>1469</v>
      </c>
      <c r="C215" s="541" t="str">
        <f>'LAP. PENJUALAN '!C217</f>
        <v>Air Mineral Botol (330 ML)</v>
      </c>
      <c r="D215" s="584"/>
      <c r="E215" s="584"/>
      <c r="F215" s="584"/>
      <c r="G215" s="584"/>
      <c r="H215" s="584"/>
      <c r="I215" s="584"/>
      <c r="J215" s="584"/>
      <c r="K215" s="584"/>
      <c r="L215" s="584"/>
      <c r="M215" s="584"/>
      <c r="N215" s="596">
        <f t="shared" si="161"/>
        <v>0</v>
      </c>
      <c r="O215" s="597">
        <f t="shared" si="162"/>
        <v>0</v>
      </c>
      <c r="P215" s="598" t="e">
        <f>(O215/O270)*100</f>
        <v>#DIV/0!</v>
      </c>
      <c r="Q215" s="620"/>
      <c r="R215" s="621" t="e">
        <f t="shared" si="163"/>
        <v>#DIV/0!</v>
      </c>
      <c r="S215" s="622">
        <f t="shared" si="164"/>
        <v>0</v>
      </c>
      <c r="T215" s="584"/>
      <c r="U215" s="569"/>
      <c r="V215" s="2570"/>
      <c r="W215" s="532" t="s">
        <v>61</v>
      </c>
      <c r="X215" s="566">
        <f t="shared" si="165"/>
        <v>0</v>
      </c>
      <c r="Y215" s="566">
        <f t="shared" si="166"/>
        <v>0</v>
      </c>
      <c r="Z215" s="566">
        <f t="shared" si="167"/>
        <v>0</v>
      </c>
      <c r="AA215" s="566">
        <f t="shared" si="168"/>
        <v>0</v>
      </c>
      <c r="AB215" s="566">
        <f t="shared" si="169"/>
        <v>0</v>
      </c>
      <c r="AC215" s="566">
        <f t="shared" si="170"/>
        <v>0</v>
      </c>
      <c r="AD215" s="566">
        <f t="shared" si="171"/>
        <v>0</v>
      </c>
      <c r="AE215" s="566">
        <f t="shared" si="172"/>
        <v>0</v>
      </c>
      <c r="AF215" s="566">
        <f t="shared" si="173"/>
        <v>0</v>
      </c>
      <c r="AG215" s="566">
        <f t="shared" si="174"/>
        <v>0</v>
      </c>
      <c r="AH215" s="573"/>
    </row>
    <row r="216" spans="1:34" ht="25.15" customHeight="1">
      <c r="A216" s="585">
        <v>3</v>
      </c>
      <c r="B216" s="586" t="s">
        <v>1470</v>
      </c>
      <c r="C216" s="541" t="str">
        <f>'LAP. PENJUALAN '!C218</f>
        <v>Air Mineral Cup</v>
      </c>
      <c r="D216" s="584"/>
      <c r="E216" s="584"/>
      <c r="F216" s="584"/>
      <c r="G216" s="584"/>
      <c r="H216" s="584"/>
      <c r="I216" s="584"/>
      <c r="J216" s="584"/>
      <c r="K216" s="584"/>
      <c r="L216" s="584"/>
      <c r="M216" s="584"/>
      <c r="N216" s="596">
        <f t="shared" si="161"/>
        <v>0</v>
      </c>
      <c r="O216" s="597">
        <f t="shared" si="162"/>
        <v>0</v>
      </c>
      <c r="P216" s="598" t="e">
        <f>(O216/O270)*100</f>
        <v>#DIV/0!</v>
      </c>
      <c r="Q216" s="623"/>
      <c r="R216" s="621" t="e">
        <f t="shared" si="163"/>
        <v>#DIV/0!</v>
      </c>
      <c r="S216" s="622">
        <f t="shared" si="164"/>
        <v>0</v>
      </c>
      <c r="T216" s="584"/>
      <c r="U216" s="569"/>
      <c r="V216" s="2570"/>
      <c r="X216" s="566">
        <f t="shared" si="165"/>
        <v>0</v>
      </c>
      <c r="Y216" s="566">
        <f t="shared" si="166"/>
        <v>0</v>
      </c>
      <c r="Z216" s="566">
        <f t="shared" si="167"/>
        <v>0</v>
      </c>
      <c r="AA216" s="566">
        <f t="shared" si="168"/>
        <v>0</v>
      </c>
      <c r="AB216" s="566">
        <f t="shared" si="169"/>
        <v>0</v>
      </c>
      <c r="AC216" s="566">
        <f t="shared" si="170"/>
        <v>0</v>
      </c>
      <c r="AD216" s="566">
        <f t="shared" si="171"/>
        <v>0</v>
      </c>
      <c r="AE216" s="566">
        <f t="shared" si="172"/>
        <v>0</v>
      </c>
      <c r="AF216" s="566">
        <f t="shared" si="173"/>
        <v>0</v>
      </c>
      <c r="AG216" s="566">
        <f t="shared" si="174"/>
        <v>0</v>
      </c>
      <c r="AH216" s="573"/>
    </row>
    <row r="217" spans="1:34" ht="25.15" customHeight="1">
      <c r="A217" s="585">
        <v>4</v>
      </c>
      <c r="B217" s="586" t="s">
        <v>1471</v>
      </c>
      <c r="C217" s="541" t="str">
        <f>'LAP. PENJUALAN '!C219</f>
        <v>Teh Botol</v>
      </c>
      <c r="D217" s="584"/>
      <c r="E217" s="584"/>
      <c r="F217" s="584"/>
      <c r="G217" s="584"/>
      <c r="H217" s="584"/>
      <c r="I217" s="584"/>
      <c r="J217" s="584"/>
      <c r="K217" s="584"/>
      <c r="L217" s="584"/>
      <c r="M217" s="584"/>
      <c r="N217" s="596">
        <f t="shared" si="161"/>
        <v>0</v>
      </c>
      <c r="O217" s="597">
        <f t="shared" si="162"/>
        <v>0</v>
      </c>
      <c r="P217" s="598" t="e">
        <f>(O217/O270)*100</f>
        <v>#DIV/0!</v>
      </c>
      <c r="Q217" s="620"/>
      <c r="R217" s="621" t="e">
        <f t="shared" si="163"/>
        <v>#DIV/0!</v>
      </c>
      <c r="S217" s="622">
        <f t="shared" si="164"/>
        <v>0</v>
      </c>
      <c r="T217" s="584"/>
      <c r="U217" s="569"/>
      <c r="V217" s="2570"/>
      <c r="X217" s="566">
        <f t="shared" si="165"/>
        <v>0</v>
      </c>
      <c r="Y217" s="566">
        <f t="shared" si="166"/>
        <v>0</v>
      </c>
      <c r="Z217" s="566">
        <f t="shared" si="167"/>
        <v>0</v>
      </c>
      <c r="AA217" s="566">
        <f t="shared" si="168"/>
        <v>0</v>
      </c>
      <c r="AB217" s="566">
        <f t="shared" si="169"/>
        <v>0</v>
      </c>
      <c r="AC217" s="566">
        <f t="shared" si="170"/>
        <v>0</v>
      </c>
      <c r="AD217" s="566">
        <f t="shared" si="171"/>
        <v>0</v>
      </c>
      <c r="AE217" s="566">
        <f t="shared" si="172"/>
        <v>0</v>
      </c>
      <c r="AF217" s="566">
        <f t="shared" si="173"/>
        <v>0</v>
      </c>
      <c r="AG217" s="566">
        <f t="shared" si="174"/>
        <v>0</v>
      </c>
      <c r="AH217" s="573"/>
    </row>
    <row r="218" spans="1:34" ht="25.15" customHeight="1">
      <c r="A218" s="585">
        <v>5</v>
      </c>
      <c r="B218" s="586" t="s">
        <v>1472</v>
      </c>
      <c r="C218" s="541" t="str">
        <f>'LAP. PENJUALAN '!C220</f>
        <v>Teh Sosro Genggam</v>
      </c>
      <c r="D218" s="584"/>
      <c r="E218" s="584"/>
      <c r="F218" s="584"/>
      <c r="G218" s="584"/>
      <c r="H218" s="584"/>
      <c r="I218" s="584"/>
      <c r="J218" s="584"/>
      <c r="K218" s="584"/>
      <c r="L218" s="584"/>
      <c r="M218" s="584"/>
      <c r="N218" s="596">
        <f t="shared" si="161"/>
        <v>0</v>
      </c>
      <c r="O218" s="597">
        <f t="shared" si="162"/>
        <v>0</v>
      </c>
      <c r="P218" s="599" t="e">
        <f>(O218/O270)*100</f>
        <v>#DIV/0!</v>
      </c>
      <c r="Q218" s="620"/>
      <c r="R218" s="621" t="e">
        <f t="shared" si="163"/>
        <v>#DIV/0!</v>
      </c>
      <c r="S218" s="622">
        <f t="shared" si="164"/>
        <v>0</v>
      </c>
      <c r="T218" s="584"/>
      <c r="U218" s="569"/>
      <c r="V218" s="2570"/>
      <c r="X218" s="566">
        <f t="shared" si="165"/>
        <v>0</v>
      </c>
      <c r="Y218" s="566">
        <f t="shared" si="166"/>
        <v>0</v>
      </c>
      <c r="Z218" s="566">
        <f t="shared" si="167"/>
        <v>0</v>
      </c>
      <c r="AA218" s="566">
        <f t="shared" si="168"/>
        <v>0</v>
      </c>
      <c r="AB218" s="566">
        <f t="shared" si="169"/>
        <v>0</v>
      </c>
      <c r="AC218" s="566">
        <f t="shared" si="170"/>
        <v>0</v>
      </c>
      <c r="AD218" s="566">
        <f t="shared" si="171"/>
        <v>0</v>
      </c>
      <c r="AE218" s="566">
        <f t="shared" si="172"/>
        <v>0</v>
      </c>
      <c r="AF218" s="566">
        <f t="shared" si="173"/>
        <v>0</v>
      </c>
      <c r="AG218" s="566">
        <f t="shared" si="174"/>
        <v>0</v>
      </c>
      <c r="AH218" s="573"/>
    </row>
    <row r="219" spans="1:34" ht="25.15" customHeight="1">
      <c r="A219" s="585">
        <v>6</v>
      </c>
      <c r="B219" s="586" t="s">
        <v>1473</v>
      </c>
      <c r="C219" s="541" t="str">
        <f>'LAP. PENJUALAN '!C221</f>
        <v>Fruit Tea Botol</v>
      </c>
      <c r="D219" s="584"/>
      <c r="E219" s="584"/>
      <c r="F219" s="584"/>
      <c r="G219" s="584"/>
      <c r="H219" s="584"/>
      <c r="I219" s="584"/>
      <c r="J219" s="584"/>
      <c r="K219" s="584"/>
      <c r="L219" s="584"/>
      <c r="M219" s="584"/>
      <c r="N219" s="596">
        <f t="shared" si="161"/>
        <v>0</v>
      </c>
      <c r="O219" s="597">
        <f t="shared" si="162"/>
        <v>0</v>
      </c>
      <c r="P219" s="599" t="e">
        <f>(O219/O270)*100</f>
        <v>#DIV/0!</v>
      </c>
      <c r="Q219" s="620"/>
      <c r="R219" s="621" t="e">
        <f t="shared" si="163"/>
        <v>#DIV/0!</v>
      </c>
      <c r="S219" s="622">
        <f t="shared" si="164"/>
        <v>0</v>
      </c>
      <c r="T219" s="584"/>
      <c r="U219" s="569"/>
      <c r="V219" s="2570"/>
      <c r="X219" s="566">
        <f t="shared" si="165"/>
        <v>0</v>
      </c>
      <c r="Y219" s="566">
        <f t="shared" si="166"/>
        <v>0</v>
      </c>
      <c r="Z219" s="566">
        <f t="shared" si="167"/>
        <v>0</v>
      </c>
      <c r="AA219" s="566">
        <f t="shared" si="168"/>
        <v>0</v>
      </c>
      <c r="AB219" s="566">
        <f t="shared" si="169"/>
        <v>0</v>
      </c>
      <c r="AC219" s="566">
        <f t="shared" si="170"/>
        <v>0</v>
      </c>
      <c r="AD219" s="566">
        <f t="shared" si="171"/>
        <v>0</v>
      </c>
      <c r="AE219" s="566">
        <f t="shared" si="172"/>
        <v>0</v>
      </c>
      <c r="AF219" s="566">
        <f t="shared" si="173"/>
        <v>0</v>
      </c>
      <c r="AG219" s="566">
        <f t="shared" si="174"/>
        <v>0</v>
      </c>
      <c r="AH219" s="573"/>
    </row>
    <row r="220" spans="1:34" ht="25.15" customHeight="1">
      <c r="A220" s="585">
        <v>7</v>
      </c>
      <c r="B220" s="586" t="s">
        <v>1474</v>
      </c>
      <c r="C220" s="541" t="str">
        <f>'LAP. PENJUALAN '!C222</f>
        <v>Fuit Tea Genggam</v>
      </c>
      <c r="D220" s="584"/>
      <c r="E220" s="584"/>
      <c r="F220" s="584"/>
      <c r="G220" s="584"/>
      <c r="H220" s="584"/>
      <c r="I220" s="584"/>
      <c r="J220" s="584"/>
      <c r="K220" s="584"/>
      <c r="L220" s="584"/>
      <c r="M220" s="584"/>
      <c r="N220" s="596">
        <f t="shared" si="161"/>
        <v>0</v>
      </c>
      <c r="O220" s="597">
        <f t="shared" si="162"/>
        <v>0</v>
      </c>
      <c r="P220" s="599" t="e">
        <f>(O220/O270)*100</f>
        <v>#DIV/0!</v>
      </c>
      <c r="Q220" s="620"/>
      <c r="R220" s="621" t="e">
        <f t="shared" si="163"/>
        <v>#DIV/0!</v>
      </c>
      <c r="S220" s="622">
        <f t="shared" si="164"/>
        <v>0</v>
      </c>
      <c r="T220" s="584"/>
      <c r="U220" s="569"/>
      <c r="V220" s="2570"/>
      <c r="X220" s="566">
        <f t="shared" si="165"/>
        <v>0</v>
      </c>
      <c r="Y220" s="566">
        <f t="shared" si="166"/>
        <v>0</v>
      </c>
      <c r="Z220" s="566">
        <f t="shared" si="167"/>
        <v>0</v>
      </c>
      <c r="AA220" s="566">
        <f t="shared" si="168"/>
        <v>0</v>
      </c>
      <c r="AB220" s="566">
        <f t="shared" si="169"/>
        <v>0</v>
      </c>
      <c r="AC220" s="566">
        <f t="shared" si="170"/>
        <v>0</v>
      </c>
      <c r="AD220" s="566">
        <f t="shared" si="171"/>
        <v>0</v>
      </c>
      <c r="AE220" s="566">
        <f t="shared" si="172"/>
        <v>0</v>
      </c>
      <c r="AF220" s="566">
        <f t="shared" si="173"/>
        <v>0</v>
      </c>
      <c r="AG220" s="566">
        <f t="shared" si="174"/>
        <v>0</v>
      </c>
      <c r="AH220" s="573"/>
    </row>
    <row r="221" spans="1:34" ht="25.15" customHeight="1">
      <c r="A221" s="585">
        <v>8</v>
      </c>
      <c r="B221" s="586" t="s">
        <v>170</v>
      </c>
      <c r="C221" s="541" t="str">
        <f>'LAP. PENJUALAN '!C223</f>
        <v>Tebs</v>
      </c>
      <c r="D221" s="584"/>
      <c r="E221" s="584"/>
      <c r="F221" s="584"/>
      <c r="G221" s="584"/>
      <c r="H221" s="584"/>
      <c r="I221" s="584"/>
      <c r="J221" s="584"/>
      <c r="K221" s="584"/>
      <c r="L221" s="584"/>
      <c r="M221" s="584"/>
      <c r="N221" s="596">
        <f t="shared" si="161"/>
        <v>0</v>
      </c>
      <c r="O221" s="597">
        <f t="shared" si="162"/>
        <v>0</v>
      </c>
      <c r="P221" s="599" t="e">
        <f>(O221/O270)*100</f>
        <v>#DIV/0!</v>
      </c>
      <c r="Q221" s="620"/>
      <c r="R221" s="621" t="e">
        <f t="shared" si="163"/>
        <v>#DIV/0!</v>
      </c>
      <c r="S221" s="622">
        <f t="shared" si="164"/>
        <v>0</v>
      </c>
      <c r="T221" s="584"/>
      <c r="U221" s="569"/>
      <c r="V221" s="2570"/>
      <c r="X221" s="566">
        <f t="shared" si="165"/>
        <v>0</v>
      </c>
      <c r="Y221" s="566">
        <f t="shared" si="166"/>
        <v>0</v>
      </c>
      <c r="Z221" s="566">
        <f t="shared" si="167"/>
        <v>0</v>
      </c>
      <c r="AA221" s="566">
        <f t="shared" si="168"/>
        <v>0</v>
      </c>
      <c r="AB221" s="566">
        <f t="shared" si="169"/>
        <v>0</v>
      </c>
      <c r="AC221" s="566">
        <f t="shared" si="170"/>
        <v>0</v>
      </c>
      <c r="AD221" s="566">
        <f t="shared" si="171"/>
        <v>0</v>
      </c>
      <c r="AE221" s="566">
        <f t="shared" si="172"/>
        <v>0</v>
      </c>
      <c r="AF221" s="566">
        <f t="shared" si="173"/>
        <v>0</v>
      </c>
      <c r="AG221" s="566">
        <f t="shared" si="174"/>
        <v>0</v>
      </c>
      <c r="AH221" s="573"/>
    </row>
    <row r="222" spans="1:34" ht="25.15" customHeight="1">
      <c r="A222" s="585">
        <v>9</v>
      </c>
      <c r="B222" s="586"/>
      <c r="C222" s="541" t="str">
        <f>'LAP. PENJUALAN '!C224</f>
        <v>S-tee</v>
      </c>
      <c r="D222" s="584"/>
      <c r="E222" s="584"/>
      <c r="F222" s="584"/>
      <c r="G222" s="584"/>
      <c r="H222" s="584"/>
      <c r="I222" s="584"/>
      <c r="J222" s="584"/>
      <c r="K222" s="584"/>
      <c r="L222" s="584"/>
      <c r="M222" s="584"/>
      <c r="N222" s="596">
        <f t="shared" si="161"/>
        <v>0</v>
      </c>
      <c r="O222" s="597">
        <f t="shared" si="162"/>
        <v>0</v>
      </c>
      <c r="P222" s="599" t="e">
        <f>(O222/O270)*100</f>
        <v>#DIV/0!</v>
      </c>
      <c r="Q222" s="620"/>
      <c r="R222" s="621" t="e">
        <f t="shared" si="163"/>
        <v>#DIV/0!</v>
      </c>
      <c r="S222" s="622">
        <f t="shared" si="164"/>
        <v>0</v>
      </c>
      <c r="T222" s="584"/>
      <c r="U222" s="569"/>
      <c r="V222" s="2570"/>
      <c r="X222" s="566">
        <f t="shared" si="165"/>
        <v>0</v>
      </c>
      <c r="Y222" s="566">
        <f t="shared" si="166"/>
        <v>0</v>
      </c>
      <c r="Z222" s="566">
        <f t="shared" si="167"/>
        <v>0</v>
      </c>
      <c r="AA222" s="566">
        <f t="shared" si="168"/>
        <v>0</v>
      </c>
      <c r="AB222" s="566">
        <f t="shared" si="169"/>
        <v>0</v>
      </c>
      <c r="AC222" s="566">
        <f t="shared" si="170"/>
        <v>0</v>
      </c>
      <c r="AD222" s="566">
        <f t="shared" si="171"/>
        <v>0</v>
      </c>
      <c r="AE222" s="566">
        <f t="shared" si="172"/>
        <v>0</v>
      </c>
      <c r="AF222" s="566">
        <f t="shared" si="173"/>
        <v>0</v>
      </c>
      <c r="AG222" s="566">
        <f t="shared" si="174"/>
        <v>0</v>
      </c>
      <c r="AH222" s="573"/>
    </row>
    <row r="223" spans="1:34" ht="25.15" customHeight="1">
      <c r="A223" s="585">
        <v>10</v>
      </c>
      <c r="B223" s="586" t="s">
        <v>1476</v>
      </c>
      <c r="C223" s="541"/>
      <c r="D223" s="584"/>
      <c r="E223" s="584"/>
      <c r="F223" s="584"/>
      <c r="G223" s="584"/>
      <c r="H223" s="584"/>
      <c r="I223" s="584"/>
      <c r="J223" s="584"/>
      <c r="K223" s="584"/>
      <c r="L223" s="584"/>
      <c r="M223" s="584"/>
      <c r="N223" s="596">
        <f t="shared" si="161"/>
        <v>0</v>
      </c>
      <c r="O223" s="597">
        <f t="shared" si="162"/>
        <v>0</v>
      </c>
      <c r="P223" s="599" t="e">
        <f>(O223/O270)*100</f>
        <v>#DIV/0!</v>
      </c>
      <c r="Q223" s="620"/>
      <c r="R223" s="621" t="e">
        <f t="shared" si="163"/>
        <v>#DIV/0!</v>
      </c>
      <c r="S223" s="622">
        <f t="shared" si="164"/>
        <v>0</v>
      </c>
      <c r="T223" s="584"/>
      <c r="U223" s="569"/>
      <c r="V223" s="2570"/>
      <c r="X223" s="566">
        <f t="shared" si="165"/>
        <v>0</v>
      </c>
      <c r="Y223" s="566">
        <f t="shared" si="166"/>
        <v>0</v>
      </c>
      <c r="Z223" s="566">
        <f t="shared" si="167"/>
        <v>0</v>
      </c>
      <c r="AA223" s="566">
        <f t="shared" si="168"/>
        <v>0</v>
      </c>
      <c r="AB223" s="566">
        <f t="shared" si="169"/>
        <v>0</v>
      </c>
      <c r="AC223" s="566">
        <f t="shared" si="170"/>
        <v>0</v>
      </c>
      <c r="AD223" s="566">
        <f t="shared" si="171"/>
        <v>0</v>
      </c>
      <c r="AE223" s="566">
        <f t="shared" si="172"/>
        <v>0</v>
      </c>
      <c r="AF223" s="566">
        <f t="shared" si="173"/>
        <v>0</v>
      </c>
      <c r="AG223" s="566">
        <f t="shared" si="174"/>
        <v>0</v>
      </c>
      <c r="AH223" s="573"/>
    </row>
    <row r="224" spans="1:34" ht="25.15" customHeight="1">
      <c r="A224" s="585">
        <v>11</v>
      </c>
      <c r="B224" s="586" t="s">
        <v>1477</v>
      </c>
      <c r="C224" s="541" t="str">
        <f>'LAP. PENJUALAN '!C226</f>
        <v>Juice Durian Float</v>
      </c>
      <c r="D224" s="584"/>
      <c r="E224" s="584"/>
      <c r="F224" s="584"/>
      <c r="G224" s="584"/>
      <c r="H224" s="584"/>
      <c r="I224" s="584"/>
      <c r="J224" s="584"/>
      <c r="K224" s="584"/>
      <c r="L224" s="584"/>
      <c r="M224" s="584"/>
      <c r="N224" s="596">
        <f t="shared" si="161"/>
        <v>0</v>
      </c>
      <c r="O224" s="597">
        <f t="shared" si="162"/>
        <v>0</v>
      </c>
      <c r="P224" s="599" t="e">
        <f>(O224/O270)*100</f>
        <v>#DIV/0!</v>
      </c>
      <c r="Q224" s="620"/>
      <c r="R224" s="621" t="e">
        <f t="shared" si="163"/>
        <v>#DIV/0!</v>
      </c>
      <c r="S224" s="622">
        <f t="shared" si="164"/>
        <v>0</v>
      </c>
      <c r="T224" s="584"/>
      <c r="U224" s="569"/>
      <c r="V224" s="2570"/>
      <c r="X224" s="566">
        <f t="shared" si="165"/>
        <v>0</v>
      </c>
      <c r="Y224" s="566">
        <f t="shared" si="166"/>
        <v>0</v>
      </c>
      <c r="Z224" s="566">
        <f t="shared" si="167"/>
        <v>0</v>
      </c>
      <c r="AA224" s="566">
        <f t="shared" si="168"/>
        <v>0</v>
      </c>
      <c r="AB224" s="566">
        <f t="shared" si="169"/>
        <v>0</v>
      </c>
      <c r="AC224" s="566">
        <f t="shared" si="170"/>
        <v>0</v>
      </c>
      <c r="AD224" s="566">
        <f t="shared" si="171"/>
        <v>0</v>
      </c>
      <c r="AE224" s="566">
        <f t="shared" si="172"/>
        <v>0</v>
      </c>
      <c r="AF224" s="566">
        <f t="shared" si="173"/>
        <v>0</v>
      </c>
      <c r="AG224" s="566">
        <f t="shared" si="174"/>
        <v>0</v>
      </c>
      <c r="AH224" s="573"/>
    </row>
    <row r="225" spans="1:34" ht="25.15" customHeight="1">
      <c r="A225" s="585">
        <v>12</v>
      </c>
      <c r="B225" s="586" t="s">
        <v>1478</v>
      </c>
      <c r="C225" s="541" t="str">
        <f>'LAP. PENJUALAN '!C227</f>
        <v>Juice Durian</v>
      </c>
      <c r="D225" s="584"/>
      <c r="E225" s="584"/>
      <c r="F225" s="584"/>
      <c r="G225" s="584"/>
      <c r="H225" s="584"/>
      <c r="I225" s="584"/>
      <c r="J225" s="584"/>
      <c r="K225" s="584"/>
      <c r="L225" s="584"/>
      <c r="M225" s="584"/>
      <c r="N225" s="596">
        <f t="shared" si="161"/>
        <v>0</v>
      </c>
      <c r="O225" s="597">
        <f t="shared" si="162"/>
        <v>0</v>
      </c>
      <c r="P225" s="599" t="e">
        <f>(O225/O270)*100</f>
        <v>#DIV/0!</v>
      </c>
      <c r="Q225" s="620"/>
      <c r="R225" s="621" t="e">
        <f t="shared" si="163"/>
        <v>#DIV/0!</v>
      </c>
      <c r="S225" s="622">
        <f t="shared" si="164"/>
        <v>0</v>
      </c>
      <c r="T225" s="584"/>
      <c r="U225" s="569"/>
      <c r="V225" s="2570"/>
      <c r="X225" s="566">
        <f t="shared" si="165"/>
        <v>0</v>
      </c>
      <c r="Y225" s="566">
        <f t="shared" si="166"/>
        <v>0</v>
      </c>
      <c r="Z225" s="566">
        <f t="shared" si="167"/>
        <v>0</v>
      </c>
      <c r="AA225" s="566">
        <f t="shared" si="168"/>
        <v>0</v>
      </c>
      <c r="AB225" s="566">
        <f t="shared" si="169"/>
        <v>0</v>
      </c>
      <c r="AC225" s="566">
        <f t="shared" si="170"/>
        <v>0</v>
      </c>
      <c r="AD225" s="566">
        <f t="shared" si="171"/>
        <v>0</v>
      </c>
      <c r="AE225" s="566">
        <f t="shared" si="172"/>
        <v>0</v>
      </c>
      <c r="AF225" s="566">
        <f t="shared" si="173"/>
        <v>0</v>
      </c>
      <c r="AG225" s="566">
        <f t="shared" si="174"/>
        <v>0</v>
      </c>
      <c r="AH225" s="573"/>
    </row>
    <row r="226" spans="1:34" ht="25.15" customHeight="1">
      <c r="A226" s="585">
        <v>13</v>
      </c>
      <c r="B226" s="586" t="s">
        <v>1479</v>
      </c>
      <c r="C226" s="541" t="str">
        <f>'LAP. PENJUALAN '!C228</f>
        <v>Juice Melon Float</v>
      </c>
      <c r="D226" s="584"/>
      <c r="E226" s="584"/>
      <c r="F226" s="584"/>
      <c r="G226" s="584"/>
      <c r="H226" s="584"/>
      <c r="I226" s="584"/>
      <c r="J226" s="584"/>
      <c r="K226" s="584"/>
      <c r="L226" s="584"/>
      <c r="M226" s="584"/>
      <c r="N226" s="596">
        <f t="shared" si="161"/>
        <v>0</v>
      </c>
      <c r="O226" s="597">
        <f t="shared" si="162"/>
        <v>0</v>
      </c>
      <c r="P226" s="599" t="e">
        <f>(O226/O270)*100</f>
        <v>#DIV/0!</v>
      </c>
      <c r="Q226" s="620"/>
      <c r="R226" s="621" t="e">
        <f t="shared" si="163"/>
        <v>#DIV/0!</v>
      </c>
      <c r="S226" s="622">
        <f t="shared" si="164"/>
        <v>0</v>
      </c>
      <c r="T226" s="584"/>
      <c r="U226" s="569"/>
      <c r="V226" s="2570"/>
      <c r="X226" s="566">
        <f t="shared" si="165"/>
        <v>0</v>
      </c>
      <c r="Y226" s="566">
        <f t="shared" si="166"/>
        <v>0</v>
      </c>
      <c r="Z226" s="566">
        <f t="shared" si="167"/>
        <v>0</v>
      </c>
      <c r="AA226" s="566">
        <f t="shared" si="168"/>
        <v>0</v>
      </c>
      <c r="AB226" s="566">
        <f t="shared" si="169"/>
        <v>0</v>
      </c>
      <c r="AC226" s="566">
        <f t="shared" si="170"/>
        <v>0</v>
      </c>
      <c r="AD226" s="566">
        <f t="shared" si="171"/>
        <v>0</v>
      </c>
      <c r="AE226" s="566">
        <f t="shared" si="172"/>
        <v>0</v>
      </c>
      <c r="AF226" s="566">
        <f t="shared" si="173"/>
        <v>0</v>
      </c>
      <c r="AG226" s="566">
        <f t="shared" si="174"/>
        <v>0</v>
      </c>
      <c r="AH226" s="573"/>
    </row>
    <row r="227" spans="1:34" ht="25.15" customHeight="1">
      <c r="A227" s="585">
        <v>14</v>
      </c>
      <c r="B227" s="586" t="s">
        <v>1480</v>
      </c>
      <c r="C227" s="541" t="str">
        <f>'LAP. PENJUALAN '!C229</f>
        <v>Juice Melon</v>
      </c>
      <c r="D227" s="584"/>
      <c r="E227" s="584"/>
      <c r="F227" s="584"/>
      <c r="G227" s="584"/>
      <c r="H227" s="584"/>
      <c r="I227" s="584"/>
      <c r="J227" s="584"/>
      <c r="K227" s="584"/>
      <c r="L227" s="584"/>
      <c r="M227" s="584"/>
      <c r="N227" s="596">
        <f t="shared" si="161"/>
        <v>0</v>
      </c>
      <c r="O227" s="597">
        <f t="shared" si="162"/>
        <v>0</v>
      </c>
      <c r="P227" s="599" t="e">
        <f>(O227/O270)*100</f>
        <v>#DIV/0!</v>
      </c>
      <c r="Q227" s="620"/>
      <c r="R227" s="621" t="e">
        <f t="shared" si="163"/>
        <v>#DIV/0!</v>
      </c>
      <c r="S227" s="622">
        <f t="shared" si="164"/>
        <v>0</v>
      </c>
      <c r="T227" s="584"/>
      <c r="U227" s="569"/>
      <c r="V227" s="2570"/>
      <c r="X227" s="566">
        <f t="shared" si="165"/>
        <v>0</v>
      </c>
      <c r="Y227" s="566">
        <f t="shared" si="166"/>
        <v>0</v>
      </c>
      <c r="Z227" s="566">
        <f t="shared" si="167"/>
        <v>0</v>
      </c>
      <c r="AA227" s="566">
        <f t="shared" si="168"/>
        <v>0</v>
      </c>
      <c r="AB227" s="566">
        <f t="shared" si="169"/>
        <v>0</v>
      </c>
      <c r="AC227" s="566">
        <f t="shared" si="170"/>
        <v>0</v>
      </c>
      <c r="AD227" s="566">
        <f t="shared" si="171"/>
        <v>0</v>
      </c>
      <c r="AE227" s="566">
        <f t="shared" si="172"/>
        <v>0</v>
      </c>
      <c r="AF227" s="566">
        <f t="shared" si="173"/>
        <v>0</v>
      </c>
      <c r="AG227" s="566">
        <f t="shared" si="174"/>
        <v>0</v>
      </c>
      <c r="AH227" s="573"/>
    </row>
    <row r="228" spans="1:34" ht="25.15" customHeight="1">
      <c r="A228" s="585">
        <v>15</v>
      </c>
      <c r="B228" s="586" t="s">
        <v>1576</v>
      </c>
      <c r="C228" s="541" t="str">
        <f>'LAP. PENJUALAN '!C230</f>
        <v>Juice Strawberry Float</v>
      </c>
      <c r="D228" s="584"/>
      <c r="E228" s="584"/>
      <c r="F228" s="584"/>
      <c r="G228" s="584"/>
      <c r="H228" s="584"/>
      <c r="I228" s="584"/>
      <c r="J228" s="584"/>
      <c r="K228" s="584"/>
      <c r="L228" s="584"/>
      <c r="M228" s="584"/>
      <c r="N228" s="596">
        <f t="shared" si="161"/>
        <v>0</v>
      </c>
      <c r="O228" s="597">
        <f t="shared" si="162"/>
        <v>0</v>
      </c>
      <c r="P228" s="599" t="e">
        <f>(O228/O270)*100</f>
        <v>#DIV/0!</v>
      </c>
      <c r="Q228" s="620"/>
      <c r="R228" s="621" t="e">
        <f t="shared" si="163"/>
        <v>#DIV/0!</v>
      </c>
      <c r="S228" s="622">
        <f t="shared" si="164"/>
        <v>0</v>
      </c>
      <c r="T228" s="584"/>
      <c r="U228" s="569"/>
      <c r="V228" s="2570"/>
      <c r="X228" s="566">
        <f t="shared" si="165"/>
        <v>0</v>
      </c>
      <c r="Y228" s="566">
        <f t="shared" si="166"/>
        <v>0</v>
      </c>
      <c r="Z228" s="566">
        <f t="shared" si="167"/>
        <v>0</v>
      </c>
      <c r="AA228" s="566">
        <f t="shared" si="168"/>
        <v>0</v>
      </c>
      <c r="AB228" s="566">
        <f t="shared" si="169"/>
        <v>0</v>
      </c>
      <c r="AC228" s="566">
        <f t="shared" si="170"/>
        <v>0</v>
      </c>
      <c r="AD228" s="566">
        <f t="shared" si="171"/>
        <v>0</v>
      </c>
      <c r="AE228" s="566">
        <f t="shared" si="172"/>
        <v>0</v>
      </c>
      <c r="AF228" s="566">
        <f t="shared" si="173"/>
        <v>0</v>
      </c>
      <c r="AG228" s="566">
        <f t="shared" si="174"/>
        <v>0</v>
      </c>
      <c r="AH228" s="573"/>
    </row>
    <row r="229" spans="1:34" ht="25.15" customHeight="1">
      <c r="A229" s="585">
        <v>16</v>
      </c>
      <c r="B229" s="586" t="s">
        <v>1482</v>
      </c>
      <c r="C229" s="541" t="str">
        <f>'LAP. PENJUALAN '!C231</f>
        <v>Juice Strawberry</v>
      </c>
      <c r="D229" s="584"/>
      <c r="E229" s="584"/>
      <c r="F229" s="584"/>
      <c r="G229" s="584"/>
      <c r="H229" s="584"/>
      <c r="I229" s="584"/>
      <c r="J229" s="584"/>
      <c r="K229" s="584"/>
      <c r="L229" s="584"/>
      <c r="M229" s="584"/>
      <c r="N229" s="596">
        <f t="shared" si="161"/>
        <v>0</v>
      </c>
      <c r="O229" s="597">
        <f t="shared" si="162"/>
        <v>0</v>
      </c>
      <c r="P229" s="600" t="e">
        <f>(O229/O270)*100</f>
        <v>#DIV/0!</v>
      </c>
      <c r="Q229" s="624"/>
      <c r="R229" s="621" t="e">
        <f t="shared" si="163"/>
        <v>#DIV/0!</v>
      </c>
      <c r="S229" s="622">
        <f t="shared" si="164"/>
        <v>0</v>
      </c>
      <c r="T229" s="584"/>
      <c r="U229" s="569"/>
      <c r="V229" s="2570"/>
      <c r="X229" s="566">
        <f t="shared" si="165"/>
        <v>0</v>
      </c>
      <c r="Y229" s="566">
        <f t="shared" si="166"/>
        <v>0</v>
      </c>
      <c r="Z229" s="566">
        <f t="shared" si="167"/>
        <v>0</v>
      </c>
      <c r="AA229" s="566">
        <f t="shared" si="168"/>
        <v>0</v>
      </c>
      <c r="AB229" s="566">
        <f t="shared" si="169"/>
        <v>0</v>
      </c>
      <c r="AC229" s="566">
        <f t="shared" si="170"/>
        <v>0</v>
      </c>
      <c r="AD229" s="566">
        <f t="shared" si="171"/>
        <v>0</v>
      </c>
      <c r="AE229" s="566">
        <f t="shared" si="172"/>
        <v>0</v>
      </c>
      <c r="AF229" s="566">
        <f t="shared" si="173"/>
        <v>0</v>
      </c>
      <c r="AG229" s="566">
        <f t="shared" si="174"/>
        <v>0</v>
      </c>
      <c r="AH229" s="573"/>
    </row>
    <row r="230" spans="1:34" ht="25.15" customHeight="1">
      <c r="A230" s="585">
        <v>17</v>
      </c>
      <c r="B230" s="586" t="s">
        <v>1483</v>
      </c>
      <c r="C230" s="541" t="str">
        <f>'LAP. PENJUALAN '!C232</f>
        <v>Juice Mangga Float</v>
      </c>
      <c r="D230" s="584"/>
      <c r="E230" s="584"/>
      <c r="F230" s="584"/>
      <c r="G230" s="584"/>
      <c r="H230" s="584"/>
      <c r="I230" s="584"/>
      <c r="J230" s="584"/>
      <c r="K230" s="584"/>
      <c r="L230" s="584"/>
      <c r="M230" s="584"/>
      <c r="N230" s="596">
        <f t="shared" si="161"/>
        <v>0</v>
      </c>
      <c r="O230" s="597">
        <f t="shared" si="162"/>
        <v>0</v>
      </c>
      <c r="P230" s="600" t="e">
        <f>(O230/O270)*100</f>
        <v>#DIV/0!</v>
      </c>
      <c r="Q230" s="624"/>
      <c r="R230" s="621" t="e">
        <f t="shared" si="163"/>
        <v>#DIV/0!</v>
      </c>
      <c r="S230" s="622">
        <f t="shared" si="164"/>
        <v>0</v>
      </c>
      <c r="T230" s="584"/>
      <c r="U230" s="569"/>
      <c r="V230" s="2570"/>
      <c r="X230" s="566">
        <f t="shared" si="165"/>
        <v>0</v>
      </c>
      <c r="Y230" s="566">
        <f t="shared" si="166"/>
        <v>0</v>
      </c>
      <c r="Z230" s="566">
        <f t="shared" si="167"/>
        <v>0</v>
      </c>
      <c r="AA230" s="566">
        <f t="shared" si="168"/>
        <v>0</v>
      </c>
      <c r="AB230" s="566">
        <f t="shared" si="169"/>
        <v>0</v>
      </c>
      <c r="AC230" s="566">
        <f t="shared" si="170"/>
        <v>0</v>
      </c>
      <c r="AD230" s="566">
        <f t="shared" si="171"/>
        <v>0</v>
      </c>
      <c r="AE230" s="566">
        <f t="shared" si="172"/>
        <v>0</v>
      </c>
      <c r="AF230" s="566">
        <f t="shared" si="173"/>
        <v>0</v>
      </c>
      <c r="AG230" s="566">
        <f t="shared" si="174"/>
        <v>0</v>
      </c>
      <c r="AH230" s="573"/>
    </row>
    <row r="231" spans="1:34" ht="25.15" customHeight="1">
      <c r="A231" s="585">
        <v>18</v>
      </c>
      <c r="B231" s="586" t="s">
        <v>1484</v>
      </c>
      <c r="C231" s="541" t="str">
        <f>'LAP. PENJUALAN '!C233</f>
        <v>Juice Mangga</v>
      </c>
      <c r="D231" s="584"/>
      <c r="E231" s="584"/>
      <c r="F231" s="584"/>
      <c r="G231" s="584"/>
      <c r="H231" s="584"/>
      <c r="I231" s="584"/>
      <c r="J231" s="584"/>
      <c r="K231" s="584"/>
      <c r="L231" s="584"/>
      <c r="M231" s="584"/>
      <c r="N231" s="596">
        <f t="shared" si="161"/>
        <v>0</v>
      </c>
      <c r="O231" s="597">
        <f t="shared" si="162"/>
        <v>0</v>
      </c>
      <c r="P231" s="600" t="e">
        <f>(O231/O270)*100</f>
        <v>#DIV/0!</v>
      </c>
      <c r="Q231" s="624"/>
      <c r="R231" s="621" t="e">
        <f t="shared" si="163"/>
        <v>#DIV/0!</v>
      </c>
      <c r="S231" s="622">
        <f t="shared" si="164"/>
        <v>0</v>
      </c>
      <c r="T231" s="584"/>
      <c r="U231" s="569"/>
      <c r="V231" s="2570"/>
      <c r="X231" s="566">
        <f t="shared" si="165"/>
        <v>0</v>
      </c>
      <c r="Y231" s="566">
        <f t="shared" si="166"/>
        <v>0</v>
      </c>
      <c r="Z231" s="566">
        <f t="shared" si="167"/>
        <v>0</v>
      </c>
      <c r="AA231" s="566">
        <f t="shared" si="168"/>
        <v>0</v>
      </c>
      <c r="AB231" s="566">
        <f t="shared" si="169"/>
        <v>0</v>
      </c>
      <c r="AC231" s="566">
        <f t="shared" si="170"/>
        <v>0</v>
      </c>
      <c r="AD231" s="566">
        <f t="shared" si="171"/>
        <v>0</v>
      </c>
      <c r="AE231" s="566">
        <f t="shared" si="172"/>
        <v>0</v>
      </c>
      <c r="AF231" s="566">
        <f t="shared" si="173"/>
        <v>0</v>
      </c>
      <c r="AG231" s="566">
        <f t="shared" si="174"/>
        <v>0</v>
      </c>
      <c r="AH231" s="573"/>
    </row>
    <row r="232" spans="1:34" ht="25.15" customHeight="1">
      <c r="A232" s="585">
        <v>19</v>
      </c>
      <c r="B232" s="586" t="s">
        <v>1485</v>
      </c>
      <c r="C232" s="541" t="str">
        <f>'LAP. PENJUALAN '!C234</f>
        <v>Juice Jambu Float</v>
      </c>
      <c r="D232" s="584"/>
      <c r="E232" s="584"/>
      <c r="F232" s="584"/>
      <c r="G232" s="584"/>
      <c r="H232" s="584"/>
      <c r="I232" s="584"/>
      <c r="J232" s="584"/>
      <c r="K232" s="584"/>
      <c r="L232" s="584"/>
      <c r="M232" s="584"/>
      <c r="N232" s="596">
        <f t="shared" si="161"/>
        <v>0</v>
      </c>
      <c r="O232" s="597">
        <f t="shared" si="162"/>
        <v>0</v>
      </c>
      <c r="P232" s="599" t="e">
        <f>(O232/O270)*100</f>
        <v>#DIV/0!</v>
      </c>
      <c r="Q232" s="620"/>
      <c r="R232" s="621" t="e">
        <f t="shared" si="163"/>
        <v>#DIV/0!</v>
      </c>
      <c r="S232" s="622">
        <f t="shared" si="164"/>
        <v>0</v>
      </c>
      <c r="T232" s="584"/>
      <c r="U232" s="569"/>
      <c r="V232" s="2570"/>
      <c r="X232" s="566">
        <f t="shared" si="165"/>
        <v>0</v>
      </c>
      <c r="Y232" s="566">
        <f t="shared" si="166"/>
        <v>0</v>
      </c>
      <c r="Z232" s="566">
        <f t="shared" si="167"/>
        <v>0</v>
      </c>
      <c r="AA232" s="566">
        <f t="shared" si="168"/>
        <v>0</v>
      </c>
      <c r="AB232" s="566">
        <f t="shared" si="169"/>
        <v>0</v>
      </c>
      <c r="AC232" s="566">
        <f t="shared" si="170"/>
        <v>0</v>
      </c>
      <c r="AD232" s="566">
        <f t="shared" si="171"/>
        <v>0</v>
      </c>
      <c r="AE232" s="566">
        <f t="shared" si="172"/>
        <v>0</v>
      </c>
      <c r="AF232" s="566">
        <f t="shared" si="173"/>
        <v>0</v>
      </c>
      <c r="AG232" s="566">
        <f t="shared" si="174"/>
        <v>0</v>
      </c>
      <c r="AH232" s="573"/>
    </row>
    <row r="233" spans="1:34" ht="25.15" customHeight="1">
      <c r="A233" s="585">
        <v>20</v>
      </c>
      <c r="B233" s="586" t="s">
        <v>1486</v>
      </c>
      <c r="C233" s="541" t="str">
        <f>'LAP. PENJUALAN '!C235</f>
        <v>Juice Jambu</v>
      </c>
      <c r="D233" s="584"/>
      <c r="E233" s="584"/>
      <c r="F233" s="584"/>
      <c r="G233" s="584"/>
      <c r="H233" s="584"/>
      <c r="I233" s="584"/>
      <c r="J233" s="584"/>
      <c r="K233" s="584"/>
      <c r="L233" s="584"/>
      <c r="M233" s="584"/>
      <c r="N233" s="596">
        <f t="shared" si="161"/>
        <v>0</v>
      </c>
      <c r="O233" s="597">
        <f t="shared" si="162"/>
        <v>0</v>
      </c>
      <c r="P233" s="599" t="e">
        <f>(O233/O270)*100</f>
        <v>#DIV/0!</v>
      </c>
      <c r="Q233" s="620"/>
      <c r="R233" s="621" t="e">
        <f t="shared" si="163"/>
        <v>#DIV/0!</v>
      </c>
      <c r="S233" s="622">
        <f t="shared" si="164"/>
        <v>0</v>
      </c>
      <c r="T233" s="584"/>
      <c r="U233" s="569"/>
      <c r="V233" s="2570"/>
      <c r="X233" s="566">
        <f t="shared" si="165"/>
        <v>0</v>
      </c>
      <c r="Y233" s="566">
        <f t="shared" si="166"/>
        <v>0</v>
      </c>
      <c r="Z233" s="566">
        <f t="shared" si="167"/>
        <v>0</v>
      </c>
      <c r="AA233" s="566">
        <f t="shared" si="168"/>
        <v>0</v>
      </c>
      <c r="AB233" s="566">
        <f t="shared" si="169"/>
        <v>0</v>
      </c>
      <c r="AC233" s="566">
        <f t="shared" si="170"/>
        <v>0</v>
      </c>
      <c r="AD233" s="566">
        <f t="shared" si="171"/>
        <v>0</v>
      </c>
      <c r="AE233" s="566">
        <f t="shared" si="172"/>
        <v>0</v>
      </c>
      <c r="AF233" s="566">
        <f t="shared" si="173"/>
        <v>0</v>
      </c>
      <c r="AG233" s="566">
        <f t="shared" si="174"/>
        <v>0</v>
      </c>
      <c r="AH233" s="573"/>
    </row>
    <row r="234" spans="1:34" ht="25.15" customHeight="1">
      <c r="A234" s="585">
        <v>21</v>
      </c>
      <c r="B234" s="586" t="s">
        <v>1487</v>
      </c>
      <c r="C234" s="541" t="str">
        <f>'LAP. PENJUALAN '!C236</f>
        <v>Juice Sirsak Float</v>
      </c>
      <c r="D234" s="584"/>
      <c r="E234" s="584"/>
      <c r="F234" s="584"/>
      <c r="G234" s="584"/>
      <c r="H234" s="584"/>
      <c r="I234" s="584"/>
      <c r="J234" s="584"/>
      <c r="K234" s="584"/>
      <c r="L234" s="584"/>
      <c r="M234" s="584"/>
      <c r="N234" s="596">
        <f t="shared" si="161"/>
        <v>0</v>
      </c>
      <c r="O234" s="597">
        <f t="shared" si="162"/>
        <v>0</v>
      </c>
      <c r="P234" s="599" t="e">
        <f>(O234/O270)*100</f>
        <v>#DIV/0!</v>
      </c>
      <c r="Q234" s="620"/>
      <c r="R234" s="621" t="e">
        <f t="shared" si="163"/>
        <v>#DIV/0!</v>
      </c>
      <c r="S234" s="622">
        <f t="shared" si="164"/>
        <v>0</v>
      </c>
      <c r="T234" s="584"/>
      <c r="U234" s="569"/>
      <c r="V234" s="2570"/>
      <c r="X234" s="566">
        <f t="shared" si="165"/>
        <v>0</v>
      </c>
      <c r="Y234" s="566">
        <f t="shared" si="166"/>
        <v>0</v>
      </c>
      <c r="Z234" s="566">
        <f t="shared" si="167"/>
        <v>0</v>
      </c>
      <c r="AA234" s="566">
        <f t="shared" si="168"/>
        <v>0</v>
      </c>
      <c r="AB234" s="566">
        <f t="shared" si="169"/>
        <v>0</v>
      </c>
      <c r="AC234" s="566">
        <f t="shared" si="170"/>
        <v>0</v>
      </c>
      <c r="AD234" s="566">
        <f t="shared" si="171"/>
        <v>0</v>
      </c>
      <c r="AE234" s="566">
        <f t="shared" si="172"/>
        <v>0</v>
      </c>
      <c r="AF234" s="566">
        <f t="shared" si="173"/>
        <v>0</v>
      </c>
      <c r="AG234" s="566">
        <f t="shared" si="174"/>
        <v>0</v>
      </c>
      <c r="AH234" s="573"/>
    </row>
    <row r="235" spans="1:34" ht="25.15" customHeight="1">
      <c r="A235" s="585">
        <v>22</v>
      </c>
      <c r="B235" s="586"/>
      <c r="C235" s="541" t="str">
        <f>'LAP. PENJUALAN '!C237</f>
        <v>Juice Sirsak</v>
      </c>
      <c r="D235" s="584"/>
      <c r="E235" s="584"/>
      <c r="F235" s="584"/>
      <c r="G235" s="584"/>
      <c r="H235" s="584"/>
      <c r="I235" s="584"/>
      <c r="J235" s="584"/>
      <c r="K235" s="584"/>
      <c r="L235" s="584"/>
      <c r="M235" s="584"/>
      <c r="N235" s="596">
        <f t="shared" si="161"/>
        <v>0</v>
      </c>
      <c r="O235" s="597">
        <f t="shared" si="162"/>
        <v>0</v>
      </c>
      <c r="P235" s="599" t="e">
        <f>(O235/O270)*100</f>
        <v>#DIV/0!</v>
      </c>
      <c r="Q235" s="620"/>
      <c r="R235" s="621" t="e">
        <f t="shared" si="163"/>
        <v>#DIV/0!</v>
      </c>
      <c r="S235" s="622">
        <f t="shared" si="164"/>
        <v>0</v>
      </c>
      <c r="T235" s="584"/>
      <c r="U235" s="569"/>
      <c r="V235" s="2570"/>
      <c r="X235" s="566">
        <f t="shared" si="165"/>
        <v>0</v>
      </c>
      <c r="Y235" s="566">
        <f t="shared" si="166"/>
        <v>0</v>
      </c>
      <c r="Z235" s="566">
        <f t="shared" si="167"/>
        <v>0</v>
      </c>
      <c r="AA235" s="566">
        <f t="shared" si="168"/>
        <v>0</v>
      </c>
      <c r="AB235" s="566">
        <f t="shared" si="169"/>
        <v>0</v>
      </c>
      <c r="AC235" s="566">
        <f t="shared" si="170"/>
        <v>0</v>
      </c>
      <c r="AD235" s="566">
        <f t="shared" si="171"/>
        <v>0</v>
      </c>
      <c r="AE235" s="566">
        <f t="shared" si="172"/>
        <v>0</v>
      </c>
      <c r="AF235" s="566">
        <f t="shared" si="173"/>
        <v>0</v>
      </c>
      <c r="AG235" s="566">
        <f t="shared" si="174"/>
        <v>0</v>
      </c>
      <c r="AH235" s="573"/>
    </row>
    <row r="236" spans="1:34" ht="25.15" customHeight="1">
      <c r="A236" s="585">
        <v>23</v>
      </c>
      <c r="B236" s="586" t="s">
        <v>1577</v>
      </c>
      <c r="C236" s="541"/>
      <c r="D236" s="584"/>
      <c r="E236" s="584"/>
      <c r="F236" s="584"/>
      <c r="G236" s="584"/>
      <c r="H236" s="584"/>
      <c r="I236" s="584"/>
      <c r="J236" s="584"/>
      <c r="K236" s="584"/>
      <c r="L236" s="584"/>
      <c r="M236" s="584"/>
      <c r="N236" s="596">
        <f t="shared" si="161"/>
        <v>0</v>
      </c>
      <c r="O236" s="597">
        <f t="shared" si="162"/>
        <v>0</v>
      </c>
      <c r="P236" s="599" t="e">
        <f>(O236/O270)*100</f>
        <v>#DIV/0!</v>
      </c>
      <c r="Q236" s="620"/>
      <c r="R236" s="621" t="e">
        <f t="shared" si="163"/>
        <v>#DIV/0!</v>
      </c>
      <c r="S236" s="622">
        <f t="shared" si="164"/>
        <v>0</v>
      </c>
      <c r="T236" s="584"/>
      <c r="U236" s="569"/>
      <c r="V236" s="2570"/>
      <c r="X236" s="566">
        <f t="shared" si="165"/>
        <v>0</v>
      </c>
      <c r="Y236" s="566">
        <f t="shared" si="166"/>
        <v>0</v>
      </c>
      <c r="Z236" s="566">
        <f t="shared" si="167"/>
        <v>0</v>
      </c>
      <c r="AA236" s="566">
        <f t="shared" si="168"/>
        <v>0</v>
      </c>
      <c r="AB236" s="566">
        <f t="shared" si="169"/>
        <v>0</v>
      </c>
      <c r="AC236" s="566">
        <f t="shared" si="170"/>
        <v>0</v>
      </c>
      <c r="AD236" s="566">
        <f t="shared" si="171"/>
        <v>0</v>
      </c>
      <c r="AE236" s="566">
        <f t="shared" si="172"/>
        <v>0</v>
      </c>
      <c r="AF236" s="566">
        <f t="shared" si="173"/>
        <v>0</v>
      </c>
      <c r="AG236" s="566">
        <f t="shared" si="174"/>
        <v>0</v>
      </c>
      <c r="AH236" s="573"/>
    </row>
    <row r="237" spans="1:34" ht="25.15" customHeight="1">
      <c r="A237" s="585">
        <v>24</v>
      </c>
      <c r="B237" s="586" t="s">
        <v>1578</v>
      </c>
      <c r="C237" s="541" t="str">
        <f>'LAP. PENJUALAN '!C239</f>
        <v>Milkshake Coklat</v>
      </c>
      <c r="D237" s="584"/>
      <c r="E237" s="584"/>
      <c r="F237" s="584"/>
      <c r="G237" s="584"/>
      <c r="H237" s="584"/>
      <c r="I237" s="584"/>
      <c r="J237" s="584"/>
      <c r="K237" s="584"/>
      <c r="L237" s="584"/>
      <c r="M237" s="584"/>
      <c r="N237" s="596">
        <f t="shared" si="161"/>
        <v>0</v>
      </c>
      <c r="O237" s="597">
        <f t="shared" si="162"/>
        <v>0</v>
      </c>
      <c r="P237" s="599" t="e">
        <f>(O237/O270)*100</f>
        <v>#DIV/0!</v>
      </c>
      <c r="Q237" s="620"/>
      <c r="R237" s="621" t="e">
        <f t="shared" si="163"/>
        <v>#DIV/0!</v>
      </c>
      <c r="S237" s="622">
        <f t="shared" si="164"/>
        <v>0</v>
      </c>
      <c r="T237" s="584"/>
      <c r="U237" s="569"/>
      <c r="V237" s="2570"/>
      <c r="X237" s="566">
        <f t="shared" si="165"/>
        <v>0</v>
      </c>
      <c r="Y237" s="566">
        <f t="shared" si="166"/>
        <v>0</v>
      </c>
      <c r="Z237" s="566">
        <f t="shared" si="167"/>
        <v>0</v>
      </c>
      <c r="AA237" s="566">
        <f t="shared" si="168"/>
        <v>0</v>
      </c>
      <c r="AB237" s="566">
        <f t="shared" si="169"/>
        <v>0</v>
      </c>
      <c r="AC237" s="566">
        <f t="shared" si="170"/>
        <v>0</v>
      </c>
      <c r="AD237" s="566">
        <f t="shared" si="171"/>
        <v>0</v>
      </c>
      <c r="AE237" s="566">
        <f t="shared" si="172"/>
        <v>0</v>
      </c>
      <c r="AF237" s="566">
        <f t="shared" si="173"/>
        <v>0</v>
      </c>
      <c r="AG237" s="566">
        <f t="shared" si="174"/>
        <v>0</v>
      </c>
      <c r="AH237" s="573"/>
    </row>
    <row r="238" spans="1:34" ht="25.15" customHeight="1">
      <c r="A238" s="585">
        <v>25</v>
      </c>
      <c r="B238" s="586" t="s">
        <v>1488</v>
      </c>
      <c r="C238" s="541" t="str">
        <f>'LAP. PENJUALAN '!C240</f>
        <v>Milkshake Coklat Float</v>
      </c>
      <c r="D238" s="584"/>
      <c r="E238" s="584"/>
      <c r="F238" s="584"/>
      <c r="G238" s="584"/>
      <c r="H238" s="584"/>
      <c r="I238" s="584"/>
      <c r="J238" s="584"/>
      <c r="K238" s="584"/>
      <c r="L238" s="584"/>
      <c r="M238" s="584"/>
      <c r="N238" s="596">
        <f t="shared" si="161"/>
        <v>0</v>
      </c>
      <c r="O238" s="597">
        <f t="shared" si="162"/>
        <v>0</v>
      </c>
      <c r="P238" s="599" t="e">
        <f>(O238/O270)*100</f>
        <v>#DIV/0!</v>
      </c>
      <c r="Q238" s="620"/>
      <c r="R238" s="621" t="e">
        <f t="shared" si="163"/>
        <v>#DIV/0!</v>
      </c>
      <c r="S238" s="622">
        <f t="shared" si="164"/>
        <v>0</v>
      </c>
      <c r="T238" s="584"/>
      <c r="U238" s="569"/>
      <c r="V238" s="2570"/>
      <c r="X238" s="566">
        <f t="shared" si="165"/>
        <v>0</v>
      </c>
      <c r="Y238" s="566">
        <f t="shared" si="166"/>
        <v>0</v>
      </c>
      <c r="Z238" s="566">
        <f t="shared" si="167"/>
        <v>0</v>
      </c>
      <c r="AA238" s="566">
        <f t="shared" si="168"/>
        <v>0</v>
      </c>
      <c r="AB238" s="566">
        <f t="shared" si="169"/>
        <v>0</v>
      </c>
      <c r="AC238" s="566">
        <f t="shared" si="170"/>
        <v>0</v>
      </c>
      <c r="AD238" s="566">
        <f t="shared" si="171"/>
        <v>0</v>
      </c>
      <c r="AE238" s="566">
        <f t="shared" si="172"/>
        <v>0</v>
      </c>
      <c r="AF238" s="566">
        <f t="shared" si="173"/>
        <v>0</v>
      </c>
      <c r="AG238" s="566">
        <f t="shared" si="174"/>
        <v>0</v>
      </c>
      <c r="AH238" s="573"/>
    </row>
    <row r="239" spans="1:34" ht="25.15" customHeight="1">
      <c r="A239" s="585">
        <v>26</v>
      </c>
      <c r="B239" s="586" t="s">
        <v>1489</v>
      </c>
      <c r="C239" s="541" t="str">
        <f>'LAP. PENJUALAN '!C241</f>
        <v>Milkshake Strawberry</v>
      </c>
      <c r="D239" s="584"/>
      <c r="E239" s="584"/>
      <c r="F239" s="584"/>
      <c r="G239" s="584"/>
      <c r="H239" s="584"/>
      <c r="I239" s="584"/>
      <c r="J239" s="584"/>
      <c r="K239" s="584"/>
      <c r="L239" s="584"/>
      <c r="M239" s="584"/>
      <c r="N239" s="596">
        <f t="shared" si="161"/>
        <v>0</v>
      </c>
      <c r="O239" s="597">
        <f t="shared" si="162"/>
        <v>0</v>
      </c>
      <c r="P239" s="599" t="e">
        <f>(O239/O270)*100</f>
        <v>#DIV/0!</v>
      </c>
      <c r="Q239" s="620"/>
      <c r="R239" s="621" t="e">
        <f t="shared" si="163"/>
        <v>#DIV/0!</v>
      </c>
      <c r="S239" s="622">
        <f t="shared" si="164"/>
        <v>0</v>
      </c>
      <c r="T239" s="584"/>
      <c r="U239" s="569"/>
      <c r="V239" s="2570"/>
      <c r="X239" s="566">
        <f t="shared" si="165"/>
        <v>0</v>
      </c>
      <c r="Y239" s="566">
        <f t="shared" si="166"/>
        <v>0</v>
      </c>
      <c r="Z239" s="566">
        <f t="shared" si="167"/>
        <v>0</v>
      </c>
      <c r="AA239" s="566">
        <f t="shared" si="168"/>
        <v>0</v>
      </c>
      <c r="AB239" s="566">
        <f t="shared" si="169"/>
        <v>0</v>
      </c>
      <c r="AC239" s="566">
        <f t="shared" si="170"/>
        <v>0</v>
      </c>
      <c r="AD239" s="566">
        <f t="shared" si="171"/>
        <v>0</v>
      </c>
      <c r="AE239" s="566">
        <f t="shared" si="172"/>
        <v>0</v>
      </c>
      <c r="AF239" s="566">
        <f t="shared" si="173"/>
        <v>0</v>
      </c>
      <c r="AG239" s="566">
        <f t="shared" si="174"/>
        <v>0</v>
      </c>
      <c r="AH239" s="573"/>
    </row>
    <row r="240" spans="1:34" ht="25.15" customHeight="1">
      <c r="A240" s="585">
        <v>27</v>
      </c>
      <c r="B240" s="586" t="s">
        <v>1490</v>
      </c>
      <c r="C240" s="541" t="str">
        <f>'LAP. PENJUALAN '!C242</f>
        <v>Milkshake Strawberry Float</v>
      </c>
      <c r="D240" s="584"/>
      <c r="E240" s="584"/>
      <c r="F240" s="584"/>
      <c r="G240" s="584"/>
      <c r="H240" s="584"/>
      <c r="I240" s="584"/>
      <c r="J240" s="584"/>
      <c r="K240" s="584"/>
      <c r="L240" s="584"/>
      <c r="M240" s="584"/>
      <c r="N240" s="596">
        <f t="shared" si="161"/>
        <v>0</v>
      </c>
      <c r="O240" s="597">
        <f t="shared" si="162"/>
        <v>0</v>
      </c>
      <c r="P240" s="599" t="e">
        <f>(O240/O270)*100</f>
        <v>#DIV/0!</v>
      </c>
      <c r="Q240" s="620"/>
      <c r="R240" s="621" t="e">
        <f t="shared" si="163"/>
        <v>#DIV/0!</v>
      </c>
      <c r="S240" s="622">
        <f t="shared" si="164"/>
        <v>0</v>
      </c>
      <c r="T240" s="584"/>
      <c r="U240" s="569"/>
      <c r="V240" s="2570"/>
      <c r="X240" s="566">
        <f t="shared" si="165"/>
        <v>0</v>
      </c>
      <c r="Y240" s="566">
        <f t="shared" si="166"/>
        <v>0</v>
      </c>
      <c r="Z240" s="566">
        <f t="shared" si="167"/>
        <v>0</v>
      </c>
      <c r="AA240" s="566">
        <f t="shared" si="168"/>
        <v>0</v>
      </c>
      <c r="AB240" s="566">
        <f t="shared" si="169"/>
        <v>0</v>
      </c>
      <c r="AC240" s="566">
        <f t="shared" si="170"/>
        <v>0</v>
      </c>
      <c r="AD240" s="566">
        <f t="shared" si="171"/>
        <v>0</v>
      </c>
      <c r="AE240" s="566">
        <f t="shared" si="172"/>
        <v>0</v>
      </c>
      <c r="AF240" s="566">
        <f t="shared" si="173"/>
        <v>0</v>
      </c>
      <c r="AG240" s="566">
        <f t="shared" si="174"/>
        <v>0</v>
      </c>
      <c r="AH240" s="573"/>
    </row>
    <row r="241" spans="1:34" ht="25.15" customHeight="1">
      <c r="A241" s="585">
        <v>28</v>
      </c>
      <c r="B241" s="586" t="s">
        <v>1491</v>
      </c>
      <c r="C241" s="541"/>
      <c r="D241" s="584"/>
      <c r="E241" s="584"/>
      <c r="F241" s="584"/>
      <c r="G241" s="584"/>
      <c r="H241" s="584"/>
      <c r="I241" s="584"/>
      <c r="J241" s="584"/>
      <c r="K241" s="584"/>
      <c r="L241" s="584"/>
      <c r="M241" s="584"/>
      <c r="N241" s="596">
        <f t="shared" si="161"/>
        <v>0</v>
      </c>
      <c r="O241" s="597">
        <f t="shared" si="162"/>
        <v>0</v>
      </c>
      <c r="P241" s="599" t="e">
        <f>(O241/O270)*100</f>
        <v>#DIV/0!</v>
      </c>
      <c r="Q241" s="620"/>
      <c r="R241" s="621" t="e">
        <f t="shared" si="163"/>
        <v>#DIV/0!</v>
      </c>
      <c r="S241" s="622">
        <f t="shared" si="164"/>
        <v>0</v>
      </c>
      <c r="T241" s="584"/>
      <c r="U241" s="569"/>
      <c r="V241" s="2570"/>
      <c r="X241" s="566">
        <f t="shared" si="165"/>
        <v>0</v>
      </c>
      <c r="Y241" s="566">
        <f t="shared" si="166"/>
        <v>0</v>
      </c>
      <c r="Z241" s="566">
        <f t="shared" si="167"/>
        <v>0</v>
      </c>
      <c r="AA241" s="566">
        <f t="shared" si="168"/>
        <v>0</v>
      </c>
      <c r="AB241" s="566">
        <f t="shared" si="169"/>
        <v>0</v>
      </c>
      <c r="AC241" s="566">
        <f t="shared" si="170"/>
        <v>0</v>
      </c>
      <c r="AD241" s="566">
        <f t="shared" si="171"/>
        <v>0</v>
      </c>
      <c r="AE241" s="566">
        <f t="shared" si="172"/>
        <v>0</v>
      </c>
      <c r="AF241" s="566">
        <f t="shared" si="173"/>
        <v>0</v>
      </c>
      <c r="AG241" s="566">
        <f t="shared" si="174"/>
        <v>0</v>
      </c>
      <c r="AH241" s="573"/>
    </row>
    <row r="242" spans="1:34" ht="25.15" customHeight="1">
      <c r="A242" s="585">
        <v>29</v>
      </c>
      <c r="B242" s="586" t="s">
        <v>1579</v>
      </c>
      <c r="C242" s="541" t="str">
        <f>'LAP. PENJUALAN '!C244</f>
        <v>Nestle Lemon Tea</v>
      </c>
      <c r="D242" s="584"/>
      <c r="E242" s="584"/>
      <c r="F242" s="584"/>
      <c r="G242" s="584"/>
      <c r="H242" s="584"/>
      <c r="I242" s="584"/>
      <c r="J242" s="584"/>
      <c r="K242" s="584"/>
      <c r="L242" s="584"/>
      <c r="M242" s="584"/>
      <c r="N242" s="596">
        <f t="shared" si="161"/>
        <v>0</v>
      </c>
      <c r="O242" s="597">
        <f t="shared" si="162"/>
        <v>0</v>
      </c>
      <c r="P242" s="599" t="e">
        <f>(O242/O270)*100</f>
        <v>#DIV/0!</v>
      </c>
      <c r="Q242" s="620"/>
      <c r="R242" s="621" t="e">
        <f t="shared" si="163"/>
        <v>#DIV/0!</v>
      </c>
      <c r="S242" s="622">
        <f t="shared" si="164"/>
        <v>0</v>
      </c>
      <c r="T242" s="584"/>
      <c r="U242" s="569"/>
      <c r="V242" s="2570"/>
      <c r="X242" s="566">
        <f t="shared" si="165"/>
        <v>0</v>
      </c>
      <c r="Y242" s="566">
        <f t="shared" si="166"/>
        <v>0</v>
      </c>
      <c r="Z242" s="566">
        <f t="shared" si="167"/>
        <v>0</v>
      </c>
      <c r="AA242" s="566">
        <f t="shared" si="168"/>
        <v>0</v>
      </c>
      <c r="AB242" s="566">
        <f t="shared" si="169"/>
        <v>0</v>
      </c>
      <c r="AC242" s="566">
        <f t="shared" si="170"/>
        <v>0</v>
      </c>
      <c r="AD242" s="566">
        <f t="shared" si="171"/>
        <v>0</v>
      </c>
      <c r="AE242" s="566">
        <f t="shared" si="172"/>
        <v>0</v>
      </c>
      <c r="AF242" s="566">
        <f t="shared" si="173"/>
        <v>0</v>
      </c>
      <c r="AG242" s="566">
        <f t="shared" si="174"/>
        <v>0</v>
      </c>
      <c r="AH242" s="573"/>
    </row>
    <row r="243" spans="1:34" ht="25.15" customHeight="1">
      <c r="A243" s="585">
        <v>30</v>
      </c>
      <c r="B243" s="586" t="s">
        <v>1580</v>
      </c>
      <c r="C243" s="541" t="str">
        <f>'LAP. PENJUALAN '!C245</f>
        <v>Milo</v>
      </c>
      <c r="D243" s="584"/>
      <c r="E243" s="584"/>
      <c r="F243" s="584"/>
      <c r="G243" s="584"/>
      <c r="H243" s="584"/>
      <c r="I243" s="584"/>
      <c r="J243" s="584"/>
      <c r="K243" s="584"/>
      <c r="L243" s="584"/>
      <c r="M243" s="584"/>
      <c r="N243" s="596">
        <f t="shared" si="161"/>
        <v>0</v>
      </c>
      <c r="O243" s="597">
        <f t="shared" si="162"/>
        <v>0</v>
      </c>
      <c r="P243" s="599" t="e">
        <f>(O243/O270)*100</f>
        <v>#DIV/0!</v>
      </c>
      <c r="Q243" s="620"/>
      <c r="R243" s="621" t="e">
        <f t="shared" si="163"/>
        <v>#DIV/0!</v>
      </c>
      <c r="S243" s="622">
        <f t="shared" si="164"/>
        <v>0</v>
      </c>
      <c r="T243" s="584"/>
      <c r="U243" s="569"/>
      <c r="V243" s="2570"/>
      <c r="X243" s="566">
        <f t="shared" si="165"/>
        <v>0</v>
      </c>
      <c r="Y243" s="566">
        <f t="shared" si="166"/>
        <v>0</v>
      </c>
      <c r="Z243" s="566">
        <f t="shared" si="167"/>
        <v>0</v>
      </c>
      <c r="AA243" s="566">
        <f t="shared" si="168"/>
        <v>0</v>
      </c>
      <c r="AB243" s="566">
        <f t="shared" si="169"/>
        <v>0</v>
      </c>
      <c r="AC243" s="566">
        <f t="shared" si="170"/>
        <v>0</v>
      </c>
      <c r="AD243" s="566">
        <f t="shared" si="171"/>
        <v>0</v>
      </c>
      <c r="AE243" s="566">
        <f t="shared" si="172"/>
        <v>0</v>
      </c>
      <c r="AF243" s="566">
        <f t="shared" si="173"/>
        <v>0</v>
      </c>
      <c r="AG243" s="566">
        <f t="shared" si="174"/>
        <v>0</v>
      </c>
      <c r="AH243" s="573"/>
    </row>
    <row r="244" spans="1:34" ht="25.15" customHeight="1">
      <c r="A244" s="585">
        <v>31</v>
      </c>
      <c r="B244" s="586"/>
      <c r="C244" s="541" t="str">
        <f>'LAP. PENJUALAN '!C246</f>
        <v>Ice Cream</v>
      </c>
      <c r="D244" s="584"/>
      <c r="E244" s="584"/>
      <c r="F244" s="584"/>
      <c r="G244" s="584"/>
      <c r="H244" s="584"/>
      <c r="I244" s="584"/>
      <c r="J244" s="584"/>
      <c r="K244" s="584"/>
      <c r="L244" s="584"/>
      <c r="M244" s="584"/>
      <c r="N244" s="596">
        <f t="shared" si="161"/>
        <v>0</v>
      </c>
      <c r="O244" s="597">
        <f t="shared" si="162"/>
        <v>0</v>
      </c>
      <c r="P244" s="599" t="e">
        <f>(O244/O270)*100</f>
        <v>#DIV/0!</v>
      </c>
      <c r="Q244" s="620"/>
      <c r="R244" s="621" t="e">
        <f t="shared" si="163"/>
        <v>#DIV/0!</v>
      </c>
      <c r="S244" s="622">
        <f t="shared" si="164"/>
        <v>0</v>
      </c>
      <c r="T244" s="584"/>
      <c r="U244" s="569"/>
      <c r="V244" s="2570"/>
      <c r="X244" s="566">
        <f t="shared" si="165"/>
        <v>0</v>
      </c>
      <c r="Y244" s="566">
        <f t="shared" si="166"/>
        <v>0</v>
      </c>
      <c r="Z244" s="566">
        <f t="shared" si="167"/>
        <v>0</v>
      </c>
      <c r="AA244" s="566">
        <f t="shared" si="168"/>
        <v>0</v>
      </c>
      <c r="AB244" s="566">
        <f t="shared" si="169"/>
        <v>0</v>
      </c>
      <c r="AC244" s="566">
        <f t="shared" si="170"/>
        <v>0</v>
      </c>
      <c r="AD244" s="566">
        <f t="shared" si="171"/>
        <v>0</v>
      </c>
      <c r="AE244" s="566">
        <f t="shared" si="172"/>
        <v>0</v>
      </c>
      <c r="AF244" s="566">
        <f t="shared" si="173"/>
        <v>0</v>
      </c>
      <c r="AG244" s="566">
        <f t="shared" si="174"/>
        <v>0</v>
      </c>
      <c r="AH244" s="573"/>
    </row>
    <row r="245" spans="1:34" ht="25.15" customHeight="1">
      <c r="A245" s="585">
        <v>32</v>
      </c>
      <c r="B245" s="586" t="s">
        <v>1581</v>
      </c>
      <c r="C245" s="541"/>
      <c r="D245" s="584"/>
      <c r="E245" s="584"/>
      <c r="F245" s="584"/>
      <c r="G245" s="584"/>
      <c r="H245" s="584"/>
      <c r="I245" s="584"/>
      <c r="J245" s="584"/>
      <c r="K245" s="584"/>
      <c r="L245" s="584"/>
      <c r="M245" s="584"/>
      <c r="N245" s="596">
        <f t="shared" si="161"/>
        <v>0</v>
      </c>
      <c r="O245" s="597">
        <f t="shared" si="162"/>
        <v>0</v>
      </c>
      <c r="P245" s="599" t="e">
        <f>(O245/O270)*100</f>
        <v>#DIV/0!</v>
      </c>
      <c r="Q245" s="620"/>
      <c r="R245" s="621" t="e">
        <f t="shared" si="163"/>
        <v>#DIV/0!</v>
      </c>
      <c r="S245" s="622">
        <f t="shared" si="164"/>
        <v>0</v>
      </c>
      <c r="T245" s="584"/>
      <c r="U245" s="569"/>
      <c r="V245" s="2570"/>
      <c r="X245" s="566">
        <f t="shared" si="165"/>
        <v>0</v>
      </c>
      <c r="Y245" s="566">
        <f t="shared" si="166"/>
        <v>0</v>
      </c>
      <c r="Z245" s="566">
        <f t="shared" si="167"/>
        <v>0</v>
      </c>
      <c r="AA245" s="566">
        <f t="shared" si="168"/>
        <v>0</v>
      </c>
      <c r="AB245" s="566">
        <f t="shared" si="169"/>
        <v>0</v>
      </c>
      <c r="AC245" s="566">
        <f t="shared" si="170"/>
        <v>0</v>
      </c>
      <c r="AD245" s="566">
        <f t="shared" si="171"/>
        <v>0</v>
      </c>
      <c r="AE245" s="566">
        <f t="shared" si="172"/>
        <v>0</v>
      </c>
      <c r="AF245" s="566">
        <f t="shared" si="173"/>
        <v>0</v>
      </c>
      <c r="AG245" s="566">
        <f t="shared" si="174"/>
        <v>0</v>
      </c>
      <c r="AH245" s="573"/>
    </row>
    <row r="246" spans="1:34" ht="25.15" customHeight="1">
      <c r="A246" s="585">
        <v>33</v>
      </c>
      <c r="B246" s="586" t="s">
        <v>1493</v>
      </c>
      <c r="C246" s="541" t="str">
        <f>'LAP. PENJUALAN '!C248</f>
        <v>Es Teh</v>
      </c>
      <c r="D246" s="584"/>
      <c r="E246" s="584"/>
      <c r="F246" s="584"/>
      <c r="G246" s="584"/>
      <c r="H246" s="584"/>
      <c r="I246" s="584"/>
      <c r="J246" s="584"/>
      <c r="K246" s="584"/>
      <c r="L246" s="584"/>
      <c r="M246" s="584"/>
      <c r="N246" s="596">
        <f t="shared" ref="N246:N268" si="175">SUM(D246:M246)</f>
        <v>0</v>
      </c>
      <c r="O246" s="597">
        <f t="shared" ref="O246:O268" si="176">N246*S246</f>
        <v>0</v>
      </c>
      <c r="P246" s="599" t="e">
        <f>(O246/O270)*100</f>
        <v>#DIV/0!</v>
      </c>
      <c r="Q246" s="620"/>
      <c r="R246" s="621" t="e">
        <f t="shared" ref="R246:R268" si="177">P246*Q246</f>
        <v>#DIV/0!</v>
      </c>
      <c r="S246" s="622">
        <f t="shared" ref="S246:S268" si="178">T246+(T246*10%)</f>
        <v>0</v>
      </c>
      <c r="T246" s="584"/>
      <c r="U246" s="569"/>
      <c r="V246" s="2570"/>
      <c r="X246" s="566">
        <f t="shared" ref="X246:X268" si="179">D246*S246</f>
        <v>0</v>
      </c>
      <c r="Y246" s="566">
        <f t="shared" ref="Y246:Y268" si="180">E246*S246</f>
        <v>0</v>
      </c>
      <c r="Z246" s="566">
        <f t="shared" ref="Z246:Z268" si="181">F246*S246</f>
        <v>0</v>
      </c>
      <c r="AA246" s="566">
        <f t="shared" ref="AA246:AA268" si="182">G246*S246</f>
        <v>0</v>
      </c>
      <c r="AB246" s="566">
        <f t="shared" ref="AB246:AB268" si="183">H246*S246</f>
        <v>0</v>
      </c>
      <c r="AC246" s="566">
        <f t="shared" ref="AC246:AC268" si="184">I246*S246</f>
        <v>0</v>
      </c>
      <c r="AD246" s="566">
        <f t="shared" ref="AD246:AD268" si="185">J246*S246</f>
        <v>0</v>
      </c>
      <c r="AE246" s="566">
        <f t="shared" ref="AE246:AE268" si="186">K246*S246</f>
        <v>0</v>
      </c>
      <c r="AF246" s="566">
        <f t="shared" ref="AF246:AF268" si="187">L246*S246</f>
        <v>0</v>
      </c>
      <c r="AG246" s="566">
        <f t="shared" ref="AG246:AG268" si="188">M246*S246</f>
        <v>0</v>
      </c>
      <c r="AH246" s="573"/>
    </row>
    <row r="247" spans="1:34" ht="25.15" customHeight="1">
      <c r="A247" s="585">
        <v>34</v>
      </c>
      <c r="B247" s="586"/>
      <c r="C247" s="541" t="str">
        <f>'LAP. PENJUALAN '!C249</f>
        <v>Es Teh RC</v>
      </c>
      <c r="D247" s="584"/>
      <c r="E247" s="584"/>
      <c r="F247" s="584"/>
      <c r="G247" s="584"/>
      <c r="H247" s="584"/>
      <c r="I247" s="584"/>
      <c r="J247" s="584"/>
      <c r="K247" s="584"/>
      <c r="L247" s="584"/>
      <c r="M247" s="584"/>
      <c r="N247" s="596">
        <f t="shared" ref="N247" si="189">SUM(D247:M247)</f>
        <v>0</v>
      </c>
      <c r="O247" s="597">
        <f t="shared" ref="O247" si="190">N247*S247</f>
        <v>0</v>
      </c>
      <c r="P247" s="599" t="e">
        <f>(O247/O270)*100</f>
        <v>#DIV/0!</v>
      </c>
      <c r="Q247" s="620"/>
      <c r="R247" s="621" t="e">
        <f t="shared" ref="R247" si="191">P247*Q247</f>
        <v>#DIV/0!</v>
      </c>
      <c r="S247" s="622">
        <f t="shared" ref="S247" si="192">T247+(T247*10%)</f>
        <v>0</v>
      </c>
      <c r="T247" s="584"/>
      <c r="U247" s="569"/>
      <c r="V247" s="2570"/>
      <c r="X247" s="566">
        <f t="shared" ref="X247" si="193">D247*S247</f>
        <v>0</v>
      </c>
      <c r="Y247" s="566">
        <f t="shared" ref="Y247" si="194">E247*S247</f>
        <v>0</v>
      </c>
      <c r="Z247" s="566">
        <f t="shared" ref="Z247" si="195">F247*S247</f>
        <v>0</v>
      </c>
      <c r="AA247" s="566">
        <f t="shared" ref="AA247" si="196">G247*S247</f>
        <v>0</v>
      </c>
      <c r="AB247" s="566">
        <f t="shared" ref="AB247" si="197">H247*S247</f>
        <v>0</v>
      </c>
      <c r="AC247" s="566">
        <f t="shared" ref="AC247" si="198">I247*S247</f>
        <v>0</v>
      </c>
      <c r="AD247" s="566">
        <f t="shared" ref="AD247" si="199">J247*S247</f>
        <v>0</v>
      </c>
      <c r="AE247" s="566">
        <f t="shared" ref="AE247" si="200">K247*S247</f>
        <v>0</v>
      </c>
      <c r="AF247" s="566">
        <f t="shared" ref="AF247" si="201">L247*S247</f>
        <v>0</v>
      </c>
      <c r="AG247" s="566">
        <f t="shared" ref="AG247" si="202">M247*S247</f>
        <v>0</v>
      </c>
      <c r="AH247" s="573"/>
    </row>
    <row r="248" spans="1:34" ht="25.15" customHeight="1">
      <c r="A248" s="585">
        <v>35</v>
      </c>
      <c r="B248" s="586" t="s">
        <v>1582</v>
      </c>
      <c r="C248" s="541"/>
      <c r="D248" s="584"/>
      <c r="E248" s="584"/>
      <c r="F248" s="584"/>
      <c r="G248" s="584"/>
      <c r="H248" s="584"/>
      <c r="I248" s="584"/>
      <c r="J248" s="584"/>
      <c r="K248" s="584"/>
      <c r="L248" s="584"/>
      <c r="M248" s="584"/>
      <c r="N248" s="596">
        <f t="shared" si="175"/>
        <v>0</v>
      </c>
      <c r="O248" s="597">
        <f t="shared" si="176"/>
        <v>0</v>
      </c>
      <c r="P248" s="599" t="e">
        <f>(O248/O270)*100</f>
        <v>#DIV/0!</v>
      </c>
      <c r="Q248" s="625"/>
      <c r="R248" s="621" t="e">
        <f t="shared" si="177"/>
        <v>#DIV/0!</v>
      </c>
      <c r="S248" s="622">
        <f t="shared" si="178"/>
        <v>0</v>
      </c>
      <c r="T248" s="584"/>
      <c r="U248" s="569"/>
      <c r="V248" s="2570"/>
      <c r="X248" s="566">
        <f t="shared" si="179"/>
        <v>0</v>
      </c>
      <c r="Y248" s="566">
        <f t="shared" si="180"/>
        <v>0</v>
      </c>
      <c r="Z248" s="566">
        <f t="shared" si="181"/>
        <v>0</v>
      </c>
      <c r="AA248" s="566">
        <f t="shared" si="182"/>
        <v>0</v>
      </c>
      <c r="AB248" s="566">
        <f t="shared" si="183"/>
        <v>0</v>
      </c>
      <c r="AC248" s="566">
        <f t="shared" si="184"/>
        <v>0</v>
      </c>
      <c r="AD248" s="566">
        <f t="shared" si="185"/>
        <v>0</v>
      </c>
      <c r="AE248" s="566">
        <f t="shared" si="186"/>
        <v>0</v>
      </c>
      <c r="AF248" s="566">
        <f t="shared" si="187"/>
        <v>0</v>
      </c>
      <c r="AG248" s="566">
        <f t="shared" si="188"/>
        <v>0</v>
      </c>
      <c r="AH248" s="573"/>
    </row>
    <row r="249" spans="1:34" ht="25.15" customHeight="1">
      <c r="A249" s="585">
        <v>36</v>
      </c>
      <c r="B249" s="586" t="s">
        <v>1494</v>
      </c>
      <c r="C249" s="541" t="str">
        <f>'LAP. PENJUALAN '!C251</f>
        <v>Thai Green Tea</v>
      </c>
      <c r="D249" s="584"/>
      <c r="E249" s="584"/>
      <c r="F249" s="584"/>
      <c r="G249" s="584"/>
      <c r="H249" s="584"/>
      <c r="I249" s="584"/>
      <c r="J249" s="584"/>
      <c r="K249" s="584"/>
      <c r="L249" s="584"/>
      <c r="M249" s="584"/>
      <c r="N249" s="596">
        <f t="shared" si="175"/>
        <v>0</v>
      </c>
      <c r="O249" s="597">
        <f t="shared" si="176"/>
        <v>0</v>
      </c>
      <c r="P249" s="599" t="e">
        <f>(O249/O270)*100</f>
        <v>#DIV/0!</v>
      </c>
      <c r="Q249" s="625"/>
      <c r="R249" s="621" t="e">
        <f t="shared" si="177"/>
        <v>#DIV/0!</v>
      </c>
      <c r="S249" s="622">
        <f t="shared" si="178"/>
        <v>0</v>
      </c>
      <c r="T249" s="584"/>
      <c r="U249" s="569"/>
      <c r="V249" s="2570"/>
      <c r="X249" s="566">
        <f t="shared" si="179"/>
        <v>0</v>
      </c>
      <c r="Y249" s="566">
        <f t="shared" si="180"/>
        <v>0</v>
      </c>
      <c r="Z249" s="566">
        <f t="shared" si="181"/>
        <v>0</v>
      </c>
      <c r="AA249" s="566">
        <f t="shared" si="182"/>
        <v>0</v>
      </c>
      <c r="AB249" s="566">
        <f t="shared" si="183"/>
        <v>0</v>
      </c>
      <c r="AC249" s="566">
        <f t="shared" si="184"/>
        <v>0</v>
      </c>
      <c r="AD249" s="566">
        <f t="shared" si="185"/>
        <v>0</v>
      </c>
      <c r="AE249" s="566">
        <f t="shared" si="186"/>
        <v>0</v>
      </c>
      <c r="AF249" s="566">
        <f t="shared" si="187"/>
        <v>0</v>
      </c>
      <c r="AG249" s="566">
        <f t="shared" si="188"/>
        <v>0</v>
      </c>
      <c r="AH249" s="573"/>
    </row>
    <row r="250" spans="1:34" ht="25.15" customHeight="1">
      <c r="A250" s="585">
        <v>37</v>
      </c>
      <c r="B250" s="586"/>
      <c r="C250" s="541" t="str">
        <f>'LAP. PENJUALAN '!C252</f>
        <v>Milky Mango</v>
      </c>
      <c r="D250" s="584"/>
      <c r="E250" s="584"/>
      <c r="F250" s="584"/>
      <c r="G250" s="584"/>
      <c r="H250" s="584"/>
      <c r="I250" s="584"/>
      <c r="J250" s="584"/>
      <c r="K250" s="584"/>
      <c r="L250" s="584"/>
      <c r="M250" s="584"/>
      <c r="N250" s="596">
        <f t="shared" si="175"/>
        <v>0</v>
      </c>
      <c r="O250" s="597">
        <f t="shared" si="176"/>
        <v>0</v>
      </c>
      <c r="P250" s="599" t="e">
        <f>(O250/O270)*100</f>
        <v>#DIV/0!</v>
      </c>
      <c r="Q250" s="625"/>
      <c r="R250" s="621" t="e">
        <f t="shared" si="177"/>
        <v>#DIV/0!</v>
      </c>
      <c r="S250" s="622">
        <f t="shared" si="178"/>
        <v>0</v>
      </c>
      <c r="T250" s="584"/>
      <c r="U250" s="569"/>
      <c r="V250" s="2570"/>
      <c r="X250" s="566">
        <f t="shared" si="179"/>
        <v>0</v>
      </c>
      <c r="Y250" s="566">
        <f t="shared" si="180"/>
        <v>0</v>
      </c>
      <c r="Z250" s="566">
        <f t="shared" si="181"/>
        <v>0</v>
      </c>
      <c r="AA250" s="566">
        <f t="shared" si="182"/>
        <v>0</v>
      </c>
      <c r="AB250" s="566">
        <f t="shared" si="183"/>
        <v>0</v>
      </c>
      <c r="AC250" s="566">
        <f t="shared" si="184"/>
        <v>0</v>
      </c>
      <c r="AD250" s="566">
        <f t="shared" si="185"/>
        <v>0</v>
      </c>
      <c r="AE250" s="566">
        <f t="shared" si="186"/>
        <v>0</v>
      </c>
      <c r="AF250" s="566">
        <f t="shared" si="187"/>
        <v>0</v>
      </c>
      <c r="AG250" s="566">
        <f t="shared" si="188"/>
        <v>0</v>
      </c>
      <c r="AH250" s="573"/>
    </row>
    <row r="251" spans="1:34" ht="25.15" customHeight="1">
      <c r="A251" s="585">
        <v>38</v>
      </c>
      <c r="B251" s="586" t="s">
        <v>1495</v>
      </c>
      <c r="C251" s="541" t="str">
        <f>'LAP. PENJUALAN '!C253</f>
        <v>Red Velvet</v>
      </c>
      <c r="D251" s="584"/>
      <c r="E251" s="584"/>
      <c r="F251" s="584"/>
      <c r="G251" s="584"/>
      <c r="H251" s="584"/>
      <c r="I251" s="584"/>
      <c r="J251" s="584"/>
      <c r="K251" s="584"/>
      <c r="L251" s="584"/>
      <c r="M251" s="584"/>
      <c r="N251" s="596">
        <f t="shared" si="175"/>
        <v>0</v>
      </c>
      <c r="O251" s="597">
        <f t="shared" si="176"/>
        <v>0</v>
      </c>
      <c r="P251" s="599" t="e">
        <f>O251/O270*100</f>
        <v>#DIV/0!</v>
      </c>
      <c r="Q251" s="625"/>
      <c r="R251" s="621" t="e">
        <f t="shared" si="177"/>
        <v>#DIV/0!</v>
      </c>
      <c r="S251" s="622">
        <f t="shared" si="178"/>
        <v>0</v>
      </c>
      <c r="T251" s="584"/>
      <c r="U251" s="569"/>
      <c r="V251" s="2570"/>
      <c r="X251" s="566">
        <f t="shared" si="179"/>
        <v>0</v>
      </c>
      <c r="Y251" s="566">
        <f t="shared" si="180"/>
        <v>0</v>
      </c>
      <c r="Z251" s="566">
        <f t="shared" si="181"/>
        <v>0</v>
      </c>
      <c r="AA251" s="566">
        <f t="shared" si="182"/>
        <v>0</v>
      </c>
      <c r="AB251" s="566">
        <f t="shared" si="183"/>
        <v>0</v>
      </c>
      <c r="AC251" s="566">
        <f t="shared" si="184"/>
        <v>0</v>
      </c>
      <c r="AD251" s="566">
        <f t="shared" si="185"/>
        <v>0</v>
      </c>
      <c r="AE251" s="566">
        <f t="shared" si="186"/>
        <v>0</v>
      </c>
      <c r="AF251" s="566">
        <f t="shared" si="187"/>
        <v>0</v>
      </c>
      <c r="AG251" s="566">
        <f t="shared" si="188"/>
        <v>0</v>
      </c>
      <c r="AH251" s="573"/>
    </row>
    <row r="252" spans="1:34" ht="25.15" customHeight="1">
      <c r="A252" s="585">
        <v>39</v>
      </c>
      <c r="B252" s="586"/>
      <c r="C252" s="541"/>
      <c r="D252" s="584"/>
      <c r="E252" s="584"/>
      <c r="F252" s="584"/>
      <c r="G252" s="584"/>
      <c r="H252" s="584"/>
      <c r="I252" s="584"/>
      <c r="J252" s="584"/>
      <c r="K252" s="584"/>
      <c r="L252" s="584"/>
      <c r="M252" s="584"/>
      <c r="N252" s="596">
        <f t="shared" si="175"/>
        <v>0</v>
      </c>
      <c r="O252" s="597">
        <f t="shared" si="176"/>
        <v>0</v>
      </c>
      <c r="P252" s="599" t="e">
        <f>(O252/O270)*100</f>
        <v>#DIV/0!</v>
      </c>
      <c r="Q252" s="625"/>
      <c r="R252" s="621" t="e">
        <f t="shared" si="177"/>
        <v>#DIV/0!</v>
      </c>
      <c r="S252" s="622">
        <f t="shared" si="178"/>
        <v>0</v>
      </c>
      <c r="T252" s="584"/>
      <c r="U252" s="569"/>
      <c r="V252" s="2570"/>
      <c r="X252" s="566">
        <f t="shared" si="179"/>
        <v>0</v>
      </c>
      <c r="Y252" s="566">
        <f t="shared" si="180"/>
        <v>0</v>
      </c>
      <c r="Z252" s="566">
        <f t="shared" si="181"/>
        <v>0</v>
      </c>
      <c r="AA252" s="566">
        <f t="shared" si="182"/>
        <v>0</v>
      </c>
      <c r="AB252" s="566">
        <f t="shared" si="183"/>
        <v>0</v>
      </c>
      <c r="AC252" s="566">
        <f t="shared" si="184"/>
        <v>0</v>
      </c>
      <c r="AD252" s="566">
        <f t="shared" si="185"/>
        <v>0</v>
      </c>
      <c r="AE252" s="566">
        <f t="shared" si="186"/>
        <v>0</v>
      </c>
      <c r="AF252" s="566">
        <f t="shared" si="187"/>
        <v>0</v>
      </c>
      <c r="AG252" s="566">
        <f t="shared" si="188"/>
        <v>0</v>
      </c>
      <c r="AH252" s="573"/>
    </row>
    <row r="253" spans="1:34" ht="25.15" customHeight="1">
      <c r="A253" s="585">
        <v>40</v>
      </c>
      <c r="B253" s="586"/>
      <c r="C253" s="541" t="str">
        <f>'LAP. PENJUALAN '!C255</f>
        <v>Es Teh Paket Harga Nol</v>
      </c>
      <c r="D253" s="584"/>
      <c r="E253" s="584"/>
      <c r="F253" s="584"/>
      <c r="G253" s="584"/>
      <c r="H253" s="584"/>
      <c r="I253" s="584"/>
      <c r="J253" s="584"/>
      <c r="K253" s="584"/>
      <c r="L253" s="584"/>
      <c r="M253" s="584"/>
      <c r="N253" s="596">
        <f t="shared" si="175"/>
        <v>0</v>
      </c>
      <c r="O253" s="597">
        <f t="shared" si="176"/>
        <v>0</v>
      </c>
      <c r="P253" s="599" t="e">
        <f>(O253/O270)*100</f>
        <v>#DIV/0!</v>
      </c>
      <c r="Q253" s="625"/>
      <c r="R253" s="621" t="e">
        <f t="shared" si="177"/>
        <v>#DIV/0!</v>
      </c>
      <c r="S253" s="622">
        <f t="shared" si="178"/>
        <v>0</v>
      </c>
      <c r="T253" s="584"/>
      <c r="U253" s="569"/>
      <c r="V253" s="2570"/>
      <c r="X253" s="566">
        <f t="shared" si="179"/>
        <v>0</v>
      </c>
      <c r="Y253" s="566">
        <f t="shared" si="180"/>
        <v>0</v>
      </c>
      <c r="Z253" s="566">
        <f t="shared" si="181"/>
        <v>0</v>
      </c>
      <c r="AA253" s="566">
        <f t="shared" si="182"/>
        <v>0</v>
      </c>
      <c r="AB253" s="566">
        <f t="shared" si="183"/>
        <v>0</v>
      </c>
      <c r="AC253" s="566">
        <f t="shared" si="184"/>
        <v>0</v>
      </c>
      <c r="AD253" s="566">
        <f t="shared" si="185"/>
        <v>0</v>
      </c>
      <c r="AE253" s="566">
        <f t="shared" si="186"/>
        <v>0</v>
      </c>
      <c r="AF253" s="566">
        <f t="shared" si="187"/>
        <v>0</v>
      </c>
      <c r="AG253" s="566">
        <f t="shared" si="188"/>
        <v>0</v>
      </c>
      <c r="AH253" s="573"/>
    </row>
    <row r="254" spans="1:34" ht="25.15" customHeight="1">
      <c r="A254" s="585">
        <v>41</v>
      </c>
      <c r="B254" s="587"/>
      <c r="C254" s="541" t="str">
        <f>'LAP. PENJUALAN '!C256</f>
        <v>S-tee Paket Harga Nol</v>
      </c>
      <c r="D254" s="584"/>
      <c r="E254" s="584"/>
      <c r="F254" s="584"/>
      <c r="G254" s="584"/>
      <c r="H254" s="584"/>
      <c r="I254" s="584"/>
      <c r="J254" s="584"/>
      <c r="K254" s="584"/>
      <c r="L254" s="584"/>
      <c r="M254" s="584"/>
      <c r="N254" s="596">
        <f t="shared" si="175"/>
        <v>0</v>
      </c>
      <c r="O254" s="597">
        <f t="shared" si="176"/>
        <v>0</v>
      </c>
      <c r="P254" s="601" t="e">
        <f>(O254/O270)*100</f>
        <v>#DIV/0!</v>
      </c>
      <c r="Q254" s="625"/>
      <c r="R254" s="621" t="e">
        <f t="shared" si="177"/>
        <v>#DIV/0!</v>
      </c>
      <c r="S254" s="622">
        <f t="shared" si="178"/>
        <v>0</v>
      </c>
      <c r="T254" s="584"/>
      <c r="U254" s="569"/>
      <c r="V254" s="2570"/>
      <c r="X254" s="566">
        <f t="shared" si="179"/>
        <v>0</v>
      </c>
      <c r="Y254" s="566">
        <f t="shared" si="180"/>
        <v>0</v>
      </c>
      <c r="Z254" s="566">
        <f t="shared" si="181"/>
        <v>0</v>
      </c>
      <c r="AA254" s="566">
        <f t="shared" si="182"/>
        <v>0</v>
      </c>
      <c r="AB254" s="566">
        <f t="shared" si="183"/>
        <v>0</v>
      </c>
      <c r="AC254" s="566">
        <f t="shared" si="184"/>
        <v>0</v>
      </c>
      <c r="AD254" s="566">
        <f t="shared" si="185"/>
        <v>0</v>
      </c>
      <c r="AE254" s="566">
        <f t="shared" si="186"/>
        <v>0</v>
      </c>
      <c r="AF254" s="566">
        <f t="shared" si="187"/>
        <v>0</v>
      </c>
      <c r="AG254" s="566">
        <f t="shared" si="188"/>
        <v>0</v>
      </c>
      <c r="AH254" s="573"/>
    </row>
    <row r="255" spans="1:34" ht="25.15" customHeight="1">
      <c r="A255" s="585">
        <v>42</v>
      </c>
      <c r="B255" s="588"/>
      <c r="C255" s="541" t="str">
        <f>'LAP. PENJUALAN '!C257</f>
        <v>Nestea Paket Harga Nol</v>
      </c>
      <c r="D255" s="584"/>
      <c r="E255" s="584"/>
      <c r="F255" s="584"/>
      <c r="G255" s="584"/>
      <c r="H255" s="584"/>
      <c r="I255" s="584"/>
      <c r="J255" s="584"/>
      <c r="K255" s="584"/>
      <c r="L255" s="584"/>
      <c r="M255" s="584"/>
      <c r="N255" s="596">
        <f t="shared" si="175"/>
        <v>0</v>
      </c>
      <c r="O255" s="597">
        <f t="shared" si="176"/>
        <v>0</v>
      </c>
      <c r="P255" s="599" t="e">
        <f>(O255/O270)*100</f>
        <v>#DIV/0!</v>
      </c>
      <c r="Q255" s="625"/>
      <c r="R255" s="621" t="e">
        <f t="shared" si="177"/>
        <v>#DIV/0!</v>
      </c>
      <c r="S255" s="622">
        <f t="shared" si="178"/>
        <v>0</v>
      </c>
      <c r="T255" s="584"/>
      <c r="U255" s="569"/>
      <c r="V255" s="2570"/>
      <c r="X255" s="566">
        <f t="shared" si="179"/>
        <v>0</v>
      </c>
      <c r="Y255" s="566">
        <f t="shared" si="180"/>
        <v>0</v>
      </c>
      <c r="Z255" s="566">
        <f t="shared" si="181"/>
        <v>0</v>
      </c>
      <c r="AA255" s="566">
        <f t="shared" si="182"/>
        <v>0</v>
      </c>
      <c r="AB255" s="566">
        <f t="shared" si="183"/>
        <v>0</v>
      </c>
      <c r="AC255" s="566">
        <f t="shared" si="184"/>
        <v>0</v>
      </c>
      <c r="AD255" s="566">
        <f t="shared" si="185"/>
        <v>0</v>
      </c>
      <c r="AE255" s="566">
        <f t="shared" si="186"/>
        <v>0</v>
      </c>
      <c r="AF255" s="566">
        <f t="shared" si="187"/>
        <v>0</v>
      </c>
      <c r="AG255" s="566">
        <f t="shared" si="188"/>
        <v>0</v>
      </c>
      <c r="AH255" s="573"/>
    </row>
    <row r="256" spans="1:34" ht="25.15" customHeight="1">
      <c r="A256" s="585">
        <v>43</v>
      </c>
      <c r="B256" s="588"/>
      <c r="C256" s="589"/>
      <c r="D256" s="584"/>
      <c r="E256" s="584"/>
      <c r="F256" s="584"/>
      <c r="G256" s="584"/>
      <c r="H256" s="584"/>
      <c r="I256" s="584"/>
      <c r="J256" s="584"/>
      <c r="K256" s="584"/>
      <c r="L256" s="584"/>
      <c r="M256" s="584"/>
      <c r="N256" s="596">
        <f t="shared" si="175"/>
        <v>0</v>
      </c>
      <c r="O256" s="597">
        <f t="shared" si="176"/>
        <v>0</v>
      </c>
      <c r="P256" s="599" t="e">
        <f>(O256/O270)*100</f>
        <v>#DIV/0!</v>
      </c>
      <c r="Q256" s="625"/>
      <c r="R256" s="621" t="e">
        <f t="shared" si="177"/>
        <v>#DIV/0!</v>
      </c>
      <c r="S256" s="622">
        <f t="shared" si="178"/>
        <v>0</v>
      </c>
      <c r="T256" s="584"/>
      <c r="U256" s="569"/>
      <c r="V256" s="2570"/>
      <c r="X256" s="566">
        <f t="shared" si="179"/>
        <v>0</v>
      </c>
      <c r="Y256" s="566">
        <f t="shared" si="180"/>
        <v>0</v>
      </c>
      <c r="Z256" s="566">
        <f t="shared" si="181"/>
        <v>0</v>
      </c>
      <c r="AA256" s="566">
        <f t="shared" si="182"/>
        <v>0</v>
      </c>
      <c r="AB256" s="566">
        <f t="shared" si="183"/>
        <v>0</v>
      </c>
      <c r="AC256" s="566">
        <f t="shared" si="184"/>
        <v>0</v>
      </c>
      <c r="AD256" s="566">
        <f t="shared" si="185"/>
        <v>0</v>
      </c>
      <c r="AE256" s="566">
        <f t="shared" si="186"/>
        <v>0</v>
      </c>
      <c r="AF256" s="566">
        <f t="shared" si="187"/>
        <v>0</v>
      </c>
      <c r="AG256" s="566">
        <f t="shared" si="188"/>
        <v>0</v>
      </c>
      <c r="AH256" s="573"/>
    </row>
    <row r="257" spans="1:34" ht="25.15" customHeight="1">
      <c r="A257" s="585">
        <v>44</v>
      </c>
      <c r="B257" s="588"/>
      <c r="C257" s="589"/>
      <c r="D257" s="584"/>
      <c r="E257" s="584"/>
      <c r="F257" s="584"/>
      <c r="G257" s="584"/>
      <c r="H257" s="584"/>
      <c r="I257" s="584"/>
      <c r="J257" s="584"/>
      <c r="K257" s="584"/>
      <c r="L257" s="584"/>
      <c r="M257" s="584"/>
      <c r="N257" s="596">
        <f t="shared" si="175"/>
        <v>0</v>
      </c>
      <c r="O257" s="597">
        <f t="shared" si="176"/>
        <v>0</v>
      </c>
      <c r="P257" s="599" t="e">
        <f>(O257/O270)*100</f>
        <v>#DIV/0!</v>
      </c>
      <c r="Q257" s="625"/>
      <c r="R257" s="621" t="e">
        <f t="shared" si="177"/>
        <v>#DIV/0!</v>
      </c>
      <c r="S257" s="622">
        <f t="shared" si="178"/>
        <v>0</v>
      </c>
      <c r="T257" s="584"/>
      <c r="U257" s="569"/>
      <c r="V257" s="2570"/>
      <c r="X257" s="566">
        <f t="shared" si="179"/>
        <v>0</v>
      </c>
      <c r="Y257" s="566">
        <f t="shared" si="180"/>
        <v>0</v>
      </c>
      <c r="Z257" s="566">
        <f t="shared" si="181"/>
        <v>0</v>
      </c>
      <c r="AA257" s="566">
        <f t="shared" si="182"/>
        <v>0</v>
      </c>
      <c r="AB257" s="566">
        <f t="shared" si="183"/>
        <v>0</v>
      </c>
      <c r="AC257" s="566">
        <f t="shared" si="184"/>
        <v>0</v>
      </c>
      <c r="AD257" s="566">
        <f t="shared" si="185"/>
        <v>0</v>
      </c>
      <c r="AE257" s="566">
        <f t="shared" si="186"/>
        <v>0</v>
      </c>
      <c r="AF257" s="566">
        <f t="shared" si="187"/>
        <v>0</v>
      </c>
      <c r="AG257" s="566">
        <f t="shared" si="188"/>
        <v>0</v>
      </c>
      <c r="AH257" s="573"/>
    </row>
    <row r="258" spans="1:34" ht="25.15" customHeight="1">
      <c r="A258" s="585">
        <v>45</v>
      </c>
      <c r="B258" s="588"/>
      <c r="C258" s="589"/>
      <c r="D258" s="584"/>
      <c r="E258" s="584"/>
      <c r="F258" s="584"/>
      <c r="G258" s="584"/>
      <c r="H258" s="584"/>
      <c r="I258" s="584"/>
      <c r="J258" s="584"/>
      <c r="K258" s="584"/>
      <c r="L258" s="584"/>
      <c r="M258" s="584"/>
      <c r="N258" s="596">
        <f t="shared" si="175"/>
        <v>0</v>
      </c>
      <c r="O258" s="597">
        <f t="shared" si="176"/>
        <v>0</v>
      </c>
      <c r="P258" s="599" t="e">
        <f>(O258/O270)*100</f>
        <v>#DIV/0!</v>
      </c>
      <c r="Q258" s="625"/>
      <c r="R258" s="621" t="e">
        <f t="shared" si="177"/>
        <v>#DIV/0!</v>
      </c>
      <c r="S258" s="622">
        <f t="shared" si="178"/>
        <v>0</v>
      </c>
      <c r="T258" s="584"/>
      <c r="U258" s="569"/>
      <c r="V258" s="2570"/>
      <c r="X258" s="566">
        <f t="shared" si="179"/>
        <v>0</v>
      </c>
      <c r="Y258" s="566">
        <f t="shared" si="180"/>
        <v>0</v>
      </c>
      <c r="Z258" s="566">
        <f t="shared" si="181"/>
        <v>0</v>
      </c>
      <c r="AA258" s="566">
        <f t="shared" si="182"/>
        <v>0</v>
      </c>
      <c r="AB258" s="566">
        <f t="shared" si="183"/>
        <v>0</v>
      </c>
      <c r="AC258" s="566">
        <f t="shared" si="184"/>
        <v>0</v>
      </c>
      <c r="AD258" s="566">
        <f t="shared" si="185"/>
        <v>0</v>
      </c>
      <c r="AE258" s="566">
        <f t="shared" si="186"/>
        <v>0</v>
      </c>
      <c r="AF258" s="566">
        <f t="shared" si="187"/>
        <v>0</v>
      </c>
      <c r="AG258" s="566">
        <f t="shared" si="188"/>
        <v>0</v>
      </c>
      <c r="AH258" s="573"/>
    </row>
    <row r="259" spans="1:34" ht="25.15" customHeight="1">
      <c r="A259" s="585">
        <v>46</v>
      </c>
      <c r="B259" s="588"/>
      <c r="C259" s="589"/>
      <c r="D259" s="584"/>
      <c r="E259" s="584"/>
      <c r="F259" s="584"/>
      <c r="G259" s="584"/>
      <c r="H259" s="584"/>
      <c r="I259" s="584"/>
      <c r="J259" s="584"/>
      <c r="K259" s="584"/>
      <c r="L259" s="584"/>
      <c r="M259" s="584"/>
      <c r="N259" s="596">
        <f t="shared" si="175"/>
        <v>0</v>
      </c>
      <c r="O259" s="597">
        <f t="shared" si="176"/>
        <v>0</v>
      </c>
      <c r="P259" s="599" t="e">
        <f>(O259/O270)*100</f>
        <v>#DIV/0!</v>
      </c>
      <c r="Q259" s="625"/>
      <c r="R259" s="621" t="e">
        <f t="shared" si="177"/>
        <v>#DIV/0!</v>
      </c>
      <c r="S259" s="622">
        <f t="shared" si="178"/>
        <v>0</v>
      </c>
      <c r="T259" s="584"/>
      <c r="U259" s="569"/>
      <c r="V259" s="2570"/>
      <c r="X259" s="566">
        <f t="shared" si="179"/>
        <v>0</v>
      </c>
      <c r="Y259" s="566">
        <f t="shared" si="180"/>
        <v>0</v>
      </c>
      <c r="Z259" s="566">
        <f t="shared" si="181"/>
        <v>0</v>
      </c>
      <c r="AA259" s="566">
        <f t="shared" si="182"/>
        <v>0</v>
      </c>
      <c r="AB259" s="566">
        <f t="shared" si="183"/>
        <v>0</v>
      </c>
      <c r="AC259" s="566">
        <f t="shared" si="184"/>
        <v>0</v>
      </c>
      <c r="AD259" s="566">
        <f t="shared" si="185"/>
        <v>0</v>
      </c>
      <c r="AE259" s="566">
        <f t="shared" si="186"/>
        <v>0</v>
      </c>
      <c r="AF259" s="566">
        <f t="shared" si="187"/>
        <v>0</v>
      </c>
      <c r="AG259" s="566">
        <f t="shared" si="188"/>
        <v>0</v>
      </c>
      <c r="AH259" s="573"/>
    </row>
    <row r="260" spans="1:34" ht="25.15" customHeight="1">
      <c r="A260" s="585">
        <v>47</v>
      </c>
      <c r="B260" s="588"/>
      <c r="C260" s="589"/>
      <c r="D260" s="584"/>
      <c r="E260" s="584"/>
      <c r="F260" s="584"/>
      <c r="G260" s="584"/>
      <c r="H260" s="584"/>
      <c r="I260" s="584"/>
      <c r="J260" s="584"/>
      <c r="K260" s="584"/>
      <c r="L260" s="584"/>
      <c r="M260" s="584"/>
      <c r="N260" s="596">
        <f t="shared" si="175"/>
        <v>0</v>
      </c>
      <c r="O260" s="597">
        <f t="shared" si="176"/>
        <v>0</v>
      </c>
      <c r="P260" s="599" t="e">
        <f>(O260/O270)*100</f>
        <v>#DIV/0!</v>
      </c>
      <c r="Q260" s="625"/>
      <c r="R260" s="621" t="e">
        <f t="shared" si="177"/>
        <v>#DIV/0!</v>
      </c>
      <c r="S260" s="622">
        <f t="shared" si="178"/>
        <v>0</v>
      </c>
      <c r="T260" s="584"/>
      <c r="U260" s="569"/>
      <c r="V260" s="2570"/>
      <c r="X260" s="566">
        <f t="shared" si="179"/>
        <v>0</v>
      </c>
      <c r="Y260" s="566">
        <f t="shared" si="180"/>
        <v>0</v>
      </c>
      <c r="Z260" s="566">
        <f t="shared" si="181"/>
        <v>0</v>
      </c>
      <c r="AA260" s="566">
        <f t="shared" si="182"/>
        <v>0</v>
      </c>
      <c r="AB260" s="566">
        <f t="shared" si="183"/>
        <v>0</v>
      </c>
      <c r="AC260" s="566">
        <f t="shared" si="184"/>
        <v>0</v>
      </c>
      <c r="AD260" s="566">
        <f t="shared" si="185"/>
        <v>0</v>
      </c>
      <c r="AE260" s="566">
        <f t="shared" si="186"/>
        <v>0</v>
      </c>
      <c r="AF260" s="566">
        <f t="shared" si="187"/>
        <v>0</v>
      </c>
      <c r="AG260" s="566">
        <f t="shared" si="188"/>
        <v>0</v>
      </c>
      <c r="AH260" s="573"/>
    </row>
    <row r="261" spans="1:34" ht="25.15" customHeight="1">
      <c r="A261" s="585">
        <v>48</v>
      </c>
      <c r="B261" s="588"/>
      <c r="C261" s="589"/>
      <c r="D261" s="584"/>
      <c r="E261" s="584"/>
      <c r="F261" s="584"/>
      <c r="G261" s="584"/>
      <c r="H261" s="584"/>
      <c r="I261" s="584"/>
      <c r="J261" s="584"/>
      <c r="K261" s="584"/>
      <c r="L261" s="584"/>
      <c r="M261" s="584"/>
      <c r="N261" s="596">
        <f t="shared" si="175"/>
        <v>0</v>
      </c>
      <c r="O261" s="597">
        <f t="shared" si="176"/>
        <v>0</v>
      </c>
      <c r="P261" s="599" t="e">
        <f>(O261/O270)*100</f>
        <v>#DIV/0!</v>
      </c>
      <c r="Q261" s="625"/>
      <c r="R261" s="621" t="e">
        <f t="shared" si="177"/>
        <v>#DIV/0!</v>
      </c>
      <c r="S261" s="622">
        <f t="shared" si="178"/>
        <v>0</v>
      </c>
      <c r="T261" s="584"/>
      <c r="U261" s="569"/>
      <c r="V261" s="2570"/>
      <c r="X261" s="566">
        <f t="shared" si="179"/>
        <v>0</v>
      </c>
      <c r="Y261" s="566">
        <f t="shared" si="180"/>
        <v>0</v>
      </c>
      <c r="Z261" s="566">
        <f t="shared" si="181"/>
        <v>0</v>
      </c>
      <c r="AA261" s="566">
        <f t="shared" si="182"/>
        <v>0</v>
      </c>
      <c r="AB261" s="566">
        <f t="shared" si="183"/>
        <v>0</v>
      </c>
      <c r="AC261" s="566">
        <f t="shared" si="184"/>
        <v>0</v>
      </c>
      <c r="AD261" s="566">
        <f t="shared" si="185"/>
        <v>0</v>
      </c>
      <c r="AE261" s="566">
        <f t="shared" si="186"/>
        <v>0</v>
      </c>
      <c r="AF261" s="566">
        <f t="shared" si="187"/>
        <v>0</v>
      </c>
      <c r="AG261" s="566">
        <f t="shared" si="188"/>
        <v>0</v>
      </c>
      <c r="AH261" s="573"/>
    </row>
    <row r="262" spans="1:34" ht="25.15" customHeight="1">
      <c r="A262" s="585">
        <v>49</v>
      </c>
      <c r="B262" s="588"/>
      <c r="C262" s="589"/>
      <c r="D262" s="584"/>
      <c r="E262" s="584"/>
      <c r="F262" s="584"/>
      <c r="G262" s="584"/>
      <c r="H262" s="584"/>
      <c r="I262" s="584"/>
      <c r="J262" s="584"/>
      <c r="K262" s="584"/>
      <c r="L262" s="584"/>
      <c r="M262" s="584"/>
      <c r="N262" s="596">
        <f t="shared" si="175"/>
        <v>0</v>
      </c>
      <c r="O262" s="597">
        <f t="shared" si="176"/>
        <v>0</v>
      </c>
      <c r="P262" s="599" t="e">
        <f>(O262/O270)*100</f>
        <v>#DIV/0!</v>
      </c>
      <c r="Q262" s="625"/>
      <c r="R262" s="621" t="e">
        <f t="shared" si="177"/>
        <v>#DIV/0!</v>
      </c>
      <c r="S262" s="622">
        <f t="shared" si="178"/>
        <v>0</v>
      </c>
      <c r="T262" s="584"/>
      <c r="U262" s="569"/>
      <c r="V262" s="2570"/>
      <c r="X262" s="566">
        <f t="shared" si="179"/>
        <v>0</v>
      </c>
      <c r="Y262" s="566">
        <f t="shared" si="180"/>
        <v>0</v>
      </c>
      <c r="Z262" s="566">
        <f t="shared" si="181"/>
        <v>0</v>
      </c>
      <c r="AA262" s="566">
        <f t="shared" si="182"/>
        <v>0</v>
      </c>
      <c r="AB262" s="566">
        <f t="shared" si="183"/>
        <v>0</v>
      </c>
      <c r="AC262" s="566">
        <f t="shared" si="184"/>
        <v>0</v>
      </c>
      <c r="AD262" s="566">
        <f t="shared" si="185"/>
        <v>0</v>
      </c>
      <c r="AE262" s="566">
        <f t="shared" si="186"/>
        <v>0</v>
      </c>
      <c r="AF262" s="566">
        <f t="shared" si="187"/>
        <v>0</v>
      </c>
      <c r="AG262" s="566">
        <f t="shared" si="188"/>
        <v>0</v>
      </c>
      <c r="AH262" s="573"/>
    </row>
    <row r="263" spans="1:34" ht="25.15" customHeight="1">
      <c r="A263" s="585">
        <v>50</v>
      </c>
      <c r="B263" s="588"/>
      <c r="C263" s="589"/>
      <c r="D263" s="584"/>
      <c r="E263" s="584"/>
      <c r="F263" s="584"/>
      <c r="G263" s="584"/>
      <c r="H263" s="584"/>
      <c r="I263" s="584"/>
      <c r="J263" s="584"/>
      <c r="K263" s="584"/>
      <c r="L263" s="584"/>
      <c r="M263" s="584"/>
      <c r="N263" s="596">
        <f t="shared" si="175"/>
        <v>0</v>
      </c>
      <c r="O263" s="597">
        <f t="shared" si="176"/>
        <v>0</v>
      </c>
      <c r="P263" s="599" t="e">
        <f>(O263/O270)*100</f>
        <v>#DIV/0!</v>
      </c>
      <c r="Q263" s="625"/>
      <c r="R263" s="621" t="e">
        <f t="shared" si="177"/>
        <v>#DIV/0!</v>
      </c>
      <c r="S263" s="622">
        <f t="shared" si="178"/>
        <v>0</v>
      </c>
      <c r="T263" s="584"/>
      <c r="U263" s="569"/>
      <c r="V263" s="2570"/>
      <c r="X263" s="566">
        <f t="shared" si="179"/>
        <v>0</v>
      </c>
      <c r="Y263" s="566">
        <f t="shared" si="180"/>
        <v>0</v>
      </c>
      <c r="Z263" s="566">
        <f t="shared" si="181"/>
        <v>0</v>
      </c>
      <c r="AA263" s="566">
        <f t="shared" si="182"/>
        <v>0</v>
      </c>
      <c r="AB263" s="566">
        <f t="shared" si="183"/>
        <v>0</v>
      </c>
      <c r="AC263" s="566">
        <f t="shared" si="184"/>
        <v>0</v>
      </c>
      <c r="AD263" s="566">
        <f t="shared" si="185"/>
        <v>0</v>
      </c>
      <c r="AE263" s="566">
        <f t="shared" si="186"/>
        <v>0</v>
      </c>
      <c r="AF263" s="566">
        <f t="shared" si="187"/>
        <v>0</v>
      </c>
      <c r="AG263" s="566">
        <f t="shared" si="188"/>
        <v>0</v>
      </c>
      <c r="AH263" s="573"/>
    </row>
    <row r="264" spans="1:34" ht="25.15" customHeight="1">
      <c r="A264" s="585">
        <v>51</v>
      </c>
      <c r="B264" s="588"/>
      <c r="C264" s="589"/>
      <c r="D264" s="584"/>
      <c r="E264" s="584"/>
      <c r="F264" s="584"/>
      <c r="G264" s="584"/>
      <c r="H264" s="584"/>
      <c r="I264" s="584"/>
      <c r="J264" s="584"/>
      <c r="K264" s="584"/>
      <c r="L264" s="584"/>
      <c r="M264" s="584"/>
      <c r="N264" s="596">
        <f t="shared" si="175"/>
        <v>0</v>
      </c>
      <c r="O264" s="597">
        <f t="shared" si="176"/>
        <v>0</v>
      </c>
      <c r="P264" s="599" t="e">
        <f>(O264/O270)*100</f>
        <v>#DIV/0!</v>
      </c>
      <c r="Q264" s="625"/>
      <c r="R264" s="621" t="e">
        <f t="shared" si="177"/>
        <v>#DIV/0!</v>
      </c>
      <c r="S264" s="622">
        <f t="shared" si="178"/>
        <v>0</v>
      </c>
      <c r="T264" s="584"/>
      <c r="U264" s="569"/>
      <c r="V264" s="2570"/>
      <c r="X264" s="566">
        <f t="shared" si="179"/>
        <v>0</v>
      </c>
      <c r="Y264" s="566">
        <f t="shared" si="180"/>
        <v>0</v>
      </c>
      <c r="Z264" s="566">
        <f t="shared" si="181"/>
        <v>0</v>
      </c>
      <c r="AA264" s="566">
        <f t="shared" si="182"/>
        <v>0</v>
      </c>
      <c r="AB264" s="566">
        <f t="shared" si="183"/>
        <v>0</v>
      </c>
      <c r="AC264" s="566">
        <f t="shared" si="184"/>
        <v>0</v>
      </c>
      <c r="AD264" s="566">
        <f t="shared" si="185"/>
        <v>0</v>
      </c>
      <c r="AE264" s="566">
        <f t="shared" si="186"/>
        <v>0</v>
      </c>
      <c r="AF264" s="566">
        <f t="shared" si="187"/>
        <v>0</v>
      </c>
      <c r="AG264" s="566">
        <f t="shared" si="188"/>
        <v>0</v>
      </c>
      <c r="AH264" s="573"/>
    </row>
    <row r="265" spans="1:34" ht="25.15" customHeight="1">
      <c r="A265" s="585">
        <v>52</v>
      </c>
      <c r="B265" s="588"/>
      <c r="C265" s="589"/>
      <c r="D265" s="584"/>
      <c r="E265" s="584"/>
      <c r="F265" s="584"/>
      <c r="G265" s="584"/>
      <c r="H265" s="584"/>
      <c r="I265" s="584"/>
      <c r="J265" s="584"/>
      <c r="K265" s="584"/>
      <c r="L265" s="584"/>
      <c r="M265" s="584"/>
      <c r="N265" s="596">
        <f t="shared" si="175"/>
        <v>0</v>
      </c>
      <c r="O265" s="597">
        <f t="shared" si="176"/>
        <v>0</v>
      </c>
      <c r="P265" s="599" t="e">
        <f>(O265/O270)*100</f>
        <v>#DIV/0!</v>
      </c>
      <c r="Q265" s="625"/>
      <c r="R265" s="621" t="e">
        <f t="shared" si="177"/>
        <v>#DIV/0!</v>
      </c>
      <c r="S265" s="622">
        <f t="shared" si="178"/>
        <v>0</v>
      </c>
      <c r="T265" s="584"/>
      <c r="U265" s="569"/>
      <c r="V265" s="2570"/>
      <c r="X265" s="566">
        <f t="shared" si="179"/>
        <v>0</v>
      </c>
      <c r="Y265" s="566">
        <f t="shared" si="180"/>
        <v>0</v>
      </c>
      <c r="Z265" s="566">
        <f t="shared" si="181"/>
        <v>0</v>
      </c>
      <c r="AA265" s="566">
        <f t="shared" si="182"/>
        <v>0</v>
      </c>
      <c r="AB265" s="566">
        <f t="shared" si="183"/>
        <v>0</v>
      </c>
      <c r="AC265" s="566">
        <f t="shared" si="184"/>
        <v>0</v>
      </c>
      <c r="AD265" s="566">
        <f t="shared" si="185"/>
        <v>0</v>
      </c>
      <c r="AE265" s="566">
        <f t="shared" si="186"/>
        <v>0</v>
      </c>
      <c r="AF265" s="566">
        <f t="shared" si="187"/>
        <v>0</v>
      </c>
      <c r="AG265" s="566">
        <f t="shared" si="188"/>
        <v>0</v>
      </c>
      <c r="AH265" s="573"/>
    </row>
    <row r="266" spans="1:34" ht="25.15" customHeight="1">
      <c r="A266" s="585">
        <v>53</v>
      </c>
      <c r="B266" s="588"/>
      <c r="C266" s="589"/>
      <c r="D266" s="584"/>
      <c r="E266" s="584"/>
      <c r="F266" s="584"/>
      <c r="G266" s="584"/>
      <c r="H266" s="584"/>
      <c r="I266" s="584"/>
      <c r="J266" s="584"/>
      <c r="K266" s="584"/>
      <c r="L266" s="584"/>
      <c r="M266" s="584"/>
      <c r="N266" s="596">
        <f t="shared" si="175"/>
        <v>0</v>
      </c>
      <c r="O266" s="597">
        <f t="shared" si="176"/>
        <v>0</v>
      </c>
      <c r="P266" s="599" t="e">
        <f>(O266/O270)*100</f>
        <v>#DIV/0!</v>
      </c>
      <c r="Q266" s="625"/>
      <c r="R266" s="621" t="e">
        <f t="shared" si="177"/>
        <v>#DIV/0!</v>
      </c>
      <c r="S266" s="622">
        <f t="shared" si="178"/>
        <v>0</v>
      </c>
      <c r="T266" s="584"/>
      <c r="U266" s="569"/>
      <c r="V266" s="2570"/>
      <c r="X266" s="566">
        <f t="shared" si="179"/>
        <v>0</v>
      </c>
      <c r="Y266" s="566">
        <f t="shared" si="180"/>
        <v>0</v>
      </c>
      <c r="Z266" s="566">
        <f t="shared" si="181"/>
        <v>0</v>
      </c>
      <c r="AA266" s="566">
        <f t="shared" si="182"/>
        <v>0</v>
      </c>
      <c r="AB266" s="566">
        <f t="shared" si="183"/>
        <v>0</v>
      </c>
      <c r="AC266" s="566">
        <f t="shared" si="184"/>
        <v>0</v>
      </c>
      <c r="AD266" s="566">
        <f t="shared" si="185"/>
        <v>0</v>
      </c>
      <c r="AE266" s="566">
        <f t="shared" si="186"/>
        <v>0</v>
      </c>
      <c r="AF266" s="566">
        <f t="shared" si="187"/>
        <v>0</v>
      </c>
      <c r="AG266" s="566">
        <f t="shared" si="188"/>
        <v>0</v>
      </c>
      <c r="AH266" s="573"/>
    </row>
    <row r="267" spans="1:34" ht="25.15" customHeight="1">
      <c r="A267" s="585">
        <v>54</v>
      </c>
      <c r="B267" s="588"/>
      <c r="C267" s="589"/>
      <c r="D267" s="584"/>
      <c r="E267" s="584"/>
      <c r="F267" s="584"/>
      <c r="G267" s="584"/>
      <c r="H267" s="584"/>
      <c r="I267" s="584"/>
      <c r="J267" s="584"/>
      <c r="K267" s="584"/>
      <c r="L267" s="584"/>
      <c r="M267" s="584"/>
      <c r="N267" s="596">
        <f t="shared" si="175"/>
        <v>0</v>
      </c>
      <c r="O267" s="597">
        <f t="shared" si="176"/>
        <v>0</v>
      </c>
      <c r="P267" s="599" t="e">
        <f>(O267/O270)*100</f>
        <v>#DIV/0!</v>
      </c>
      <c r="Q267" s="625"/>
      <c r="R267" s="621" t="e">
        <f t="shared" si="177"/>
        <v>#DIV/0!</v>
      </c>
      <c r="S267" s="622">
        <f t="shared" si="178"/>
        <v>0</v>
      </c>
      <c r="T267" s="584"/>
      <c r="U267" s="569"/>
      <c r="V267" s="2570"/>
      <c r="X267" s="566">
        <f t="shared" si="179"/>
        <v>0</v>
      </c>
      <c r="Y267" s="566">
        <f t="shared" si="180"/>
        <v>0</v>
      </c>
      <c r="Z267" s="566">
        <f t="shared" si="181"/>
        <v>0</v>
      </c>
      <c r="AA267" s="566">
        <f t="shared" si="182"/>
        <v>0</v>
      </c>
      <c r="AB267" s="566">
        <f t="shared" si="183"/>
        <v>0</v>
      </c>
      <c r="AC267" s="566">
        <f t="shared" si="184"/>
        <v>0</v>
      </c>
      <c r="AD267" s="566">
        <f t="shared" si="185"/>
        <v>0</v>
      </c>
      <c r="AE267" s="566">
        <f t="shared" si="186"/>
        <v>0</v>
      </c>
      <c r="AF267" s="566">
        <f t="shared" si="187"/>
        <v>0</v>
      </c>
      <c r="AG267" s="566">
        <f t="shared" si="188"/>
        <v>0</v>
      </c>
      <c r="AH267" s="573"/>
    </row>
    <row r="268" spans="1:34" ht="25.15" customHeight="1">
      <c r="A268" s="585">
        <v>55</v>
      </c>
      <c r="B268" s="626"/>
      <c r="C268" s="589"/>
      <c r="D268" s="584"/>
      <c r="E268" s="584"/>
      <c r="F268" s="584"/>
      <c r="G268" s="584"/>
      <c r="H268" s="584"/>
      <c r="I268" s="584"/>
      <c r="J268" s="584"/>
      <c r="K268" s="584"/>
      <c r="L268" s="584"/>
      <c r="M268" s="584"/>
      <c r="N268" s="596">
        <f t="shared" si="175"/>
        <v>0</v>
      </c>
      <c r="O268" s="597">
        <f t="shared" si="176"/>
        <v>0</v>
      </c>
      <c r="P268" s="601" t="e">
        <f>(O268/O270)*100</f>
        <v>#DIV/0!</v>
      </c>
      <c r="Q268" s="657"/>
      <c r="R268" s="621" t="e">
        <f t="shared" si="177"/>
        <v>#DIV/0!</v>
      </c>
      <c r="S268" s="658">
        <f t="shared" si="178"/>
        <v>0</v>
      </c>
      <c r="T268" s="584"/>
      <c r="U268" s="569"/>
      <c r="V268" s="2570"/>
      <c r="X268" s="566">
        <f t="shared" si="179"/>
        <v>0</v>
      </c>
      <c r="Y268" s="566">
        <f t="shared" si="180"/>
        <v>0</v>
      </c>
      <c r="Z268" s="566">
        <f t="shared" si="181"/>
        <v>0</v>
      </c>
      <c r="AA268" s="566">
        <f t="shared" si="182"/>
        <v>0</v>
      </c>
      <c r="AB268" s="566">
        <f t="shared" si="183"/>
        <v>0</v>
      </c>
      <c r="AC268" s="566">
        <f t="shared" si="184"/>
        <v>0</v>
      </c>
      <c r="AD268" s="566">
        <f t="shared" si="185"/>
        <v>0</v>
      </c>
      <c r="AE268" s="566">
        <f t="shared" si="186"/>
        <v>0</v>
      </c>
      <c r="AF268" s="566">
        <f t="shared" si="187"/>
        <v>0</v>
      </c>
      <c r="AG268" s="566">
        <f t="shared" si="188"/>
        <v>0</v>
      </c>
      <c r="AH268" s="573"/>
    </row>
    <row r="269" spans="1:34" ht="107.65" customHeight="1">
      <c r="A269" s="2561" t="s">
        <v>1508</v>
      </c>
      <c r="B269" s="2562"/>
      <c r="C269" s="2563"/>
      <c r="D269" s="627">
        <f t="shared" ref="D269:M269" si="203">X269</f>
        <v>0</v>
      </c>
      <c r="E269" s="628">
        <f t="shared" si="203"/>
        <v>0</v>
      </c>
      <c r="F269" s="629">
        <f t="shared" si="203"/>
        <v>0</v>
      </c>
      <c r="G269" s="630">
        <f t="shared" si="203"/>
        <v>0</v>
      </c>
      <c r="H269" s="629">
        <f t="shared" si="203"/>
        <v>0</v>
      </c>
      <c r="I269" s="630">
        <f t="shared" si="203"/>
        <v>0</v>
      </c>
      <c r="J269" s="629">
        <f t="shared" si="203"/>
        <v>0</v>
      </c>
      <c r="K269" s="629">
        <f t="shared" si="203"/>
        <v>0</v>
      </c>
      <c r="L269" s="629">
        <f t="shared" si="203"/>
        <v>0</v>
      </c>
      <c r="M269" s="630">
        <f t="shared" si="203"/>
        <v>0</v>
      </c>
      <c r="N269" s="629"/>
      <c r="O269" s="643">
        <f>SUM(D269:M269)</f>
        <v>0</v>
      </c>
      <c r="P269" s="644" t="e">
        <f>SUM(P214:P268)/100</f>
        <v>#DIV/0!</v>
      </c>
      <c r="Q269" s="659"/>
      <c r="R269" s="660" t="e">
        <f>SUM(R214:R268)/100</f>
        <v>#DIV/0!</v>
      </c>
      <c r="S269" s="649"/>
      <c r="T269" s="661"/>
      <c r="U269" s="608"/>
      <c r="V269" s="2570"/>
      <c r="X269" s="566">
        <f t="shared" ref="X269:AG269" si="204">SUM(X214:X268)</f>
        <v>0</v>
      </c>
      <c r="Y269" s="566">
        <f t="shared" si="204"/>
        <v>0</v>
      </c>
      <c r="Z269" s="566">
        <f t="shared" si="204"/>
        <v>0</v>
      </c>
      <c r="AA269" s="566">
        <f t="shared" si="204"/>
        <v>0</v>
      </c>
      <c r="AB269" s="566">
        <f t="shared" si="204"/>
        <v>0</v>
      </c>
      <c r="AC269" s="566">
        <f t="shared" si="204"/>
        <v>0</v>
      </c>
      <c r="AD269" s="566">
        <f t="shared" si="204"/>
        <v>0</v>
      </c>
      <c r="AE269" s="566">
        <f t="shared" si="204"/>
        <v>0</v>
      </c>
      <c r="AF269" s="566">
        <f t="shared" si="204"/>
        <v>0</v>
      </c>
      <c r="AG269" s="566">
        <f t="shared" si="204"/>
        <v>0</v>
      </c>
      <c r="AH269" s="573"/>
    </row>
    <row r="270" spans="1:34" ht="111" customHeight="1">
      <c r="A270" s="2561" t="s">
        <v>1509</v>
      </c>
      <c r="B270" s="2562"/>
      <c r="C270" s="2563"/>
      <c r="D270" s="631">
        <f t="shared" ref="D270:P270" si="205">D211+D269</f>
        <v>0</v>
      </c>
      <c r="E270" s="631">
        <f t="shared" si="205"/>
        <v>0</v>
      </c>
      <c r="F270" s="631">
        <f t="shared" si="205"/>
        <v>0</v>
      </c>
      <c r="G270" s="631">
        <f t="shared" si="205"/>
        <v>0</v>
      </c>
      <c r="H270" s="631">
        <f t="shared" si="205"/>
        <v>0</v>
      </c>
      <c r="I270" s="631">
        <f t="shared" si="205"/>
        <v>0</v>
      </c>
      <c r="J270" s="631">
        <f t="shared" si="205"/>
        <v>0</v>
      </c>
      <c r="K270" s="631">
        <f t="shared" si="205"/>
        <v>0</v>
      </c>
      <c r="L270" s="631">
        <f t="shared" si="205"/>
        <v>0</v>
      </c>
      <c r="M270" s="627">
        <f t="shared" si="205"/>
        <v>0</v>
      </c>
      <c r="N270" s="627">
        <f t="shared" si="205"/>
        <v>0</v>
      </c>
      <c r="O270" s="645">
        <f t="shared" si="205"/>
        <v>0</v>
      </c>
      <c r="P270" s="644" t="e">
        <f t="shared" si="205"/>
        <v>#DIV/0!</v>
      </c>
      <c r="Q270" s="659"/>
      <c r="R270" s="662" t="e">
        <f>R211+R269</f>
        <v>#DIV/0!</v>
      </c>
      <c r="S270" s="661"/>
      <c r="T270" s="661"/>
      <c r="U270" s="608"/>
      <c r="V270" s="2570"/>
      <c r="X270" s="573"/>
      <c r="Y270" s="573"/>
      <c r="Z270" s="573"/>
      <c r="AA270" s="573"/>
      <c r="AB270" s="573"/>
      <c r="AC270" s="573"/>
      <c r="AD270" s="573"/>
      <c r="AE270" s="573"/>
      <c r="AF270" s="573"/>
      <c r="AG270" s="573"/>
      <c r="AH270" s="573"/>
    </row>
    <row r="271" spans="1:34" ht="30" customHeight="1">
      <c r="A271" s="2591" t="s">
        <v>1510</v>
      </c>
      <c r="B271" s="2592"/>
      <c r="C271" s="2593"/>
      <c r="D271" s="632"/>
      <c r="E271" s="633"/>
      <c r="F271" s="633"/>
      <c r="G271" s="633"/>
      <c r="H271" s="634"/>
      <c r="I271" s="646"/>
      <c r="J271" s="647"/>
      <c r="K271" s="633"/>
      <c r="L271" s="633"/>
      <c r="M271" s="646"/>
      <c r="N271" s="648">
        <f>SUM(D271:M271)</f>
        <v>0</v>
      </c>
      <c r="O271" s="649"/>
      <c r="P271" s="650"/>
      <c r="Q271" s="663"/>
      <c r="R271" s="664"/>
      <c r="S271" s="649"/>
      <c r="T271" s="649"/>
      <c r="U271" s="608"/>
      <c r="V271" s="2570"/>
      <c r="X271" s="573"/>
      <c r="Y271" s="573"/>
      <c r="Z271" s="573"/>
      <c r="AA271" s="573"/>
      <c r="AB271" s="573"/>
      <c r="AC271" s="573"/>
      <c r="AD271" s="573"/>
      <c r="AE271" s="573"/>
      <c r="AF271" s="573"/>
      <c r="AG271" s="573"/>
      <c r="AH271" s="573"/>
    </row>
    <row r="272" spans="1:34" ht="18" customHeight="1">
      <c r="Q272" s="665"/>
      <c r="V272" s="2570"/>
    </row>
    <row r="273" spans="1:35" ht="18" customHeight="1">
      <c r="A273" s="635" t="s">
        <v>1511</v>
      </c>
      <c r="N273" s="2417" t="s">
        <v>391</v>
      </c>
      <c r="O273" s="2417"/>
    </row>
    <row r="274" spans="1:35" ht="32.25" customHeight="1">
      <c r="A274" s="2583" t="s">
        <v>1512</v>
      </c>
      <c r="B274" s="2584"/>
      <c r="C274" s="2584"/>
      <c r="D274" s="2584"/>
      <c r="E274" s="2584"/>
      <c r="F274" s="2584"/>
      <c r="G274" s="2584"/>
      <c r="H274" s="2584"/>
      <c r="I274" s="2584"/>
      <c r="J274" s="636"/>
      <c r="K274" s="636"/>
      <c r="L274" s="636"/>
      <c r="M274" s="636"/>
    </row>
    <row r="275" spans="1:35" ht="18" customHeight="1">
      <c r="A275" s="2583" t="s">
        <v>1513</v>
      </c>
      <c r="B275" s="2584"/>
      <c r="C275" s="2584"/>
      <c r="D275" s="2584"/>
      <c r="E275" s="2584"/>
      <c r="F275" s="2584"/>
      <c r="G275" s="2584"/>
      <c r="H275" s="2584"/>
      <c r="I275" s="2584"/>
      <c r="J275" s="636"/>
      <c r="K275" s="636"/>
      <c r="L275" s="636"/>
      <c r="M275" s="636"/>
    </row>
    <row r="276" spans="1:35" ht="18" customHeight="1">
      <c r="A276" s="2585" t="s">
        <v>1514</v>
      </c>
      <c r="B276" s="2585"/>
      <c r="C276" s="2585"/>
      <c r="D276" s="2585"/>
      <c r="E276" s="2585"/>
      <c r="F276" s="2585"/>
      <c r="G276" s="2585"/>
      <c r="H276" s="2585"/>
      <c r="I276" s="2585"/>
      <c r="J276" s="636"/>
      <c r="K276" s="636"/>
      <c r="L276" s="636"/>
      <c r="M276" s="636"/>
    </row>
    <row r="277" spans="1:35" ht="18" customHeight="1">
      <c r="A277" s="2586" t="s">
        <v>1515</v>
      </c>
      <c r="B277" s="2586"/>
      <c r="C277" s="2586"/>
      <c r="D277" s="2586"/>
      <c r="E277" s="2586"/>
      <c r="F277" s="2586"/>
      <c r="G277" s="2586"/>
      <c r="H277" s="2586"/>
      <c r="I277" s="2586"/>
      <c r="J277" s="636"/>
      <c r="K277" s="636"/>
      <c r="L277" s="636"/>
      <c r="M277" s="636"/>
      <c r="P277" s="652"/>
    </row>
    <row r="278" spans="1:35" ht="18" customHeight="1">
      <c r="A278" s="2206"/>
      <c r="B278" s="2206"/>
      <c r="C278" s="2206"/>
      <c r="D278" s="2206"/>
      <c r="E278" s="2206"/>
      <c r="F278" s="2206"/>
      <c r="G278" s="2206"/>
      <c r="H278" s="2206"/>
      <c r="I278" s="2206"/>
      <c r="J278" s="636"/>
      <c r="K278" s="636"/>
      <c r="L278" s="636"/>
      <c r="M278" s="636"/>
      <c r="N278" s="2430" t="s">
        <v>1516</v>
      </c>
      <c r="O278" s="2430"/>
      <c r="P278" s="654"/>
    </row>
    <row r="279" spans="1:35" ht="18" customHeight="1">
      <c r="B279" s="636"/>
      <c r="C279" s="636"/>
      <c r="D279" s="636"/>
      <c r="E279" s="636"/>
      <c r="F279" s="636"/>
      <c r="G279" s="636"/>
      <c r="H279" s="636"/>
      <c r="I279" s="636"/>
      <c r="J279" s="636"/>
      <c r="K279" s="636"/>
      <c r="L279" s="636"/>
      <c r="M279" s="636"/>
      <c r="N279" s="655"/>
      <c r="O279" s="655"/>
      <c r="P279" s="654"/>
    </row>
    <row r="280" spans="1:35" s="531" customFormat="1" ht="18" customHeight="1">
      <c r="A280" s="637" t="s">
        <v>343</v>
      </c>
      <c r="B280" s="637"/>
      <c r="C280" s="637"/>
      <c r="D280" s="532"/>
      <c r="E280" s="532"/>
      <c r="F280" s="532"/>
      <c r="G280" s="532"/>
      <c r="H280" s="532"/>
      <c r="I280" s="532"/>
      <c r="J280" s="532"/>
      <c r="K280" s="532"/>
      <c r="L280" s="532"/>
      <c r="M280" s="532"/>
      <c r="N280" s="532"/>
      <c r="O280" s="532"/>
      <c r="Q280" s="533"/>
      <c r="S280" s="532"/>
      <c r="T280" s="532"/>
      <c r="U280" s="532"/>
      <c r="V280" s="532"/>
      <c r="W280" s="532"/>
      <c r="X280" s="532"/>
      <c r="Y280" s="532"/>
      <c r="Z280" s="532"/>
      <c r="AA280" s="532"/>
      <c r="AB280" s="532"/>
      <c r="AC280" s="532"/>
      <c r="AD280" s="532"/>
      <c r="AE280" s="532"/>
      <c r="AF280" s="532"/>
      <c r="AG280" s="532"/>
      <c r="AH280" s="532"/>
      <c r="AI280" s="532"/>
    </row>
    <row r="281" spans="1:35" s="531" customFormat="1" ht="18" customHeight="1">
      <c r="A281" s="532" t="s">
        <v>344</v>
      </c>
      <c r="B281" s="532"/>
      <c r="C281" s="532"/>
      <c r="D281" s="532"/>
      <c r="E281" s="532"/>
      <c r="F281" s="532"/>
      <c r="G281" s="532"/>
      <c r="H281" s="532"/>
      <c r="I281" s="532"/>
      <c r="J281" s="532"/>
      <c r="K281" s="532"/>
      <c r="L281" s="532"/>
      <c r="M281" s="532"/>
      <c r="N281" s="532"/>
      <c r="O281" s="532"/>
      <c r="Q281" s="533"/>
      <c r="S281" s="532"/>
      <c r="T281" s="532"/>
      <c r="U281" s="532"/>
      <c r="V281" s="532"/>
      <c r="W281" s="532"/>
      <c r="X281" s="532"/>
      <c r="Y281" s="532"/>
      <c r="Z281" s="532"/>
      <c r="AA281" s="532"/>
      <c r="AB281" s="532"/>
      <c r="AC281" s="532"/>
      <c r="AD281" s="532"/>
      <c r="AE281" s="532"/>
      <c r="AF281" s="532"/>
      <c r="AG281" s="532"/>
      <c r="AH281" s="532"/>
      <c r="AI281" s="532"/>
    </row>
    <row r="282" spans="1:35" s="531" customFormat="1" ht="58.15" customHeight="1">
      <c r="A282" s="532" t="s">
        <v>345</v>
      </c>
      <c r="B282" s="532"/>
      <c r="C282" s="532"/>
      <c r="D282" s="638" t="s">
        <v>1517</v>
      </c>
      <c r="E282" s="638" t="s">
        <v>1518</v>
      </c>
      <c r="F282" s="639"/>
      <c r="G282" s="639"/>
      <c r="H282" s="639"/>
      <c r="I282" s="639"/>
      <c r="J282" s="639"/>
      <c r="K282" s="639"/>
      <c r="L282" s="656"/>
      <c r="M282" s="656"/>
      <c r="N282" s="656"/>
      <c r="O282" s="656"/>
      <c r="Q282" s="533"/>
      <c r="S282" s="532"/>
      <c r="T282" s="532"/>
      <c r="U282" s="532"/>
      <c r="V282" s="532"/>
      <c r="W282" s="532"/>
      <c r="X282" s="532"/>
      <c r="Y282" s="532"/>
      <c r="Z282" s="532"/>
      <c r="AA282" s="532"/>
      <c r="AB282" s="532"/>
      <c r="AC282" s="532"/>
      <c r="AD282" s="532"/>
      <c r="AE282" s="532"/>
      <c r="AF282" s="532"/>
      <c r="AG282" s="532"/>
      <c r="AH282" s="532"/>
      <c r="AI282" s="532"/>
    </row>
    <row r="283" spans="1:35" s="531" customFormat="1" ht="26">
      <c r="A283" s="532" t="s">
        <v>346</v>
      </c>
      <c r="B283" s="532"/>
      <c r="C283" s="532"/>
      <c r="D283" s="532"/>
      <c r="E283" s="640" t="s">
        <v>1698</v>
      </c>
      <c r="F283" s="532"/>
      <c r="G283" s="532"/>
      <c r="H283" s="532"/>
      <c r="I283" s="532"/>
      <c r="J283" s="532"/>
      <c r="K283" s="532"/>
      <c r="L283" s="532"/>
      <c r="M283" s="532"/>
      <c r="N283" s="532"/>
      <c r="O283" s="532"/>
      <c r="Q283" s="533"/>
      <c r="S283" s="532"/>
      <c r="T283" s="532"/>
      <c r="U283" s="532"/>
      <c r="V283" s="532"/>
      <c r="W283" s="532"/>
      <c r="X283" s="532"/>
      <c r="Y283" s="532"/>
      <c r="Z283" s="532"/>
      <c r="AA283" s="532"/>
      <c r="AB283" s="532"/>
      <c r="AC283" s="532"/>
      <c r="AD283" s="532"/>
      <c r="AE283" s="532"/>
      <c r="AF283" s="532"/>
      <c r="AG283" s="532"/>
      <c r="AH283" s="532"/>
      <c r="AI283" s="532"/>
    </row>
    <row r="284" spans="1:35" s="531" customFormat="1" ht="18" customHeight="1">
      <c r="A284" s="532" t="s">
        <v>347</v>
      </c>
      <c r="B284" s="532"/>
      <c r="C284" s="532"/>
      <c r="D284" s="532"/>
      <c r="E284" s="532"/>
      <c r="F284" s="532"/>
      <c r="G284" s="532"/>
      <c r="H284" s="532"/>
      <c r="I284" s="532"/>
      <c r="J284" s="532"/>
      <c r="K284" s="532"/>
      <c r="L284" s="532"/>
      <c r="M284" s="532"/>
      <c r="N284" s="532"/>
      <c r="O284" s="532"/>
      <c r="Q284" s="533"/>
      <c r="S284" s="532"/>
      <c r="T284" s="532"/>
      <c r="U284" s="532"/>
      <c r="V284" s="532"/>
      <c r="W284" s="532"/>
      <c r="X284" s="532"/>
      <c r="Y284" s="532"/>
      <c r="Z284" s="532"/>
      <c r="AA284" s="532"/>
      <c r="AB284" s="532"/>
      <c r="AC284" s="532"/>
      <c r="AD284" s="532"/>
      <c r="AE284" s="532"/>
      <c r="AF284" s="532"/>
      <c r="AG284" s="532"/>
      <c r="AH284" s="532"/>
      <c r="AI284" s="532"/>
    </row>
    <row r="285" spans="1:35" s="531" customFormat="1" ht="18" customHeight="1">
      <c r="A285" s="532" t="s">
        <v>348</v>
      </c>
      <c r="B285" s="532"/>
      <c r="C285" s="532"/>
      <c r="D285" s="532"/>
      <c r="E285" s="532"/>
      <c r="F285" s="532"/>
      <c r="G285" s="532"/>
      <c r="H285" s="532"/>
      <c r="I285" s="532"/>
      <c r="J285" s="532"/>
      <c r="K285" s="532"/>
      <c r="L285" s="532"/>
      <c r="M285" s="532"/>
      <c r="N285" s="532"/>
      <c r="O285" s="532"/>
      <c r="Q285" s="533"/>
      <c r="S285" s="532"/>
      <c r="T285" s="532"/>
      <c r="U285" s="532"/>
      <c r="V285" s="532"/>
      <c r="W285" s="532"/>
      <c r="X285" s="532"/>
      <c r="Y285" s="532"/>
      <c r="Z285" s="532"/>
      <c r="AA285" s="532"/>
      <c r="AB285" s="532"/>
      <c r="AC285" s="532"/>
      <c r="AD285" s="532"/>
      <c r="AE285" s="532"/>
      <c r="AF285" s="532"/>
      <c r="AG285" s="532"/>
      <c r="AH285" s="532"/>
      <c r="AI285" s="532"/>
    </row>
    <row r="286" spans="1:35" s="531" customFormat="1" ht="18" customHeight="1">
      <c r="A286" s="532" t="s">
        <v>349</v>
      </c>
      <c r="B286" s="532"/>
      <c r="C286" s="532"/>
      <c r="D286" s="532"/>
      <c r="E286" s="532"/>
      <c r="F286" s="532"/>
      <c r="G286" s="532"/>
      <c r="H286" s="532"/>
      <c r="I286" s="532"/>
      <c r="J286" s="532"/>
      <c r="K286" s="532"/>
      <c r="L286" s="532"/>
      <c r="M286" s="532"/>
      <c r="N286" s="532"/>
      <c r="O286" s="532"/>
      <c r="Q286" s="533"/>
      <c r="S286" s="532"/>
      <c r="T286" s="532"/>
      <c r="U286" s="532"/>
      <c r="V286" s="532"/>
      <c r="W286" s="532"/>
      <c r="X286" s="532"/>
      <c r="Y286" s="532"/>
      <c r="Z286" s="532"/>
      <c r="AA286" s="532"/>
      <c r="AB286" s="532"/>
      <c r="AC286" s="532"/>
      <c r="AD286" s="532"/>
      <c r="AE286" s="532"/>
      <c r="AF286" s="532"/>
      <c r="AG286" s="532"/>
      <c r="AH286" s="532"/>
      <c r="AI286" s="532"/>
    </row>
    <row r="287" spans="1:35" s="531" customFormat="1" ht="18" customHeight="1">
      <c r="A287" s="532" t="s">
        <v>350</v>
      </c>
      <c r="B287" s="532"/>
      <c r="C287" s="532"/>
      <c r="D287" s="532"/>
      <c r="E287" s="532"/>
      <c r="F287" s="532"/>
      <c r="G287" s="532"/>
      <c r="H287" s="532"/>
      <c r="I287" s="532"/>
      <c r="J287" s="532"/>
      <c r="K287" s="532"/>
      <c r="L287" s="532"/>
      <c r="M287" s="532"/>
      <c r="N287" s="532"/>
      <c r="O287" s="532"/>
      <c r="Q287" s="533"/>
      <c r="S287" s="532"/>
      <c r="T287" s="532"/>
      <c r="U287" s="532"/>
      <c r="V287" s="532"/>
      <c r="W287" s="532"/>
      <c r="X287" s="532"/>
      <c r="Y287" s="532"/>
      <c r="Z287" s="532"/>
      <c r="AA287" s="532"/>
      <c r="AB287" s="532"/>
      <c r="AC287" s="532"/>
      <c r="AD287" s="532"/>
      <c r="AE287" s="532"/>
      <c r="AF287" s="532"/>
      <c r="AG287" s="532"/>
      <c r="AH287" s="532"/>
      <c r="AI287" s="532"/>
    </row>
    <row r="288" spans="1:35" s="531" customFormat="1" ht="18" customHeight="1">
      <c r="A288" s="641" t="s">
        <v>351</v>
      </c>
      <c r="B288" s="641"/>
      <c r="C288" s="641"/>
      <c r="D288" s="532"/>
      <c r="E288" s="532"/>
      <c r="F288" s="532"/>
      <c r="G288" s="532"/>
      <c r="H288" s="532"/>
      <c r="I288" s="532"/>
      <c r="J288" s="532"/>
      <c r="K288" s="532"/>
      <c r="L288" s="532"/>
      <c r="M288" s="532"/>
      <c r="N288" s="532"/>
      <c r="O288" s="532"/>
      <c r="Q288" s="533"/>
      <c r="S288" s="532"/>
      <c r="T288" s="532"/>
      <c r="U288" s="532"/>
      <c r="V288" s="532"/>
      <c r="W288" s="532"/>
      <c r="X288" s="532"/>
      <c r="Y288" s="532"/>
      <c r="Z288" s="532"/>
      <c r="AA288" s="532"/>
      <c r="AB288" s="532"/>
      <c r="AC288" s="532"/>
      <c r="AD288" s="532"/>
      <c r="AE288" s="532"/>
      <c r="AF288" s="532"/>
      <c r="AG288" s="532"/>
      <c r="AH288" s="532"/>
      <c r="AI288" s="532"/>
    </row>
    <row r="289" spans="1:35" s="531" customFormat="1" ht="18" customHeight="1">
      <c r="A289" s="641" t="s">
        <v>352</v>
      </c>
      <c r="B289" s="641"/>
      <c r="C289" s="641"/>
      <c r="D289" s="532"/>
      <c r="E289" s="532"/>
      <c r="F289" s="532"/>
      <c r="G289" s="532"/>
      <c r="H289" s="532"/>
      <c r="I289" s="532"/>
      <c r="J289" s="532"/>
      <c r="K289" s="532"/>
      <c r="L289" s="532"/>
      <c r="M289" s="532"/>
      <c r="N289" s="532"/>
      <c r="O289" s="532"/>
      <c r="Q289" s="533"/>
      <c r="S289" s="532"/>
      <c r="T289" s="532"/>
      <c r="U289" s="532"/>
      <c r="V289" s="532"/>
      <c r="W289" s="532"/>
      <c r="X289" s="532"/>
      <c r="Y289" s="532"/>
      <c r="Z289" s="532"/>
      <c r="AA289" s="532"/>
      <c r="AB289" s="532"/>
      <c r="AC289" s="532"/>
      <c r="AD289" s="532"/>
      <c r="AE289" s="532"/>
      <c r="AF289" s="532"/>
      <c r="AG289" s="532"/>
      <c r="AH289" s="532"/>
      <c r="AI289" s="532"/>
    </row>
    <row r="290" spans="1:35" s="531" customFormat="1" ht="18" customHeight="1">
      <c r="A290" s="641" t="s">
        <v>353</v>
      </c>
      <c r="B290" s="641"/>
      <c r="C290" s="641"/>
      <c r="D290" s="532"/>
      <c r="E290" s="532"/>
      <c r="F290" s="532"/>
      <c r="G290" s="532"/>
      <c r="H290" s="532"/>
      <c r="I290" s="532"/>
      <c r="J290" s="532"/>
      <c r="K290" s="532"/>
      <c r="L290" s="532"/>
      <c r="M290" s="532"/>
      <c r="N290" s="532"/>
      <c r="O290" s="532"/>
      <c r="Q290" s="533"/>
      <c r="S290" s="532"/>
      <c r="T290" s="532"/>
      <c r="U290" s="532"/>
      <c r="V290" s="532"/>
      <c r="W290" s="532"/>
      <c r="X290" s="532"/>
      <c r="Y290" s="532"/>
      <c r="Z290" s="532"/>
      <c r="AA290" s="532"/>
      <c r="AB290" s="532"/>
      <c r="AC290" s="532"/>
      <c r="AD290" s="532"/>
      <c r="AE290" s="532"/>
      <c r="AF290" s="532"/>
      <c r="AG290" s="532"/>
      <c r="AH290" s="532"/>
      <c r="AI290" s="532"/>
    </row>
    <row r="291" spans="1:35" s="531" customFormat="1" ht="18" customHeight="1">
      <c r="A291" s="641" t="s">
        <v>354</v>
      </c>
      <c r="B291" s="641"/>
      <c r="C291" s="641"/>
      <c r="D291" s="532"/>
      <c r="E291" s="532"/>
      <c r="F291" s="532"/>
      <c r="G291" s="532"/>
      <c r="H291" s="532"/>
      <c r="I291" s="532"/>
      <c r="J291" s="532"/>
      <c r="K291" s="532"/>
      <c r="L291" s="532"/>
      <c r="M291" s="532"/>
      <c r="N291" s="532"/>
      <c r="O291" s="532"/>
      <c r="Q291" s="533"/>
      <c r="S291" s="532"/>
      <c r="T291" s="532"/>
      <c r="U291" s="532"/>
      <c r="V291" s="532"/>
      <c r="W291" s="532"/>
      <c r="X291" s="532"/>
      <c r="Y291" s="532"/>
      <c r="Z291" s="532"/>
      <c r="AA291" s="532"/>
      <c r="AB291" s="532"/>
      <c r="AC291" s="532"/>
      <c r="AD291" s="532"/>
      <c r="AE291" s="532"/>
      <c r="AF291" s="532"/>
      <c r="AG291" s="532"/>
      <c r="AH291" s="532"/>
      <c r="AI291" s="532"/>
    </row>
    <row r="292" spans="1:35" s="531" customFormat="1" ht="18" customHeight="1">
      <c r="A292" s="532" t="s">
        <v>355</v>
      </c>
      <c r="B292" s="532"/>
      <c r="C292" s="532"/>
      <c r="D292" s="532"/>
      <c r="E292" s="532"/>
      <c r="F292" s="532"/>
      <c r="G292" s="532"/>
      <c r="H292" s="532"/>
      <c r="I292" s="532"/>
      <c r="J292" s="532"/>
      <c r="K292" s="532"/>
      <c r="L292" s="532"/>
      <c r="M292" s="532"/>
      <c r="N292" s="532"/>
      <c r="O292" s="532"/>
      <c r="Q292" s="533"/>
      <c r="S292" s="532"/>
      <c r="T292" s="532"/>
      <c r="U292" s="532"/>
      <c r="V292" s="532"/>
      <c r="W292" s="532"/>
      <c r="X292" s="532"/>
      <c r="Y292" s="532"/>
      <c r="Z292" s="532"/>
      <c r="AA292" s="532"/>
      <c r="AB292" s="532"/>
      <c r="AC292" s="532"/>
      <c r="AD292" s="532"/>
      <c r="AE292" s="532"/>
      <c r="AF292" s="532"/>
      <c r="AG292" s="532"/>
      <c r="AH292" s="532"/>
      <c r="AI292" s="532"/>
    </row>
    <row r="293" spans="1:35" s="531" customFormat="1" ht="18" customHeight="1">
      <c r="A293" s="532"/>
      <c r="B293" s="532"/>
      <c r="C293" s="532"/>
      <c r="D293" s="532"/>
      <c r="E293" s="532"/>
      <c r="F293" s="532"/>
      <c r="G293" s="532"/>
      <c r="H293" s="532"/>
      <c r="I293" s="532"/>
      <c r="J293" s="532"/>
      <c r="K293" s="532"/>
      <c r="L293" s="532"/>
      <c r="M293" s="532"/>
      <c r="N293" s="532"/>
      <c r="O293" s="532"/>
      <c r="Q293" s="533"/>
      <c r="S293" s="532"/>
      <c r="T293" s="532"/>
      <c r="U293" s="532"/>
      <c r="V293" s="532"/>
      <c r="W293" s="532"/>
      <c r="X293" s="532"/>
      <c r="Y293" s="532"/>
      <c r="Z293" s="532"/>
      <c r="AA293" s="532"/>
      <c r="AB293" s="532"/>
      <c r="AC293" s="532"/>
      <c r="AD293" s="532"/>
      <c r="AE293" s="532"/>
      <c r="AF293" s="532"/>
      <c r="AG293" s="532"/>
      <c r="AH293" s="532"/>
      <c r="AI293" s="532"/>
    </row>
    <row r="294" spans="1:35" s="531" customFormat="1" ht="18" customHeight="1">
      <c r="A294" s="532"/>
      <c r="B294" s="532"/>
      <c r="C294" s="532"/>
      <c r="D294" s="532"/>
      <c r="E294" s="532"/>
      <c r="F294" s="532"/>
      <c r="G294" s="532"/>
      <c r="H294" s="532"/>
      <c r="I294" s="532"/>
      <c r="J294" s="532"/>
      <c r="K294" s="532"/>
      <c r="L294" s="532"/>
      <c r="M294" s="532"/>
      <c r="N294" s="532"/>
      <c r="O294" s="532"/>
      <c r="Q294" s="533"/>
      <c r="S294" s="532"/>
      <c r="T294" s="532"/>
      <c r="U294" s="532"/>
      <c r="V294" s="532"/>
      <c r="W294" s="532"/>
      <c r="X294" s="532"/>
      <c r="Y294" s="532"/>
      <c r="Z294" s="532"/>
      <c r="AA294" s="532"/>
      <c r="AB294" s="532"/>
      <c r="AC294" s="532"/>
      <c r="AD294" s="532"/>
      <c r="AE294" s="532"/>
      <c r="AF294" s="532"/>
      <c r="AG294" s="532"/>
      <c r="AH294" s="532"/>
      <c r="AI294" s="532"/>
    </row>
    <row r="295" spans="1:35" s="531" customFormat="1" ht="18" customHeight="1">
      <c r="A295" s="532"/>
      <c r="B295" s="532"/>
      <c r="C295" s="532"/>
      <c r="D295" s="532"/>
      <c r="E295" s="532"/>
      <c r="F295" s="532"/>
      <c r="G295" s="532"/>
      <c r="H295" s="532"/>
      <c r="I295" s="532"/>
      <c r="J295" s="532"/>
      <c r="K295" s="532"/>
      <c r="L295" s="532"/>
      <c r="M295" s="532"/>
      <c r="N295" s="532"/>
      <c r="O295" s="532"/>
      <c r="Q295" s="533"/>
      <c r="S295" s="532"/>
      <c r="T295" s="532"/>
      <c r="U295" s="532"/>
      <c r="V295" s="532"/>
      <c r="W295" s="532"/>
      <c r="X295" s="532"/>
      <c r="Y295" s="532"/>
      <c r="Z295" s="532"/>
      <c r="AA295" s="532"/>
      <c r="AB295" s="532"/>
      <c r="AC295" s="532"/>
      <c r="AD295" s="532"/>
      <c r="AE295" s="532"/>
      <c r="AF295" s="532"/>
      <c r="AG295" s="532"/>
      <c r="AH295" s="532"/>
      <c r="AI295" s="532"/>
    </row>
    <row r="296" spans="1:35" ht="18" customHeight="1"/>
    <row r="297" spans="1:35" ht="18" customHeight="1"/>
    <row r="298" spans="1:35" ht="18" customHeight="1"/>
    <row r="299" spans="1:35" ht="18" customHeight="1"/>
    <row r="300" spans="1:35" ht="18" customHeight="1"/>
    <row r="301" spans="1:35" ht="18" customHeight="1"/>
    <row r="302" spans="1:35" ht="18" customHeight="1"/>
    <row r="303" spans="1:35" ht="18" customHeight="1"/>
    <row r="304" spans="1:35" ht="18" customHeight="1"/>
    <row r="305" spans="1:1" ht="18" customHeight="1"/>
    <row r="306" spans="1:1" ht="18" customHeight="1"/>
    <row r="307" spans="1:1" ht="18" customHeight="1"/>
    <row r="308" spans="1:1" ht="18" customHeight="1"/>
    <row r="309" spans="1:1" ht="18" customHeight="1"/>
    <row r="310" spans="1:1" ht="18" customHeight="1"/>
    <row r="311" spans="1:1" ht="18" customHeight="1"/>
    <row r="312" spans="1:1" ht="18" customHeight="1"/>
    <row r="313" spans="1:1" ht="32.25" customHeight="1">
      <c r="A313" s="642"/>
    </row>
    <row r="314" spans="1:1" ht="18" customHeight="1"/>
    <row r="315" spans="1:1" ht="18" customHeight="1"/>
    <row r="316" spans="1:1" ht="18" customHeight="1"/>
    <row r="317" spans="1:1" ht="18" customHeight="1"/>
    <row r="318" spans="1:1" ht="18" customHeight="1"/>
    <row r="319" spans="1:1" ht="18" customHeight="1"/>
    <row r="320" spans="1:1"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row r="520" ht="18" customHeight="1"/>
    <row r="521" ht="18" customHeight="1"/>
    <row r="522" ht="18" customHeight="1"/>
    <row r="523" ht="18" customHeight="1"/>
    <row r="524" ht="18" customHeight="1"/>
    <row r="525" ht="18" customHeight="1"/>
    <row r="526" ht="18" customHeight="1"/>
    <row r="527" ht="18" customHeight="1"/>
    <row r="528" ht="18" customHeight="1"/>
    <row r="529" ht="18" customHeight="1"/>
    <row r="530" ht="18" customHeight="1"/>
    <row r="531" ht="18" customHeight="1"/>
    <row r="532" ht="18" customHeight="1"/>
    <row r="533" ht="18" customHeight="1"/>
    <row r="534" ht="18" customHeight="1"/>
    <row r="535" ht="18" customHeight="1"/>
    <row r="536" ht="18" customHeight="1"/>
    <row r="537" ht="18" customHeight="1"/>
    <row r="538" ht="18" customHeight="1"/>
    <row r="539" ht="18" customHeight="1"/>
    <row r="540" ht="18" customHeight="1"/>
    <row r="541" ht="18" customHeight="1"/>
    <row r="542" ht="18" customHeight="1"/>
    <row r="543" ht="18" customHeight="1"/>
    <row r="544" ht="18" customHeight="1"/>
    <row r="545" ht="18" customHeight="1"/>
    <row r="546" ht="18" customHeight="1"/>
    <row r="547" ht="18" customHeight="1"/>
    <row r="548" ht="18" customHeight="1"/>
    <row r="549" ht="18" customHeight="1"/>
    <row r="550" ht="18" customHeight="1"/>
    <row r="551" ht="18" customHeight="1"/>
    <row r="552" ht="18" customHeight="1"/>
    <row r="553" ht="18" customHeight="1"/>
    <row r="554" ht="18" customHeight="1"/>
    <row r="555" ht="18" customHeight="1"/>
    <row r="556" ht="18" customHeight="1"/>
    <row r="557" ht="18" customHeight="1"/>
    <row r="558" ht="18" customHeight="1"/>
    <row r="559" ht="18" customHeight="1"/>
    <row r="560" ht="18" customHeight="1"/>
    <row r="561" ht="18" customHeight="1"/>
    <row r="562" ht="18" customHeight="1"/>
    <row r="563" ht="18" customHeight="1"/>
    <row r="564" ht="18" customHeight="1"/>
    <row r="565" ht="18" customHeight="1"/>
    <row r="566" ht="18" customHeight="1"/>
    <row r="567" ht="18" customHeight="1"/>
    <row r="568" ht="18" customHeight="1"/>
    <row r="569" ht="18" customHeight="1"/>
    <row r="570" ht="18" customHeight="1"/>
    <row r="571" ht="18" customHeight="1"/>
    <row r="572" ht="18"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row r="1001" ht="18" customHeight="1"/>
    <row r="1002" ht="18" customHeight="1"/>
    <row r="1003" ht="18" customHeight="1"/>
    <row r="1004" ht="18" customHeight="1"/>
    <row r="1005" ht="18" customHeight="1"/>
    <row r="1006" ht="18" customHeight="1"/>
    <row r="1007" ht="18" customHeight="1"/>
    <row r="1008" ht="18" customHeight="1"/>
    <row r="1009" ht="18" customHeight="1"/>
    <row r="1010" ht="18" customHeight="1"/>
    <row r="1011" ht="18" customHeight="1"/>
    <row r="1012" ht="18" customHeight="1"/>
    <row r="1013" ht="18" customHeight="1"/>
    <row r="1014" ht="18" customHeight="1"/>
    <row r="1015" ht="18" customHeight="1"/>
    <row r="1016" ht="18" customHeight="1"/>
    <row r="1017" ht="18" customHeight="1"/>
    <row r="1018" ht="18" customHeight="1"/>
    <row r="1019" ht="18" customHeight="1"/>
    <row r="1020" ht="18" customHeight="1"/>
    <row r="1021" ht="18" customHeight="1"/>
    <row r="1022" ht="18" customHeight="1"/>
    <row r="1023" ht="18" customHeight="1"/>
    <row r="1024" ht="18" customHeight="1"/>
    <row r="1025" ht="18" customHeight="1"/>
    <row r="1026" ht="18" customHeight="1"/>
    <row r="1027" ht="18" customHeight="1"/>
    <row r="1028" ht="18" customHeight="1"/>
    <row r="1029" ht="18" customHeight="1"/>
    <row r="1030" ht="18" customHeight="1"/>
    <row r="1031" ht="18" customHeight="1"/>
    <row r="1032" ht="18" customHeight="1"/>
    <row r="1033" ht="18" customHeight="1"/>
    <row r="1034" ht="18" customHeight="1"/>
    <row r="1035" ht="18" customHeight="1"/>
    <row r="1036" ht="18" customHeight="1"/>
    <row r="1037" ht="18" customHeight="1"/>
    <row r="1038" ht="18" customHeight="1"/>
    <row r="1039" ht="18" customHeight="1"/>
    <row r="1040" ht="18" customHeight="1"/>
    <row r="1041" ht="18" customHeight="1"/>
    <row r="1042" ht="18" customHeight="1"/>
    <row r="1043" ht="18" customHeight="1"/>
    <row r="1044" ht="18" customHeight="1"/>
    <row r="1045" ht="18" customHeight="1"/>
    <row r="1046" ht="18" customHeight="1"/>
    <row r="1047" ht="18" customHeight="1"/>
    <row r="1048" ht="18" customHeight="1"/>
    <row r="1049" ht="18" customHeight="1"/>
    <row r="1050" ht="18" customHeight="1"/>
    <row r="1051" ht="18" customHeight="1"/>
    <row r="1052" ht="18" customHeight="1"/>
    <row r="1053" ht="18" customHeight="1"/>
    <row r="1054" ht="18" customHeight="1"/>
    <row r="1055" ht="18" customHeight="1"/>
    <row r="1056" ht="18" customHeight="1"/>
    <row r="1057" ht="18" customHeight="1"/>
    <row r="1058" ht="18" customHeight="1"/>
    <row r="1059" ht="18" customHeight="1"/>
    <row r="1060" ht="18" customHeight="1"/>
    <row r="1061" ht="18" customHeight="1"/>
    <row r="1062" ht="18" customHeight="1"/>
    <row r="1063" ht="18" customHeight="1"/>
    <row r="1064" ht="18" customHeight="1"/>
    <row r="1065" ht="18" customHeight="1"/>
    <row r="1066" ht="18" customHeight="1"/>
    <row r="1067" ht="18" customHeight="1"/>
    <row r="1068" ht="18" customHeight="1"/>
    <row r="1069" ht="18" customHeight="1"/>
    <row r="1070" ht="18" customHeight="1"/>
    <row r="1071" ht="18" customHeight="1"/>
    <row r="1072" ht="18" customHeight="1"/>
    <row r="1073" ht="18" customHeight="1"/>
    <row r="1074" ht="18" customHeight="1"/>
    <row r="1075" ht="18" customHeight="1"/>
    <row r="1076" ht="18" customHeight="1"/>
    <row r="1077" ht="18" customHeight="1"/>
    <row r="1078" ht="18" customHeight="1"/>
    <row r="1079" ht="18" customHeight="1"/>
    <row r="1080" ht="18" customHeight="1"/>
    <row r="1081" ht="18" customHeight="1"/>
    <row r="1082" ht="18" customHeight="1"/>
    <row r="1083" ht="18" customHeight="1"/>
    <row r="1084" ht="18" customHeight="1"/>
    <row r="1085" ht="18" customHeight="1"/>
    <row r="1086" ht="18" customHeight="1"/>
    <row r="1087" ht="18" customHeight="1"/>
    <row r="1088" ht="18" customHeight="1"/>
    <row r="1089" spans="1:22" ht="18" customHeight="1"/>
    <row r="1090" spans="1:22" ht="18" customHeight="1"/>
    <row r="1091" spans="1:22" ht="18" customHeight="1"/>
    <row r="1092" spans="1:22" ht="18" customHeight="1"/>
    <row r="1093" spans="1:22" ht="18" customHeight="1"/>
    <row r="1094" spans="1:22" ht="18" customHeight="1"/>
    <row r="1095" spans="1:22" ht="18" customHeight="1"/>
    <row r="1096" spans="1:22" ht="18" customHeight="1"/>
    <row r="1097" spans="1:22" ht="18" customHeight="1"/>
    <row r="1098" spans="1:22" ht="18" customHeight="1"/>
    <row r="1099" spans="1:22" ht="18" customHeight="1"/>
    <row r="1100" spans="1:22" ht="18" customHeight="1"/>
    <row r="1101" spans="1:22" ht="18" customHeight="1"/>
    <row r="1102" spans="1:22" ht="18" customHeight="1">
      <c r="A1102" s="2564" t="s">
        <v>1276</v>
      </c>
      <c r="B1102" s="2564"/>
      <c r="C1102" s="2564"/>
      <c r="D1102" s="2564"/>
      <c r="E1102" s="2564"/>
      <c r="F1102" s="2564"/>
      <c r="G1102" s="2564"/>
      <c r="H1102" s="2564"/>
      <c r="I1102" s="2564"/>
      <c r="J1102" s="2564"/>
      <c r="K1102" s="2564"/>
      <c r="L1102" s="2564"/>
      <c r="M1102" s="2564"/>
      <c r="N1102" s="2564"/>
      <c r="O1102" s="2564"/>
      <c r="P1102" s="2564"/>
      <c r="Q1102" s="2564"/>
      <c r="R1102" s="2564"/>
      <c r="S1102" s="2564"/>
      <c r="T1102" s="534"/>
      <c r="U1102" s="534"/>
      <c r="V1102" s="534"/>
    </row>
    <row r="1103" spans="1:22" ht="18" customHeight="1"/>
    <row r="1104" spans="1:22" ht="18" customHeight="1"/>
    <row r="1105" ht="18" customHeight="1"/>
    <row r="1106" ht="18" customHeight="1"/>
  </sheetData>
  <sheetProtection algorithmName="SHA-512" hashValue="T4Xirv8CQEgwq+nwTcSfxppAu/+w6h8fRf2jq3VyQzAg3yKQY30VRuMrskaBZHBSPKHx91O/vyok7mIURZrcsg==" saltValue="ZSN/W7vOXbGHePIm45jPVA==" spinCount="100000" sheet="1" objects="1" scenarios="1"/>
  <mergeCells count="26">
    <mergeCell ref="N278:O278"/>
    <mergeCell ref="A1102:S1102"/>
    <mergeCell ref="A6:A7"/>
    <mergeCell ref="B6:B7"/>
    <mergeCell ref="C6:C7"/>
    <mergeCell ref="P6:P7"/>
    <mergeCell ref="Q6:Q7"/>
    <mergeCell ref="R6:R7"/>
    <mergeCell ref="A274:I274"/>
    <mergeCell ref="A275:I275"/>
    <mergeCell ref="A276:I276"/>
    <mergeCell ref="A277:I277"/>
    <mergeCell ref="A278:I278"/>
    <mergeCell ref="A211:C211"/>
    <mergeCell ref="N273:O273"/>
    <mergeCell ref="A2:S2"/>
    <mergeCell ref="O3:P3"/>
    <mergeCell ref="O4:P4"/>
    <mergeCell ref="N6:O6"/>
    <mergeCell ref="AI91:AJ91"/>
    <mergeCell ref="V3:V104"/>
    <mergeCell ref="A269:C269"/>
    <mergeCell ref="A270:C270"/>
    <mergeCell ref="A271:C271"/>
    <mergeCell ref="V108:V210"/>
    <mergeCell ref="V213:V272"/>
  </mergeCells>
  <pageMargins left="0.7" right="0.7" top="0.75" bottom="0.75" header="0.3" footer="0.3"/>
  <pageSetup paperSize="9" orientation="portrait" horizontalDpi="30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2:P36"/>
  <sheetViews>
    <sheetView workbookViewId="0">
      <selection activeCell="G72" sqref="A1:M115"/>
    </sheetView>
  </sheetViews>
  <sheetFormatPr defaultColWidth="9.26953125" defaultRowHeight="13"/>
  <cols>
    <col min="1" max="1" width="10.54296875" style="147" customWidth="1"/>
    <col min="2" max="2" width="9" style="147" customWidth="1"/>
    <col min="3" max="12" width="13.7265625" style="147" customWidth="1"/>
    <col min="13" max="13" width="18.7265625" style="147" customWidth="1"/>
    <col min="14" max="16384" width="9.26953125" style="147"/>
  </cols>
  <sheetData>
    <row r="2" spans="1:16" ht="20.149999999999999" customHeight="1">
      <c r="A2" s="2606" t="s">
        <v>1253</v>
      </c>
      <c r="B2" s="2606"/>
      <c r="C2" s="2606"/>
      <c r="D2" s="2606"/>
      <c r="E2" s="2606"/>
      <c r="F2" s="2606"/>
      <c r="G2" s="2606"/>
      <c r="H2" s="2606"/>
      <c r="I2" s="2606"/>
      <c r="J2" s="2606"/>
      <c r="K2" s="2606"/>
      <c r="L2" s="2606"/>
      <c r="M2" s="2606"/>
    </row>
    <row r="3" spans="1:16" ht="20.149999999999999" customHeight="1">
      <c r="A3" s="507"/>
      <c r="K3" s="521" t="s">
        <v>1703</v>
      </c>
      <c r="L3" s="3" t="s">
        <v>359</v>
      </c>
    </row>
    <row r="4" spans="1:16" ht="20.149999999999999" customHeight="1">
      <c r="A4" s="507"/>
      <c r="K4" s="521" t="s">
        <v>1704</v>
      </c>
      <c r="L4" s="3" t="s">
        <v>359</v>
      </c>
      <c r="P4" s="152"/>
    </row>
    <row r="5" spans="1:16" ht="4.5" customHeight="1">
      <c r="K5" s="1"/>
      <c r="L5" s="3"/>
    </row>
    <row r="6" spans="1:16" ht="20.149999999999999" customHeight="1">
      <c r="A6" s="2607" t="s">
        <v>361</v>
      </c>
      <c r="B6" s="2608"/>
      <c r="C6" s="508" t="s">
        <v>1705</v>
      </c>
      <c r="D6" s="509" t="s">
        <v>1706</v>
      </c>
      <c r="E6" s="509" t="s">
        <v>1707</v>
      </c>
      <c r="F6" s="509" t="s">
        <v>1708</v>
      </c>
      <c r="G6" s="509" t="s">
        <v>1709</v>
      </c>
      <c r="H6" s="509" t="s">
        <v>1710</v>
      </c>
      <c r="I6" s="509" t="s">
        <v>1711</v>
      </c>
      <c r="J6" s="509" t="s">
        <v>1712</v>
      </c>
      <c r="K6" s="522" t="s">
        <v>1713</v>
      </c>
      <c r="L6" s="523"/>
      <c r="M6" s="2611" t="s">
        <v>310</v>
      </c>
    </row>
    <row r="7" spans="1:16" ht="20.149999999999999" customHeight="1">
      <c r="A7" s="2609" t="s">
        <v>471</v>
      </c>
      <c r="B7" s="2610"/>
      <c r="C7" s="510" t="s">
        <v>479</v>
      </c>
      <c r="D7" s="511" t="s">
        <v>473</v>
      </c>
      <c r="E7" s="511" t="s">
        <v>474</v>
      </c>
      <c r="F7" s="511" t="s">
        <v>475</v>
      </c>
      <c r="G7" s="511" t="s">
        <v>476</v>
      </c>
      <c r="H7" s="511" t="s">
        <v>477</v>
      </c>
      <c r="I7" s="511" t="s">
        <v>478</v>
      </c>
      <c r="J7" s="511" t="s">
        <v>479</v>
      </c>
      <c r="K7" s="511" t="s">
        <v>473</v>
      </c>
      <c r="L7" s="511"/>
      <c r="M7" s="2612"/>
    </row>
    <row r="8" spans="1:16" ht="20.149999999999999" customHeight="1">
      <c r="A8" s="211" t="s">
        <v>1254</v>
      </c>
      <c r="B8" s="154"/>
      <c r="C8" s="512" t="e">
        <f>'LAP TAMBAHAN '!D296+'LAP. PENJUALAN GO FOOD'!D240+'LAP. PENJUALAN GRAB FOOD'!D243+'LAP. PENJUALAN SHOPEE FOOD'!#REF!</f>
        <v>#REF!</v>
      </c>
      <c r="D8" s="512" t="e">
        <f>'LAP TAMBAHAN '!E296+'LAP. PENJUALAN GO FOOD'!E240+'LAP. PENJUALAN GRAB FOOD'!E243+'LAP. PENJUALAN SHOPEE FOOD'!#REF!</f>
        <v>#REF!</v>
      </c>
      <c r="E8" s="512" t="e">
        <f>'LAP TAMBAHAN '!F296+'LAP. PENJUALAN GO FOOD'!F240+'LAP. PENJUALAN GRAB FOOD'!F243+'LAP. PENJUALAN SHOPEE FOOD'!#REF!</f>
        <v>#REF!</v>
      </c>
      <c r="F8" s="512" t="e">
        <f>'LAP TAMBAHAN '!G296+'LAP. PENJUALAN GO FOOD'!G240+'LAP. PENJUALAN GRAB FOOD'!G243+'LAP. PENJUALAN SHOPEE FOOD'!#REF!</f>
        <v>#REF!</v>
      </c>
      <c r="G8" s="512" t="e">
        <f>'LAP TAMBAHAN '!H296+'LAP. PENJUALAN GO FOOD'!H240+'LAP. PENJUALAN GRAB FOOD'!H243+'LAP. PENJUALAN SHOPEE FOOD'!#REF!</f>
        <v>#REF!</v>
      </c>
      <c r="H8" s="512" t="e">
        <f>'LAP TAMBAHAN '!I296+'LAP. PENJUALAN GO FOOD'!I240+'LAP. PENJUALAN GRAB FOOD'!I243+'LAP. PENJUALAN SHOPEE FOOD'!#REF!</f>
        <v>#REF!</v>
      </c>
      <c r="I8" s="512" t="e">
        <f>'LAP TAMBAHAN '!J296+'LAP. PENJUALAN GO FOOD'!J240+'LAP. PENJUALAN GRAB FOOD'!J243+'LAP. PENJUALAN SHOPEE FOOD'!#REF!</f>
        <v>#REF!</v>
      </c>
      <c r="J8" s="512" t="e">
        <f>'LAP TAMBAHAN '!K296+'LAP. PENJUALAN GO FOOD'!K240+'LAP. PENJUALAN GRAB FOOD'!K243+'LAP. PENJUALAN SHOPEE FOOD'!#REF!</f>
        <v>#REF!</v>
      </c>
      <c r="K8" s="512" t="e">
        <f>'LAP TAMBAHAN '!L296+'LAP. PENJUALAN GO FOOD'!L240+'LAP. PENJUALAN GRAB FOOD'!L243+'LAP. PENJUALAN SHOPEE FOOD'!#REF!</f>
        <v>#REF!</v>
      </c>
      <c r="L8" s="512" t="e">
        <f>'LAP TAMBAHAN '!M296+'LAP. PENJUALAN GO FOOD'!M240+'LAP. PENJUALAN GRAB FOOD'!M243+'LAP. PENJUALAN SHOPEE FOOD'!#REF!</f>
        <v>#REF!</v>
      </c>
      <c r="M8" s="524"/>
    </row>
    <row r="9" spans="1:16" ht="20.149999999999999" customHeight="1">
      <c r="A9" s="217" t="s">
        <v>1714</v>
      </c>
      <c r="B9" s="151"/>
      <c r="C9" s="513"/>
      <c r="D9" s="514"/>
      <c r="E9" s="514"/>
      <c r="F9" s="514"/>
      <c r="G9" s="514"/>
      <c r="H9" s="514"/>
      <c r="I9" s="514"/>
      <c r="J9" s="514"/>
      <c r="K9" s="514"/>
      <c r="L9" s="513"/>
      <c r="M9" s="525"/>
      <c r="O9" s="195"/>
    </row>
    <row r="10" spans="1:16" ht="20.149999999999999" customHeight="1">
      <c r="A10" s="211" t="s">
        <v>1715</v>
      </c>
      <c r="B10" s="154"/>
      <c r="C10" s="512"/>
      <c r="D10" s="515"/>
      <c r="E10" s="515"/>
      <c r="F10" s="515"/>
      <c r="G10" s="515"/>
      <c r="H10" s="515"/>
      <c r="I10" s="515"/>
      <c r="J10" s="515"/>
      <c r="K10" s="515"/>
      <c r="L10" s="512"/>
      <c r="M10" s="524"/>
    </row>
    <row r="11" spans="1:16" ht="20.149999999999999" customHeight="1">
      <c r="A11" s="217" t="s">
        <v>1262</v>
      </c>
      <c r="B11" s="151"/>
      <c r="C11" s="513"/>
      <c r="D11" s="514"/>
      <c r="E11" s="514"/>
      <c r="F11" s="514"/>
      <c r="G11" s="514"/>
      <c r="H11" s="514"/>
      <c r="I11" s="514"/>
      <c r="J11" s="514"/>
      <c r="K11" s="514"/>
      <c r="L11" s="513"/>
      <c r="M11" s="525"/>
    </row>
    <row r="12" spans="1:16" ht="20.149999999999999" customHeight="1">
      <c r="A12" s="217" t="s">
        <v>1257</v>
      </c>
      <c r="B12" s="151"/>
      <c r="C12" s="513"/>
      <c r="D12" s="514"/>
      <c r="E12" s="514"/>
      <c r="F12" s="516"/>
      <c r="G12" s="514"/>
      <c r="H12" s="514"/>
      <c r="I12" s="514"/>
      <c r="J12" s="514"/>
      <c r="K12" s="515"/>
      <c r="L12" s="512"/>
      <c r="M12" s="525"/>
    </row>
    <row r="13" spans="1:16" ht="20.149999999999999" customHeight="1">
      <c r="A13" s="211" t="s">
        <v>1716</v>
      </c>
      <c r="B13" s="151"/>
      <c r="C13" s="512"/>
      <c r="D13" s="515"/>
      <c r="E13" s="515"/>
      <c r="F13" s="515"/>
      <c r="G13" s="515"/>
      <c r="H13" s="515"/>
      <c r="I13" s="515"/>
      <c r="J13" s="515"/>
      <c r="K13" s="514"/>
      <c r="L13" s="513"/>
      <c r="M13" s="524"/>
    </row>
    <row r="14" spans="1:16" ht="20.149999999999999" customHeight="1">
      <c r="A14" s="217" t="s">
        <v>1717</v>
      </c>
      <c r="B14" s="151"/>
      <c r="C14" s="513"/>
      <c r="D14" s="514"/>
      <c r="E14" s="514"/>
      <c r="F14" s="514"/>
      <c r="G14" s="514"/>
      <c r="H14" s="514"/>
      <c r="I14" s="514"/>
      <c r="J14" s="514"/>
      <c r="K14" s="515"/>
      <c r="L14" s="512"/>
      <c r="M14" s="525"/>
    </row>
    <row r="15" spans="1:16" ht="20.149999999999999" customHeight="1">
      <c r="A15" s="211" t="s">
        <v>1718</v>
      </c>
      <c r="B15" s="151"/>
      <c r="C15" s="154"/>
      <c r="D15" s="155"/>
      <c r="E15" s="155"/>
      <c r="F15" s="155"/>
      <c r="G15" s="155"/>
      <c r="H15" s="155"/>
      <c r="I15" s="155"/>
      <c r="J15" s="155"/>
      <c r="K15" s="149"/>
      <c r="L15" s="151"/>
      <c r="M15" s="526"/>
    </row>
    <row r="16" spans="1:16" ht="20.149999999999999" customHeight="1">
      <c r="A16" s="217" t="s">
        <v>1719</v>
      </c>
      <c r="B16" s="151"/>
      <c r="C16" s="151"/>
      <c r="D16" s="149"/>
      <c r="E16" s="149"/>
      <c r="F16" s="149"/>
      <c r="G16" s="149"/>
      <c r="H16" s="149"/>
      <c r="I16" s="149"/>
      <c r="J16" s="149"/>
      <c r="K16" s="155"/>
      <c r="L16" s="154"/>
      <c r="M16" s="198"/>
    </row>
    <row r="17" spans="1:13" ht="20.149999999999999" customHeight="1">
      <c r="A17" s="211" t="s">
        <v>1267</v>
      </c>
      <c r="B17" s="151"/>
      <c r="C17" s="154"/>
      <c r="D17" s="155"/>
      <c r="E17" s="155"/>
      <c r="F17" s="155"/>
      <c r="G17" s="155"/>
      <c r="H17" s="155"/>
      <c r="I17" s="155"/>
      <c r="J17" s="155"/>
      <c r="K17" s="149"/>
      <c r="L17" s="151"/>
      <c r="M17" s="526"/>
    </row>
    <row r="18" spans="1:13" ht="20.149999999999999" customHeight="1">
      <c r="A18" s="517" t="s">
        <v>1720</v>
      </c>
      <c r="B18" s="151"/>
      <c r="C18" s="151"/>
      <c r="D18" s="149"/>
      <c r="E18" s="149"/>
      <c r="F18" s="149"/>
      <c r="G18" s="149"/>
      <c r="H18" s="149"/>
      <c r="I18" s="149"/>
      <c r="J18" s="149"/>
      <c r="K18" s="149"/>
      <c r="L18" s="151"/>
      <c r="M18" s="198"/>
    </row>
    <row r="19" spans="1:13" ht="20.149999999999999" customHeight="1">
      <c r="A19" s="211" t="s">
        <v>1270</v>
      </c>
      <c r="B19" s="151"/>
      <c r="C19" s="154"/>
      <c r="D19" s="155"/>
      <c r="E19" s="155"/>
      <c r="F19" s="155"/>
      <c r="G19" s="155"/>
      <c r="H19" s="155"/>
      <c r="I19" s="155"/>
      <c r="J19" s="155"/>
      <c r="K19" s="149"/>
      <c r="L19" s="151"/>
      <c r="M19" s="526"/>
    </row>
    <row r="20" spans="1:13" ht="20.149999999999999" customHeight="1">
      <c r="A20" s="518" t="s">
        <v>1275</v>
      </c>
      <c r="B20" s="519"/>
      <c r="C20" s="519"/>
      <c r="D20" s="520"/>
      <c r="E20" s="520"/>
      <c r="F20" s="520"/>
      <c r="G20" s="520"/>
      <c r="H20" s="520"/>
      <c r="I20" s="520"/>
      <c r="J20" s="520"/>
      <c r="K20" s="520"/>
      <c r="L20" s="519"/>
      <c r="M20" s="527"/>
    </row>
    <row r="21" spans="1:13" ht="20.149999999999999" customHeight="1"/>
    <row r="22" spans="1:13" ht="20.149999999999999" customHeight="1"/>
    <row r="23" spans="1:13" ht="20.149999999999999" customHeight="1"/>
    <row r="24" spans="1:13" ht="20.149999999999999" customHeight="1"/>
    <row r="25" spans="1:13" ht="20.149999999999999" customHeight="1"/>
    <row r="26" spans="1:13" ht="20.149999999999999" customHeight="1"/>
    <row r="27" spans="1:13">
      <c r="M27" s="528"/>
    </row>
    <row r="30" spans="1:13">
      <c r="M30" s="529"/>
    </row>
    <row r="31" spans="1:13">
      <c r="M31" s="530"/>
    </row>
    <row r="32" spans="1:13">
      <c r="M32" s="530"/>
    </row>
    <row r="33" spans="13:13">
      <c r="M33" s="530"/>
    </row>
    <row r="34" spans="13:13">
      <c r="M34" s="530"/>
    </row>
    <row r="35" spans="13:13">
      <c r="M35" s="530"/>
    </row>
    <row r="36" spans="13:13">
      <c r="M36" s="529"/>
    </row>
  </sheetData>
  <mergeCells count="4">
    <mergeCell ref="A2:M2"/>
    <mergeCell ref="A6:B6"/>
    <mergeCell ref="A7:B7"/>
    <mergeCell ref="M6:M7"/>
  </mergeCells>
  <pageMargins left="0.31" right="0.2" top="0.75" bottom="0.75" header="0.31" footer="0.31"/>
  <pageSetup paperSize="256" scale="95" orientation="landscape"/>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2:AV101"/>
  <sheetViews>
    <sheetView workbookViewId="0">
      <selection activeCell="G72" sqref="A1:O115"/>
    </sheetView>
  </sheetViews>
  <sheetFormatPr defaultColWidth="7" defaultRowHeight="12.5"/>
  <cols>
    <col min="1" max="1" width="7.54296875" customWidth="1"/>
    <col min="2" max="2" width="31.54296875" style="416" customWidth="1"/>
    <col min="3" max="4" width="8.7265625" style="416" customWidth="1"/>
    <col min="5" max="5" width="8.1796875" style="416" customWidth="1"/>
    <col min="6" max="7" width="7.54296875" customWidth="1"/>
    <col min="8" max="8" width="31.54296875" customWidth="1"/>
    <col min="9" max="9" width="8.7265625" customWidth="1"/>
    <col min="31" max="31" width="8.7265625" customWidth="1"/>
    <col min="40" max="40" width="31.54296875" customWidth="1"/>
    <col min="41" max="41" width="8.7265625" customWidth="1"/>
  </cols>
  <sheetData>
    <row r="2" spans="1:48" ht="12.75" customHeight="1">
      <c r="H2" s="2615" t="s">
        <v>1721</v>
      </c>
      <c r="I2" s="2615"/>
      <c r="J2" s="2615"/>
      <c r="K2" s="2615"/>
      <c r="L2" s="2615"/>
      <c r="M2" s="2615"/>
      <c r="N2" s="2615"/>
      <c r="O2" s="2615"/>
      <c r="S2" s="2614" t="s">
        <v>1722</v>
      </c>
      <c r="T2" s="2614"/>
      <c r="U2" s="2614"/>
      <c r="V2" s="2614"/>
      <c r="W2" s="2614"/>
      <c r="X2" s="2614"/>
      <c r="Y2" s="2614"/>
    </row>
    <row r="3" spans="1:48" ht="13">
      <c r="H3" s="2615"/>
      <c r="I3" s="2615"/>
      <c r="J3" s="2615"/>
      <c r="K3" s="2615"/>
      <c r="L3" s="2615"/>
      <c r="M3" s="2615"/>
      <c r="N3" s="2615"/>
      <c r="O3" s="2615"/>
      <c r="S3" s="2614"/>
      <c r="T3" s="2614"/>
      <c r="U3" s="2614"/>
      <c r="V3" s="2614"/>
      <c r="W3" s="2614"/>
      <c r="X3" s="2614"/>
      <c r="Y3" s="2614"/>
      <c r="AA3" s="467"/>
      <c r="AB3" s="467"/>
      <c r="AD3" s="2614" t="s">
        <v>1723</v>
      </c>
      <c r="AE3" s="2614"/>
      <c r="AF3" s="2614"/>
      <c r="AG3" s="2614"/>
      <c r="AH3" s="2614"/>
      <c r="AI3" s="2614"/>
      <c r="AJ3" s="2614"/>
      <c r="AK3" s="2614"/>
      <c r="AN3" s="2614" t="s">
        <v>1724</v>
      </c>
      <c r="AO3" s="2614"/>
      <c r="AP3" s="2614"/>
      <c r="AQ3" s="2614"/>
      <c r="AR3" s="2614"/>
      <c r="AS3" s="2614"/>
      <c r="AT3" s="2614"/>
      <c r="AU3" s="2614"/>
      <c r="AV3" s="495"/>
    </row>
    <row r="4" spans="1:48" ht="13">
      <c r="S4" s="2614"/>
      <c r="T4" s="2614"/>
      <c r="U4" s="2614"/>
      <c r="V4" s="2614"/>
      <c r="W4" s="2614"/>
      <c r="X4" s="2614"/>
      <c r="Y4" s="2614"/>
      <c r="AA4" s="467"/>
      <c r="AB4" s="467"/>
      <c r="AD4" s="2614"/>
      <c r="AE4" s="2614"/>
      <c r="AF4" s="2614"/>
      <c r="AG4" s="2614"/>
      <c r="AH4" s="2614"/>
      <c r="AI4" s="2614"/>
      <c r="AJ4" s="2614"/>
      <c r="AK4" s="2614"/>
      <c r="AN4" s="2614"/>
      <c r="AO4" s="2614"/>
      <c r="AP4" s="2614"/>
      <c r="AQ4" s="2614"/>
      <c r="AR4" s="2614"/>
      <c r="AS4" s="2614"/>
      <c r="AT4" s="2614"/>
      <c r="AU4" s="2614"/>
      <c r="AV4" s="495"/>
    </row>
    <row r="5" spans="1:48" ht="13">
      <c r="D5" s="417"/>
      <c r="L5" s="2613"/>
      <c r="M5" s="2613"/>
      <c r="N5" s="433"/>
      <c r="O5" s="433"/>
      <c r="AB5" s="467"/>
      <c r="AV5" s="495"/>
    </row>
    <row r="6" spans="1:48" ht="18.5">
      <c r="A6" s="418" t="s">
        <v>1725</v>
      </c>
      <c r="B6" s="419" t="s">
        <v>1104</v>
      </c>
      <c r="C6" s="420" t="s">
        <v>365</v>
      </c>
      <c r="D6" s="421" t="s">
        <v>989</v>
      </c>
      <c r="E6" s="419" t="s">
        <v>1154</v>
      </c>
      <c r="G6" s="418" t="s">
        <v>1725</v>
      </c>
      <c r="H6" s="419" t="s">
        <v>1104</v>
      </c>
      <c r="I6" s="420" t="s">
        <v>365</v>
      </c>
      <c r="J6" s="434" t="s">
        <v>989</v>
      </c>
      <c r="K6" s="435" t="s">
        <v>1154</v>
      </c>
      <c r="L6" s="436" t="s">
        <v>989</v>
      </c>
      <c r="M6" s="437" t="s">
        <v>1154</v>
      </c>
      <c r="N6" s="438" t="s">
        <v>644</v>
      </c>
      <c r="O6" s="439" t="s">
        <v>1154</v>
      </c>
      <c r="P6" s="440"/>
      <c r="R6" s="418" t="s">
        <v>1725</v>
      </c>
      <c r="S6" s="419" t="s">
        <v>1104</v>
      </c>
      <c r="T6" s="420" t="s">
        <v>365</v>
      </c>
      <c r="U6" s="462" t="s">
        <v>989</v>
      </c>
      <c r="V6" s="435" t="s">
        <v>1154</v>
      </c>
      <c r="W6" s="436" t="s">
        <v>989</v>
      </c>
      <c r="X6" s="437" t="s">
        <v>1154</v>
      </c>
      <c r="Y6" s="468" t="s">
        <v>989</v>
      </c>
      <c r="Z6" s="439" t="s">
        <v>1154</v>
      </c>
      <c r="AB6" s="469"/>
      <c r="AC6" s="470" t="s">
        <v>1725</v>
      </c>
      <c r="AD6" s="419" t="s">
        <v>1104</v>
      </c>
      <c r="AE6" s="420" t="s">
        <v>365</v>
      </c>
      <c r="AF6" s="434" t="s">
        <v>989</v>
      </c>
      <c r="AG6" s="434" t="s">
        <v>1154</v>
      </c>
      <c r="AH6" s="436" t="s">
        <v>989</v>
      </c>
      <c r="AI6" s="482" t="s">
        <v>1154</v>
      </c>
      <c r="AJ6" s="468" t="s">
        <v>644</v>
      </c>
      <c r="AK6" s="439" t="s">
        <v>1154</v>
      </c>
      <c r="AM6" s="470" t="s">
        <v>1725</v>
      </c>
      <c r="AN6" s="419" t="s">
        <v>1104</v>
      </c>
      <c r="AO6" s="420" t="s">
        <v>365</v>
      </c>
      <c r="AP6" s="462" t="s">
        <v>989</v>
      </c>
      <c r="AQ6" s="462" t="s">
        <v>1154</v>
      </c>
      <c r="AR6" s="436" t="s">
        <v>644</v>
      </c>
      <c r="AS6" s="437" t="s">
        <v>1154</v>
      </c>
      <c r="AT6" s="468" t="s">
        <v>989</v>
      </c>
      <c r="AU6" s="439" t="s">
        <v>1154</v>
      </c>
      <c r="AV6" s="495"/>
    </row>
    <row r="7" spans="1:48" ht="15.75" customHeight="1">
      <c r="A7" s="413">
        <v>1</v>
      </c>
      <c r="B7" s="422" t="s">
        <v>1282</v>
      </c>
      <c r="C7" s="423">
        <v>10000</v>
      </c>
      <c r="D7" s="351">
        <f>'HITUNGAN HPP PRODUK'!E17</f>
        <v>9182.8200102148094</v>
      </c>
      <c r="E7" s="352">
        <f t="shared" ref="E7:E12" si="0">D7/C7</f>
        <v>0.91828200102148105</v>
      </c>
      <c r="F7" t="s">
        <v>61</v>
      </c>
      <c r="G7" s="413">
        <v>1</v>
      </c>
      <c r="H7" s="422" t="s">
        <v>1282</v>
      </c>
      <c r="I7" s="350">
        <v>10000</v>
      </c>
      <c r="J7" s="441">
        <v>7666.9397295610597</v>
      </c>
      <c r="K7" s="442">
        <v>0.76669397295610597</v>
      </c>
      <c r="L7" s="443">
        <v>7483.9397295610597</v>
      </c>
      <c r="M7" s="384">
        <f t="shared" ref="M7:M12" si="1">L7/I7</f>
        <v>0.74839397295610599</v>
      </c>
      <c r="N7" s="444">
        <v>7247.1845780459098</v>
      </c>
      <c r="O7" s="445">
        <v>0.72471845780459099</v>
      </c>
      <c r="P7" s="440"/>
      <c r="R7" s="413">
        <v>1</v>
      </c>
      <c r="S7" s="422" t="s">
        <v>1282</v>
      </c>
      <c r="T7" s="350">
        <v>12500</v>
      </c>
      <c r="U7" s="463">
        <f t="shared" ref="U7:U12" si="2">D7</f>
        <v>9182.8200102148094</v>
      </c>
      <c r="V7" s="442">
        <f>U7/T7</f>
        <v>0.73462560081718498</v>
      </c>
      <c r="W7" s="443">
        <v>7483.9397295610597</v>
      </c>
      <c r="X7" s="384">
        <f>W7/T7</f>
        <v>0.59871517836488497</v>
      </c>
      <c r="Y7" s="471">
        <v>7247.1845780459098</v>
      </c>
      <c r="Z7" s="472">
        <v>0.57977476624367297</v>
      </c>
      <c r="AB7" s="469"/>
      <c r="AC7" s="413">
        <v>1</v>
      </c>
      <c r="AD7" s="422" t="s">
        <v>1282</v>
      </c>
      <c r="AE7" s="350">
        <v>12000</v>
      </c>
      <c r="AF7" s="441">
        <v>7666.9397295610597</v>
      </c>
      <c r="AG7" s="483">
        <v>0.63891164413008805</v>
      </c>
      <c r="AH7" s="443">
        <v>7483.9397295610597</v>
      </c>
      <c r="AI7" s="484">
        <v>0.62366164413008796</v>
      </c>
      <c r="AJ7" s="485">
        <v>7247.1845780459098</v>
      </c>
      <c r="AK7" s="445">
        <v>0.60393204817049195</v>
      </c>
      <c r="AM7" s="413">
        <v>1</v>
      </c>
      <c r="AN7" s="422" t="s">
        <v>1282</v>
      </c>
      <c r="AO7" s="350">
        <v>11500</v>
      </c>
      <c r="AP7" s="463">
        <v>7666.9397295610597</v>
      </c>
      <c r="AQ7" s="442">
        <v>0.66669041126617901</v>
      </c>
      <c r="AR7" s="496">
        <v>7483.9397295610597</v>
      </c>
      <c r="AS7" s="384">
        <v>0.65077736778791795</v>
      </c>
      <c r="AT7" s="471">
        <v>7247.1845780459098</v>
      </c>
      <c r="AU7" s="445">
        <v>0.63018996330833998</v>
      </c>
      <c r="AV7" s="495"/>
    </row>
    <row r="8" spans="1:48" ht="15.5">
      <c r="A8" s="413">
        <v>2</v>
      </c>
      <c r="B8" s="422" t="s">
        <v>1283</v>
      </c>
      <c r="C8" s="424">
        <v>10000</v>
      </c>
      <c r="D8" s="354">
        <f>'HITUNGAN HPP PRODUK'!E30</f>
        <v>7746.7072025224998</v>
      </c>
      <c r="E8" s="352">
        <f t="shared" si="0"/>
        <v>0.77467072025225003</v>
      </c>
      <c r="G8" s="413">
        <v>2</v>
      </c>
      <c r="H8" s="422" t="s">
        <v>1283</v>
      </c>
      <c r="I8" s="353">
        <v>10000</v>
      </c>
      <c r="J8" s="446">
        <v>7846.9397295610597</v>
      </c>
      <c r="K8" s="442">
        <v>0.78469397295610599</v>
      </c>
      <c r="L8" s="447">
        <v>7658.9397295610597</v>
      </c>
      <c r="M8" s="384">
        <f t="shared" si="1"/>
        <v>0.76589397295610595</v>
      </c>
      <c r="N8" s="448">
        <v>7416.1845780459098</v>
      </c>
      <c r="O8" s="445">
        <v>0.74161845780459101</v>
      </c>
      <c r="P8" s="449"/>
      <c r="R8" s="413">
        <v>2</v>
      </c>
      <c r="S8" s="422" t="s">
        <v>1283</v>
      </c>
      <c r="T8" s="353">
        <v>12500</v>
      </c>
      <c r="U8" s="464">
        <f t="shared" si="2"/>
        <v>7746.7072025224998</v>
      </c>
      <c r="V8" s="442">
        <f t="shared" ref="V8:V71" si="3">U8/T8</f>
        <v>0.6197365762018</v>
      </c>
      <c r="W8" s="447">
        <v>7658.9397295610597</v>
      </c>
      <c r="X8" s="384">
        <v>0.61271517836488498</v>
      </c>
      <c r="Y8" s="473">
        <v>7416.1845780459098</v>
      </c>
      <c r="Z8" s="472">
        <v>0.59329476624367194</v>
      </c>
      <c r="AA8" s="449"/>
      <c r="AB8" s="474"/>
      <c r="AC8" s="475">
        <v>2</v>
      </c>
      <c r="AD8" s="422" t="s">
        <v>1283</v>
      </c>
      <c r="AE8" s="353">
        <v>12000</v>
      </c>
      <c r="AF8" s="476">
        <v>7846.9397295610597</v>
      </c>
      <c r="AG8" s="486">
        <v>0.65391164413008795</v>
      </c>
      <c r="AH8" s="447">
        <v>7658.9397295610597</v>
      </c>
      <c r="AI8" s="487">
        <v>0.63824497746342101</v>
      </c>
      <c r="AJ8" s="473">
        <v>7416.1845780459098</v>
      </c>
      <c r="AK8" s="445">
        <v>0.61801538150382496</v>
      </c>
      <c r="AM8" s="475">
        <v>2</v>
      </c>
      <c r="AN8" s="422" t="s">
        <v>1283</v>
      </c>
      <c r="AO8" s="353">
        <v>11500</v>
      </c>
      <c r="AP8" s="464">
        <v>7846.9397295610597</v>
      </c>
      <c r="AQ8" s="442">
        <v>0.68234258517922197</v>
      </c>
      <c r="AR8" s="447">
        <v>7658.9397295610597</v>
      </c>
      <c r="AS8" s="384">
        <v>0.66599475909226602</v>
      </c>
      <c r="AT8" s="473">
        <v>7416.1845780459098</v>
      </c>
      <c r="AU8" s="445">
        <v>0.64488561548225298</v>
      </c>
      <c r="AV8" s="495"/>
    </row>
    <row r="9" spans="1:48" ht="15.5">
      <c r="A9" s="413">
        <v>3</v>
      </c>
      <c r="B9" s="422" t="s">
        <v>1284</v>
      </c>
      <c r="C9" s="424">
        <v>8500</v>
      </c>
      <c r="D9" s="355">
        <f>'HITUNGAN HPP PRODUK'!E43</f>
        <v>5695.1161640609598</v>
      </c>
      <c r="E9" s="352">
        <f t="shared" si="0"/>
        <v>0.67001366636011295</v>
      </c>
      <c r="G9" s="413">
        <v>3</v>
      </c>
      <c r="H9" s="422" t="s">
        <v>1284</v>
      </c>
      <c r="I9" s="353">
        <v>8500</v>
      </c>
      <c r="J9" s="446">
        <v>6226.9397295610597</v>
      </c>
      <c r="K9" s="442">
        <v>0.73258114465424196</v>
      </c>
      <c r="L9" s="450">
        <v>6083.9397295610597</v>
      </c>
      <c r="M9" s="384">
        <f t="shared" si="1"/>
        <v>0.71575761524247805</v>
      </c>
      <c r="N9" s="448">
        <v>5895.1845780459098</v>
      </c>
      <c r="O9" s="445">
        <v>0.69355112682893005</v>
      </c>
      <c r="P9" s="449"/>
      <c r="R9" s="413">
        <v>3</v>
      </c>
      <c r="S9" s="422" t="s">
        <v>1284</v>
      </c>
      <c r="T9" s="353">
        <v>10500</v>
      </c>
      <c r="U9" s="460">
        <f t="shared" si="2"/>
        <v>5695.1161640609598</v>
      </c>
      <c r="V9" s="442">
        <f t="shared" si="3"/>
        <v>0.54239201562485295</v>
      </c>
      <c r="W9" s="450">
        <v>6083.9397295610597</v>
      </c>
      <c r="X9" s="384">
        <v>0.57942283138676698</v>
      </c>
      <c r="Y9" s="461">
        <v>5895.1845780459098</v>
      </c>
      <c r="Z9" s="472">
        <v>0.56144615029008604</v>
      </c>
      <c r="AA9" s="449"/>
      <c r="AB9" s="474"/>
      <c r="AC9" s="475">
        <v>3</v>
      </c>
      <c r="AD9" s="422" t="s">
        <v>1284</v>
      </c>
      <c r="AE9" s="353">
        <v>10000</v>
      </c>
      <c r="AF9" s="446">
        <v>6226.9397295610597</v>
      </c>
      <c r="AG9" s="488">
        <v>0.62269397295610596</v>
      </c>
      <c r="AH9" s="450">
        <v>6083.9397295610597</v>
      </c>
      <c r="AI9" s="489">
        <v>0.60839397295610598</v>
      </c>
      <c r="AJ9" s="490">
        <v>5895.1845780459098</v>
      </c>
      <c r="AK9" s="445">
        <v>0.589518457804591</v>
      </c>
      <c r="AM9" s="475">
        <v>3</v>
      </c>
      <c r="AN9" s="422" t="s">
        <v>1284</v>
      </c>
      <c r="AO9" s="353">
        <v>10000</v>
      </c>
      <c r="AP9" s="460">
        <v>6226.9397295610597</v>
      </c>
      <c r="AQ9" s="442">
        <v>0.62269397295610596</v>
      </c>
      <c r="AR9" s="497">
        <v>6083.9397295610597</v>
      </c>
      <c r="AS9" s="384">
        <v>0.60839397295610598</v>
      </c>
      <c r="AT9" s="461">
        <v>5895.1845780459098</v>
      </c>
      <c r="AU9" s="445">
        <v>0.589518457804591</v>
      </c>
      <c r="AV9" s="495"/>
    </row>
    <row r="10" spans="1:48" ht="15.5">
      <c r="A10" s="413">
        <v>4</v>
      </c>
      <c r="B10" s="422" t="s">
        <v>1285</v>
      </c>
      <c r="C10" s="424">
        <v>8000</v>
      </c>
      <c r="D10" s="355">
        <f>'HITUNGAN HPP PRODUK'!E56</f>
        <v>6105.4353948301896</v>
      </c>
      <c r="E10" s="352">
        <f t="shared" si="0"/>
        <v>0.76317942435377395</v>
      </c>
      <c r="G10" s="413">
        <v>4</v>
      </c>
      <c r="H10" s="422" t="s">
        <v>1285</v>
      </c>
      <c r="I10" s="353">
        <v>8000</v>
      </c>
      <c r="J10" s="446">
        <v>5866.9397295610597</v>
      </c>
      <c r="K10" s="442">
        <v>0.73336746619513205</v>
      </c>
      <c r="L10" s="450">
        <v>5733.9397295610597</v>
      </c>
      <c r="M10" s="384">
        <f t="shared" si="1"/>
        <v>0.71674246619513204</v>
      </c>
      <c r="N10" s="448">
        <v>5557.1845780459098</v>
      </c>
      <c r="O10" s="445">
        <v>0.69464807225573799</v>
      </c>
      <c r="P10" s="449"/>
      <c r="R10" s="413">
        <v>4</v>
      </c>
      <c r="S10" s="422" t="s">
        <v>1285</v>
      </c>
      <c r="T10" s="353">
        <v>9500</v>
      </c>
      <c r="U10" s="460">
        <f t="shared" si="2"/>
        <v>6105.4353948301896</v>
      </c>
      <c r="V10" s="442">
        <f t="shared" si="3"/>
        <v>0.64267740998212497</v>
      </c>
      <c r="W10" s="450">
        <v>5733.9397295610597</v>
      </c>
      <c r="X10" s="384">
        <v>0.60357260311169003</v>
      </c>
      <c r="Y10" s="461">
        <v>5557.1845780459098</v>
      </c>
      <c r="Z10" s="472">
        <v>0.58496679768904303</v>
      </c>
      <c r="AA10" s="449"/>
      <c r="AB10" s="474"/>
      <c r="AC10" s="475">
        <v>4</v>
      </c>
      <c r="AD10" s="422" t="s">
        <v>1285</v>
      </c>
      <c r="AE10" s="353">
        <v>9000</v>
      </c>
      <c r="AF10" s="446">
        <v>5866.9397295610597</v>
      </c>
      <c r="AG10" s="488">
        <v>0.651882192173451</v>
      </c>
      <c r="AH10" s="450">
        <v>5733.9397295610597</v>
      </c>
      <c r="AI10" s="489">
        <v>0.637104414395673</v>
      </c>
      <c r="AJ10" s="490">
        <v>5557.1845780459098</v>
      </c>
      <c r="AK10" s="445">
        <v>0.61746495311621197</v>
      </c>
      <c r="AL10" t="s">
        <v>61</v>
      </c>
      <c r="AM10" s="475">
        <v>4</v>
      </c>
      <c r="AN10" s="422" t="s">
        <v>1285</v>
      </c>
      <c r="AO10" s="353">
        <v>9000</v>
      </c>
      <c r="AP10" s="460">
        <v>5866.9397295610597</v>
      </c>
      <c r="AQ10" s="442">
        <v>0.651882192173451</v>
      </c>
      <c r="AR10" s="497">
        <v>5733.9397295610597</v>
      </c>
      <c r="AS10" s="384">
        <v>0.637104414395673</v>
      </c>
      <c r="AT10" s="461">
        <v>5557.1845780459098</v>
      </c>
      <c r="AU10" s="445">
        <v>0.61746495311621197</v>
      </c>
      <c r="AV10" s="495"/>
    </row>
    <row r="11" spans="1:48" ht="15.5">
      <c r="A11" s="413">
        <v>5</v>
      </c>
      <c r="B11" s="422" t="s">
        <v>1726</v>
      </c>
      <c r="C11" s="424">
        <v>9000</v>
      </c>
      <c r="D11" s="355">
        <f>'HITUNGAN HPP PRODUK'!E119</f>
        <v>6888.7584822414401</v>
      </c>
      <c r="E11" s="352">
        <f t="shared" si="0"/>
        <v>0.76541760913793799</v>
      </c>
      <c r="G11" s="413">
        <v>5</v>
      </c>
      <c r="H11" s="422" t="s">
        <v>1726</v>
      </c>
      <c r="I11" s="353">
        <v>9000</v>
      </c>
      <c r="J11" s="446">
        <v>5463.5312280701801</v>
      </c>
      <c r="K11" s="442">
        <v>0.60705902534113099</v>
      </c>
      <c r="L11" s="450">
        <v>5374.8169423558902</v>
      </c>
      <c r="M11" s="384">
        <f t="shared" si="1"/>
        <v>0.59720188248398798</v>
      </c>
      <c r="N11" s="448">
        <v>5268.7526566416</v>
      </c>
      <c r="O11" s="445">
        <v>0.585416961849067</v>
      </c>
      <c r="P11" s="449"/>
      <c r="R11" s="413">
        <v>5</v>
      </c>
      <c r="S11" s="422" t="s">
        <v>1726</v>
      </c>
      <c r="T11" s="353">
        <v>12000</v>
      </c>
      <c r="U11" s="460">
        <f t="shared" si="2"/>
        <v>6888.7584822414401</v>
      </c>
      <c r="V11" s="442">
        <f t="shared" si="3"/>
        <v>0.57406320685345402</v>
      </c>
      <c r="W11" s="450">
        <v>5374.8169423558902</v>
      </c>
      <c r="X11" s="384">
        <v>0.44790141186299098</v>
      </c>
      <c r="Y11" s="461">
        <v>5268.7526566416</v>
      </c>
      <c r="Z11" s="472">
        <v>0.43906272138680003</v>
      </c>
      <c r="AA11" s="449"/>
      <c r="AB11" s="474"/>
      <c r="AC11" s="475">
        <v>5</v>
      </c>
      <c r="AD11" s="422" t="s">
        <v>1726</v>
      </c>
      <c r="AE11" s="353">
        <v>10000</v>
      </c>
      <c r="AF11" s="446">
        <v>5463.5312280701801</v>
      </c>
      <c r="AG11" s="488">
        <v>0.54635312280701798</v>
      </c>
      <c r="AH11" s="450">
        <v>5374.8169423558902</v>
      </c>
      <c r="AI11" s="489">
        <v>0.537481694235589</v>
      </c>
      <c r="AJ11" s="490">
        <v>5268.7526566416</v>
      </c>
      <c r="AK11" s="445">
        <v>0.52687526566415999</v>
      </c>
      <c r="AM11" s="475">
        <v>5</v>
      </c>
      <c r="AN11" s="422" t="s">
        <v>1726</v>
      </c>
      <c r="AO11" s="353">
        <v>10000</v>
      </c>
      <c r="AP11" s="460">
        <v>5463.5312280701801</v>
      </c>
      <c r="AQ11" s="442">
        <v>0.54635312280701798</v>
      </c>
      <c r="AR11" s="497">
        <v>5374.8169423558902</v>
      </c>
      <c r="AS11" s="384">
        <v>0.537481694235589</v>
      </c>
      <c r="AT11" s="461">
        <v>5268.7526566416</v>
      </c>
      <c r="AU11" s="445">
        <v>0.52687526566415999</v>
      </c>
      <c r="AV11" s="495"/>
    </row>
    <row r="12" spans="1:48" ht="15.5">
      <c r="A12" s="413">
        <v>6</v>
      </c>
      <c r="B12" s="422" t="s">
        <v>1287</v>
      </c>
      <c r="C12" s="424">
        <v>11500</v>
      </c>
      <c r="D12" s="355">
        <f>'HITUNGAN HPP PRODUK'!E85</f>
        <v>8898.8770254116607</v>
      </c>
      <c r="E12" s="352">
        <f t="shared" si="0"/>
        <v>0.77381539351405704</v>
      </c>
      <c r="G12" s="413">
        <v>6</v>
      </c>
      <c r="H12" s="422" t="s">
        <v>1287</v>
      </c>
      <c r="I12" s="353">
        <v>11500</v>
      </c>
      <c r="J12" s="446">
        <v>8556.4346414950396</v>
      </c>
      <c r="K12" s="442">
        <v>0.74403779491261202</v>
      </c>
      <c r="L12" s="450">
        <v>8426.4346414950396</v>
      </c>
      <c r="M12" s="384">
        <f t="shared" si="1"/>
        <v>0.73273344708652499</v>
      </c>
      <c r="N12" s="448">
        <v>8270.4346414950396</v>
      </c>
      <c r="O12" s="445">
        <v>0.71916822969522098</v>
      </c>
      <c r="P12" s="449"/>
      <c r="R12" s="413">
        <v>6</v>
      </c>
      <c r="S12" s="422" t="s">
        <v>1287</v>
      </c>
      <c r="T12" s="353">
        <v>13500</v>
      </c>
      <c r="U12" s="460">
        <f t="shared" si="2"/>
        <v>8898.8770254116607</v>
      </c>
      <c r="V12" s="442">
        <f t="shared" si="3"/>
        <v>0.65917607595641903</v>
      </c>
      <c r="W12" s="450">
        <v>8426.4346414950396</v>
      </c>
      <c r="X12" s="384">
        <v>0.62418034381444798</v>
      </c>
      <c r="Y12" s="461">
        <v>8270.4346414950396</v>
      </c>
      <c r="Z12" s="472">
        <v>0.61262478825889199</v>
      </c>
      <c r="AA12" s="449"/>
      <c r="AB12" s="474"/>
      <c r="AC12" s="475">
        <v>6</v>
      </c>
      <c r="AD12" s="422" t="s">
        <v>1287</v>
      </c>
      <c r="AE12" s="353">
        <v>12000</v>
      </c>
      <c r="AF12" s="446">
        <v>8556.4346414950396</v>
      </c>
      <c r="AG12" s="488">
        <v>0.71303622012458701</v>
      </c>
      <c r="AH12" s="450">
        <v>8426.4346414950396</v>
      </c>
      <c r="AI12" s="489">
        <v>0.70220288679125298</v>
      </c>
      <c r="AJ12" s="490">
        <v>8270.4346414950396</v>
      </c>
      <c r="AK12" s="445">
        <v>0.68920288679125297</v>
      </c>
      <c r="AM12" s="475">
        <v>6</v>
      </c>
      <c r="AN12" s="422" t="s">
        <v>1287</v>
      </c>
      <c r="AO12" s="353">
        <v>12000</v>
      </c>
      <c r="AP12" s="460">
        <v>8556.4346414950396</v>
      </c>
      <c r="AQ12" s="442">
        <v>0.71303622012458701</v>
      </c>
      <c r="AR12" s="497">
        <v>8426.4346414950396</v>
      </c>
      <c r="AS12" s="384">
        <v>0.70220288679125298</v>
      </c>
      <c r="AT12" s="461">
        <v>8270.4346414950396</v>
      </c>
      <c r="AU12" s="445">
        <v>0.68920288679125297</v>
      </c>
      <c r="AV12" s="495"/>
    </row>
    <row r="13" spans="1:48" ht="15.5">
      <c r="A13" s="413">
        <v>7</v>
      </c>
      <c r="B13" s="422"/>
      <c r="C13" s="425"/>
      <c r="D13" s="355"/>
      <c r="E13" s="352"/>
      <c r="G13" s="413">
        <v>7</v>
      </c>
      <c r="H13" s="422"/>
      <c r="I13" s="451"/>
      <c r="J13" s="452"/>
      <c r="K13" s="442"/>
      <c r="L13" s="450"/>
      <c r="M13" s="384"/>
      <c r="N13" s="453"/>
      <c r="O13" s="445"/>
      <c r="P13" s="449"/>
      <c r="R13" s="413">
        <v>7</v>
      </c>
      <c r="S13" s="422"/>
      <c r="T13" s="451"/>
      <c r="U13" s="460"/>
      <c r="V13" s="442"/>
      <c r="W13" s="450"/>
      <c r="X13" s="384"/>
      <c r="Y13" s="461"/>
      <c r="Z13" s="472"/>
      <c r="AA13" s="449"/>
      <c r="AB13" s="474"/>
      <c r="AC13" s="475">
        <v>7</v>
      </c>
      <c r="AD13" s="422"/>
      <c r="AE13" s="477"/>
      <c r="AF13" s="452"/>
      <c r="AG13" s="491"/>
      <c r="AH13" s="450"/>
      <c r="AI13" s="489"/>
      <c r="AJ13" s="490"/>
      <c r="AK13" s="445"/>
      <c r="AM13" s="475">
        <v>7</v>
      </c>
      <c r="AN13" s="422"/>
      <c r="AO13" s="477"/>
      <c r="AP13" s="460"/>
      <c r="AQ13" s="442"/>
      <c r="AR13" s="497"/>
      <c r="AS13" s="384"/>
      <c r="AT13" s="461"/>
      <c r="AU13" s="445"/>
      <c r="AV13" s="495"/>
    </row>
    <row r="14" spans="1:48" ht="15.5">
      <c r="A14" s="413">
        <v>8</v>
      </c>
      <c r="B14" s="422" t="s">
        <v>1727</v>
      </c>
      <c r="C14" s="426">
        <v>6500</v>
      </c>
      <c r="D14" s="355">
        <f>'HITUNGAN HPP PRODUK'!H72</f>
        <v>3872.1022727272698</v>
      </c>
      <c r="E14" s="352">
        <f>D14/C14</f>
        <v>0.59570804195804195</v>
      </c>
      <c r="G14" s="413">
        <v>8</v>
      </c>
      <c r="H14" s="422" t="s">
        <v>1727</v>
      </c>
      <c r="I14" s="454">
        <v>6500</v>
      </c>
      <c r="J14" s="455">
        <v>3483.04</v>
      </c>
      <c r="K14" s="442">
        <v>0.53585230769230796</v>
      </c>
      <c r="L14" s="450">
        <v>3483.04</v>
      </c>
      <c r="M14" s="384">
        <f>L14/I14</f>
        <v>0.53585230769230796</v>
      </c>
      <c r="N14" s="456">
        <v>3483.04</v>
      </c>
      <c r="O14" s="445">
        <v>0.53585230769230796</v>
      </c>
      <c r="P14" s="449"/>
      <c r="R14" s="413">
        <v>8</v>
      </c>
      <c r="S14" s="422" t="s">
        <v>1727</v>
      </c>
      <c r="T14" s="454">
        <v>8000</v>
      </c>
      <c r="U14" s="460">
        <f>D14</f>
        <v>3872.1022727272698</v>
      </c>
      <c r="V14" s="442">
        <f t="shared" si="3"/>
        <v>0.48401278409090898</v>
      </c>
      <c r="W14" s="450">
        <v>3483.04</v>
      </c>
      <c r="X14" s="384">
        <v>0.43537999999999999</v>
      </c>
      <c r="Y14" s="461">
        <v>3483.04</v>
      </c>
      <c r="Z14" s="472">
        <v>0.43537999999999999</v>
      </c>
      <c r="AA14" s="449"/>
      <c r="AB14" s="474"/>
      <c r="AC14" s="475">
        <v>8</v>
      </c>
      <c r="AD14" s="422" t="s">
        <v>1727</v>
      </c>
      <c r="AE14" s="478">
        <v>7000</v>
      </c>
      <c r="AF14" s="455">
        <v>3483.04</v>
      </c>
      <c r="AG14" s="492">
        <v>0.497577142857143</v>
      </c>
      <c r="AH14" s="450">
        <v>3483.04</v>
      </c>
      <c r="AI14" s="489">
        <v>0.497577142857143</v>
      </c>
      <c r="AJ14" s="490">
        <v>3483.04</v>
      </c>
      <c r="AK14" s="445">
        <v>0.497577142857143</v>
      </c>
      <c r="AM14" s="475">
        <v>8</v>
      </c>
      <c r="AN14" s="422" t="s">
        <v>1727</v>
      </c>
      <c r="AO14" s="478">
        <v>7000</v>
      </c>
      <c r="AP14" s="460">
        <v>3483.04</v>
      </c>
      <c r="AQ14" s="442">
        <v>0.497577142857143</v>
      </c>
      <c r="AR14" s="497">
        <v>3483.04</v>
      </c>
      <c r="AS14" s="384">
        <v>0.497577142857143</v>
      </c>
      <c r="AT14" s="461">
        <v>3483.04</v>
      </c>
      <c r="AU14" s="445">
        <v>0.497577142857143</v>
      </c>
      <c r="AV14" s="495"/>
    </row>
    <row r="15" spans="1:48" ht="15.5">
      <c r="A15" s="413">
        <v>9</v>
      </c>
      <c r="B15" s="422" t="s">
        <v>1728</v>
      </c>
      <c r="C15" s="426">
        <v>3000</v>
      </c>
      <c r="D15" s="355">
        <f>'HITUNGAN HPP PRODUK'!H63</f>
        <v>954.385964912281</v>
      </c>
      <c r="E15" s="352">
        <f>D15/C15</f>
        <v>0.31812865497075998</v>
      </c>
      <c r="G15" s="413">
        <v>9</v>
      </c>
      <c r="H15" s="422" t="s">
        <v>1728</v>
      </c>
      <c r="I15" s="454">
        <v>3000</v>
      </c>
      <c r="J15" s="455">
        <v>884.47368421052602</v>
      </c>
      <c r="K15" s="442">
        <v>0.29482456140350899</v>
      </c>
      <c r="L15" s="450">
        <v>884.47368421052602</v>
      </c>
      <c r="M15" s="384">
        <f>L15/I15</f>
        <v>0.29482456140350899</v>
      </c>
      <c r="N15" s="456">
        <v>884.47368421052602</v>
      </c>
      <c r="O15" s="445">
        <v>0.29482456140350899</v>
      </c>
      <c r="P15" s="449"/>
      <c r="R15" s="413">
        <v>9</v>
      </c>
      <c r="S15" s="422" t="s">
        <v>1728</v>
      </c>
      <c r="T15" s="454">
        <v>3500</v>
      </c>
      <c r="U15" s="460">
        <f>D15</f>
        <v>954.385964912281</v>
      </c>
      <c r="V15" s="442">
        <f t="shared" si="3"/>
        <v>0.27268170426065202</v>
      </c>
      <c r="W15" s="450">
        <v>884.47368421052602</v>
      </c>
      <c r="X15" s="384">
        <v>0.25270676691729299</v>
      </c>
      <c r="Y15" s="461">
        <v>884.47368421052602</v>
      </c>
      <c r="Z15" s="472">
        <v>0.25270676691729299</v>
      </c>
      <c r="AA15" s="449"/>
      <c r="AB15" s="474"/>
      <c r="AC15" s="475">
        <v>9</v>
      </c>
      <c r="AD15" s="422" t="s">
        <v>1728</v>
      </c>
      <c r="AE15" s="478">
        <v>3000</v>
      </c>
      <c r="AF15" s="455">
        <v>884.47368421052602</v>
      </c>
      <c r="AG15" s="492">
        <v>0.29482456140350899</v>
      </c>
      <c r="AH15" s="450">
        <v>884.47368421052602</v>
      </c>
      <c r="AI15" s="489">
        <v>0.29482456140350899</v>
      </c>
      <c r="AJ15" s="490">
        <v>884.47368421052602</v>
      </c>
      <c r="AK15" s="445">
        <v>0.29482456140350899</v>
      </c>
      <c r="AM15" s="475">
        <v>9</v>
      </c>
      <c r="AN15" s="422" t="s">
        <v>1728</v>
      </c>
      <c r="AO15" s="478">
        <v>3000</v>
      </c>
      <c r="AP15" s="460">
        <v>884.47368421052602</v>
      </c>
      <c r="AQ15" s="442">
        <v>0.29482456140350899</v>
      </c>
      <c r="AR15" s="497">
        <v>884.47368421052602</v>
      </c>
      <c r="AS15" s="384">
        <v>0.29482456140350899</v>
      </c>
      <c r="AT15" s="461">
        <v>884.47368421052602</v>
      </c>
      <c r="AU15" s="445">
        <v>0.29482456140350899</v>
      </c>
      <c r="AV15" s="495"/>
    </row>
    <row r="16" spans="1:48" ht="15.5">
      <c r="A16" s="413">
        <v>10</v>
      </c>
      <c r="B16" s="422" t="s">
        <v>1729</v>
      </c>
      <c r="C16" s="426">
        <v>3000</v>
      </c>
      <c r="D16" s="355"/>
      <c r="E16" s="352">
        <f>D16/C16</f>
        <v>0</v>
      </c>
      <c r="G16" s="413">
        <v>10</v>
      </c>
      <c r="H16" s="422" t="s">
        <v>1729</v>
      </c>
      <c r="I16" s="454">
        <v>3000</v>
      </c>
      <c r="J16" s="455"/>
      <c r="K16" s="442">
        <v>0</v>
      </c>
      <c r="L16" s="450"/>
      <c r="M16" s="384">
        <f>L16/I16</f>
        <v>0</v>
      </c>
      <c r="N16" s="456"/>
      <c r="O16" s="445">
        <v>0</v>
      </c>
      <c r="P16" s="449"/>
      <c r="R16" s="413">
        <v>10</v>
      </c>
      <c r="S16" s="422" t="s">
        <v>1729</v>
      </c>
      <c r="T16" s="454">
        <v>3000</v>
      </c>
      <c r="U16" s="460">
        <f>D16</f>
        <v>0</v>
      </c>
      <c r="V16" s="442">
        <f t="shared" si="3"/>
        <v>0</v>
      </c>
      <c r="W16" s="450">
        <v>0</v>
      </c>
      <c r="X16" s="384">
        <v>0</v>
      </c>
      <c r="Y16" s="461">
        <v>0</v>
      </c>
      <c r="Z16" s="472">
        <v>0</v>
      </c>
      <c r="AA16" s="449"/>
      <c r="AB16" s="474"/>
      <c r="AC16" s="475">
        <v>10</v>
      </c>
      <c r="AD16" s="422" t="s">
        <v>1729</v>
      </c>
      <c r="AE16" s="478">
        <v>3000</v>
      </c>
      <c r="AF16" s="455"/>
      <c r="AG16" s="492">
        <v>0</v>
      </c>
      <c r="AH16" s="450"/>
      <c r="AI16" s="489">
        <v>0</v>
      </c>
      <c r="AJ16" s="490"/>
      <c r="AK16" s="445">
        <v>0</v>
      </c>
      <c r="AM16" s="475">
        <v>10</v>
      </c>
      <c r="AN16" s="422" t="s">
        <v>1729</v>
      </c>
      <c r="AO16" s="478">
        <v>3000</v>
      </c>
      <c r="AP16" s="460"/>
      <c r="AQ16" s="442">
        <v>0</v>
      </c>
      <c r="AR16" s="497"/>
      <c r="AS16" s="384">
        <v>0</v>
      </c>
      <c r="AT16" s="461"/>
      <c r="AU16" s="445">
        <v>0</v>
      </c>
      <c r="AV16" s="495"/>
    </row>
    <row r="17" spans="1:48" ht="15.5">
      <c r="A17" s="413">
        <v>11</v>
      </c>
      <c r="B17" s="422" t="s">
        <v>1291</v>
      </c>
      <c r="C17" s="426">
        <v>11000</v>
      </c>
      <c r="D17" s="355">
        <f>'HITUNGAN HPP PRODUK'!H138</f>
        <v>8292.1366750700308</v>
      </c>
      <c r="E17" s="352">
        <f>D17/C17</f>
        <v>0.75383060682454806</v>
      </c>
      <c r="G17" s="413">
        <v>11</v>
      </c>
      <c r="H17" s="422" t="s">
        <v>1291</v>
      </c>
      <c r="I17" s="454">
        <v>11000</v>
      </c>
      <c r="J17" s="455">
        <v>7186.6464126984101</v>
      </c>
      <c r="K17" s="442">
        <v>0.65333149206349195</v>
      </c>
      <c r="L17" s="450">
        <v>7186.6464126984101</v>
      </c>
      <c r="M17" s="384">
        <f>L17/I17</f>
        <v>0.65333149206349195</v>
      </c>
      <c r="N17" s="456">
        <v>7186.6464126984101</v>
      </c>
      <c r="O17" s="445">
        <v>0.65333149206349195</v>
      </c>
      <c r="P17" s="449"/>
      <c r="R17" s="413">
        <v>11</v>
      </c>
      <c r="S17" s="422" t="s">
        <v>1291</v>
      </c>
      <c r="T17" s="454">
        <v>13500</v>
      </c>
      <c r="U17" s="460">
        <f>D17</f>
        <v>8292.1366750700308</v>
      </c>
      <c r="V17" s="442">
        <f t="shared" si="3"/>
        <v>0.61423234630148305</v>
      </c>
      <c r="W17" s="450">
        <v>7186.6464126984101</v>
      </c>
      <c r="X17" s="384">
        <v>0.53234417871840101</v>
      </c>
      <c r="Y17" s="461">
        <v>7186.6464126984101</v>
      </c>
      <c r="Z17" s="472">
        <v>0.53234417871840101</v>
      </c>
      <c r="AA17" s="449"/>
      <c r="AB17" s="474"/>
      <c r="AC17" s="475">
        <v>11</v>
      </c>
      <c r="AD17" s="422" t="s">
        <v>1291</v>
      </c>
      <c r="AE17" s="478">
        <v>13000</v>
      </c>
      <c r="AF17" s="455">
        <v>7186.6464126984101</v>
      </c>
      <c r="AG17" s="492">
        <v>0.55281895482295496</v>
      </c>
      <c r="AH17" s="450">
        <v>7186.6464126984101</v>
      </c>
      <c r="AI17" s="489">
        <v>0.55281895482295496</v>
      </c>
      <c r="AJ17" s="490">
        <v>7186.6464126984101</v>
      </c>
      <c r="AK17" s="445">
        <v>0.55281895482295496</v>
      </c>
      <c r="AM17" s="475">
        <v>11</v>
      </c>
      <c r="AN17" s="422" t="s">
        <v>1291</v>
      </c>
      <c r="AO17" s="478">
        <v>13000</v>
      </c>
      <c r="AP17" s="460">
        <v>7186.6464126984101</v>
      </c>
      <c r="AQ17" s="442">
        <v>0.55281895482295496</v>
      </c>
      <c r="AR17" s="497">
        <v>7186.6464126984101</v>
      </c>
      <c r="AS17" s="384">
        <v>0.55281895482295496</v>
      </c>
      <c r="AT17" s="461">
        <v>7186.6464126984101</v>
      </c>
      <c r="AU17" s="445">
        <v>0.55281895482295496</v>
      </c>
      <c r="AV17" s="495"/>
    </row>
    <row r="18" spans="1:48" ht="15.5">
      <c r="A18" s="413">
        <v>12</v>
      </c>
      <c r="B18" s="422" t="s">
        <v>1730</v>
      </c>
      <c r="C18" s="426">
        <v>13000</v>
      </c>
      <c r="D18" s="355">
        <f>'HITUNGAN HPP PRODUK'!H154</f>
        <v>9150.1366750700308</v>
      </c>
      <c r="E18" s="352">
        <f>D18/C18</f>
        <v>0.70385666731307905</v>
      </c>
      <c r="G18" s="413">
        <v>12</v>
      </c>
      <c r="H18" s="422" t="s">
        <v>1730</v>
      </c>
      <c r="I18" s="454">
        <v>13000</v>
      </c>
      <c r="J18" s="455">
        <v>8161.6464126984101</v>
      </c>
      <c r="K18" s="442">
        <v>0.62781895482295502</v>
      </c>
      <c r="L18" s="450">
        <v>8161.6464126984101</v>
      </c>
      <c r="M18" s="384">
        <f>L18/I18</f>
        <v>0.62781895482295502</v>
      </c>
      <c r="N18" s="456">
        <v>8161.6464126984101</v>
      </c>
      <c r="O18" s="445">
        <v>0.62781895482295502</v>
      </c>
      <c r="P18" s="449"/>
      <c r="R18" s="413">
        <v>12</v>
      </c>
      <c r="S18" s="422" t="s">
        <v>1730</v>
      </c>
      <c r="T18" s="454">
        <v>15500</v>
      </c>
      <c r="U18" s="460">
        <f>D18</f>
        <v>9150.1366750700308</v>
      </c>
      <c r="V18" s="442">
        <f t="shared" si="3"/>
        <v>0.59033139839161497</v>
      </c>
      <c r="W18" s="450">
        <v>8161.6464126984101</v>
      </c>
      <c r="X18" s="384">
        <v>0.52655783307731696</v>
      </c>
      <c r="Y18" s="461">
        <v>8161.6464126984101</v>
      </c>
      <c r="Z18" s="472">
        <v>0.52655783307731696</v>
      </c>
      <c r="AA18" s="449"/>
      <c r="AB18" s="474"/>
      <c r="AC18" s="475">
        <v>12</v>
      </c>
      <c r="AD18" s="422" t="s">
        <v>1730</v>
      </c>
      <c r="AE18" s="478">
        <v>15000</v>
      </c>
      <c r="AF18" s="455">
        <v>8161.6464126984101</v>
      </c>
      <c r="AG18" s="492">
        <v>0.54410976084656104</v>
      </c>
      <c r="AH18" s="450">
        <v>8161.6464126984101</v>
      </c>
      <c r="AI18" s="489">
        <v>0.54410976084656104</v>
      </c>
      <c r="AJ18" s="490">
        <v>8161.6464126984101</v>
      </c>
      <c r="AK18" s="445">
        <v>0.54410976084656104</v>
      </c>
      <c r="AM18" s="475">
        <v>12</v>
      </c>
      <c r="AN18" s="422" t="s">
        <v>1730</v>
      </c>
      <c r="AO18" s="478">
        <v>15000</v>
      </c>
      <c r="AP18" s="460">
        <v>8161.6464126984101</v>
      </c>
      <c r="AQ18" s="442">
        <v>0.54410976084656104</v>
      </c>
      <c r="AR18" s="497">
        <v>8161.6464126984101</v>
      </c>
      <c r="AS18" s="384">
        <v>0.54410976084656104</v>
      </c>
      <c r="AT18" s="461">
        <v>8161.6464126984101</v>
      </c>
      <c r="AU18" s="445">
        <v>0.54410976084656104</v>
      </c>
      <c r="AV18" s="495"/>
    </row>
    <row r="19" spans="1:48" ht="15.5">
      <c r="A19" s="413">
        <v>13</v>
      </c>
      <c r="B19" s="422"/>
      <c r="C19" s="425"/>
      <c r="D19" s="355"/>
      <c r="E19" s="352"/>
      <c r="G19" s="413">
        <v>13</v>
      </c>
      <c r="H19" s="422"/>
      <c r="I19" s="451"/>
      <c r="J19" s="452"/>
      <c r="K19" s="442"/>
      <c r="L19" s="450"/>
      <c r="M19" s="384"/>
      <c r="N19" s="453"/>
      <c r="O19" s="445"/>
      <c r="P19" s="449"/>
      <c r="R19" s="413">
        <v>13</v>
      </c>
      <c r="S19" s="422"/>
      <c r="T19" s="451"/>
      <c r="U19" s="460"/>
      <c r="V19" s="442" t="e">
        <f t="shared" si="3"/>
        <v>#DIV/0!</v>
      </c>
      <c r="W19" s="450"/>
      <c r="X19" s="384" t="e">
        <v>#DIV/0!</v>
      </c>
      <c r="Y19" s="461"/>
      <c r="Z19" s="472" t="e">
        <v>#DIV/0!</v>
      </c>
      <c r="AA19" s="449"/>
      <c r="AB19" s="474"/>
      <c r="AC19" s="475">
        <v>13</v>
      </c>
      <c r="AD19" s="422"/>
      <c r="AE19" s="477"/>
      <c r="AF19" s="452"/>
      <c r="AG19" s="491"/>
      <c r="AH19" s="450"/>
      <c r="AI19" s="489"/>
      <c r="AJ19" s="490"/>
      <c r="AK19" s="445"/>
      <c r="AM19" s="475">
        <v>13</v>
      </c>
      <c r="AN19" s="422"/>
      <c r="AO19" s="477"/>
      <c r="AP19" s="460"/>
      <c r="AQ19" s="442"/>
      <c r="AR19" s="497"/>
      <c r="AS19" s="384"/>
      <c r="AT19" s="461"/>
      <c r="AU19" s="445"/>
      <c r="AV19" s="495"/>
    </row>
    <row r="20" spans="1:48" ht="15.5">
      <c r="A20" s="413">
        <v>14</v>
      </c>
      <c r="B20" s="422" t="s">
        <v>1731</v>
      </c>
      <c r="C20" s="425"/>
      <c r="D20" s="355"/>
      <c r="E20" s="352" t="e">
        <f t="shared" ref="E20:E34" si="4">D20/C20</f>
        <v>#DIV/0!</v>
      </c>
      <c r="G20" s="413">
        <v>14</v>
      </c>
      <c r="H20" s="422" t="s">
        <v>1731</v>
      </c>
      <c r="I20" s="451"/>
      <c r="J20" s="452"/>
      <c r="K20" s="442" t="e">
        <v>#DIV/0!</v>
      </c>
      <c r="L20" s="450"/>
      <c r="M20" s="384" t="e">
        <f>L20/I20</f>
        <v>#DIV/0!</v>
      </c>
      <c r="N20" s="453"/>
      <c r="O20" s="445" t="e">
        <v>#DIV/0!</v>
      </c>
      <c r="P20" s="449"/>
      <c r="R20" s="413">
        <v>14</v>
      </c>
      <c r="S20" s="422" t="s">
        <v>1731</v>
      </c>
      <c r="T20" s="451"/>
      <c r="U20" s="460"/>
      <c r="V20" s="442" t="e">
        <f t="shared" si="3"/>
        <v>#DIV/0!</v>
      </c>
      <c r="W20" s="450"/>
      <c r="X20" s="384" t="e">
        <v>#DIV/0!</v>
      </c>
      <c r="Y20" s="461"/>
      <c r="Z20" s="472" t="e">
        <v>#DIV/0!</v>
      </c>
      <c r="AA20" s="449"/>
      <c r="AB20" s="474"/>
      <c r="AC20" s="475">
        <v>14</v>
      </c>
      <c r="AD20" s="422" t="s">
        <v>1731</v>
      </c>
      <c r="AE20" s="477">
        <v>12000</v>
      </c>
      <c r="AF20" s="452"/>
      <c r="AG20" s="491">
        <v>0</v>
      </c>
      <c r="AH20" s="450"/>
      <c r="AI20" s="489">
        <v>0</v>
      </c>
      <c r="AJ20" s="490"/>
      <c r="AK20" s="445">
        <v>0</v>
      </c>
      <c r="AM20" s="475">
        <v>14</v>
      </c>
      <c r="AN20" s="422" t="s">
        <v>1731</v>
      </c>
      <c r="AO20" s="477">
        <v>12000</v>
      </c>
      <c r="AP20" s="460"/>
      <c r="AQ20" s="442">
        <v>0</v>
      </c>
      <c r="AR20" s="497"/>
      <c r="AS20" s="384">
        <v>0</v>
      </c>
      <c r="AT20" s="461"/>
      <c r="AU20" s="445">
        <v>0</v>
      </c>
      <c r="AV20" s="495"/>
    </row>
    <row r="21" spans="1:48" ht="15.5">
      <c r="A21" s="413">
        <v>15</v>
      </c>
      <c r="B21" s="422" t="s">
        <v>1732</v>
      </c>
      <c r="C21" s="425"/>
      <c r="D21" s="363"/>
      <c r="E21" s="352" t="e">
        <f t="shared" si="4"/>
        <v>#DIV/0!</v>
      </c>
      <c r="G21" s="413">
        <v>15</v>
      </c>
      <c r="H21" s="422" t="s">
        <v>1732</v>
      </c>
      <c r="I21" s="451"/>
      <c r="J21" s="452"/>
      <c r="K21" s="442" t="e">
        <v>#DIV/0!</v>
      </c>
      <c r="L21" s="457"/>
      <c r="M21" s="384" t="e">
        <f>L21/I21</f>
        <v>#DIV/0!</v>
      </c>
      <c r="N21" s="453"/>
      <c r="O21" s="445" t="e">
        <v>#DIV/0!</v>
      </c>
      <c r="P21" s="449"/>
      <c r="R21" s="413">
        <v>15</v>
      </c>
      <c r="S21" s="422" t="s">
        <v>1732</v>
      </c>
      <c r="T21" s="451"/>
      <c r="U21" s="465"/>
      <c r="V21" s="442" t="e">
        <f t="shared" si="3"/>
        <v>#DIV/0!</v>
      </c>
      <c r="W21" s="457"/>
      <c r="X21" s="384" t="e">
        <v>#DIV/0!</v>
      </c>
      <c r="Y21" s="479"/>
      <c r="Z21" s="472" t="e">
        <v>#DIV/0!</v>
      </c>
      <c r="AA21" s="449"/>
      <c r="AB21" s="474"/>
      <c r="AC21" s="475">
        <v>15</v>
      </c>
      <c r="AD21" s="422" t="s">
        <v>1732</v>
      </c>
      <c r="AE21" s="477"/>
      <c r="AF21" s="452"/>
      <c r="AG21" s="491" t="e">
        <v>#DIV/0!</v>
      </c>
      <c r="AH21" s="457"/>
      <c r="AI21" s="489" t="e">
        <v>#DIV/0!</v>
      </c>
      <c r="AJ21" s="493"/>
      <c r="AK21" s="445" t="e">
        <v>#DIV/0!</v>
      </c>
      <c r="AM21" s="475">
        <v>15</v>
      </c>
      <c r="AN21" s="422" t="s">
        <v>1732</v>
      </c>
      <c r="AO21" s="477"/>
      <c r="AP21" s="465"/>
      <c r="AQ21" s="442" t="e">
        <v>#DIV/0!</v>
      </c>
      <c r="AR21" s="498"/>
      <c r="AS21" s="384" t="e">
        <v>#DIV/0!</v>
      </c>
      <c r="AT21" s="479"/>
      <c r="AU21" s="445" t="e">
        <v>#DIV/0!</v>
      </c>
      <c r="AV21" s="495"/>
    </row>
    <row r="22" spans="1:48" ht="15.5">
      <c r="A22" s="413">
        <v>16</v>
      </c>
      <c r="B22" s="422"/>
      <c r="C22" s="425"/>
      <c r="D22" s="363"/>
      <c r="E22" s="352" t="e">
        <f t="shared" si="4"/>
        <v>#DIV/0!</v>
      </c>
      <c r="G22" s="413">
        <v>16</v>
      </c>
      <c r="H22" s="422"/>
      <c r="I22" s="451"/>
      <c r="J22" s="452"/>
      <c r="K22" s="442" t="e">
        <v>#DIV/0!</v>
      </c>
      <c r="L22" s="457"/>
      <c r="M22" s="384"/>
      <c r="N22" s="453"/>
      <c r="O22" s="445"/>
      <c r="P22" s="449"/>
      <c r="R22" s="413">
        <v>16</v>
      </c>
      <c r="S22" s="422"/>
      <c r="T22" s="451"/>
      <c r="U22" s="465"/>
      <c r="V22" s="442" t="e">
        <f t="shared" si="3"/>
        <v>#DIV/0!</v>
      </c>
      <c r="W22" s="457"/>
      <c r="X22" s="384" t="e">
        <v>#DIV/0!</v>
      </c>
      <c r="Y22" s="479"/>
      <c r="Z22" s="472" t="e">
        <v>#DIV/0!</v>
      </c>
      <c r="AA22" s="449"/>
      <c r="AB22" s="474"/>
      <c r="AC22" s="475">
        <v>16</v>
      </c>
      <c r="AD22" s="422"/>
      <c r="AE22" s="477"/>
      <c r="AF22" s="452"/>
      <c r="AG22" s="491" t="e">
        <v>#DIV/0!</v>
      </c>
      <c r="AH22" s="457"/>
      <c r="AI22" s="489" t="e">
        <v>#DIV/0!</v>
      </c>
      <c r="AJ22" s="493"/>
      <c r="AK22" s="445" t="e">
        <v>#DIV/0!</v>
      </c>
      <c r="AM22" s="475">
        <v>16</v>
      </c>
      <c r="AN22" s="422"/>
      <c r="AO22" s="477"/>
      <c r="AP22" s="465"/>
      <c r="AQ22" s="442" t="e">
        <v>#DIV/0!</v>
      </c>
      <c r="AR22" s="498"/>
      <c r="AS22" s="384" t="e">
        <v>#DIV/0!</v>
      </c>
      <c r="AT22" s="479"/>
      <c r="AU22" s="445" t="e">
        <v>#DIV/0!</v>
      </c>
      <c r="AV22" s="495"/>
    </row>
    <row r="23" spans="1:48" ht="15.5">
      <c r="A23" s="413">
        <v>17</v>
      </c>
      <c r="B23" s="422" t="s">
        <v>1295</v>
      </c>
      <c r="C23" s="425"/>
      <c r="D23" s="363"/>
      <c r="E23" s="352" t="e">
        <f t="shared" si="4"/>
        <v>#DIV/0!</v>
      </c>
      <c r="G23" s="413">
        <v>17</v>
      </c>
      <c r="H23" s="422" t="s">
        <v>1295</v>
      </c>
      <c r="I23" s="451"/>
      <c r="J23" s="452"/>
      <c r="K23" s="442" t="e">
        <v>#DIV/0!</v>
      </c>
      <c r="L23" s="457"/>
      <c r="M23" s="384" t="e">
        <f>L23/I23</f>
        <v>#DIV/0!</v>
      </c>
      <c r="N23" s="453"/>
      <c r="O23" s="445" t="e">
        <v>#DIV/0!</v>
      </c>
      <c r="P23" s="449"/>
      <c r="R23" s="413">
        <v>17</v>
      </c>
      <c r="S23" s="422" t="s">
        <v>1295</v>
      </c>
      <c r="T23" s="451"/>
      <c r="U23" s="465"/>
      <c r="V23" s="442" t="e">
        <f t="shared" si="3"/>
        <v>#DIV/0!</v>
      </c>
      <c r="W23" s="457"/>
      <c r="X23" s="384" t="e">
        <v>#DIV/0!</v>
      </c>
      <c r="Y23" s="479"/>
      <c r="Z23" s="472" t="e">
        <v>#DIV/0!</v>
      </c>
      <c r="AA23" s="449"/>
      <c r="AB23" s="474"/>
      <c r="AC23" s="475">
        <v>17</v>
      </c>
      <c r="AD23" s="422" t="s">
        <v>1295</v>
      </c>
      <c r="AE23" s="477"/>
      <c r="AF23" s="452"/>
      <c r="AG23" s="491" t="e">
        <v>#DIV/0!</v>
      </c>
      <c r="AH23" s="457"/>
      <c r="AI23" s="489" t="e">
        <v>#DIV/0!</v>
      </c>
      <c r="AJ23" s="493"/>
      <c r="AK23" s="445" t="e">
        <v>#DIV/0!</v>
      </c>
      <c r="AM23" s="475">
        <v>17</v>
      </c>
      <c r="AN23" s="422" t="s">
        <v>1295</v>
      </c>
      <c r="AO23" s="477"/>
      <c r="AP23" s="465"/>
      <c r="AQ23" s="442" t="e">
        <v>#DIV/0!</v>
      </c>
      <c r="AR23" s="498"/>
      <c r="AS23" s="384" t="e">
        <v>#DIV/0!</v>
      </c>
      <c r="AT23" s="479"/>
      <c r="AU23" s="445" t="e">
        <v>#DIV/0!</v>
      </c>
      <c r="AV23" s="495"/>
    </row>
    <row r="24" spans="1:48" ht="15.5">
      <c r="A24" s="413">
        <v>18</v>
      </c>
      <c r="B24" s="422"/>
      <c r="C24" s="425"/>
      <c r="D24" s="363"/>
      <c r="E24" s="352" t="e">
        <f t="shared" si="4"/>
        <v>#DIV/0!</v>
      </c>
      <c r="G24" s="413">
        <v>18</v>
      </c>
      <c r="H24" s="422"/>
      <c r="I24" s="451"/>
      <c r="J24" s="452"/>
      <c r="K24" s="442" t="e">
        <v>#DIV/0!</v>
      </c>
      <c r="L24" s="457"/>
      <c r="M24" s="384"/>
      <c r="N24" s="453"/>
      <c r="O24" s="445"/>
      <c r="P24" s="449"/>
      <c r="R24" s="413">
        <v>18</v>
      </c>
      <c r="S24" s="422"/>
      <c r="T24" s="451"/>
      <c r="U24" s="465"/>
      <c r="V24" s="442" t="e">
        <f t="shared" si="3"/>
        <v>#DIV/0!</v>
      </c>
      <c r="W24" s="457"/>
      <c r="X24" s="384" t="e">
        <v>#DIV/0!</v>
      </c>
      <c r="Y24" s="479"/>
      <c r="Z24" s="472" t="e">
        <v>#DIV/0!</v>
      </c>
      <c r="AA24" s="449"/>
      <c r="AB24" s="474"/>
      <c r="AC24" s="475">
        <v>18</v>
      </c>
      <c r="AD24" s="422"/>
      <c r="AE24" s="477"/>
      <c r="AF24" s="452"/>
      <c r="AG24" s="491" t="e">
        <v>#DIV/0!</v>
      </c>
      <c r="AH24" s="457"/>
      <c r="AI24" s="489" t="e">
        <v>#DIV/0!</v>
      </c>
      <c r="AJ24" s="493"/>
      <c r="AK24" s="445" t="e">
        <v>#DIV/0!</v>
      </c>
      <c r="AM24" s="475">
        <v>18</v>
      </c>
      <c r="AN24" s="422"/>
      <c r="AO24" s="477"/>
      <c r="AP24" s="465"/>
      <c r="AQ24" s="442" t="e">
        <v>#DIV/0!</v>
      </c>
      <c r="AR24" s="498"/>
      <c r="AS24" s="384" t="e">
        <v>#DIV/0!</v>
      </c>
      <c r="AT24" s="479"/>
      <c r="AU24" s="445" t="e">
        <v>#DIV/0!</v>
      </c>
      <c r="AV24" s="495"/>
    </row>
    <row r="25" spans="1:48" ht="15.5">
      <c r="A25" s="413">
        <v>19</v>
      </c>
      <c r="B25" s="422" t="s">
        <v>1533</v>
      </c>
      <c r="C25" s="424">
        <v>9000</v>
      </c>
      <c r="D25" s="355">
        <f>'HITUNGAN HPP PRODUK'!K17</f>
        <v>7937.8367106196602</v>
      </c>
      <c r="E25" s="352">
        <f t="shared" si="4"/>
        <v>0.88198185673551799</v>
      </c>
      <c r="G25" s="413">
        <v>19</v>
      </c>
      <c r="H25" s="422" t="s">
        <v>1533</v>
      </c>
      <c r="I25" s="353">
        <v>9000</v>
      </c>
      <c r="J25" s="446">
        <v>9320.3140716663202</v>
      </c>
      <c r="K25" s="442">
        <v>1.03559045240737</v>
      </c>
      <c r="L25" s="450">
        <v>9187.3140716663202</v>
      </c>
      <c r="M25" s="384">
        <f t="shared" ref="M25:M34" si="5">L25/I25</f>
        <v>1.02081267462959</v>
      </c>
      <c r="N25" s="448">
        <v>9010.5589201511702</v>
      </c>
      <c r="O25" s="445">
        <v>1.0011732133501301</v>
      </c>
      <c r="P25" s="449"/>
      <c r="R25" s="413">
        <v>19</v>
      </c>
      <c r="S25" s="422" t="s">
        <v>1533</v>
      </c>
      <c r="T25" s="353">
        <v>10000</v>
      </c>
      <c r="U25" s="460">
        <f>'HITUNGAN HPP PRODUK'!E56+'HITUNGAN HPP PRODUK'!B56+'HITUNGAN HPP PRODUK'!H63+'HITUNGAN HPP PRODUK'!E204</f>
        <v>10764.7791458745</v>
      </c>
      <c r="V25" s="442">
        <f t="shared" si="3"/>
        <v>1.0764779145874499</v>
      </c>
      <c r="W25" s="450">
        <v>9617</v>
      </c>
      <c r="X25" s="384">
        <f>W25/T25</f>
        <v>0.9617</v>
      </c>
      <c r="Y25" s="461">
        <v>9441</v>
      </c>
      <c r="Z25" s="472">
        <f>Y25/T25</f>
        <v>0.94410000000000005</v>
      </c>
      <c r="AA25" s="449"/>
      <c r="AB25" s="474"/>
      <c r="AC25" s="475">
        <v>19</v>
      </c>
      <c r="AD25" s="422" t="s">
        <v>1533</v>
      </c>
      <c r="AE25" s="353">
        <v>9500</v>
      </c>
      <c r="AF25" s="446">
        <v>9320.3140716663202</v>
      </c>
      <c r="AG25" s="488">
        <v>0.93203140716663202</v>
      </c>
      <c r="AH25" s="450">
        <v>9187.3140716663202</v>
      </c>
      <c r="AI25" s="489">
        <v>0.91873140716663204</v>
      </c>
      <c r="AJ25" s="490">
        <v>9010.5589201511702</v>
      </c>
      <c r="AK25" s="445">
        <v>0.90105589201511704</v>
      </c>
      <c r="AM25" s="475">
        <v>19</v>
      </c>
      <c r="AN25" s="422" t="s">
        <v>1533</v>
      </c>
      <c r="AO25" s="353">
        <v>9500</v>
      </c>
      <c r="AP25" s="460">
        <v>9320.3140716663202</v>
      </c>
      <c r="AQ25" s="442">
        <v>0.98108569175434901</v>
      </c>
      <c r="AR25" s="497">
        <v>9187.3140716663202</v>
      </c>
      <c r="AS25" s="384">
        <v>0.967085691754349</v>
      </c>
      <c r="AT25" s="461">
        <v>9010.5589201511702</v>
      </c>
      <c r="AU25" s="445">
        <v>0.94847988633170199</v>
      </c>
      <c r="AV25" s="495"/>
    </row>
    <row r="26" spans="1:48" ht="15.5">
      <c r="A26" s="413">
        <v>20</v>
      </c>
      <c r="B26" s="422" t="s">
        <v>1307</v>
      </c>
      <c r="C26" s="424">
        <v>14000</v>
      </c>
      <c r="D26" s="355">
        <f>'HITUNGAN HPP PRODUK'!M17</f>
        <v>9978.2783412011304</v>
      </c>
      <c r="E26" s="352">
        <f t="shared" si="4"/>
        <v>0.71273416722865202</v>
      </c>
      <c r="G26" s="413">
        <v>20</v>
      </c>
      <c r="H26" s="422" t="s">
        <v>1307</v>
      </c>
      <c r="I26" s="353">
        <v>14000</v>
      </c>
      <c r="J26" s="446">
        <v>10971.8089836003</v>
      </c>
      <c r="K26" s="442">
        <v>0.78370064168573605</v>
      </c>
      <c r="L26" s="450">
        <v>10841.8089836003</v>
      </c>
      <c r="M26" s="384">
        <f t="shared" si="5"/>
        <v>0.77441492740002105</v>
      </c>
      <c r="N26" s="448">
        <v>10685.8089836003</v>
      </c>
      <c r="O26" s="445">
        <v>0.76327207025716504</v>
      </c>
      <c r="P26" s="449"/>
      <c r="R26" s="413">
        <v>20</v>
      </c>
      <c r="S26" s="422" t="s">
        <v>1307</v>
      </c>
      <c r="T26" s="353">
        <v>18000</v>
      </c>
      <c r="U26" s="460">
        <f>'HITUNGAN HPP PRODUK'!E85+'HITUNGAN HPP PRODUK'!H63+'HITUNGAN HPP PRODUK'!B56</f>
        <v>12002.8607764559</v>
      </c>
      <c r="V26" s="442">
        <f t="shared" si="3"/>
        <v>0.66682559869199698</v>
      </c>
      <c r="W26" s="450">
        <v>11271.838262249101</v>
      </c>
      <c r="X26" s="384">
        <v>0.626213236791614</v>
      </c>
      <c r="Y26" s="461">
        <v>11115.838262249101</v>
      </c>
      <c r="Z26" s="472">
        <v>0.61754657012494796</v>
      </c>
      <c r="AA26" s="449"/>
      <c r="AB26" s="474"/>
      <c r="AC26" s="475">
        <v>20</v>
      </c>
      <c r="AD26" s="422" t="s">
        <v>1307</v>
      </c>
      <c r="AE26" s="353">
        <v>15500</v>
      </c>
      <c r="AF26" s="446">
        <v>10971.8089836003</v>
      </c>
      <c r="AG26" s="488">
        <v>0.64540052844707696</v>
      </c>
      <c r="AH26" s="450">
        <v>10841.8089836003</v>
      </c>
      <c r="AI26" s="489">
        <v>0.63775346962354695</v>
      </c>
      <c r="AJ26" s="490">
        <v>10685.8089836003</v>
      </c>
      <c r="AK26" s="445">
        <v>0.62857699903531195</v>
      </c>
      <c r="AM26" s="475">
        <v>20</v>
      </c>
      <c r="AN26" s="422" t="s">
        <v>1307</v>
      </c>
      <c r="AO26" s="353">
        <v>16000</v>
      </c>
      <c r="AP26" s="460">
        <v>10971.8089836003</v>
      </c>
      <c r="AQ26" s="442">
        <v>0.68573806147501903</v>
      </c>
      <c r="AR26" s="497">
        <v>10841.8089836003</v>
      </c>
      <c r="AS26" s="384">
        <v>0.67761306147501899</v>
      </c>
      <c r="AT26" s="461">
        <v>10685.8089836003</v>
      </c>
      <c r="AU26" s="445">
        <v>0.66786306147501895</v>
      </c>
      <c r="AV26" s="495"/>
    </row>
    <row r="27" spans="1:48" ht="15.5">
      <c r="A27" s="413">
        <v>21</v>
      </c>
      <c r="B27" s="422" t="s">
        <v>1308</v>
      </c>
      <c r="C27" s="424">
        <v>13000</v>
      </c>
      <c r="D27" s="355">
        <f>'HITUNGAN HPP PRODUK'!O15</f>
        <v>1130</v>
      </c>
      <c r="E27" s="352">
        <f t="shared" si="4"/>
        <v>8.6923076923076895E-2</v>
      </c>
      <c r="G27" s="413">
        <v>21</v>
      </c>
      <c r="H27" s="422" t="s">
        <v>1308</v>
      </c>
      <c r="I27" s="353">
        <v>13000</v>
      </c>
      <c r="J27" s="446">
        <v>8717.5470705931493</v>
      </c>
      <c r="K27" s="442">
        <v>0.67058054389178101</v>
      </c>
      <c r="L27" s="450">
        <v>8717.5470705931493</v>
      </c>
      <c r="M27" s="384">
        <f t="shared" si="5"/>
        <v>0.67058054389178101</v>
      </c>
      <c r="N27" s="448">
        <v>8717.5470705931493</v>
      </c>
      <c r="O27" s="445">
        <v>0.67058054389178101</v>
      </c>
      <c r="P27" s="449"/>
      <c r="R27" s="413">
        <v>21</v>
      </c>
      <c r="S27" s="422" t="s">
        <v>1308</v>
      </c>
      <c r="T27" s="353">
        <v>19000</v>
      </c>
      <c r="U27" s="460">
        <f>'HITUNGAN HPP PRODUK'!H63+'HITUNGAN HPP PRODUK'!B56+'HITUNGAN HPP PRODUK'!E30</f>
        <v>10850.6909535668</v>
      </c>
      <c r="V27" s="442">
        <f t="shared" si="3"/>
        <v>0.57108899755614595</v>
      </c>
      <c r="W27" s="450">
        <v>10504.343350315101</v>
      </c>
      <c r="X27" s="384">
        <v>0.55286017633237206</v>
      </c>
      <c r="Y27" s="461">
        <v>10261.5881987999</v>
      </c>
      <c r="Z27" s="472">
        <v>0.54008358941052204</v>
      </c>
      <c r="AA27" s="449"/>
      <c r="AB27" s="474"/>
      <c r="AC27" s="475">
        <v>21</v>
      </c>
      <c r="AD27" s="422" t="s">
        <v>1308</v>
      </c>
      <c r="AE27" s="353">
        <v>14</v>
      </c>
      <c r="AF27" s="446">
        <v>8717.5470705931493</v>
      </c>
      <c r="AG27" s="488">
        <v>0.54484669191207202</v>
      </c>
      <c r="AH27" s="450">
        <v>8717.5470705931493</v>
      </c>
      <c r="AI27" s="489">
        <v>0.54484669191207202</v>
      </c>
      <c r="AJ27" s="490">
        <v>8717.5470705931493</v>
      </c>
      <c r="AK27" s="445">
        <v>0.54484669191207202</v>
      </c>
      <c r="AM27" s="475">
        <v>21</v>
      </c>
      <c r="AN27" s="422" t="s">
        <v>1308</v>
      </c>
      <c r="AO27" s="353">
        <v>15000</v>
      </c>
      <c r="AP27" s="460">
        <v>8717.5470705931493</v>
      </c>
      <c r="AQ27" s="442">
        <v>0.58116980470621005</v>
      </c>
      <c r="AR27" s="497">
        <v>8717.5470705931493</v>
      </c>
      <c r="AS27" s="384">
        <v>0.58116980470621005</v>
      </c>
      <c r="AT27" s="461">
        <v>8717.5470705931493</v>
      </c>
      <c r="AU27" s="445">
        <v>0.58116980470621005</v>
      </c>
      <c r="AV27" s="495"/>
    </row>
    <row r="28" spans="1:48" ht="15.5">
      <c r="A28" s="413">
        <v>22</v>
      </c>
      <c r="B28" s="422" t="s">
        <v>1309</v>
      </c>
      <c r="C28" s="424">
        <v>12000</v>
      </c>
      <c r="D28" s="355">
        <f>'HITUNGAN HPP PRODUK'!Q17</f>
        <v>7527.5174798504304</v>
      </c>
      <c r="E28" s="352">
        <f t="shared" si="4"/>
        <v>0.62729312332086895</v>
      </c>
      <c r="G28" s="413">
        <v>22</v>
      </c>
      <c r="H28" s="422" t="s">
        <v>1309</v>
      </c>
      <c r="I28" s="353">
        <v>12000</v>
      </c>
      <c r="J28" s="446">
        <v>9680.3140716663202</v>
      </c>
      <c r="K28" s="442">
        <v>0.80669283930552704</v>
      </c>
      <c r="L28" s="450">
        <v>9537.3140716663202</v>
      </c>
      <c r="M28" s="384">
        <f t="shared" si="5"/>
        <v>0.79477617263886002</v>
      </c>
      <c r="N28" s="448">
        <v>9348.5589201511702</v>
      </c>
      <c r="O28" s="445">
        <v>0.77904657667926402</v>
      </c>
      <c r="P28" s="449"/>
      <c r="R28" s="413">
        <v>22</v>
      </c>
      <c r="S28" s="422" t="s">
        <v>1309</v>
      </c>
      <c r="T28" s="353">
        <v>17000</v>
      </c>
      <c r="U28" s="460">
        <f>'HITUNGAN HPP PRODUK'!H99+'HITUNGAN HPP PRODUK'!B102</f>
        <v>8969.6850187969994</v>
      </c>
      <c r="V28" s="442">
        <f t="shared" si="3"/>
        <v>0.52762853051747005</v>
      </c>
      <c r="W28" s="450">
        <v>10424.8973684211</v>
      </c>
      <c r="X28" s="384">
        <v>0.61322925696594399</v>
      </c>
      <c r="Y28" s="461">
        <v>10387.697368421101</v>
      </c>
      <c r="Z28" s="472">
        <v>0.61104102167182694</v>
      </c>
      <c r="AA28" s="449"/>
      <c r="AB28" s="474"/>
      <c r="AC28" s="475">
        <v>22</v>
      </c>
      <c r="AD28" s="422" t="s">
        <v>1309</v>
      </c>
      <c r="AE28" s="353">
        <v>16000</v>
      </c>
      <c r="AF28" s="446">
        <v>9680.3140716663202</v>
      </c>
      <c r="AG28" s="488">
        <v>0.605019629479145</v>
      </c>
      <c r="AH28" s="450">
        <v>9537.3140716663202</v>
      </c>
      <c r="AI28" s="489">
        <v>0.59608212947914496</v>
      </c>
      <c r="AJ28" s="490">
        <v>9348.5589201511702</v>
      </c>
      <c r="AK28" s="445">
        <v>0.58428493250944802</v>
      </c>
      <c r="AM28" s="475">
        <v>22</v>
      </c>
      <c r="AN28" s="422" t="s">
        <v>1309</v>
      </c>
      <c r="AO28" s="353">
        <v>13500</v>
      </c>
      <c r="AP28" s="460">
        <v>9680.3140716663202</v>
      </c>
      <c r="AQ28" s="442">
        <v>0.71706030160491296</v>
      </c>
      <c r="AR28" s="497">
        <v>9537.3140716663202</v>
      </c>
      <c r="AS28" s="384">
        <v>0.70646770901232003</v>
      </c>
      <c r="AT28" s="461">
        <v>9348.5589201511702</v>
      </c>
      <c r="AU28" s="445">
        <v>0.69248584593712403</v>
      </c>
      <c r="AV28" s="495"/>
    </row>
    <row r="29" spans="1:48" ht="15.5">
      <c r="A29" s="413">
        <v>23</v>
      </c>
      <c r="B29" s="422" t="s">
        <v>1310</v>
      </c>
      <c r="C29" s="424">
        <v>15000</v>
      </c>
      <c r="D29" s="355">
        <f>'HITUNGAN HPP PRODUK'!S16</f>
        <v>6647.6857080200498</v>
      </c>
      <c r="E29" s="352">
        <f t="shared" si="4"/>
        <v>0.443179047201337</v>
      </c>
      <c r="G29" s="413">
        <v>23</v>
      </c>
      <c r="H29" s="422" t="s">
        <v>1310</v>
      </c>
      <c r="I29" s="353">
        <v>15000</v>
      </c>
      <c r="J29" s="446">
        <v>9982.8875000000007</v>
      </c>
      <c r="K29" s="442">
        <v>0.66552583333333304</v>
      </c>
      <c r="L29" s="450">
        <v>9956.8875000000007</v>
      </c>
      <c r="M29" s="384">
        <f t="shared" si="5"/>
        <v>0.66379250000000001</v>
      </c>
      <c r="N29" s="448">
        <v>9919.6875</v>
      </c>
      <c r="O29" s="445">
        <v>0.66131249999999997</v>
      </c>
      <c r="P29" s="449"/>
      <c r="R29" s="413">
        <v>23</v>
      </c>
      <c r="S29" s="422" t="s">
        <v>1310</v>
      </c>
      <c r="T29" s="353">
        <v>19000</v>
      </c>
      <c r="U29" s="460">
        <f>'HITUNGAN HPP PRODUK'!B102+'HITUNGAN HPP PRODUK'!H63+'HITUNGAN HPP PRODUK'!E102</f>
        <v>11660.837845312601</v>
      </c>
      <c r="V29" s="442">
        <f t="shared" si="3"/>
        <v>0.61372830764803099</v>
      </c>
      <c r="W29" s="450">
        <v>9447.1939473684197</v>
      </c>
      <c r="X29" s="384">
        <v>0.497220734072022</v>
      </c>
      <c r="Y29" s="461">
        <v>9306.0345723684204</v>
      </c>
      <c r="Z29" s="472">
        <v>0.489791293282549</v>
      </c>
      <c r="AA29" s="449"/>
      <c r="AB29" s="474"/>
      <c r="AC29" s="475">
        <v>23</v>
      </c>
      <c r="AD29" s="422" t="s">
        <v>1310</v>
      </c>
      <c r="AE29" s="353">
        <v>16000</v>
      </c>
      <c r="AF29" s="446">
        <v>9982.8875000000007</v>
      </c>
      <c r="AG29" s="488">
        <v>0.62393046875000002</v>
      </c>
      <c r="AH29" s="450">
        <v>9956.8875000000007</v>
      </c>
      <c r="AI29" s="489">
        <v>0.62230546875000003</v>
      </c>
      <c r="AJ29" s="490">
        <v>9919.6875</v>
      </c>
      <c r="AK29" s="445">
        <v>0.61998046875000001</v>
      </c>
      <c r="AM29" s="475">
        <v>23</v>
      </c>
      <c r="AN29" s="422" t="s">
        <v>1310</v>
      </c>
      <c r="AO29" s="353">
        <v>16500</v>
      </c>
      <c r="AP29" s="460">
        <v>9982.8875000000007</v>
      </c>
      <c r="AQ29" s="442">
        <v>0.605023484848485</v>
      </c>
      <c r="AR29" s="497">
        <v>9956.8875000000007</v>
      </c>
      <c r="AS29" s="384">
        <v>0.603447727272727</v>
      </c>
      <c r="AT29" s="461">
        <v>9919.6875</v>
      </c>
      <c r="AU29" s="445">
        <v>0.60119318181818204</v>
      </c>
      <c r="AV29" s="495"/>
    </row>
    <row r="30" spans="1:48" ht="15.5">
      <c r="A30" s="413">
        <v>24</v>
      </c>
      <c r="B30" s="422" t="s">
        <v>1311</v>
      </c>
      <c r="C30" s="424">
        <v>14000</v>
      </c>
      <c r="D30" s="355">
        <f>'HITUNGAN HPP PRODUK'!U17</f>
        <v>8860.1597980309198</v>
      </c>
      <c r="E30" s="352">
        <f t="shared" si="4"/>
        <v>0.63286855700220901</v>
      </c>
      <c r="G30" s="413">
        <v>24</v>
      </c>
      <c r="H30" s="422" t="s">
        <v>1311</v>
      </c>
      <c r="I30" s="353">
        <v>14000</v>
      </c>
      <c r="J30" s="446">
        <v>7887.9348488241903</v>
      </c>
      <c r="K30" s="442">
        <v>0.56342391777315604</v>
      </c>
      <c r="L30" s="450">
        <v>7799.2205631098996</v>
      </c>
      <c r="M30" s="384">
        <f t="shared" si="5"/>
        <v>0.55708718307927896</v>
      </c>
      <c r="N30" s="448">
        <v>7693.1562773956202</v>
      </c>
      <c r="O30" s="445">
        <v>0.54951116267111499</v>
      </c>
      <c r="P30" s="449"/>
      <c r="R30" s="413">
        <v>24</v>
      </c>
      <c r="S30" s="422" t="s">
        <v>1311</v>
      </c>
      <c r="T30" s="353">
        <v>19000</v>
      </c>
      <c r="U30" s="460">
        <f>'HITUNGAN HPP PRODUK'!H138+'HITUNGAN HPP PRODUK'!B81</f>
        <v>11921.08610608</v>
      </c>
      <c r="V30" s="442">
        <f t="shared" si="3"/>
        <v>0.62742558453052499</v>
      </c>
      <c r="W30" s="450">
        <v>9859.5920267335005</v>
      </c>
      <c r="X30" s="384">
        <v>0.51892589614386797</v>
      </c>
      <c r="Y30" s="461">
        <v>9859.5920267335005</v>
      </c>
      <c r="Z30" s="472">
        <v>0.51892589614386797</v>
      </c>
      <c r="AA30" s="449"/>
      <c r="AB30" s="474"/>
      <c r="AC30" s="475">
        <v>24</v>
      </c>
      <c r="AD30" s="422" t="s">
        <v>1311</v>
      </c>
      <c r="AE30" s="353">
        <v>18000</v>
      </c>
      <c r="AF30" s="446">
        <v>7887.9348488241903</v>
      </c>
      <c r="AG30" s="488">
        <v>0.438218602712455</v>
      </c>
      <c r="AH30" s="450">
        <v>7799.2205631098996</v>
      </c>
      <c r="AI30" s="489">
        <v>0.43329003128388299</v>
      </c>
      <c r="AJ30" s="490">
        <v>7693.1562773956202</v>
      </c>
      <c r="AK30" s="445">
        <v>0.427397570966423</v>
      </c>
      <c r="AM30" s="475">
        <v>24</v>
      </c>
      <c r="AN30" s="422" t="s">
        <v>1311</v>
      </c>
      <c r="AO30" s="353">
        <v>16500</v>
      </c>
      <c r="AP30" s="460">
        <v>7887.9348488241903</v>
      </c>
      <c r="AQ30" s="442">
        <v>0.478056657504496</v>
      </c>
      <c r="AR30" s="497">
        <v>7799.2205631098996</v>
      </c>
      <c r="AS30" s="384">
        <v>0.47268003412787302</v>
      </c>
      <c r="AT30" s="461">
        <v>7693.1562773956202</v>
      </c>
      <c r="AU30" s="445">
        <v>0.46625189559973401</v>
      </c>
      <c r="AV30" s="495"/>
    </row>
    <row r="31" spans="1:48" ht="15.5">
      <c r="A31" s="413">
        <v>25</v>
      </c>
      <c r="B31" s="422" t="s">
        <v>1312</v>
      </c>
      <c r="C31" s="424">
        <v>14500</v>
      </c>
      <c r="D31" s="355">
        <f>'HITUNGAN HPP PRODUK'!W17</f>
        <v>11015.221326004301</v>
      </c>
      <c r="E31" s="352">
        <f t="shared" si="4"/>
        <v>0.75967043627615705</v>
      </c>
      <c r="G31" s="413">
        <v>25</v>
      </c>
      <c r="H31" s="422" t="s">
        <v>1312</v>
      </c>
      <c r="I31" s="353">
        <v>14500</v>
      </c>
      <c r="J31" s="446">
        <v>11550.343350315101</v>
      </c>
      <c r="K31" s="442">
        <v>0.79657540347000499</v>
      </c>
      <c r="L31" s="450">
        <v>11367.343350315101</v>
      </c>
      <c r="M31" s="384">
        <f t="shared" si="5"/>
        <v>0.78395471381483495</v>
      </c>
      <c r="N31" s="448">
        <v>11130.5881987999</v>
      </c>
      <c r="O31" s="445">
        <v>0.76762677233102905</v>
      </c>
      <c r="P31" s="449"/>
      <c r="R31" s="413">
        <v>25</v>
      </c>
      <c r="S31" s="422" t="s">
        <v>1312</v>
      </c>
      <c r="T31" s="353">
        <v>19000</v>
      </c>
      <c r="U31" s="460">
        <f>'HITUNGAN HPP PRODUK'!B81+'HITUNGAN HPP PRODUK'!H63+'HITUNGAN HPP PRODUK'!E43</f>
        <v>10278.451559983199</v>
      </c>
      <c r="V31" s="442">
        <f t="shared" si="3"/>
        <v>0.54097113473595804</v>
      </c>
      <c r="W31" s="450">
        <v>9641.3590278066695</v>
      </c>
      <c r="X31" s="384">
        <v>0.50743994883193</v>
      </c>
      <c r="Y31" s="461">
        <v>9452.6038762915196</v>
      </c>
      <c r="Z31" s="472">
        <v>0.49750546717323801</v>
      </c>
      <c r="AA31" s="449"/>
      <c r="AB31" s="474"/>
      <c r="AC31" s="475">
        <v>25</v>
      </c>
      <c r="AD31" s="422" t="s">
        <v>1312</v>
      </c>
      <c r="AE31" s="353">
        <v>18000</v>
      </c>
      <c r="AF31" s="446">
        <v>11550.343350315101</v>
      </c>
      <c r="AG31" s="488">
        <v>0.64168574168417103</v>
      </c>
      <c r="AH31" s="450">
        <v>11367.343350315101</v>
      </c>
      <c r="AI31" s="489">
        <v>0.63151907501750404</v>
      </c>
      <c r="AJ31" s="490">
        <v>11130.5881987999</v>
      </c>
      <c r="AK31" s="445">
        <v>0.61836601104444</v>
      </c>
      <c r="AM31" s="475">
        <v>25</v>
      </c>
      <c r="AN31" s="422" t="s">
        <v>1312</v>
      </c>
      <c r="AO31" s="353">
        <v>16500</v>
      </c>
      <c r="AP31" s="460">
        <v>11550.343350315101</v>
      </c>
      <c r="AQ31" s="442">
        <v>0.70002080911000397</v>
      </c>
      <c r="AR31" s="497">
        <v>11367.343350315101</v>
      </c>
      <c r="AS31" s="384">
        <v>0.68892990001909504</v>
      </c>
      <c r="AT31" s="461">
        <v>11130.5881987999</v>
      </c>
      <c r="AU31" s="445">
        <v>0.67458110295757101</v>
      </c>
      <c r="AV31" s="495"/>
    </row>
    <row r="32" spans="1:48" ht="15.5">
      <c r="A32" s="413">
        <v>26</v>
      </c>
      <c r="B32" s="422" t="s">
        <v>1313</v>
      </c>
      <c r="C32" s="424">
        <v>15000</v>
      </c>
      <c r="D32" s="355" t="e">
        <f>'HITUNGAN HPP PRODUK'!#REF!</f>
        <v>#REF!</v>
      </c>
      <c r="E32" s="352" t="e">
        <f t="shared" si="4"/>
        <v>#REF!</v>
      </c>
      <c r="G32" s="413">
        <v>26</v>
      </c>
      <c r="H32" s="422" t="s">
        <v>1313</v>
      </c>
      <c r="I32" s="353">
        <v>15000</v>
      </c>
      <c r="J32" s="446">
        <v>10822.3590278067</v>
      </c>
      <c r="K32" s="442">
        <v>0.721490601853778</v>
      </c>
      <c r="L32" s="450">
        <v>10679.3590278067</v>
      </c>
      <c r="M32" s="384">
        <f t="shared" si="5"/>
        <v>0.71195726852044705</v>
      </c>
      <c r="N32" s="448">
        <v>10490.6038762915</v>
      </c>
      <c r="O32" s="445">
        <v>0.69937359175276803</v>
      </c>
      <c r="P32" s="449"/>
      <c r="R32" s="413">
        <v>26</v>
      </c>
      <c r="S32" s="422" t="s">
        <v>1313</v>
      </c>
      <c r="T32" s="353">
        <v>20000</v>
      </c>
      <c r="U32" s="460">
        <f>'HITUNGAN HPP PRODUK'!H63+'HITUNGAN HPP PRODUK'!E83+'HITUNGAN HPP PRODUK'!B81</f>
        <v>12729.212421333899</v>
      </c>
      <c r="V32" s="442">
        <f t="shared" si="3"/>
        <v>0.63646062106669499</v>
      </c>
      <c r="W32" s="450">
        <v>11243.8539397407</v>
      </c>
      <c r="X32" s="384">
        <v>0.562192696987033</v>
      </c>
      <c r="Y32" s="461">
        <v>11087.8539397407</v>
      </c>
      <c r="Z32" s="472">
        <v>0.55439269698703297</v>
      </c>
      <c r="AA32" s="449"/>
      <c r="AB32" s="474"/>
      <c r="AC32" s="475">
        <v>26</v>
      </c>
      <c r="AD32" s="422" t="s">
        <v>1313</v>
      </c>
      <c r="AE32" s="353">
        <v>18000</v>
      </c>
      <c r="AF32" s="446">
        <v>10822.3590278067</v>
      </c>
      <c r="AG32" s="488">
        <v>0.60124216821148202</v>
      </c>
      <c r="AH32" s="450">
        <v>10679.3590278067</v>
      </c>
      <c r="AI32" s="489">
        <v>0.59329772376703704</v>
      </c>
      <c r="AJ32" s="490">
        <v>10490.6038762915</v>
      </c>
      <c r="AK32" s="445">
        <v>0.58281132646064004</v>
      </c>
      <c r="AM32" s="475">
        <v>26</v>
      </c>
      <c r="AN32" s="422" t="s">
        <v>1313</v>
      </c>
      <c r="AO32" s="353">
        <v>16000</v>
      </c>
      <c r="AP32" s="460">
        <v>10822.3590278067</v>
      </c>
      <c r="AQ32" s="442">
        <v>0.67639743923791695</v>
      </c>
      <c r="AR32" s="497">
        <v>10679.3590278067</v>
      </c>
      <c r="AS32" s="384">
        <v>0.66745993923791702</v>
      </c>
      <c r="AT32" s="461">
        <v>10490.6038762915</v>
      </c>
      <c r="AU32" s="445">
        <v>0.65566274226821997</v>
      </c>
      <c r="AV32" s="495"/>
    </row>
    <row r="33" spans="1:48" ht="15.5">
      <c r="A33" s="413">
        <v>27</v>
      </c>
      <c r="B33" s="422" t="s">
        <v>1314</v>
      </c>
      <c r="C33" s="424">
        <v>14000</v>
      </c>
      <c r="D33" s="355" t="e">
        <f>'HITUNGAN HPP PRODUK'!#REF!</f>
        <v>#REF!</v>
      </c>
      <c r="E33" s="352" t="e">
        <f t="shared" si="4"/>
        <v>#REF!</v>
      </c>
      <c r="G33" s="413">
        <v>27</v>
      </c>
      <c r="H33" s="422" t="s">
        <v>1314</v>
      </c>
      <c r="I33" s="353">
        <v>14000</v>
      </c>
      <c r="J33" s="446">
        <v>10517.3645780385</v>
      </c>
      <c r="K33" s="442">
        <v>0.75124032700275201</v>
      </c>
      <c r="L33" s="450">
        <v>10387.3645780385</v>
      </c>
      <c r="M33" s="384">
        <f t="shared" si="5"/>
        <v>0.741954612717036</v>
      </c>
      <c r="N33" s="448">
        <v>10231.3645780385</v>
      </c>
      <c r="O33" s="445">
        <v>0.73081175557418099</v>
      </c>
      <c r="P33" s="449"/>
      <c r="R33" s="413">
        <v>27</v>
      </c>
      <c r="S33" s="422" t="s">
        <v>1314</v>
      </c>
      <c r="T33" s="353">
        <v>21000</v>
      </c>
      <c r="U33" s="460">
        <f>'HITUNGAN HPP PRODUK'!B81+'HITUNGAN HPP PRODUK'!H63+'HITUNGAN HPP PRODUK'!E30</f>
        <v>12330.042598444699</v>
      </c>
      <c r="V33" s="442">
        <f t="shared" si="3"/>
        <v>0.58714488564022604</v>
      </c>
      <c r="W33" s="450">
        <v>11216.3590278067</v>
      </c>
      <c r="X33" s="384">
        <v>0.53411233465746</v>
      </c>
      <c r="Y33" s="461">
        <v>10973.6038762915</v>
      </c>
      <c r="Z33" s="472">
        <v>0.52255256553769103</v>
      </c>
      <c r="AA33" s="449"/>
      <c r="AB33" s="474"/>
      <c r="AC33" s="475">
        <v>27</v>
      </c>
      <c r="AD33" s="422" t="s">
        <v>1314</v>
      </c>
      <c r="AE33" s="353">
        <v>19000</v>
      </c>
      <c r="AF33" s="446">
        <v>10517.3645780385</v>
      </c>
      <c r="AG33" s="488">
        <v>0.55354550410729098</v>
      </c>
      <c r="AH33" s="450">
        <v>10387.3645780385</v>
      </c>
      <c r="AI33" s="489">
        <v>0.54670339884413299</v>
      </c>
      <c r="AJ33" s="490">
        <v>10231.3645780385</v>
      </c>
      <c r="AK33" s="445">
        <v>0.53849287252834399</v>
      </c>
      <c r="AM33" s="475">
        <v>27</v>
      </c>
      <c r="AN33" s="422" t="s">
        <v>1314</v>
      </c>
      <c r="AO33" s="353">
        <v>17000</v>
      </c>
      <c r="AP33" s="460">
        <v>10517.3645780385</v>
      </c>
      <c r="AQ33" s="442">
        <v>0.61866850459050204</v>
      </c>
      <c r="AR33" s="497">
        <v>10387.3645780385</v>
      </c>
      <c r="AS33" s="384">
        <v>0.61102144576697204</v>
      </c>
      <c r="AT33" s="461">
        <v>10231.3645780385</v>
      </c>
      <c r="AU33" s="445">
        <v>0.60184497517873703</v>
      </c>
      <c r="AV33" s="495"/>
    </row>
    <row r="34" spans="1:48" ht="15.5">
      <c r="A34" s="413">
        <v>28</v>
      </c>
      <c r="B34" s="422" t="s">
        <v>1315</v>
      </c>
      <c r="C34" s="424">
        <v>15500</v>
      </c>
      <c r="D34" s="355">
        <f>'HITUNGAN HPP PRODUK'!Y17</f>
        <v>0</v>
      </c>
      <c r="E34" s="352">
        <f t="shared" si="4"/>
        <v>0</v>
      </c>
      <c r="G34" s="413">
        <v>28</v>
      </c>
      <c r="H34" s="422" t="s">
        <v>1315</v>
      </c>
      <c r="I34" s="353">
        <v>15500</v>
      </c>
      <c r="J34" s="446">
        <v>11588.323940087401</v>
      </c>
      <c r="K34" s="442">
        <v>0.74763380258628198</v>
      </c>
      <c r="L34" s="450">
        <v>11405.323940087401</v>
      </c>
      <c r="M34" s="384">
        <f t="shared" si="5"/>
        <v>0.73582735097338103</v>
      </c>
      <c r="N34" s="448">
        <v>11168.5687885722</v>
      </c>
      <c r="O34" s="445">
        <v>0.72055282506917595</v>
      </c>
      <c r="P34" s="449"/>
      <c r="R34" s="413">
        <v>28</v>
      </c>
      <c r="S34" s="422" t="s">
        <v>1315</v>
      </c>
      <c r="T34" s="353">
        <v>24000</v>
      </c>
      <c r="U34" s="460">
        <f>'HITUNGAN HPP PRODUK'!H72+'HITUNGAN HPP PRODUK'!B81+'HITUNGAN HPP PRODUK'!E102</f>
        <v>15949.488922483401</v>
      </c>
      <c r="V34" s="442">
        <f t="shared" si="3"/>
        <v>0.66456203843680794</v>
      </c>
      <c r="W34" s="450">
        <v>12719.795350877201</v>
      </c>
      <c r="X34" s="384">
        <v>0.52999147295321603</v>
      </c>
      <c r="Y34" s="461">
        <v>12578.6359758772</v>
      </c>
      <c r="Z34" s="472">
        <v>0.52410983232821595</v>
      </c>
      <c r="AA34" s="449"/>
      <c r="AB34" s="474"/>
      <c r="AC34" s="475">
        <v>28</v>
      </c>
      <c r="AD34" s="422" t="s">
        <v>1315</v>
      </c>
      <c r="AE34" s="353">
        <v>17000</v>
      </c>
      <c r="AF34" s="446">
        <v>11588.323940087401</v>
      </c>
      <c r="AG34" s="488">
        <v>0.68166611412278699</v>
      </c>
      <c r="AH34" s="450">
        <v>11405.323940087401</v>
      </c>
      <c r="AI34" s="489">
        <v>0.67090140824043398</v>
      </c>
      <c r="AJ34" s="490">
        <v>11168.5687885722</v>
      </c>
      <c r="AK34" s="445">
        <v>0.65697463462189498</v>
      </c>
      <c r="AM34" s="475">
        <v>28</v>
      </c>
      <c r="AN34" s="422" t="s">
        <v>1315</v>
      </c>
      <c r="AO34" s="353">
        <v>17500</v>
      </c>
      <c r="AP34" s="460">
        <v>11588.323940087401</v>
      </c>
      <c r="AQ34" s="442">
        <v>0.66218993943356397</v>
      </c>
      <c r="AR34" s="497">
        <v>11405.323940087401</v>
      </c>
      <c r="AS34" s="384">
        <v>0.65173279657642103</v>
      </c>
      <c r="AT34" s="461">
        <v>11168.5687885722</v>
      </c>
      <c r="AU34" s="445">
        <v>0.63820393077555504</v>
      </c>
      <c r="AV34" s="495"/>
    </row>
    <row r="35" spans="1:48" ht="15.5">
      <c r="A35" s="413">
        <v>29</v>
      </c>
      <c r="B35" s="422"/>
      <c r="C35" s="425"/>
      <c r="D35" s="363"/>
      <c r="E35" s="352"/>
      <c r="G35" s="413">
        <v>29</v>
      </c>
      <c r="H35" s="422"/>
      <c r="I35" s="451"/>
      <c r="J35" s="452"/>
      <c r="K35" s="442"/>
      <c r="L35" s="457"/>
      <c r="M35" s="384"/>
      <c r="N35" s="453"/>
      <c r="O35" s="445"/>
      <c r="P35" s="449"/>
      <c r="R35" s="413">
        <v>29</v>
      </c>
      <c r="S35" s="422"/>
      <c r="T35" s="451"/>
      <c r="U35" s="465"/>
      <c r="V35" s="442"/>
      <c r="W35" s="457"/>
      <c r="X35" s="384"/>
      <c r="Y35" s="479"/>
      <c r="Z35" s="472"/>
      <c r="AA35" s="449"/>
      <c r="AB35" s="474"/>
      <c r="AC35" s="475">
        <v>29</v>
      </c>
      <c r="AD35" s="422"/>
      <c r="AE35" s="477"/>
      <c r="AF35" s="452"/>
      <c r="AG35" s="491"/>
      <c r="AH35" s="457"/>
      <c r="AI35" s="489"/>
      <c r="AJ35" s="493"/>
      <c r="AK35" s="445"/>
      <c r="AM35" s="475">
        <v>29</v>
      </c>
      <c r="AN35" s="422"/>
      <c r="AO35" s="477"/>
      <c r="AP35" s="465"/>
      <c r="AQ35" s="442"/>
      <c r="AR35" s="498"/>
      <c r="AS35" s="384"/>
      <c r="AT35" s="479"/>
      <c r="AU35" s="445"/>
      <c r="AV35" s="495"/>
    </row>
    <row r="36" spans="1:48" ht="15.5">
      <c r="A36" s="413">
        <v>30</v>
      </c>
      <c r="B36" s="422" t="s">
        <v>1316</v>
      </c>
      <c r="C36" s="424">
        <v>12500</v>
      </c>
      <c r="D36" s="355">
        <f>'HITUNGAN HPP PRODUK'!K57</f>
        <v>5698.4353948301896</v>
      </c>
      <c r="E36" s="352">
        <f>D36/C36</f>
        <v>0.45587483158641501</v>
      </c>
      <c r="G36" s="413">
        <v>30</v>
      </c>
      <c r="H36" s="422" t="s">
        <v>1316</v>
      </c>
      <c r="I36" s="353">
        <v>12500</v>
      </c>
      <c r="J36" s="446">
        <v>10326.9868421053</v>
      </c>
      <c r="K36" s="442">
        <v>0.82615894736842099</v>
      </c>
      <c r="L36" s="450">
        <v>10300.9868421053</v>
      </c>
      <c r="M36" s="384">
        <f>L36/I36</f>
        <v>0.82407894736842402</v>
      </c>
      <c r="N36" s="448">
        <v>10263.786842105301</v>
      </c>
      <c r="O36" s="445">
        <v>0.82110294736842104</v>
      </c>
      <c r="P36" s="449"/>
      <c r="R36" s="413">
        <v>30</v>
      </c>
      <c r="S36" s="422" t="s">
        <v>1316</v>
      </c>
      <c r="T36" s="353">
        <v>17000</v>
      </c>
      <c r="U36" s="460">
        <v>10300.9868421053</v>
      </c>
      <c r="V36" s="442">
        <f t="shared" si="3"/>
        <v>0.60594040247678205</v>
      </c>
      <c r="W36" s="450">
        <v>10300.9868421053</v>
      </c>
      <c r="X36" s="384">
        <v>0.60594040247678005</v>
      </c>
      <c r="Y36" s="461">
        <v>10300.9868421053</v>
      </c>
      <c r="Z36" s="472">
        <v>0.60594040247678005</v>
      </c>
      <c r="AA36" s="449"/>
      <c r="AB36" s="474"/>
      <c r="AC36" s="475">
        <v>30</v>
      </c>
      <c r="AD36" s="422" t="s">
        <v>1316</v>
      </c>
      <c r="AE36" s="353">
        <v>16000</v>
      </c>
      <c r="AF36" s="446">
        <v>10326.9868421053</v>
      </c>
      <c r="AG36" s="488">
        <v>0.64543667763157897</v>
      </c>
      <c r="AH36" s="450">
        <v>10300.9868421053</v>
      </c>
      <c r="AI36" s="489">
        <v>0.64381167763157898</v>
      </c>
      <c r="AJ36" s="490">
        <v>10263.786842105301</v>
      </c>
      <c r="AK36" s="445">
        <v>0.64148667763157896</v>
      </c>
      <c r="AM36" s="475">
        <v>30</v>
      </c>
      <c r="AN36" s="422" t="s">
        <v>1316</v>
      </c>
      <c r="AO36" s="353">
        <v>16500</v>
      </c>
      <c r="AP36" s="460">
        <v>10326.9868421053</v>
      </c>
      <c r="AQ36" s="442">
        <v>0.62587799043062198</v>
      </c>
      <c r="AR36" s="497">
        <v>10300.9868421053</v>
      </c>
      <c r="AS36" s="384">
        <v>0.62430223285486397</v>
      </c>
      <c r="AT36" s="461">
        <v>10263.786842105301</v>
      </c>
      <c r="AU36" s="445">
        <v>0.62204768740031902</v>
      </c>
      <c r="AV36" s="495"/>
    </row>
    <row r="37" spans="1:48" ht="15.5">
      <c r="A37" s="413">
        <v>31</v>
      </c>
      <c r="B37" s="422" t="s">
        <v>1317</v>
      </c>
      <c r="C37" s="424">
        <v>14000</v>
      </c>
      <c r="D37" s="355">
        <f>'HITUNGAN HPP PRODUK'!M61</f>
        <v>2003.36</v>
      </c>
      <c r="E37" s="352">
        <f>D37/C37</f>
        <v>0.14309714285714301</v>
      </c>
      <c r="G37" s="413">
        <v>31</v>
      </c>
      <c r="H37" s="422" t="s">
        <v>1317</v>
      </c>
      <c r="I37" s="353">
        <v>14000</v>
      </c>
      <c r="J37" s="446">
        <v>10024.413413771599</v>
      </c>
      <c r="K37" s="442">
        <v>0.71602952955511301</v>
      </c>
      <c r="L37" s="450">
        <v>9881.4134137715791</v>
      </c>
      <c r="M37" s="384">
        <f>L37/I37</f>
        <v>0.70581524384082694</v>
      </c>
      <c r="N37" s="448">
        <v>9692.6582622564292</v>
      </c>
      <c r="O37" s="445">
        <v>0.69233273301831699</v>
      </c>
      <c r="P37" s="449"/>
      <c r="R37" s="413">
        <v>31</v>
      </c>
      <c r="S37" s="422" t="s">
        <v>1317</v>
      </c>
      <c r="T37" s="353">
        <v>18000</v>
      </c>
      <c r="U37" s="460">
        <v>9881.4134137715791</v>
      </c>
      <c r="V37" s="442">
        <f t="shared" si="3"/>
        <v>0.54896741187619902</v>
      </c>
      <c r="W37" s="450">
        <v>9881.4134137715791</v>
      </c>
      <c r="X37" s="384">
        <v>0.54896741187619902</v>
      </c>
      <c r="Y37" s="461">
        <v>9881.4134137715791</v>
      </c>
      <c r="Z37" s="472">
        <v>0.54896741187619902</v>
      </c>
      <c r="AA37" s="449"/>
      <c r="AB37" s="474"/>
      <c r="AC37" s="475">
        <v>31</v>
      </c>
      <c r="AD37" s="422" t="s">
        <v>1317</v>
      </c>
      <c r="AE37" s="353">
        <v>17000</v>
      </c>
      <c r="AF37" s="446">
        <v>10024.413413771599</v>
      </c>
      <c r="AG37" s="488">
        <v>0.58967137728068098</v>
      </c>
      <c r="AH37" s="450">
        <v>9881.4134137715791</v>
      </c>
      <c r="AI37" s="489">
        <v>0.58125961257479897</v>
      </c>
      <c r="AJ37" s="490">
        <v>9692.6582622564292</v>
      </c>
      <c r="AK37" s="445">
        <v>0.57015636836802497</v>
      </c>
      <c r="AM37" s="475">
        <v>31</v>
      </c>
      <c r="AN37" s="422" t="s">
        <v>1317</v>
      </c>
      <c r="AO37" s="353">
        <v>16500</v>
      </c>
      <c r="AP37" s="460">
        <v>10024.413413771599</v>
      </c>
      <c r="AQ37" s="442">
        <v>0.60754020689524701</v>
      </c>
      <c r="AR37" s="497">
        <v>9881.4134137715791</v>
      </c>
      <c r="AS37" s="384">
        <v>0.59887354022858097</v>
      </c>
      <c r="AT37" s="461">
        <v>9692.6582622564292</v>
      </c>
      <c r="AU37" s="445">
        <v>0.58743383407614702</v>
      </c>
      <c r="AV37" s="495"/>
    </row>
    <row r="38" spans="1:48" ht="15.5">
      <c r="A38" s="413">
        <v>32</v>
      </c>
      <c r="B38" s="422" t="s">
        <v>1318</v>
      </c>
      <c r="C38" s="424">
        <v>14500</v>
      </c>
      <c r="D38" s="355">
        <f>'HITUNGAN HPP PRODUK'!O61</f>
        <v>2003.36</v>
      </c>
      <c r="E38" s="352">
        <f>D38/C38</f>
        <v>0.13816275862069</v>
      </c>
      <c r="G38" s="413">
        <v>32</v>
      </c>
      <c r="H38" s="422" t="s">
        <v>1318</v>
      </c>
      <c r="I38" s="353">
        <v>14500</v>
      </c>
      <c r="J38" s="446">
        <v>11315.908325705601</v>
      </c>
      <c r="K38" s="442">
        <v>0.78040747073831496</v>
      </c>
      <c r="L38" s="450">
        <v>11185.908325705601</v>
      </c>
      <c r="M38" s="384">
        <f>L38/I38</f>
        <v>0.771441953496938</v>
      </c>
      <c r="N38" s="448">
        <v>11029.908325705601</v>
      </c>
      <c r="O38" s="445">
        <v>0.76068333280728095</v>
      </c>
      <c r="P38" s="449"/>
      <c r="R38" s="413">
        <v>32</v>
      </c>
      <c r="S38" s="422" t="s">
        <v>1318</v>
      </c>
      <c r="T38" s="353">
        <v>19000</v>
      </c>
      <c r="U38" s="460">
        <v>11185.908325705601</v>
      </c>
      <c r="V38" s="442">
        <f t="shared" si="3"/>
        <v>0.58873201714239998</v>
      </c>
      <c r="W38" s="450">
        <v>11185.908325705601</v>
      </c>
      <c r="X38" s="384">
        <v>0.58873201714239798</v>
      </c>
      <c r="Y38" s="461">
        <v>11185.908325705601</v>
      </c>
      <c r="Z38" s="472">
        <v>0.58873201714239798</v>
      </c>
      <c r="AA38" s="449"/>
      <c r="AB38" s="474"/>
      <c r="AC38" s="475">
        <v>32</v>
      </c>
      <c r="AD38" s="422" t="s">
        <v>1318</v>
      </c>
      <c r="AE38" s="353">
        <v>18000</v>
      </c>
      <c r="AF38" s="446">
        <v>11315.908325705601</v>
      </c>
      <c r="AG38" s="488">
        <v>0.62866157365030895</v>
      </c>
      <c r="AH38" s="450">
        <v>11185.908325705601</v>
      </c>
      <c r="AI38" s="489">
        <v>0.62143935142808704</v>
      </c>
      <c r="AJ38" s="490">
        <v>11029.908325705601</v>
      </c>
      <c r="AK38" s="445">
        <v>0.61277268476141999</v>
      </c>
      <c r="AM38" s="475">
        <v>32</v>
      </c>
      <c r="AN38" s="422" t="s">
        <v>1318</v>
      </c>
      <c r="AO38" s="353">
        <v>17000</v>
      </c>
      <c r="AP38" s="460">
        <v>11315.908325705601</v>
      </c>
      <c r="AQ38" s="442">
        <v>0.66564166621797505</v>
      </c>
      <c r="AR38" s="497">
        <v>11185.908325705601</v>
      </c>
      <c r="AS38" s="384">
        <v>0.65799460739444504</v>
      </c>
      <c r="AT38" s="461">
        <v>11029.908325705601</v>
      </c>
      <c r="AU38" s="445">
        <v>0.64881813680621003</v>
      </c>
      <c r="AV38" s="495"/>
    </row>
    <row r="39" spans="1:48" ht="15.5">
      <c r="A39" s="413">
        <v>33</v>
      </c>
      <c r="B39" s="422" t="s">
        <v>1319</v>
      </c>
      <c r="C39" s="424">
        <v>16000</v>
      </c>
      <c r="D39" s="355">
        <f>'HITUNGAN HPP PRODUK'!Q61</f>
        <v>1555.36</v>
      </c>
      <c r="E39" s="352">
        <f>D39/C39</f>
        <v>9.7210000000000005E-2</v>
      </c>
      <c r="G39" s="413">
        <v>33</v>
      </c>
      <c r="H39" s="422" t="s">
        <v>1319</v>
      </c>
      <c r="I39" s="353">
        <v>16000</v>
      </c>
      <c r="J39" s="446">
        <v>11464.413413771599</v>
      </c>
      <c r="K39" s="442">
        <v>0.71652583836072403</v>
      </c>
      <c r="L39" s="450">
        <v>11281.413413771599</v>
      </c>
      <c r="M39" s="384">
        <f>L39/I39</f>
        <v>0.70508833836072504</v>
      </c>
      <c r="N39" s="448">
        <v>11044.6582622564</v>
      </c>
      <c r="O39" s="445">
        <v>0.69029114139102699</v>
      </c>
      <c r="P39" s="449"/>
      <c r="R39" s="413">
        <v>33</v>
      </c>
      <c r="S39" s="422" t="s">
        <v>1319</v>
      </c>
      <c r="T39" s="353">
        <v>20000</v>
      </c>
      <c r="U39" s="460">
        <v>11281.413413771599</v>
      </c>
      <c r="V39" s="442">
        <f t="shared" si="3"/>
        <v>0.56407067068857997</v>
      </c>
      <c r="W39" s="450">
        <v>11281.413413771599</v>
      </c>
      <c r="X39" s="384">
        <v>0.56407067068857897</v>
      </c>
      <c r="Y39" s="461">
        <v>11281.413413771599</v>
      </c>
      <c r="Z39" s="472">
        <v>0.56407067068857897</v>
      </c>
      <c r="AA39" s="449"/>
      <c r="AB39" s="474"/>
      <c r="AC39" s="475">
        <v>33</v>
      </c>
      <c r="AD39" s="422" t="s">
        <v>1319</v>
      </c>
      <c r="AE39" s="353">
        <v>19000</v>
      </c>
      <c r="AF39" s="446">
        <v>11464.413413771599</v>
      </c>
      <c r="AG39" s="488">
        <v>0.603390179672189</v>
      </c>
      <c r="AH39" s="450">
        <v>11281.413413771599</v>
      </c>
      <c r="AI39" s="489">
        <v>0.59375860072482001</v>
      </c>
      <c r="AJ39" s="490">
        <v>11044.6582622564</v>
      </c>
      <c r="AK39" s="445">
        <v>0.58129780327665403</v>
      </c>
      <c r="AM39" s="475">
        <v>33</v>
      </c>
      <c r="AN39" s="422" t="s">
        <v>1319</v>
      </c>
      <c r="AO39" s="353">
        <v>18000</v>
      </c>
      <c r="AP39" s="460">
        <v>11464.413413771599</v>
      </c>
      <c r="AQ39" s="442">
        <v>0.63691185632064395</v>
      </c>
      <c r="AR39" s="497">
        <v>11281.413413771599</v>
      </c>
      <c r="AS39" s="384">
        <v>0.62674518965397696</v>
      </c>
      <c r="AT39" s="461">
        <v>11044.6582622564</v>
      </c>
      <c r="AU39" s="445">
        <v>0.61359212568091304</v>
      </c>
      <c r="AV39" s="495"/>
    </row>
    <row r="40" spans="1:48" ht="15.5">
      <c r="A40" s="413">
        <v>34</v>
      </c>
      <c r="B40" s="422" t="s">
        <v>1320</v>
      </c>
      <c r="C40" s="424">
        <v>14500</v>
      </c>
      <c r="D40" s="355">
        <f>'HITUNGAN HPP PRODUK'!S61</f>
        <v>10671.3131362116</v>
      </c>
      <c r="E40" s="352">
        <f>D40/C40</f>
        <v>0.73595263008355905</v>
      </c>
      <c r="G40" s="413">
        <v>34</v>
      </c>
      <c r="H40" s="422" t="s">
        <v>1320</v>
      </c>
      <c r="I40" s="353">
        <v>14500</v>
      </c>
      <c r="J40" s="446">
        <v>7802.0049122807004</v>
      </c>
      <c r="K40" s="442">
        <v>0.53806930429522104</v>
      </c>
      <c r="L40" s="450">
        <v>7713.2906265664196</v>
      </c>
      <c r="M40" s="384">
        <f>L40/I40</f>
        <v>0.531951077694236</v>
      </c>
      <c r="N40" s="448">
        <v>7607.2263408521303</v>
      </c>
      <c r="O40" s="445">
        <v>0.52463629936911205</v>
      </c>
      <c r="P40" s="449"/>
      <c r="R40" s="413">
        <v>34</v>
      </c>
      <c r="S40" s="422" t="s">
        <v>1320</v>
      </c>
      <c r="T40" s="353">
        <v>20000</v>
      </c>
      <c r="U40" s="460">
        <f>'HITUNGAN HPP PRODUK'!E102+'HITUNGAN HPP PRODUK'!H63+1875</f>
        <v>11277.8231836584</v>
      </c>
      <c r="V40" s="442">
        <f t="shared" si="3"/>
        <v>0.56389115918292199</v>
      </c>
      <c r="W40" s="450">
        <v>9323.2834210526307</v>
      </c>
      <c r="X40" s="384">
        <v>0.46616417105263203</v>
      </c>
      <c r="Y40" s="461">
        <v>9182.1240460526296</v>
      </c>
      <c r="Z40" s="472">
        <v>0.45910620230263199</v>
      </c>
      <c r="AA40" s="449"/>
      <c r="AB40" s="474"/>
      <c r="AC40" s="475">
        <v>34</v>
      </c>
      <c r="AD40" s="422" t="s">
        <v>1320</v>
      </c>
      <c r="AE40" s="353">
        <v>19000</v>
      </c>
      <c r="AF40" s="446">
        <v>7802.0049122807004</v>
      </c>
      <c r="AG40" s="488">
        <v>0.410631837488458</v>
      </c>
      <c r="AH40" s="450">
        <v>7713.2906265664196</v>
      </c>
      <c r="AI40" s="489">
        <v>0.40596266455612701</v>
      </c>
      <c r="AJ40" s="490">
        <v>7607.2263408521303</v>
      </c>
      <c r="AK40" s="445">
        <v>0.40038033372906001</v>
      </c>
      <c r="AM40" s="475">
        <v>34</v>
      </c>
      <c r="AN40" s="422" t="s">
        <v>1320</v>
      </c>
      <c r="AO40" s="353">
        <v>16000</v>
      </c>
      <c r="AP40" s="460">
        <v>7802.0049122807004</v>
      </c>
      <c r="AQ40" s="442">
        <v>0.48762530701754397</v>
      </c>
      <c r="AR40" s="497">
        <v>7713.2906265664196</v>
      </c>
      <c r="AS40" s="384">
        <v>0.48208066416040102</v>
      </c>
      <c r="AT40" s="461">
        <v>7607.2263408521303</v>
      </c>
      <c r="AU40" s="445">
        <v>0.47545164630325798</v>
      </c>
      <c r="AV40" s="495"/>
    </row>
    <row r="41" spans="1:48" ht="15.5">
      <c r="A41" s="413">
        <v>35</v>
      </c>
      <c r="B41" s="422"/>
      <c r="C41" s="425"/>
      <c r="D41" s="363"/>
      <c r="E41" s="352"/>
      <c r="G41" s="413">
        <v>35</v>
      </c>
      <c r="H41" s="422"/>
      <c r="I41" s="451"/>
      <c r="J41" s="452"/>
      <c r="K41" s="442"/>
      <c r="L41" s="457"/>
      <c r="M41" s="384"/>
      <c r="N41" s="453"/>
      <c r="O41" s="445"/>
      <c r="P41" s="449"/>
      <c r="R41" s="413">
        <v>35</v>
      </c>
      <c r="S41" s="422"/>
      <c r="T41" s="451"/>
      <c r="U41" s="465"/>
      <c r="V41" s="442"/>
      <c r="W41" s="457"/>
      <c r="X41" s="384"/>
      <c r="Y41" s="479"/>
      <c r="Z41" s="472"/>
      <c r="AA41" s="449"/>
      <c r="AB41" s="474"/>
      <c r="AC41" s="475">
        <v>35</v>
      </c>
      <c r="AD41" s="422"/>
      <c r="AE41" s="477"/>
      <c r="AF41" s="452"/>
      <c r="AG41" s="491"/>
      <c r="AH41" s="457"/>
      <c r="AI41" s="489"/>
      <c r="AJ41" s="493"/>
      <c r="AK41" s="445"/>
      <c r="AM41" s="475">
        <v>35</v>
      </c>
      <c r="AN41" s="422"/>
      <c r="AO41" s="477"/>
      <c r="AP41" s="465"/>
      <c r="AQ41" s="442"/>
      <c r="AR41" s="498"/>
      <c r="AS41" s="384"/>
      <c r="AT41" s="479"/>
      <c r="AU41" s="445"/>
      <c r="AV41" s="495"/>
    </row>
    <row r="42" spans="1:48" ht="15.5">
      <c r="A42" s="413">
        <v>36</v>
      </c>
      <c r="B42" s="422" t="s">
        <v>1733</v>
      </c>
      <c r="C42" s="427">
        <v>14500</v>
      </c>
      <c r="D42" s="355">
        <f>'HITUNGAN HPP PRODUK'!AA18</f>
        <v>8428.3343067735095</v>
      </c>
      <c r="E42" s="352">
        <f>D42/C42</f>
        <v>0.58126443494989699</v>
      </c>
      <c r="G42" s="413">
        <v>36</v>
      </c>
      <c r="H42" s="422" t="s">
        <v>1733</v>
      </c>
      <c r="I42" s="362">
        <v>14500</v>
      </c>
      <c r="J42" s="458">
        <v>11100.449410921099</v>
      </c>
      <c r="K42" s="442">
        <v>0.76554823523593996</v>
      </c>
      <c r="L42" s="450">
        <v>10967.449410921099</v>
      </c>
      <c r="M42" s="384">
        <f>L42/I42</f>
        <v>0.756375821442834</v>
      </c>
      <c r="N42" s="459">
        <v>10788.421532133299</v>
      </c>
      <c r="O42" s="445">
        <v>0.744029071181604</v>
      </c>
      <c r="P42" s="449"/>
      <c r="R42" s="413">
        <v>36</v>
      </c>
      <c r="S42" s="422" t="s">
        <v>1733</v>
      </c>
      <c r="T42" s="466">
        <v>18000</v>
      </c>
      <c r="U42" s="460">
        <f>'HITUNGAN HPP PRODUK'!Q72+1875+'HITUNGAN HPP PRODUK'!H63</f>
        <v>2829.3859649122801</v>
      </c>
      <c r="V42" s="442">
        <f t="shared" si="3"/>
        <v>0.15718810916179299</v>
      </c>
      <c r="W42" s="450">
        <v>10881.519474377599</v>
      </c>
      <c r="X42" s="384">
        <v>0.60452885968764702</v>
      </c>
      <c r="Y42" s="461">
        <v>10702.4915955898</v>
      </c>
      <c r="Z42" s="472">
        <v>0.59458286642165403</v>
      </c>
      <c r="AA42" s="449"/>
      <c r="AB42" s="474"/>
      <c r="AC42" s="475">
        <v>36</v>
      </c>
      <c r="AD42" s="422" t="s">
        <v>1733</v>
      </c>
      <c r="AE42" s="480">
        <v>16000</v>
      </c>
      <c r="AF42" s="481">
        <v>11100.449410921099</v>
      </c>
      <c r="AG42" s="494">
        <v>0.69377808818257103</v>
      </c>
      <c r="AH42" s="450">
        <v>10967.449410921099</v>
      </c>
      <c r="AI42" s="489">
        <v>0.68546558818257097</v>
      </c>
      <c r="AJ42" s="490">
        <v>10788.421532133299</v>
      </c>
      <c r="AK42" s="445">
        <v>0.67427634575832796</v>
      </c>
      <c r="AM42" s="475">
        <v>36</v>
      </c>
      <c r="AN42" s="422" t="s">
        <v>1733</v>
      </c>
      <c r="AO42" s="480">
        <v>16000</v>
      </c>
      <c r="AP42" s="460">
        <v>11100.449410921099</v>
      </c>
      <c r="AQ42" s="442">
        <v>0.69377808818257103</v>
      </c>
      <c r="AR42" s="497">
        <v>10967.449410921099</v>
      </c>
      <c r="AS42" s="384">
        <v>0.68546558818257097</v>
      </c>
      <c r="AT42" s="461">
        <v>10788.421532133299</v>
      </c>
      <c r="AU42" s="445">
        <v>0.67427634575832796</v>
      </c>
      <c r="AV42" s="495"/>
    </row>
    <row r="43" spans="1:48" ht="15.5">
      <c r="A43" s="413">
        <v>37</v>
      </c>
      <c r="B43" s="422" t="s">
        <v>1734</v>
      </c>
      <c r="C43" s="424">
        <v>15500</v>
      </c>
      <c r="D43" s="355">
        <f>'HITUNGAN HPP PRODUK'!AC18</f>
        <v>9573.3750760042803</v>
      </c>
      <c r="E43" s="352">
        <f>D43/C43</f>
        <v>0.61763710167769503</v>
      </c>
      <c r="G43" s="413">
        <v>37</v>
      </c>
      <c r="H43" s="422" t="s">
        <v>1734</v>
      </c>
      <c r="I43" s="353">
        <v>15500</v>
      </c>
      <c r="J43" s="446">
        <v>11460.449410921099</v>
      </c>
      <c r="K43" s="442">
        <v>0.73938383296265398</v>
      </c>
      <c r="L43" s="450">
        <v>11317.449410921099</v>
      </c>
      <c r="M43" s="384">
        <f>L43/I43</f>
        <v>0.730158026511039</v>
      </c>
      <c r="N43" s="448">
        <v>11126.421532133299</v>
      </c>
      <c r="O43" s="445">
        <v>0.71783364723440302</v>
      </c>
      <c r="P43" s="449"/>
      <c r="R43" s="413">
        <v>37</v>
      </c>
      <c r="S43" s="422" t="s">
        <v>1734</v>
      </c>
      <c r="T43" s="466">
        <v>19000</v>
      </c>
      <c r="U43" s="460">
        <f>'HITUNGAN HPP PRODUK'!O72+1875+'HITUNGAN HPP PRODUK'!H63</f>
        <v>2829.3859649122801</v>
      </c>
      <c r="V43" s="442">
        <f t="shared" si="3"/>
        <v>0.14891505078485701</v>
      </c>
      <c r="W43" s="450">
        <v>11231.519474377599</v>
      </c>
      <c r="X43" s="384">
        <v>0.59113260391461298</v>
      </c>
      <c r="Y43" s="461">
        <v>11040.4915955898</v>
      </c>
      <c r="Z43" s="472">
        <v>0.58107850503103997</v>
      </c>
      <c r="AA43" s="449"/>
      <c r="AB43" s="474"/>
      <c r="AC43" s="475">
        <v>37</v>
      </c>
      <c r="AD43" s="422" t="s">
        <v>1734</v>
      </c>
      <c r="AE43" s="480">
        <v>17000</v>
      </c>
      <c r="AF43" s="481">
        <v>11460.449410921099</v>
      </c>
      <c r="AG43" s="494">
        <v>0.67414408299536099</v>
      </c>
      <c r="AH43" s="450">
        <v>11317.449410921099</v>
      </c>
      <c r="AI43" s="489">
        <v>0.66573231828947799</v>
      </c>
      <c r="AJ43" s="490">
        <v>11126.421532133299</v>
      </c>
      <c r="AK43" s="445">
        <v>0.65449538424313203</v>
      </c>
      <c r="AM43" s="475">
        <v>37</v>
      </c>
      <c r="AN43" s="422" t="s">
        <v>1734</v>
      </c>
      <c r="AO43" s="480">
        <v>17000</v>
      </c>
      <c r="AP43" s="460">
        <v>11460.449410921099</v>
      </c>
      <c r="AQ43" s="442">
        <v>0.67414408299536099</v>
      </c>
      <c r="AR43" s="497">
        <v>11317.449410921099</v>
      </c>
      <c r="AS43" s="384">
        <v>0.66573231828947799</v>
      </c>
      <c r="AT43" s="461">
        <v>11126.421532133299</v>
      </c>
      <c r="AU43" s="445">
        <v>0.65449538424313203</v>
      </c>
      <c r="AV43" s="495"/>
    </row>
    <row r="44" spans="1:48" ht="15.5">
      <c r="A44" s="413">
        <v>38</v>
      </c>
      <c r="B44" s="422" t="s">
        <v>1735</v>
      </c>
      <c r="C44" s="424">
        <v>17500</v>
      </c>
      <c r="D44" s="355">
        <f>'HITUNGAN HPP PRODUK'!AE18</f>
        <v>11505.718922158099</v>
      </c>
      <c r="E44" s="352">
        <f>D44/C44</f>
        <v>0.65746965269475</v>
      </c>
      <c r="G44" s="413">
        <v>38</v>
      </c>
      <c r="H44" s="422" t="s">
        <v>1735</v>
      </c>
      <c r="I44" s="353">
        <v>17500</v>
      </c>
      <c r="J44" s="446">
        <v>12015.9757267106</v>
      </c>
      <c r="K44" s="442">
        <v>0.68662718438346304</v>
      </c>
      <c r="L44" s="450">
        <v>11832.9757267106</v>
      </c>
      <c r="M44" s="384">
        <f>L44/I44</f>
        <v>0.67617004152631999</v>
      </c>
      <c r="N44" s="448">
        <v>11593.9478479227</v>
      </c>
      <c r="O44" s="445">
        <v>0.66251130559558402</v>
      </c>
      <c r="P44" s="449"/>
      <c r="R44" s="413">
        <v>38</v>
      </c>
      <c r="S44" s="422" t="s">
        <v>1735</v>
      </c>
      <c r="T44" s="466">
        <v>21000</v>
      </c>
      <c r="U44" s="460">
        <f>'HITUNGAN HPP PRODUK'!H63+1875+'HITUNGAN HPP PRODUK'!M72</f>
        <v>2829.3859649122801</v>
      </c>
      <c r="V44" s="442">
        <f t="shared" si="3"/>
        <v>0.13473266499582301</v>
      </c>
      <c r="W44" s="450">
        <v>12806.519474377599</v>
      </c>
      <c r="X44" s="384">
        <v>0.60983426068464996</v>
      </c>
      <c r="Y44" s="461">
        <v>12561.4915955898</v>
      </c>
      <c r="Z44" s="472">
        <v>0.59816626645665505</v>
      </c>
      <c r="AA44" s="449"/>
      <c r="AB44" s="474"/>
      <c r="AC44" s="475">
        <v>38</v>
      </c>
      <c r="AD44" s="422" t="s">
        <v>1735</v>
      </c>
      <c r="AE44" s="480">
        <v>19000</v>
      </c>
      <c r="AF44" s="481">
        <v>12015.9757267106</v>
      </c>
      <c r="AG44" s="494">
        <v>0.632419775090032</v>
      </c>
      <c r="AH44" s="450">
        <v>11832.9757267106</v>
      </c>
      <c r="AI44" s="489">
        <v>0.62278819614266301</v>
      </c>
      <c r="AJ44" s="490">
        <v>11593.9478479227</v>
      </c>
      <c r="AK44" s="445">
        <v>0.61020778146961696</v>
      </c>
      <c r="AM44" s="475">
        <v>38</v>
      </c>
      <c r="AN44" s="422" t="s">
        <v>1735</v>
      </c>
      <c r="AO44" s="480">
        <v>19000</v>
      </c>
      <c r="AP44" s="460">
        <v>12015.9757267106</v>
      </c>
      <c r="AQ44" s="442">
        <v>0.632419775090032</v>
      </c>
      <c r="AR44" s="497">
        <v>11832.9757267106</v>
      </c>
      <c r="AS44" s="384">
        <v>0.62278819614266301</v>
      </c>
      <c r="AT44" s="461">
        <v>11593.9478479227</v>
      </c>
      <c r="AU44" s="445">
        <v>0.61020778146961696</v>
      </c>
      <c r="AV44" s="495"/>
    </row>
    <row r="45" spans="1:48" ht="15.5">
      <c r="A45" s="413"/>
      <c r="B45" s="422"/>
      <c r="C45" s="424"/>
      <c r="D45" s="355"/>
      <c r="E45" s="352"/>
      <c r="G45" s="413"/>
      <c r="H45" s="422"/>
      <c r="I45" s="353"/>
      <c r="J45" s="446"/>
      <c r="K45" s="442"/>
      <c r="L45" s="450"/>
      <c r="M45" s="384"/>
      <c r="N45" s="448"/>
      <c r="O45" s="445"/>
      <c r="P45" s="449"/>
      <c r="R45" s="413"/>
      <c r="S45" s="422"/>
      <c r="T45" s="353"/>
      <c r="U45" s="460"/>
      <c r="V45" s="442"/>
      <c r="W45" s="450"/>
      <c r="X45" s="384"/>
      <c r="Y45" s="461"/>
      <c r="Z45" s="472"/>
      <c r="AA45" s="449"/>
      <c r="AB45" s="474"/>
      <c r="AC45" s="475"/>
      <c r="AD45" s="422"/>
      <c r="AE45" s="353"/>
      <c r="AF45" s="446"/>
      <c r="AG45" s="488"/>
      <c r="AH45" s="450"/>
      <c r="AI45" s="489"/>
      <c r="AJ45" s="490"/>
      <c r="AK45" s="445"/>
      <c r="AM45" s="475"/>
      <c r="AN45" s="422"/>
      <c r="AO45" s="353"/>
      <c r="AP45" s="460"/>
      <c r="AQ45" s="442"/>
      <c r="AR45" s="497"/>
      <c r="AS45" s="384"/>
      <c r="AT45" s="461"/>
      <c r="AU45" s="445"/>
      <c r="AV45" s="495"/>
    </row>
    <row r="46" spans="1:48" ht="15.5">
      <c r="A46" s="413"/>
      <c r="B46" s="422" t="s">
        <v>1736</v>
      </c>
      <c r="C46" s="424"/>
      <c r="D46" s="355"/>
      <c r="E46" s="352" t="e">
        <f>D46/C46</f>
        <v>#DIV/0!</v>
      </c>
      <c r="G46" s="413"/>
      <c r="H46" s="422" t="s">
        <v>1736</v>
      </c>
      <c r="I46" s="353"/>
      <c r="J46" s="446"/>
      <c r="K46" s="442" t="e">
        <v>#DIV/0!</v>
      </c>
      <c r="L46" s="450"/>
      <c r="M46" s="384"/>
      <c r="N46" s="448"/>
      <c r="O46" s="445"/>
      <c r="P46" s="449"/>
      <c r="R46" s="413"/>
      <c r="S46" s="422" t="s">
        <v>1736</v>
      </c>
      <c r="T46" s="466">
        <v>14500</v>
      </c>
      <c r="U46" s="460">
        <f>D46</f>
        <v>0</v>
      </c>
      <c r="V46" s="442">
        <f t="shared" si="3"/>
        <v>0</v>
      </c>
      <c r="W46" s="450">
        <v>0</v>
      </c>
      <c r="X46" s="384">
        <v>0</v>
      </c>
      <c r="Y46" s="461">
        <v>0</v>
      </c>
      <c r="Z46" s="472">
        <v>0</v>
      </c>
      <c r="AA46" s="449"/>
      <c r="AB46" s="474"/>
      <c r="AC46" s="475"/>
      <c r="AD46" s="422" t="s">
        <v>1736</v>
      </c>
      <c r="AE46" s="480">
        <v>14000</v>
      </c>
      <c r="AF46" s="481"/>
      <c r="AG46" s="494">
        <v>0</v>
      </c>
      <c r="AH46" s="450"/>
      <c r="AI46" s="489">
        <v>0</v>
      </c>
      <c r="AJ46" s="490"/>
      <c r="AK46" s="445">
        <v>0</v>
      </c>
      <c r="AM46" s="475"/>
      <c r="AN46" s="422" t="s">
        <v>1736</v>
      </c>
      <c r="AO46" s="480">
        <v>14000</v>
      </c>
      <c r="AP46" s="460"/>
      <c r="AQ46" s="442">
        <v>0</v>
      </c>
      <c r="AR46" s="497"/>
      <c r="AS46" s="384">
        <v>0</v>
      </c>
      <c r="AT46" s="461"/>
      <c r="AU46" s="445">
        <v>0</v>
      </c>
      <c r="AV46" s="495"/>
    </row>
    <row r="47" spans="1:48" ht="15.5">
      <c r="A47" s="413"/>
      <c r="B47" s="422" t="s">
        <v>1737</v>
      </c>
      <c r="C47" s="424"/>
      <c r="D47" s="355"/>
      <c r="E47" s="352" t="e">
        <f>D47/C47</f>
        <v>#DIV/0!</v>
      </c>
      <c r="G47" s="413"/>
      <c r="H47" s="422" t="s">
        <v>1737</v>
      </c>
      <c r="I47" s="353"/>
      <c r="J47" s="446"/>
      <c r="K47" s="442" t="e">
        <v>#DIV/0!</v>
      </c>
      <c r="L47" s="450"/>
      <c r="M47" s="384"/>
      <c r="N47" s="448"/>
      <c r="O47" s="445"/>
      <c r="P47" s="449"/>
      <c r="R47" s="413"/>
      <c r="S47" s="422" t="s">
        <v>1737</v>
      </c>
      <c r="T47" s="466">
        <v>14500</v>
      </c>
      <c r="U47" s="460">
        <f>D47</f>
        <v>0</v>
      </c>
      <c r="V47" s="442">
        <f t="shared" si="3"/>
        <v>0</v>
      </c>
      <c r="W47" s="450">
        <v>0</v>
      </c>
      <c r="X47" s="384">
        <v>0</v>
      </c>
      <c r="Y47" s="461">
        <v>0</v>
      </c>
      <c r="Z47" s="472">
        <v>0</v>
      </c>
      <c r="AA47" s="449"/>
      <c r="AB47" s="474"/>
      <c r="AC47" s="475"/>
      <c r="AD47" s="422" t="s">
        <v>1737</v>
      </c>
      <c r="AE47" s="480">
        <v>14000</v>
      </c>
      <c r="AF47" s="481"/>
      <c r="AG47" s="494">
        <v>0</v>
      </c>
      <c r="AH47" s="450"/>
      <c r="AI47" s="489">
        <v>0</v>
      </c>
      <c r="AJ47" s="490"/>
      <c r="AK47" s="445">
        <v>0</v>
      </c>
      <c r="AM47" s="475"/>
      <c r="AN47" s="422" t="s">
        <v>1737</v>
      </c>
      <c r="AO47" s="480">
        <v>14000</v>
      </c>
      <c r="AP47" s="460"/>
      <c r="AQ47" s="442">
        <v>0</v>
      </c>
      <c r="AR47" s="497"/>
      <c r="AS47" s="384">
        <v>0</v>
      </c>
      <c r="AT47" s="461"/>
      <c r="AU47" s="445">
        <v>0</v>
      </c>
      <c r="AV47" s="495"/>
    </row>
    <row r="48" spans="1:48" ht="15.5">
      <c r="A48" s="413"/>
      <c r="B48" s="422" t="s">
        <v>1738</v>
      </c>
      <c r="C48" s="424"/>
      <c r="D48" s="355"/>
      <c r="E48" s="352" t="e">
        <f>D48/C48</f>
        <v>#DIV/0!</v>
      </c>
      <c r="G48" s="413"/>
      <c r="H48" s="422" t="s">
        <v>1738</v>
      </c>
      <c r="I48" s="353"/>
      <c r="J48" s="446"/>
      <c r="K48" s="442" t="e">
        <v>#DIV/0!</v>
      </c>
      <c r="L48" s="450"/>
      <c r="M48" s="384"/>
      <c r="N48" s="448"/>
      <c r="O48" s="445"/>
      <c r="P48" s="449"/>
      <c r="R48" s="413"/>
      <c r="S48" s="422" t="s">
        <v>1738</v>
      </c>
      <c r="T48" s="466">
        <v>13500</v>
      </c>
      <c r="U48" s="460">
        <f>D48</f>
        <v>0</v>
      </c>
      <c r="V48" s="442">
        <f t="shared" si="3"/>
        <v>0</v>
      </c>
      <c r="W48" s="450">
        <v>0</v>
      </c>
      <c r="X48" s="384">
        <v>0</v>
      </c>
      <c r="Y48" s="461">
        <v>0</v>
      </c>
      <c r="Z48" s="472">
        <v>0</v>
      </c>
      <c r="AA48" s="449"/>
      <c r="AB48" s="474"/>
      <c r="AC48" s="475"/>
      <c r="AD48" s="422" t="s">
        <v>1738</v>
      </c>
      <c r="AE48" s="480">
        <v>13000</v>
      </c>
      <c r="AF48" s="481"/>
      <c r="AG48" s="494">
        <v>0</v>
      </c>
      <c r="AH48" s="450"/>
      <c r="AI48" s="489">
        <v>0</v>
      </c>
      <c r="AJ48" s="490"/>
      <c r="AK48" s="445">
        <v>0</v>
      </c>
      <c r="AM48" s="475"/>
      <c r="AN48" s="422" t="s">
        <v>1738</v>
      </c>
      <c r="AO48" s="480">
        <v>13000</v>
      </c>
      <c r="AP48" s="460"/>
      <c r="AQ48" s="442">
        <v>0</v>
      </c>
      <c r="AR48" s="497"/>
      <c r="AS48" s="384">
        <v>0</v>
      </c>
      <c r="AT48" s="461"/>
      <c r="AU48" s="445">
        <v>0</v>
      </c>
      <c r="AV48" s="495"/>
    </row>
    <row r="49" spans="1:48" ht="15.5">
      <c r="A49" s="413">
        <v>39</v>
      </c>
      <c r="B49" s="422" t="s">
        <v>1739</v>
      </c>
      <c r="C49" s="425"/>
      <c r="D49" s="363"/>
      <c r="E49" s="352" t="e">
        <f>D49/C49</f>
        <v>#DIV/0!</v>
      </c>
      <c r="G49" s="413"/>
      <c r="H49" s="422" t="s">
        <v>1739</v>
      </c>
      <c r="I49" s="451"/>
      <c r="J49" s="452"/>
      <c r="K49" s="442" t="e">
        <v>#DIV/0!</v>
      </c>
      <c r="L49" s="457"/>
      <c r="M49" s="384"/>
      <c r="N49" s="453"/>
      <c r="O49" s="445"/>
      <c r="P49" s="449"/>
      <c r="R49" s="413">
        <v>39</v>
      </c>
      <c r="S49" s="422" t="s">
        <v>1739</v>
      </c>
      <c r="T49" s="466">
        <v>12500</v>
      </c>
      <c r="U49" s="465">
        <f>D49</f>
        <v>0</v>
      </c>
      <c r="V49" s="442">
        <f t="shared" si="3"/>
        <v>0</v>
      </c>
      <c r="W49" s="457">
        <v>0</v>
      </c>
      <c r="X49" s="384">
        <v>0</v>
      </c>
      <c r="Y49" s="479">
        <v>0</v>
      </c>
      <c r="Z49" s="472">
        <v>0</v>
      </c>
      <c r="AA49" s="449"/>
      <c r="AB49" s="474"/>
      <c r="AC49" s="475">
        <v>39</v>
      </c>
      <c r="AD49" s="422" t="s">
        <v>1739</v>
      </c>
      <c r="AE49" s="480">
        <v>12000</v>
      </c>
      <c r="AF49" s="481"/>
      <c r="AG49" s="494">
        <v>0</v>
      </c>
      <c r="AH49" s="457"/>
      <c r="AI49" s="489">
        <v>0</v>
      </c>
      <c r="AJ49" s="493"/>
      <c r="AK49" s="445">
        <v>0</v>
      </c>
      <c r="AM49" s="475">
        <v>39</v>
      </c>
      <c r="AN49" s="422" t="s">
        <v>1739</v>
      </c>
      <c r="AO49" s="480">
        <v>12000</v>
      </c>
      <c r="AP49" s="465"/>
      <c r="AQ49" s="442">
        <v>0</v>
      </c>
      <c r="AR49" s="498"/>
      <c r="AS49" s="384">
        <v>0</v>
      </c>
      <c r="AT49" s="479"/>
      <c r="AU49" s="445">
        <v>0</v>
      </c>
      <c r="AV49" s="495"/>
    </row>
    <row r="50" spans="1:48" ht="15.5">
      <c r="A50" s="413"/>
      <c r="B50" s="422"/>
      <c r="C50" s="425"/>
      <c r="D50" s="363"/>
      <c r="E50" s="352"/>
      <c r="G50" s="413"/>
      <c r="H50" s="422"/>
      <c r="I50" s="451"/>
      <c r="J50" s="452"/>
      <c r="K50" s="442"/>
      <c r="L50" s="457"/>
      <c r="M50" s="384"/>
      <c r="N50" s="453"/>
      <c r="O50" s="445"/>
      <c r="P50" s="449"/>
      <c r="R50" s="413"/>
      <c r="S50" s="422"/>
      <c r="T50" s="451"/>
      <c r="U50" s="465"/>
      <c r="V50" s="442"/>
      <c r="W50" s="457"/>
      <c r="X50" s="384"/>
      <c r="Y50" s="479"/>
      <c r="Z50" s="472"/>
      <c r="AA50" s="449"/>
      <c r="AB50" s="474"/>
      <c r="AC50" s="475"/>
      <c r="AD50" s="422"/>
      <c r="AE50" s="477"/>
      <c r="AF50" s="452"/>
      <c r="AG50" s="491"/>
      <c r="AH50" s="457"/>
      <c r="AI50" s="489"/>
      <c r="AJ50" s="493"/>
      <c r="AK50" s="445"/>
      <c r="AM50" s="475"/>
      <c r="AN50" s="422"/>
      <c r="AO50" s="477"/>
      <c r="AP50" s="465"/>
      <c r="AQ50" s="442"/>
      <c r="AR50" s="498"/>
      <c r="AS50" s="384"/>
      <c r="AT50" s="479"/>
      <c r="AU50" s="445"/>
      <c r="AV50" s="495"/>
    </row>
    <row r="51" spans="1:48" ht="15.5">
      <c r="A51" s="413">
        <v>40</v>
      </c>
      <c r="B51" s="422" t="s">
        <v>1353</v>
      </c>
      <c r="C51" s="426">
        <v>8000</v>
      </c>
      <c r="D51" s="355">
        <f>'HITUNGAN HPP PRODUK'!AC58</f>
        <v>7746.7072025224998</v>
      </c>
      <c r="E51" s="352">
        <f>D51/C51</f>
        <v>0.96833840031531204</v>
      </c>
      <c r="G51" s="413">
        <v>40</v>
      </c>
      <c r="H51" s="422" t="s">
        <v>1353</v>
      </c>
      <c r="I51" s="454">
        <v>8000</v>
      </c>
      <c r="J51" s="455">
        <v>8245.4134137715791</v>
      </c>
      <c r="K51" s="442">
        <v>1.0306766767214499</v>
      </c>
      <c r="L51" s="450">
        <v>8112.4134137715801</v>
      </c>
      <c r="M51" s="384">
        <f>L51/I51</f>
        <v>1.01405167672145</v>
      </c>
      <c r="N51" s="456">
        <v>7935.6582622564301</v>
      </c>
      <c r="O51" s="445">
        <v>0.99195728278205397</v>
      </c>
      <c r="P51" s="449"/>
      <c r="R51" s="413">
        <v>40</v>
      </c>
      <c r="S51" s="422" t="s">
        <v>1353</v>
      </c>
      <c r="T51" s="466">
        <v>9000</v>
      </c>
      <c r="U51" s="460">
        <f>D51</f>
        <v>7746.7072025224998</v>
      </c>
      <c r="V51" s="442">
        <f t="shared" si="3"/>
        <v>0.86074524472472203</v>
      </c>
      <c r="W51" s="450">
        <v>8112.4134137715801</v>
      </c>
      <c r="X51" s="384">
        <v>0.901379268196843</v>
      </c>
      <c r="Y51" s="461">
        <v>7935.6582622564301</v>
      </c>
      <c r="Z51" s="472">
        <v>0.88173980691738096</v>
      </c>
      <c r="AA51" s="449"/>
      <c r="AB51" s="474"/>
      <c r="AC51" s="475">
        <v>40</v>
      </c>
      <c r="AD51" s="422" t="s">
        <v>1353</v>
      </c>
      <c r="AE51" s="480"/>
      <c r="AF51" s="481">
        <v>8245.4134137715791</v>
      </c>
      <c r="AG51" s="494" t="e">
        <v>#DIV/0!</v>
      </c>
      <c r="AH51" s="450">
        <v>8112.4134137715801</v>
      </c>
      <c r="AI51" s="489" t="e">
        <v>#DIV/0!</v>
      </c>
      <c r="AJ51" s="490">
        <v>7935.6582622564301</v>
      </c>
      <c r="AK51" s="445" t="e">
        <v>#DIV/0!</v>
      </c>
      <c r="AM51" s="475">
        <v>40</v>
      </c>
      <c r="AN51" s="422" t="s">
        <v>1353</v>
      </c>
      <c r="AO51" s="480"/>
      <c r="AP51" s="460">
        <v>8245.4134137715791</v>
      </c>
      <c r="AQ51" s="442" t="e">
        <v>#DIV/0!</v>
      </c>
      <c r="AR51" s="497">
        <v>8112.4134137715801</v>
      </c>
      <c r="AS51" s="384" t="e">
        <v>#DIV/0!</v>
      </c>
      <c r="AT51" s="461">
        <v>7935.6582622564301</v>
      </c>
      <c r="AU51" s="445" t="e">
        <v>#DIV/0!</v>
      </c>
      <c r="AV51" s="495"/>
    </row>
    <row r="52" spans="1:48" ht="15.5">
      <c r="A52" s="413">
        <v>41</v>
      </c>
      <c r="B52" s="422" t="s">
        <v>1354</v>
      </c>
      <c r="C52" s="426">
        <v>10000</v>
      </c>
      <c r="D52" s="355">
        <f>'HITUNGAN HPP PRODUK'!AE61</f>
        <v>1450.5</v>
      </c>
      <c r="E52" s="352">
        <f>D52/C52</f>
        <v>0.14505000000000001</v>
      </c>
      <c r="G52" s="413">
        <v>41</v>
      </c>
      <c r="H52" s="422" t="s">
        <v>1354</v>
      </c>
      <c r="I52" s="454">
        <v>10000</v>
      </c>
      <c r="J52" s="455">
        <v>8605.4134137715791</v>
      </c>
      <c r="K52" s="442">
        <v>0.86054134137715799</v>
      </c>
      <c r="L52" s="450">
        <v>8462.4134137715791</v>
      </c>
      <c r="M52" s="384">
        <f>L52/I52</f>
        <v>0.84624134137715801</v>
      </c>
      <c r="N52" s="456">
        <v>8273.6582622564292</v>
      </c>
      <c r="O52" s="445">
        <v>0.82736582622564303</v>
      </c>
      <c r="P52" s="449"/>
      <c r="R52" s="413">
        <v>41</v>
      </c>
      <c r="S52" s="422" t="s">
        <v>1354</v>
      </c>
      <c r="T52" s="466">
        <v>10500</v>
      </c>
      <c r="U52" s="460">
        <f>D52</f>
        <v>1450.5</v>
      </c>
      <c r="V52" s="442">
        <f t="shared" si="3"/>
        <v>0.13814285714285701</v>
      </c>
      <c r="W52" s="450">
        <v>8462.4134137715791</v>
      </c>
      <c r="X52" s="384">
        <v>0.80594413464491299</v>
      </c>
      <c r="Y52" s="461">
        <v>8273.6582622564292</v>
      </c>
      <c r="Z52" s="472">
        <v>0.78796745354823094</v>
      </c>
      <c r="AA52" s="449"/>
      <c r="AB52" s="474"/>
      <c r="AC52" s="475">
        <v>41</v>
      </c>
      <c r="AD52" s="422" t="s">
        <v>1354</v>
      </c>
      <c r="AE52" s="480"/>
      <c r="AF52" s="481">
        <v>8605.4134137715791</v>
      </c>
      <c r="AG52" s="494" t="e">
        <v>#DIV/0!</v>
      </c>
      <c r="AH52" s="450">
        <v>8462.4134137715791</v>
      </c>
      <c r="AI52" s="489" t="e">
        <v>#DIV/0!</v>
      </c>
      <c r="AJ52" s="490">
        <v>8273.6582622564292</v>
      </c>
      <c r="AK52" s="445" t="e">
        <v>#DIV/0!</v>
      </c>
      <c r="AM52" s="475">
        <v>41</v>
      </c>
      <c r="AN52" s="422" t="s">
        <v>1354</v>
      </c>
      <c r="AO52" s="480"/>
      <c r="AP52" s="460">
        <v>8605.4134137715791</v>
      </c>
      <c r="AQ52" s="442" t="e">
        <v>#DIV/0!</v>
      </c>
      <c r="AR52" s="497">
        <v>8462.4134137715791</v>
      </c>
      <c r="AS52" s="384" t="e">
        <v>#DIV/0!</v>
      </c>
      <c r="AT52" s="461">
        <v>8273.6582622564292</v>
      </c>
      <c r="AU52" s="445" t="e">
        <v>#DIV/0!</v>
      </c>
      <c r="AV52" s="495"/>
    </row>
    <row r="53" spans="1:48" ht="16.5" customHeight="1">
      <c r="A53" s="413">
        <v>42</v>
      </c>
      <c r="B53" s="422" t="s">
        <v>1355</v>
      </c>
      <c r="C53" s="426">
        <v>12000</v>
      </c>
      <c r="D53" s="355">
        <f>'HITUNGAN HPP PRODUK'!AG61</f>
        <v>1301.43540669856</v>
      </c>
      <c r="E53" s="352">
        <f>D53/C53</f>
        <v>0.108452950558214</v>
      </c>
      <c r="G53" s="413">
        <v>42</v>
      </c>
      <c r="H53" s="422" t="s">
        <v>1355</v>
      </c>
      <c r="I53" s="454">
        <v>12000</v>
      </c>
      <c r="J53" s="455">
        <v>10225.413413771599</v>
      </c>
      <c r="K53" s="442">
        <v>0.85211778448096498</v>
      </c>
      <c r="L53" s="450">
        <v>10037.413413771599</v>
      </c>
      <c r="M53" s="384">
        <f>L53/I53</f>
        <v>0.83645111781430004</v>
      </c>
      <c r="N53" s="456">
        <v>9794.6582622564292</v>
      </c>
      <c r="O53" s="445">
        <v>0.81622152185470298</v>
      </c>
      <c r="P53" s="449"/>
      <c r="R53" s="413">
        <v>42</v>
      </c>
      <c r="S53" s="422" t="s">
        <v>1355</v>
      </c>
      <c r="T53" s="466">
        <v>12000</v>
      </c>
      <c r="U53" s="460">
        <f>D53</f>
        <v>1301.43540669856</v>
      </c>
      <c r="V53" s="442">
        <f t="shared" si="3"/>
        <v>0.108452950558214</v>
      </c>
      <c r="W53" s="450">
        <v>10037.413413771599</v>
      </c>
      <c r="X53" s="384">
        <v>0.83645111781429904</v>
      </c>
      <c r="Y53" s="461">
        <v>9794.6582622564292</v>
      </c>
      <c r="Z53" s="472">
        <v>0.81622152185470298</v>
      </c>
      <c r="AA53" s="449"/>
      <c r="AB53" s="474"/>
      <c r="AC53" s="475">
        <v>42</v>
      </c>
      <c r="AD53" s="422" t="s">
        <v>1355</v>
      </c>
      <c r="AE53" s="480"/>
      <c r="AF53" s="481">
        <v>10225.413413771599</v>
      </c>
      <c r="AG53" s="494" t="e">
        <v>#DIV/0!</v>
      </c>
      <c r="AH53" s="450">
        <v>10037.413413771599</v>
      </c>
      <c r="AI53" s="489" t="e">
        <v>#DIV/0!</v>
      </c>
      <c r="AJ53" s="490">
        <v>9794.6582622564292</v>
      </c>
      <c r="AK53" s="445" t="e">
        <v>#DIV/0!</v>
      </c>
      <c r="AM53" s="475">
        <v>42</v>
      </c>
      <c r="AN53" s="422" t="s">
        <v>1355</v>
      </c>
      <c r="AO53" s="480"/>
      <c r="AP53" s="460">
        <v>10225.413413771599</v>
      </c>
      <c r="AQ53" s="442" t="e">
        <v>#DIV/0!</v>
      </c>
      <c r="AR53" s="497">
        <v>10037.413413771599</v>
      </c>
      <c r="AS53" s="384" t="e">
        <v>#DIV/0!</v>
      </c>
      <c r="AT53" s="461">
        <v>9794.6582622564292</v>
      </c>
      <c r="AU53" s="445" t="e">
        <v>#DIV/0!</v>
      </c>
      <c r="AV53" s="495"/>
    </row>
    <row r="54" spans="1:48" ht="16.5" customHeight="1">
      <c r="A54" s="413">
        <v>43</v>
      </c>
      <c r="B54" s="422"/>
      <c r="C54" s="425"/>
      <c r="D54" s="363"/>
      <c r="E54" s="352"/>
      <c r="G54" s="413">
        <v>43</v>
      </c>
      <c r="H54" s="422"/>
      <c r="I54" s="451"/>
      <c r="J54" s="452"/>
      <c r="K54" s="442"/>
      <c r="L54" s="457"/>
      <c r="M54" s="384"/>
      <c r="N54" s="453"/>
      <c r="O54" s="445"/>
      <c r="P54" s="449"/>
      <c r="R54" s="413">
        <v>43</v>
      </c>
      <c r="S54" s="422"/>
      <c r="T54" s="451"/>
      <c r="U54" s="465"/>
      <c r="V54" s="442"/>
      <c r="W54" s="457"/>
      <c r="X54" s="384"/>
      <c r="Y54" s="479"/>
      <c r="Z54" s="472"/>
      <c r="AA54" s="449"/>
      <c r="AB54" s="474"/>
      <c r="AC54" s="475">
        <v>43</v>
      </c>
      <c r="AD54" s="422"/>
      <c r="AE54" s="477"/>
      <c r="AF54" s="452"/>
      <c r="AG54" s="491"/>
      <c r="AH54" s="457"/>
      <c r="AI54" s="489"/>
      <c r="AJ54" s="493"/>
      <c r="AK54" s="445"/>
      <c r="AM54" s="475">
        <v>43</v>
      </c>
      <c r="AN54" s="422"/>
      <c r="AO54" s="477"/>
      <c r="AP54" s="465"/>
      <c r="AQ54" s="442"/>
      <c r="AR54" s="498"/>
      <c r="AS54" s="384"/>
      <c r="AT54" s="479"/>
      <c r="AU54" s="445"/>
      <c r="AV54" s="495"/>
    </row>
    <row r="55" spans="1:48" ht="16.5" customHeight="1">
      <c r="A55" s="413">
        <v>44</v>
      </c>
      <c r="B55" s="422" t="s">
        <v>1740</v>
      </c>
      <c r="C55" s="424">
        <v>15500</v>
      </c>
      <c r="D55" s="355">
        <f>'HITUNGAN HPP PRODUK'!AG18</f>
        <v>9217.3220231196592</v>
      </c>
      <c r="E55" s="352">
        <f t="shared" ref="E55:E61" si="6">D55/C55</f>
        <v>0.594665936975462</v>
      </c>
      <c r="G55" s="413">
        <v>44</v>
      </c>
      <c r="H55" s="422" t="s">
        <v>1740</v>
      </c>
      <c r="I55" s="353">
        <v>15500</v>
      </c>
      <c r="J55" s="446">
        <v>11280.093350315101</v>
      </c>
      <c r="K55" s="442">
        <v>0.72774795808484305</v>
      </c>
      <c r="L55" s="450">
        <v>11147.093350315101</v>
      </c>
      <c r="M55" s="384">
        <f t="shared" ref="M55:M61" si="7">L55/I55</f>
        <v>0.71916731292355496</v>
      </c>
      <c r="N55" s="448">
        <v>10965.8381987999</v>
      </c>
      <c r="O55" s="445">
        <v>0.70747343218063996</v>
      </c>
      <c r="P55" s="449"/>
      <c r="R55" s="413">
        <v>44</v>
      </c>
      <c r="S55" s="422" t="s">
        <v>1740</v>
      </c>
      <c r="T55" s="466">
        <v>19000</v>
      </c>
      <c r="U55" s="460">
        <f>D55</f>
        <v>9217.3220231196592</v>
      </c>
      <c r="V55" s="442">
        <f t="shared" si="3"/>
        <v>0.48512221174314002</v>
      </c>
      <c r="W55" s="450">
        <v>11147.093350315101</v>
      </c>
      <c r="X55" s="384">
        <v>0.58668912370079296</v>
      </c>
      <c r="Y55" s="461">
        <v>10965.8381987999</v>
      </c>
      <c r="Z55" s="472">
        <v>0.57714937888420603</v>
      </c>
      <c r="AA55" s="449"/>
      <c r="AB55" s="474"/>
      <c r="AC55" s="475">
        <v>44</v>
      </c>
      <c r="AD55" s="422" t="s">
        <v>1740</v>
      </c>
      <c r="AE55" s="480">
        <v>18000</v>
      </c>
      <c r="AF55" s="481">
        <v>11280.093350315101</v>
      </c>
      <c r="AG55" s="494">
        <v>0.62667185279528204</v>
      </c>
      <c r="AH55" s="450">
        <v>11147.093350315101</v>
      </c>
      <c r="AI55" s="489">
        <v>0.61928296390639304</v>
      </c>
      <c r="AJ55" s="490">
        <v>10965.8381987999</v>
      </c>
      <c r="AK55" s="445">
        <v>0.60921323326666199</v>
      </c>
      <c r="AM55" s="475">
        <v>44</v>
      </c>
      <c r="AN55" s="422" t="s">
        <v>1740</v>
      </c>
      <c r="AO55" s="480">
        <v>17500</v>
      </c>
      <c r="AP55" s="460">
        <v>11280.093350315101</v>
      </c>
      <c r="AQ55" s="442">
        <v>0.64457676287514698</v>
      </c>
      <c r="AR55" s="497">
        <v>11147.093350315101</v>
      </c>
      <c r="AS55" s="384">
        <v>0.63697676287514704</v>
      </c>
      <c r="AT55" s="461">
        <v>10965.8381987999</v>
      </c>
      <c r="AU55" s="445">
        <v>0.62661932564570999</v>
      </c>
      <c r="AV55" s="495"/>
    </row>
    <row r="56" spans="1:48" ht="16.5" customHeight="1">
      <c r="A56" s="413">
        <v>45</v>
      </c>
      <c r="B56" s="422" t="s">
        <v>1741</v>
      </c>
      <c r="C56" s="424">
        <v>16500</v>
      </c>
      <c r="D56" s="355">
        <f>'HITUNGAN HPP PRODUK'!AI18</f>
        <v>8807.0027923504294</v>
      </c>
      <c r="E56" s="352">
        <f t="shared" si="6"/>
        <v>0.53375774499093498</v>
      </c>
      <c r="G56" s="413">
        <v>45</v>
      </c>
      <c r="H56" s="422" t="s">
        <v>1741</v>
      </c>
      <c r="I56" s="353">
        <v>16500</v>
      </c>
      <c r="J56" s="446">
        <v>11640.093350315101</v>
      </c>
      <c r="K56" s="442">
        <v>0.70546020304939805</v>
      </c>
      <c r="L56" s="450">
        <v>11497.093350315101</v>
      </c>
      <c r="M56" s="384">
        <f t="shared" si="7"/>
        <v>0.696793536382733</v>
      </c>
      <c r="N56" s="448">
        <v>11303.8381987999</v>
      </c>
      <c r="O56" s="445">
        <v>0.68508110295757096</v>
      </c>
      <c r="P56" s="449"/>
      <c r="R56" s="413">
        <v>45</v>
      </c>
      <c r="S56" s="422" t="s">
        <v>1741</v>
      </c>
      <c r="T56" s="466">
        <v>20000</v>
      </c>
      <c r="U56" s="460">
        <f>D56</f>
        <v>8807.0027923504294</v>
      </c>
      <c r="V56" s="442">
        <f t="shared" si="3"/>
        <v>0.44035013961752201</v>
      </c>
      <c r="W56" s="450">
        <v>11497.093350315101</v>
      </c>
      <c r="X56" s="384">
        <v>0.57485466751575398</v>
      </c>
      <c r="Y56" s="461">
        <v>11303.8381987999</v>
      </c>
      <c r="Z56" s="472">
        <v>0.56519190993999602</v>
      </c>
      <c r="AA56" s="449"/>
      <c r="AB56" s="474"/>
      <c r="AC56" s="475">
        <v>45</v>
      </c>
      <c r="AD56" s="422" t="s">
        <v>1741</v>
      </c>
      <c r="AE56" s="480">
        <v>19000</v>
      </c>
      <c r="AF56" s="481">
        <v>11640.093350315101</v>
      </c>
      <c r="AG56" s="494">
        <v>0.61263649212184601</v>
      </c>
      <c r="AH56" s="450">
        <v>11497.093350315101</v>
      </c>
      <c r="AI56" s="489">
        <v>0.60511017633237196</v>
      </c>
      <c r="AJ56" s="490">
        <v>11303.8381987999</v>
      </c>
      <c r="AK56" s="445">
        <v>0.59493885256841705</v>
      </c>
      <c r="AM56" s="475">
        <v>45</v>
      </c>
      <c r="AN56" s="422" t="s">
        <v>1741</v>
      </c>
      <c r="AO56" s="480">
        <v>18500</v>
      </c>
      <c r="AP56" s="460">
        <v>11640.093350315101</v>
      </c>
      <c r="AQ56" s="442">
        <v>0.62919423515216599</v>
      </c>
      <c r="AR56" s="497">
        <v>11497.093350315101</v>
      </c>
      <c r="AS56" s="384">
        <v>0.62146450542243603</v>
      </c>
      <c r="AT56" s="461">
        <v>11303.8381987999</v>
      </c>
      <c r="AU56" s="445">
        <v>0.61101828101621203</v>
      </c>
      <c r="AV56" s="495"/>
    </row>
    <row r="57" spans="1:48" ht="16.5" customHeight="1">
      <c r="A57" s="413">
        <v>46</v>
      </c>
      <c r="B57" s="422" t="s">
        <v>1742</v>
      </c>
      <c r="C57" s="424">
        <v>18500</v>
      </c>
      <c r="D57" s="355">
        <f>'HITUNGAN HPP PRODUK'!AK18</f>
        <v>12294.7066385043</v>
      </c>
      <c r="E57" s="352">
        <f t="shared" si="6"/>
        <v>0.664578737216448</v>
      </c>
      <c r="G57" s="413">
        <v>46</v>
      </c>
      <c r="H57" s="422" t="s">
        <v>1742</v>
      </c>
      <c r="I57" s="353">
        <v>18500</v>
      </c>
      <c r="J57" s="446">
        <v>13080.093350315101</v>
      </c>
      <c r="K57" s="442">
        <v>0.70703207299000403</v>
      </c>
      <c r="L57" s="450">
        <v>12897.093350315101</v>
      </c>
      <c r="M57" s="384">
        <f t="shared" si="7"/>
        <v>0.69714018109811404</v>
      </c>
      <c r="N57" s="448">
        <v>12655.8381987999</v>
      </c>
      <c r="O57" s="445">
        <v>0.68409936209729305</v>
      </c>
      <c r="P57" s="449"/>
      <c r="R57" s="413">
        <v>46</v>
      </c>
      <c r="S57" s="422" t="s">
        <v>1742</v>
      </c>
      <c r="T57" s="466">
        <v>22000</v>
      </c>
      <c r="U57" s="460">
        <f>D57</f>
        <v>12294.7066385043</v>
      </c>
      <c r="V57" s="442">
        <f t="shared" si="3"/>
        <v>0.55885030175019501</v>
      </c>
      <c r="W57" s="450">
        <v>12897.093350315101</v>
      </c>
      <c r="X57" s="384">
        <v>0.58623151592341205</v>
      </c>
      <c r="Y57" s="461">
        <v>12655.8381987999</v>
      </c>
      <c r="Z57" s="472">
        <v>0.57526537267272404</v>
      </c>
      <c r="AA57" s="449"/>
      <c r="AB57" s="474"/>
      <c r="AC57" s="475">
        <v>46</v>
      </c>
      <c r="AD57" s="422" t="s">
        <v>1742</v>
      </c>
      <c r="AE57" s="480">
        <v>21000</v>
      </c>
      <c r="AF57" s="481">
        <v>13080.093350315101</v>
      </c>
      <c r="AG57" s="494">
        <v>0.62286158811024095</v>
      </c>
      <c r="AH57" s="450">
        <v>12897.093350315101</v>
      </c>
      <c r="AI57" s="489">
        <v>0.61414730239595605</v>
      </c>
      <c r="AJ57" s="490">
        <v>12655.8381987999</v>
      </c>
      <c r="AK57" s="445">
        <v>0.60265896184761503</v>
      </c>
      <c r="AM57" s="475">
        <v>46</v>
      </c>
      <c r="AN57" s="422" t="s">
        <v>1742</v>
      </c>
      <c r="AO57" s="480">
        <v>20500</v>
      </c>
      <c r="AP57" s="460">
        <v>13080.093350315101</v>
      </c>
      <c r="AQ57" s="442">
        <v>0.63805333416171095</v>
      </c>
      <c r="AR57" s="497">
        <v>12897.093350315101</v>
      </c>
      <c r="AS57" s="384">
        <v>0.62912650489341804</v>
      </c>
      <c r="AT57" s="461">
        <v>12655.8381987999</v>
      </c>
      <c r="AU57" s="445">
        <v>0.61735796091706896</v>
      </c>
      <c r="AV57" s="495"/>
    </row>
    <row r="58" spans="1:48" ht="16.5" customHeight="1">
      <c r="A58" s="413"/>
      <c r="B58" s="428"/>
      <c r="C58" s="424"/>
      <c r="D58" s="355"/>
      <c r="E58" s="352"/>
      <c r="G58" s="413"/>
      <c r="H58" s="428"/>
      <c r="I58" s="353"/>
      <c r="J58" s="446"/>
      <c r="K58" s="442"/>
      <c r="L58" s="450"/>
      <c r="M58" s="384"/>
      <c r="N58" s="448"/>
      <c r="O58" s="445"/>
      <c r="P58" s="449"/>
      <c r="R58" s="413"/>
      <c r="S58" s="428"/>
      <c r="T58" s="353"/>
      <c r="U58" s="460"/>
      <c r="V58" s="442"/>
      <c r="W58" s="450"/>
      <c r="X58" s="384"/>
      <c r="Y58" s="461"/>
      <c r="Z58" s="472"/>
      <c r="AA58" s="449"/>
      <c r="AB58" s="474"/>
      <c r="AC58" s="475"/>
      <c r="AD58" s="428"/>
      <c r="AE58" s="353"/>
      <c r="AF58" s="446"/>
      <c r="AG58" s="488"/>
      <c r="AH58" s="450"/>
      <c r="AI58" s="489"/>
      <c r="AJ58" s="490"/>
      <c r="AK58" s="445"/>
      <c r="AM58" s="475"/>
      <c r="AN58" s="428"/>
      <c r="AO58" s="353"/>
      <c r="AP58" s="460"/>
      <c r="AQ58" s="442"/>
      <c r="AR58" s="497"/>
      <c r="AS58" s="384"/>
      <c r="AT58" s="461"/>
      <c r="AU58" s="445"/>
      <c r="AV58" s="495"/>
    </row>
    <row r="59" spans="1:48" ht="16.5" customHeight="1">
      <c r="A59" s="413">
        <v>47</v>
      </c>
      <c r="B59" s="429" t="s">
        <v>1544</v>
      </c>
      <c r="C59" s="430">
        <v>11500</v>
      </c>
      <c r="D59" s="355">
        <f>'HITUNGAN HPP PRODUK'!Y71</f>
        <v>0</v>
      </c>
      <c r="E59" s="352">
        <f t="shared" si="6"/>
        <v>0</v>
      </c>
      <c r="G59" s="413">
        <v>47</v>
      </c>
      <c r="H59" s="429" t="s">
        <v>1544</v>
      </c>
      <c r="I59" s="355">
        <v>11500</v>
      </c>
      <c r="J59" s="460">
        <v>8434.6897295610597</v>
      </c>
      <c r="K59" s="442">
        <v>0.73345128083139599</v>
      </c>
      <c r="L59" s="450">
        <v>8301.6897295610597</v>
      </c>
      <c r="M59" s="384">
        <f t="shared" si="7"/>
        <v>0.72188606344009199</v>
      </c>
      <c r="N59" s="461">
        <v>8120.4345780459098</v>
      </c>
      <c r="O59" s="445">
        <v>0.706124745917035</v>
      </c>
      <c r="P59" s="449"/>
      <c r="R59" s="413">
        <v>47</v>
      </c>
      <c r="S59" s="429" t="s">
        <v>1544</v>
      </c>
      <c r="T59" s="466">
        <v>14500</v>
      </c>
      <c r="U59" s="460">
        <f>D59</f>
        <v>0</v>
      </c>
      <c r="V59" s="442">
        <f t="shared" si="3"/>
        <v>0</v>
      </c>
      <c r="W59" s="450">
        <v>8301.6897295610597</v>
      </c>
      <c r="X59" s="384">
        <v>0.57253032617662503</v>
      </c>
      <c r="Y59" s="461">
        <v>8120.4345780459098</v>
      </c>
      <c r="Z59" s="472">
        <v>0.56002997089971795</v>
      </c>
      <c r="AA59" s="449"/>
      <c r="AB59" s="474"/>
      <c r="AC59" s="475">
        <v>47</v>
      </c>
      <c r="AD59" s="429" t="s">
        <v>1544</v>
      </c>
      <c r="AE59" s="480">
        <v>12000</v>
      </c>
      <c r="AF59" s="481">
        <v>8434.6897295610597</v>
      </c>
      <c r="AG59" s="494">
        <v>0.70289081079675497</v>
      </c>
      <c r="AH59" s="450">
        <v>8301.6897295610597</v>
      </c>
      <c r="AI59" s="489">
        <v>0.69180747746342097</v>
      </c>
      <c r="AJ59" s="490">
        <v>8120.4345780459098</v>
      </c>
      <c r="AK59" s="445">
        <v>0.67670288150382496</v>
      </c>
      <c r="AM59" s="475">
        <v>47</v>
      </c>
      <c r="AN59" s="429" t="s">
        <v>1544</v>
      </c>
      <c r="AO59" s="480">
        <v>12000</v>
      </c>
      <c r="AP59" s="460">
        <v>8434.6897295610597</v>
      </c>
      <c r="AQ59" s="442">
        <v>0.70289081079675497</v>
      </c>
      <c r="AR59" s="497">
        <v>8301.6897295610597</v>
      </c>
      <c r="AS59" s="384">
        <v>0.69180747746342097</v>
      </c>
      <c r="AT59" s="461">
        <v>8120.4345780459098</v>
      </c>
      <c r="AU59" s="445">
        <v>0.67670288150382496</v>
      </c>
      <c r="AV59" s="495"/>
    </row>
    <row r="60" spans="1:48" ht="16.5" customHeight="1">
      <c r="A60" s="413">
        <v>48</v>
      </c>
      <c r="B60" s="429" t="s">
        <v>1545</v>
      </c>
      <c r="C60" s="430">
        <v>12500</v>
      </c>
      <c r="D60" s="355">
        <f>'HITUNGAN HPP PRODUK'!W71</f>
        <v>0</v>
      </c>
      <c r="E60" s="352">
        <f t="shared" si="6"/>
        <v>0</v>
      </c>
      <c r="G60" s="413">
        <v>48</v>
      </c>
      <c r="H60" s="429" t="s">
        <v>1545</v>
      </c>
      <c r="I60" s="355">
        <v>12500</v>
      </c>
      <c r="J60" s="460">
        <v>8794.6897295610597</v>
      </c>
      <c r="K60" s="442">
        <v>0.70357517836488404</v>
      </c>
      <c r="L60" s="450">
        <v>8651.6897295610597</v>
      </c>
      <c r="M60" s="384">
        <f t="shared" si="7"/>
        <v>0.69213517836488503</v>
      </c>
      <c r="N60" s="461">
        <v>8458.4345780459007</v>
      </c>
      <c r="O60" s="445">
        <v>0.67667476624367195</v>
      </c>
      <c r="P60" s="449"/>
      <c r="R60" s="413">
        <v>48</v>
      </c>
      <c r="S60" s="429" t="s">
        <v>1545</v>
      </c>
      <c r="T60" s="466">
        <v>13500</v>
      </c>
      <c r="U60" s="460">
        <f>D60</f>
        <v>0</v>
      </c>
      <c r="V60" s="442">
        <f t="shared" si="3"/>
        <v>0</v>
      </c>
      <c r="W60" s="450">
        <v>8651.6897295610597</v>
      </c>
      <c r="X60" s="384">
        <v>0.64086590589341197</v>
      </c>
      <c r="Y60" s="461">
        <v>8458.4345780459007</v>
      </c>
      <c r="Z60" s="472">
        <v>0.62655070948488201</v>
      </c>
      <c r="AA60" s="449"/>
      <c r="AB60" s="474"/>
      <c r="AC60" s="475">
        <v>48</v>
      </c>
      <c r="AD60" s="429" t="s">
        <v>1545</v>
      </c>
      <c r="AE60" s="480">
        <v>13000</v>
      </c>
      <c r="AF60" s="481">
        <v>8794.6897295610597</v>
      </c>
      <c r="AG60" s="494">
        <v>0.67651459458162</v>
      </c>
      <c r="AH60" s="450">
        <v>8651.6897295610597</v>
      </c>
      <c r="AI60" s="489">
        <v>0.66551459458161999</v>
      </c>
      <c r="AJ60" s="490">
        <v>8458.4345780459007</v>
      </c>
      <c r="AK60" s="445">
        <v>0.65064881369583905</v>
      </c>
      <c r="AM60" s="475">
        <v>48</v>
      </c>
      <c r="AN60" s="429" t="s">
        <v>1545</v>
      </c>
      <c r="AO60" s="480">
        <v>13000</v>
      </c>
      <c r="AP60" s="460">
        <v>8794.6897295610597</v>
      </c>
      <c r="AQ60" s="442">
        <v>0.67651459458162</v>
      </c>
      <c r="AR60" s="497">
        <v>8651.6897295610597</v>
      </c>
      <c r="AS60" s="384">
        <v>0.66551459458161999</v>
      </c>
      <c r="AT60" s="461">
        <v>8458.4345780459007</v>
      </c>
      <c r="AU60" s="445">
        <v>0.65064881369583905</v>
      </c>
      <c r="AV60" s="495"/>
    </row>
    <row r="61" spans="1:48" ht="16.5" customHeight="1">
      <c r="A61" s="413">
        <v>49</v>
      </c>
      <c r="B61" s="429" t="s">
        <v>1546</v>
      </c>
      <c r="C61" s="430">
        <v>13000</v>
      </c>
      <c r="D61" s="355">
        <f>'HITUNGAN HPP PRODUK'!U71</f>
        <v>0</v>
      </c>
      <c r="E61" s="352">
        <f t="shared" si="6"/>
        <v>0</v>
      </c>
      <c r="G61" s="413">
        <v>49</v>
      </c>
      <c r="H61" s="429" t="s">
        <v>1546</v>
      </c>
      <c r="I61" s="355">
        <v>13000</v>
      </c>
      <c r="J61" s="460">
        <v>10414.6897295611</v>
      </c>
      <c r="K61" s="442">
        <v>0.80112997919700402</v>
      </c>
      <c r="L61" s="450">
        <v>10226.6897295611</v>
      </c>
      <c r="M61" s="384">
        <f t="shared" si="7"/>
        <v>0.78666844073546904</v>
      </c>
      <c r="N61" s="461">
        <v>9979.4345780459007</v>
      </c>
      <c r="O61" s="445">
        <v>0.76764881369583904</v>
      </c>
      <c r="P61" s="449"/>
      <c r="R61" s="413">
        <v>49</v>
      </c>
      <c r="S61" s="429" t="s">
        <v>1546</v>
      </c>
      <c r="T61" s="466">
        <v>12500</v>
      </c>
      <c r="U61" s="460">
        <v>10226.6897295611</v>
      </c>
      <c r="V61" s="442">
        <f t="shared" si="3"/>
        <v>0.81813517836488803</v>
      </c>
      <c r="W61" s="450">
        <v>10226.6897295611</v>
      </c>
      <c r="X61" s="384">
        <v>0.81813517836488403</v>
      </c>
      <c r="Y61" s="461">
        <v>10226.6897295611</v>
      </c>
      <c r="Z61" s="472">
        <v>0.81813517836488403</v>
      </c>
      <c r="AA61" s="449"/>
      <c r="AB61" s="474"/>
      <c r="AC61" s="475">
        <v>49</v>
      </c>
      <c r="AD61" s="429" t="s">
        <v>1546</v>
      </c>
      <c r="AE61" s="480">
        <v>14000</v>
      </c>
      <c r="AF61" s="481">
        <v>10414.6897295611</v>
      </c>
      <c r="AG61" s="494">
        <v>0.74390640925436102</v>
      </c>
      <c r="AH61" s="450">
        <v>10226.6897295611</v>
      </c>
      <c r="AI61" s="489">
        <v>0.73047783782579001</v>
      </c>
      <c r="AJ61" s="490">
        <v>9979.4345780459007</v>
      </c>
      <c r="AK61" s="445">
        <v>0.71281675557470703</v>
      </c>
      <c r="AM61" s="475">
        <v>49</v>
      </c>
      <c r="AN61" s="429" t="s">
        <v>1546</v>
      </c>
      <c r="AO61" s="480">
        <v>13500</v>
      </c>
      <c r="AP61" s="460">
        <v>10414.6897295611</v>
      </c>
      <c r="AQ61" s="442">
        <v>0.77145849848600401</v>
      </c>
      <c r="AR61" s="497">
        <v>10226.6897295611</v>
      </c>
      <c r="AS61" s="384">
        <v>0.757532572560078</v>
      </c>
      <c r="AT61" s="461">
        <v>9979.4345780459007</v>
      </c>
      <c r="AU61" s="445">
        <v>0.73921737615154803</v>
      </c>
      <c r="AV61" s="495"/>
    </row>
    <row r="62" spans="1:48" ht="16.5" customHeight="1">
      <c r="A62" s="413">
        <v>50</v>
      </c>
      <c r="B62" s="431"/>
      <c r="C62" s="425"/>
      <c r="D62" s="363"/>
      <c r="E62" s="352"/>
      <c r="G62" s="413">
        <v>50</v>
      </c>
      <c r="H62" s="431"/>
      <c r="I62" s="451"/>
      <c r="J62" s="452"/>
      <c r="K62" s="442"/>
      <c r="L62" s="457"/>
      <c r="M62" s="384"/>
      <c r="N62" s="453"/>
      <c r="O62" s="445"/>
      <c r="P62" s="449"/>
      <c r="R62" s="413">
        <v>50</v>
      </c>
      <c r="S62" s="431"/>
      <c r="T62" s="451"/>
      <c r="U62" s="465"/>
      <c r="V62" s="442"/>
      <c r="W62" s="457"/>
      <c r="X62" s="384"/>
      <c r="Y62" s="479"/>
      <c r="Z62" s="472"/>
      <c r="AA62" s="449"/>
      <c r="AB62" s="474"/>
      <c r="AC62" s="475">
        <v>50</v>
      </c>
      <c r="AD62" s="431"/>
      <c r="AE62" s="477"/>
      <c r="AF62" s="452"/>
      <c r="AG62" s="491"/>
      <c r="AH62" s="457"/>
      <c r="AI62" s="489"/>
      <c r="AJ62" s="493"/>
      <c r="AK62" s="445"/>
      <c r="AM62" s="475">
        <v>50</v>
      </c>
      <c r="AN62" s="431"/>
      <c r="AO62" s="477"/>
      <c r="AP62" s="465"/>
      <c r="AQ62" s="442"/>
      <c r="AR62" s="498"/>
      <c r="AS62" s="384"/>
      <c r="AT62" s="479"/>
      <c r="AU62" s="445"/>
      <c r="AV62" s="495"/>
    </row>
    <row r="63" spans="1:48" ht="16.5" customHeight="1">
      <c r="A63" s="413">
        <v>51</v>
      </c>
      <c r="B63" s="432" t="s">
        <v>1548</v>
      </c>
      <c r="C63" s="430">
        <v>14500</v>
      </c>
      <c r="D63" s="355">
        <f>'HITUNGAN HPP PRODUK'!AM18</f>
        <v>9004.2134293696599</v>
      </c>
      <c r="E63" s="352">
        <f t="shared" ref="E63:E68" si="8">D63/C63</f>
        <v>0.62098023650825296</v>
      </c>
      <c r="G63" s="413">
        <v>51</v>
      </c>
      <c r="H63" s="432" t="s">
        <v>1548</v>
      </c>
      <c r="I63" s="355">
        <v>14500</v>
      </c>
      <c r="J63" s="460">
        <v>11312.724302696</v>
      </c>
      <c r="K63" s="442">
        <v>0.78018788294455299</v>
      </c>
      <c r="L63" s="450">
        <v>11179.724302696</v>
      </c>
      <c r="M63" s="384">
        <f t="shared" ref="M63:M68" si="9">L63/I63</f>
        <v>0.77101546915144803</v>
      </c>
      <c r="N63" s="461">
        <v>11002.6834368952</v>
      </c>
      <c r="O63" s="445">
        <v>0.75880575426863195</v>
      </c>
      <c r="P63" s="449"/>
      <c r="R63" s="413">
        <v>51</v>
      </c>
      <c r="S63" s="432" t="s">
        <v>1548</v>
      </c>
      <c r="T63" s="466">
        <v>18000</v>
      </c>
      <c r="U63" s="460">
        <f>'HITUNGAN HPP PRODUK'!AO71+1875+'HITUNGAN HPP PRODUK'!H63</f>
        <v>2829.3859649122801</v>
      </c>
      <c r="V63" s="442">
        <f t="shared" si="3"/>
        <v>0.15718810916179299</v>
      </c>
      <c r="W63" s="450">
        <v>11093.794366152501</v>
      </c>
      <c r="X63" s="384">
        <v>0.61632190923069596</v>
      </c>
      <c r="Y63" s="461">
        <v>10916.7535003517</v>
      </c>
      <c r="Z63" s="472">
        <v>0.60648630557509298</v>
      </c>
      <c r="AA63" s="449"/>
      <c r="AB63" s="474"/>
      <c r="AC63" s="475">
        <v>51</v>
      </c>
      <c r="AD63" s="432" t="s">
        <v>1548</v>
      </c>
      <c r="AE63" s="480">
        <v>17000</v>
      </c>
      <c r="AF63" s="481">
        <v>11312.724302696</v>
      </c>
      <c r="AG63" s="494">
        <v>0.66545437074682501</v>
      </c>
      <c r="AH63" s="450">
        <v>11179.724302696</v>
      </c>
      <c r="AI63" s="489">
        <v>0.65763084133506</v>
      </c>
      <c r="AJ63" s="490">
        <v>11002.6834368952</v>
      </c>
      <c r="AK63" s="445">
        <v>0.647216672758539</v>
      </c>
      <c r="AM63" s="475">
        <v>51</v>
      </c>
      <c r="AN63" s="432" t="s">
        <v>1548</v>
      </c>
      <c r="AO63" s="480">
        <v>16000</v>
      </c>
      <c r="AP63" s="460">
        <v>11312.724302696</v>
      </c>
      <c r="AQ63" s="442">
        <v>0.70704526891850095</v>
      </c>
      <c r="AR63" s="497">
        <v>11179.724302696</v>
      </c>
      <c r="AS63" s="384">
        <v>0.698732768918501</v>
      </c>
      <c r="AT63" s="461">
        <v>11002.6834368952</v>
      </c>
      <c r="AU63" s="445">
        <v>0.68766771480594702</v>
      </c>
      <c r="AV63" s="495"/>
    </row>
    <row r="64" spans="1:48" ht="16.5" customHeight="1">
      <c r="A64" s="413">
        <v>52</v>
      </c>
      <c r="B64" s="432" t="s">
        <v>1549</v>
      </c>
      <c r="C64" s="430">
        <v>15500</v>
      </c>
      <c r="D64" s="355">
        <f>'HITUNGAN HPP PRODUK'!AO18</f>
        <v>8593.8941986004302</v>
      </c>
      <c r="E64" s="352">
        <f t="shared" si="8"/>
        <v>0.55444478700647903</v>
      </c>
      <c r="G64" s="413">
        <v>52</v>
      </c>
      <c r="H64" s="432" t="s">
        <v>1549</v>
      </c>
      <c r="I64" s="355">
        <v>15500</v>
      </c>
      <c r="J64" s="460">
        <v>11672.724302696</v>
      </c>
      <c r="K64" s="442">
        <v>0.75307898727071099</v>
      </c>
      <c r="L64" s="450">
        <v>11529.724302696</v>
      </c>
      <c r="M64" s="384">
        <f t="shared" si="9"/>
        <v>0.74385318081909702</v>
      </c>
      <c r="N64" s="461">
        <v>11340.6834368952</v>
      </c>
      <c r="O64" s="445">
        <v>0.73165699592872002</v>
      </c>
      <c r="P64" s="449"/>
      <c r="R64" s="413">
        <v>52</v>
      </c>
      <c r="S64" s="432" t="s">
        <v>1549</v>
      </c>
      <c r="T64" s="466">
        <v>19000</v>
      </c>
      <c r="U64" s="460">
        <f>'HITUNGAN HPP PRODUK'!H63+1875+'HITUNGAN HPP PRODUK'!AM71</f>
        <v>2829.3859649122801</v>
      </c>
      <c r="V64" s="442">
        <f t="shared" si="3"/>
        <v>0.14891505078485701</v>
      </c>
      <c r="W64" s="450">
        <v>11443.794366152501</v>
      </c>
      <c r="X64" s="384">
        <v>0.60230496663960698</v>
      </c>
      <c r="Y64" s="461">
        <v>11254.7535003517</v>
      </c>
      <c r="Z64" s="472">
        <v>0.59235544738693002</v>
      </c>
      <c r="AA64" s="449"/>
      <c r="AB64" s="474"/>
      <c r="AC64" s="475">
        <v>52</v>
      </c>
      <c r="AD64" s="432" t="s">
        <v>1549</v>
      </c>
      <c r="AE64" s="480">
        <v>18000</v>
      </c>
      <c r="AF64" s="481">
        <v>11672.724302696</v>
      </c>
      <c r="AG64" s="494">
        <v>0.64848468348311195</v>
      </c>
      <c r="AH64" s="450">
        <v>11529.724302696</v>
      </c>
      <c r="AI64" s="489">
        <v>0.64054023903866797</v>
      </c>
      <c r="AJ64" s="490">
        <v>11340.6834368952</v>
      </c>
      <c r="AK64" s="445">
        <v>0.63003796871639794</v>
      </c>
      <c r="AM64" s="475">
        <v>52</v>
      </c>
      <c r="AN64" s="432" t="s">
        <v>1549</v>
      </c>
      <c r="AO64" s="480">
        <v>17000</v>
      </c>
      <c r="AP64" s="460">
        <v>11672.724302696</v>
      </c>
      <c r="AQ64" s="442">
        <v>0.68663084133506003</v>
      </c>
      <c r="AR64" s="497">
        <v>11529.724302696</v>
      </c>
      <c r="AS64" s="384">
        <v>0.67821907662917802</v>
      </c>
      <c r="AT64" s="461">
        <v>11340.6834368952</v>
      </c>
      <c r="AU64" s="445">
        <v>0.66709902569971502</v>
      </c>
      <c r="AV64" s="495"/>
    </row>
    <row r="65" spans="1:48" ht="16.5" customHeight="1">
      <c r="A65" s="413">
        <v>53</v>
      </c>
      <c r="B65" s="432" t="s">
        <v>1550</v>
      </c>
      <c r="C65" s="430">
        <v>17500</v>
      </c>
      <c r="D65" s="355">
        <f>'HITUNGAN HPP PRODUK'!AQ18</f>
        <v>12081.598044754301</v>
      </c>
      <c r="E65" s="352">
        <f t="shared" si="8"/>
        <v>0.69037703112881599</v>
      </c>
      <c r="G65" s="413">
        <v>53</v>
      </c>
      <c r="H65" s="432" t="s">
        <v>1550</v>
      </c>
      <c r="I65" s="355">
        <v>17500</v>
      </c>
      <c r="J65" s="460">
        <v>13112.724302696</v>
      </c>
      <c r="K65" s="442">
        <v>0.74929853158263005</v>
      </c>
      <c r="L65" s="450">
        <v>12929.724302696</v>
      </c>
      <c r="M65" s="384">
        <f t="shared" si="9"/>
        <v>0.73884138872548599</v>
      </c>
      <c r="N65" s="461">
        <v>12692.6834368952</v>
      </c>
      <c r="O65" s="445">
        <v>0.725296196394009</v>
      </c>
      <c r="P65" s="449"/>
      <c r="R65" s="413">
        <v>53</v>
      </c>
      <c r="S65" s="432" t="s">
        <v>1550</v>
      </c>
      <c r="T65" s="466">
        <v>21000</v>
      </c>
      <c r="U65" s="460">
        <f>'HITUNGAN HPP PRODUK'!AK71+'HITUNGAN HPP PRODUK'!H63+1875</f>
        <v>2829.3859649122801</v>
      </c>
      <c r="V65" s="442">
        <f t="shared" si="3"/>
        <v>0.13473266499582301</v>
      </c>
      <c r="W65" s="450">
        <v>13018.794366152501</v>
      </c>
      <c r="X65" s="384">
        <v>0.61994258886440601</v>
      </c>
      <c r="Y65" s="461">
        <v>12775.7535003517</v>
      </c>
      <c r="Z65" s="472">
        <v>0.60836921430246005</v>
      </c>
      <c r="AA65" s="449"/>
      <c r="AB65" s="474"/>
      <c r="AC65" s="475">
        <v>53</v>
      </c>
      <c r="AD65" s="432" t="s">
        <v>1550</v>
      </c>
      <c r="AE65" s="480">
        <v>20000</v>
      </c>
      <c r="AF65" s="481">
        <v>13112.724302696</v>
      </c>
      <c r="AG65" s="494">
        <v>0.65563621513480097</v>
      </c>
      <c r="AH65" s="450">
        <v>12929.724302696</v>
      </c>
      <c r="AI65" s="489">
        <v>0.64648621513480098</v>
      </c>
      <c r="AJ65" s="490">
        <v>12692.6834368952</v>
      </c>
      <c r="AK65" s="445">
        <v>0.63463417184475801</v>
      </c>
      <c r="AM65" s="475">
        <v>53</v>
      </c>
      <c r="AN65" s="432" t="s">
        <v>1550</v>
      </c>
      <c r="AO65" s="480">
        <v>19000</v>
      </c>
      <c r="AP65" s="460">
        <v>13112.724302696</v>
      </c>
      <c r="AQ65" s="442">
        <v>0.69014338435242195</v>
      </c>
      <c r="AR65" s="497">
        <v>12929.724302696</v>
      </c>
      <c r="AS65" s="384">
        <v>0.68051180540505396</v>
      </c>
      <c r="AT65" s="461">
        <v>12692.6834368952</v>
      </c>
      <c r="AU65" s="445">
        <v>0.66803597036290296</v>
      </c>
      <c r="AV65" s="495"/>
    </row>
    <row r="66" spans="1:48" ht="16.5" customHeight="1">
      <c r="A66" s="413">
        <v>54</v>
      </c>
      <c r="B66" s="432" t="s">
        <v>1551</v>
      </c>
      <c r="C66" s="430">
        <v>11500</v>
      </c>
      <c r="D66" s="355">
        <f>'HITUNGAN HPP PRODUK'!AO71</f>
        <v>0</v>
      </c>
      <c r="E66" s="352">
        <f t="shared" si="8"/>
        <v>0</v>
      </c>
      <c r="G66" s="413">
        <v>54</v>
      </c>
      <c r="H66" s="432" t="s">
        <v>1551</v>
      </c>
      <c r="I66" s="355">
        <v>11500</v>
      </c>
      <c r="J66" s="460">
        <v>8467.3206819420102</v>
      </c>
      <c r="K66" s="442">
        <v>0.73628875495147905</v>
      </c>
      <c r="L66" s="450">
        <v>8334.3206819420102</v>
      </c>
      <c r="M66" s="384">
        <f t="shared" si="9"/>
        <v>0.72472353756017505</v>
      </c>
      <c r="N66" s="461">
        <v>8157.2798161411401</v>
      </c>
      <c r="O66" s="445">
        <v>0.70932867966444701</v>
      </c>
      <c r="P66" s="449"/>
      <c r="R66" s="413">
        <v>54</v>
      </c>
      <c r="S66" s="432" t="s">
        <v>1551</v>
      </c>
      <c r="T66" s="466">
        <v>14500</v>
      </c>
      <c r="U66" s="460">
        <f>D66</f>
        <v>0</v>
      </c>
      <c r="V66" s="442">
        <f t="shared" si="3"/>
        <v>0</v>
      </c>
      <c r="W66" s="450">
        <v>8334.3206819420102</v>
      </c>
      <c r="X66" s="384">
        <v>0.57478073668565599</v>
      </c>
      <c r="Y66" s="461">
        <v>8157.2798161411401</v>
      </c>
      <c r="Z66" s="472">
        <v>0.56257102180283702</v>
      </c>
      <c r="AA66" s="449"/>
      <c r="AB66" s="474"/>
      <c r="AC66" s="475">
        <v>54</v>
      </c>
      <c r="AD66" s="432" t="s">
        <v>1551</v>
      </c>
      <c r="AE66" s="480">
        <v>12000</v>
      </c>
      <c r="AF66" s="481">
        <v>8467.3206819420102</v>
      </c>
      <c r="AG66" s="494">
        <v>0.70561005682850098</v>
      </c>
      <c r="AH66" s="450">
        <v>8334.3206819420102</v>
      </c>
      <c r="AI66" s="489">
        <v>0.69452672349516698</v>
      </c>
      <c r="AJ66" s="490">
        <v>8157.2798161411401</v>
      </c>
      <c r="AK66" s="445">
        <v>0.679773318011762</v>
      </c>
      <c r="AM66" s="475">
        <v>54</v>
      </c>
      <c r="AN66" s="432" t="s">
        <v>1551</v>
      </c>
      <c r="AO66" s="480">
        <v>12000</v>
      </c>
      <c r="AP66" s="460">
        <v>8467.3206819420102</v>
      </c>
      <c r="AQ66" s="442">
        <v>0.70561005682850098</v>
      </c>
      <c r="AR66" s="497">
        <v>8334.3206819420102</v>
      </c>
      <c r="AS66" s="384">
        <v>0.69452672349516698</v>
      </c>
      <c r="AT66" s="461">
        <v>8157.2798161411401</v>
      </c>
      <c r="AU66" s="445">
        <v>0.679773318011762</v>
      </c>
      <c r="AV66" s="495"/>
    </row>
    <row r="67" spans="1:48" ht="16.5" customHeight="1">
      <c r="A67" s="413">
        <v>55</v>
      </c>
      <c r="B67" s="432" t="s">
        <v>1552</v>
      </c>
      <c r="C67" s="430">
        <v>12500</v>
      </c>
      <c r="D67" s="355">
        <f>'HITUNGAN HPP PRODUK'!AM71</f>
        <v>0</v>
      </c>
      <c r="E67" s="352">
        <f t="shared" si="8"/>
        <v>0</v>
      </c>
      <c r="G67" s="413">
        <v>55</v>
      </c>
      <c r="H67" s="432" t="s">
        <v>1552</v>
      </c>
      <c r="I67" s="355">
        <v>12500</v>
      </c>
      <c r="J67" s="460">
        <v>8827.3206819420102</v>
      </c>
      <c r="K67" s="442">
        <v>0.70618565455536098</v>
      </c>
      <c r="L67" s="450">
        <v>8684.3206819420102</v>
      </c>
      <c r="M67" s="384">
        <f t="shared" si="9"/>
        <v>0.69474565455536097</v>
      </c>
      <c r="N67" s="461">
        <v>8495.2798161411392</v>
      </c>
      <c r="O67" s="445">
        <v>0.67962238529129104</v>
      </c>
      <c r="P67" s="449"/>
      <c r="R67" s="413">
        <v>55</v>
      </c>
      <c r="S67" s="432" t="s">
        <v>1552</v>
      </c>
      <c r="T67" s="466">
        <v>13500</v>
      </c>
      <c r="U67" s="460">
        <f>D67</f>
        <v>0</v>
      </c>
      <c r="V67" s="442">
        <f t="shared" si="3"/>
        <v>0</v>
      </c>
      <c r="W67" s="450">
        <v>8684.3206819420102</v>
      </c>
      <c r="X67" s="384">
        <v>0.64328301347718597</v>
      </c>
      <c r="Y67" s="461">
        <v>8495.2798161411392</v>
      </c>
      <c r="Z67" s="472">
        <v>0.62927998638082505</v>
      </c>
      <c r="AA67" s="449"/>
      <c r="AB67" s="474"/>
      <c r="AC67" s="475">
        <v>55</v>
      </c>
      <c r="AD67" s="432" t="s">
        <v>1552</v>
      </c>
      <c r="AE67" s="480">
        <v>13000</v>
      </c>
      <c r="AF67" s="481">
        <v>8827.3206819420102</v>
      </c>
      <c r="AG67" s="494">
        <v>0.67902466784169302</v>
      </c>
      <c r="AH67" s="450">
        <v>8684.3206819420102</v>
      </c>
      <c r="AI67" s="489">
        <v>0.66802466784169301</v>
      </c>
      <c r="AJ67" s="490">
        <v>8495.2798161411392</v>
      </c>
      <c r="AK67" s="445">
        <v>0.65348306278008805</v>
      </c>
      <c r="AM67" s="475">
        <v>55</v>
      </c>
      <c r="AN67" s="432" t="s">
        <v>1552</v>
      </c>
      <c r="AO67" s="480">
        <v>13000</v>
      </c>
      <c r="AP67" s="460">
        <v>8827.3206819420102</v>
      </c>
      <c r="AQ67" s="442">
        <v>0.67902466784169302</v>
      </c>
      <c r="AR67" s="497">
        <v>8684.3206819420102</v>
      </c>
      <c r="AS67" s="384">
        <v>0.66802466784169301</v>
      </c>
      <c r="AT67" s="461">
        <v>8495.2798161411392</v>
      </c>
      <c r="AU67" s="445">
        <v>0.65348306278008805</v>
      </c>
      <c r="AV67" s="495"/>
    </row>
    <row r="68" spans="1:48" ht="16.5" customHeight="1">
      <c r="A68" s="413">
        <v>56</v>
      </c>
      <c r="B68" s="432" t="s">
        <v>1553</v>
      </c>
      <c r="C68" s="430">
        <v>13000</v>
      </c>
      <c r="D68" s="355">
        <f>'HITUNGAN HPP PRODUK'!AK71</f>
        <v>0</v>
      </c>
      <c r="E68" s="352">
        <f t="shared" si="8"/>
        <v>0</v>
      </c>
      <c r="G68" s="413">
        <v>56</v>
      </c>
      <c r="H68" s="432" t="s">
        <v>1553</v>
      </c>
      <c r="I68" s="355">
        <v>13000</v>
      </c>
      <c r="J68" s="460">
        <v>10447.320681941999</v>
      </c>
      <c r="K68" s="442">
        <v>0.80364005245707804</v>
      </c>
      <c r="L68" s="450">
        <v>10259.320681941999</v>
      </c>
      <c r="M68" s="384">
        <f t="shared" si="9"/>
        <v>0.78917851399553796</v>
      </c>
      <c r="N68" s="461">
        <v>10016.279816141099</v>
      </c>
      <c r="O68" s="445">
        <v>0.77048306278008805</v>
      </c>
      <c r="P68" s="449"/>
      <c r="R68" s="413">
        <v>56</v>
      </c>
      <c r="S68" s="432" t="s">
        <v>1553</v>
      </c>
      <c r="T68" s="466">
        <v>12500</v>
      </c>
      <c r="U68" s="460">
        <f>D68</f>
        <v>0</v>
      </c>
      <c r="V68" s="442">
        <f t="shared" si="3"/>
        <v>0</v>
      </c>
      <c r="W68" s="450">
        <v>10259.320681941999</v>
      </c>
      <c r="X68" s="384">
        <v>0.82074565455536097</v>
      </c>
      <c r="Y68" s="461">
        <v>10016.279816141099</v>
      </c>
      <c r="Z68" s="472">
        <v>0.80130238529129105</v>
      </c>
      <c r="AA68" s="449"/>
      <c r="AB68" s="474"/>
      <c r="AC68" s="475">
        <v>56</v>
      </c>
      <c r="AD68" s="432" t="s">
        <v>1553</v>
      </c>
      <c r="AE68" s="480">
        <v>14000</v>
      </c>
      <c r="AF68" s="481">
        <v>10447.320681941999</v>
      </c>
      <c r="AG68" s="494">
        <v>0.74623719156728596</v>
      </c>
      <c r="AH68" s="450">
        <v>10259.320681941999</v>
      </c>
      <c r="AI68" s="489">
        <v>0.73280862013871495</v>
      </c>
      <c r="AJ68" s="490">
        <v>10016.279816141099</v>
      </c>
      <c r="AK68" s="445">
        <v>0.71544855829579601</v>
      </c>
      <c r="AM68" s="475">
        <v>56</v>
      </c>
      <c r="AN68" s="432" t="s">
        <v>1553</v>
      </c>
      <c r="AO68" s="480">
        <v>14000</v>
      </c>
      <c r="AP68" s="460">
        <v>10447.320681941999</v>
      </c>
      <c r="AQ68" s="442">
        <v>0.74623719156728596</v>
      </c>
      <c r="AR68" s="497">
        <v>10259.320681941999</v>
      </c>
      <c r="AS68" s="384">
        <v>0.73280862013871495</v>
      </c>
      <c r="AT68" s="461">
        <v>10016.279816141099</v>
      </c>
      <c r="AU68" s="445">
        <v>0.71544855829579601</v>
      </c>
      <c r="AV68" s="495"/>
    </row>
    <row r="69" spans="1:48" ht="15.5">
      <c r="A69" s="413">
        <v>57</v>
      </c>
      <c r="B69" s="431"/>
      <c r="C69" s="425"/>
      <c r="D69" s="363"/>
      <c r="E69" s="352"/>
      <c r="G69" s="413">
        <v>57</v>
      </c>
      <c r="H69" s="431"/>
      <c r="I69" s="451"/>
      <c r="J69" s="452"/>
      <c r="K69" s="442"/>
      <c r="L69" s="457"/>
      <c r="M69" s="384"/>
      <c r="N69" s="453"/>
      <c r="O69" s="445"/>
      <c r="P69" s="449"/>
      <c r="R69" s="413">
        <v>57</v>
      </c>
      <c r="S69" s="431"/>
      <c r="T69" s="451"/>
      <c r="U69" s="465"/>
      <c r="V69" s="442"/>
      <c r="W69" s="457"/>
      <c r="X69" s="384"/>
      <c r="Y69" s="479"/>
      <c r="Z69" s="472"/>
      <c r="AA69" s="449"/>
      <c r="AB69" s="474"/>
      <c r="AC69" s="475">
        <v>57</v>
      </c>
      <c r="AD69" s="431"/>
      <c r="AE69" s="477"/>
      <c r="AF69" s="452"/>
      <c r="AG69" s="491"/>
      <c r="AH69" s="457"/>
      <c r="AI69" s="489"/>
      <c r="AJ69" s="493"/>
      <c r="AK69" s="445"/>
      <c r="AM69" s="475">
        <v>57</v>
      </c>
      <c r="AN69" s="431"/>
      <c r="AO69" s="477"/>
      <c r="AP69" s="465"/>
      <c r="AQ69" s="442"/>
      <c r="AR69" s="498"/>
      <c r="AS69" s="384"/>
      <c r="AT69" s="479"/>
      <c r="AU69" s="445"/>
      <c r="AV69" s="495"/>
    </row>
    <row r="70" spans="1:48" ht="15.5">
      <c r="A70" s="413">
        <v>63</v>
      </c>
      <c r="B70" s="431" t="s">
        <v>1743</v>
      </c>
      <c r="C70" s="499">
        <v>13500</v>
      </c>
      <c r="D70" s="355">
        <f>'HITUNGAN HPP PRODUK'!AI62</f>
        <v>11620.93610608</v>
      </c>
      <c r="E70" s="352">
        <f>D70/C70</f>
        <v>0.86081008193185105</v>
      </c>
      <c r="G70" s="413">
        <v>63</v>
      </c>
      <c r="H70" s="431" t="s">
        <v>1743</v>
      </c>
      <c r="I70" s="370">
        <v>13500</v>
      </c>
      <c r="J70" s="503">
        <v>11063.054422543501</v>
      </c>
      <c r="K70" s="442">
        <v>0.81948551278100101</v>
      </c>
      <c r="L70" s="450">
        <v>10930.054422543501</v>
      </c>
      <c r="M70" s="384">
        <f>L70/I70</f>
        <v>0.80963366092914801</v>
      </c>
      <c r="N70" s="504">
        <v>10753.2992710284</v>
      </c>
      <c r="O70" s="445">
        <v>0.79654068674284195</v>
      </c>
      <c r="P70" s="449"/>
      <c r="R70" s="413">
        <v>63</v>
      </c>
      <c r="S70" s="431" t="s">
        <v>1743</v>
      </c>
      <c r="T70" s="466">
        <v>18000</v>
      </c>
      <c r="U70" s="460">
        <f>D70</f>
        <v>11620.93610608</v>
      </c>
      <c r="V70" s="442">
        <f t="shared" si="3"/>
        <v>0.64560756144888798</v>
      </c>
      <c r="W70" s="450">
        <v>10930.054422543501</v>
      </c>
      <c r="X70" s="384">
        <v>0.60722524569686198</v>
      </c>
      <c r="Y70" s="461">
        <v>10753.2992710284</v>
      </c>
      <c r="Z70" s="472">
        <v>0.59740551505713102</v>
      </c>
      <c r="AA70" s="449"/>
      <c r="AB70" s="474"/>
      <c r="AC70" s="475">
        <v>63</v>
      </c>
      <c r="AD70" s="431" t="s">
        <v>1743</v>
      </c>
      <c r="AE70" s="480">
        <v>17000</v>
      </c>
      <c r="AF70" s="481">
        <v>11063.054422543501</v>
      </c>
      <c r="AG70" s="494">
        <v>0.65076790720844202</v>
      </c>
      <c r="AH70" s="450">
        <v>10930.054422543501</v>
      </c>
      <c r="AI70" s="489">
        <v>0.64294437779667701</v>
      </c>
      <c r="AJ70" s="490">
        <v>10753.2992710284</v>
      </c>
      <c r="AK70" s="445">
        <v>0.63254701594284501</v>
      </c>
      <c r="AM70" s="475">
        <v>63</v>
      </c>
      <c r="AN70" s="431" t="s">
        <v>1743</v>
      </c>
      <c r="AO70" s="480">
        <v>16000</v>
      </c>
      <c r="AP70" s="460">
        <v>11063.054422543501</v>
      </c>
      <c r="AQ70" s="442">
        <v>0.69144090140896997</v>
      </c>
      <c r="AR70" s="497">
        <v>10930.054422543501</v>
      </c>
      <c r="AS70" s="384">
        <v>0.68312840140896902</v>
      </c>
      <c r="AT70" s="461">
        <v>10753.2992710284</v>
      </c>
      <c r="AU70" s="445">
        <v>0.67208120443927299</v>
      </c>
      <c r="AV70" s="495"/>
    </row>
    <row r="71" spans="1:48" ht="15.5">
      <c r="A71" s="413">
        <v>64</v>
      </c>
      <c r="B71" s="431" t="s">
        <v>1744</v>
      </c>
      <c r="C71" s="499">
        <v>14500</v>
      </c>
      <c r="D71" s="355">
        <f>'HITUNGAN HPP PRODUK'!AK61</f>
        <v>1555.36</v>
      </c>
      <c r="E71" s="352">
        <f>D71/C71</f>
        <v>0.107266206896552</v>
      </c>
      <c r="G71" s="413">
        <v>64</v>
      </c>
      <c r="H71" s="431" t="s">
        <v>1744</v>
      </c>
      <c r="I71" s="370">
        <v>14500</v>
      </c>
      <c r="J71" s="503">
        <v>11423.054422543501</v>
      </c>
      <c r="K71" s="442">
        <v>0.78779685672713895</v>
      </c>
      <c r="L71" s="450">
        <v>11280.054422543501</v>
      </c>
      <c r="M71" s="384">
        <f>L71/I71</f>
        <v>0.77793478776162095</v>
      </c>
      <c r="N71" s="504">
        <v>11091.2992710284</v>
      </c>
      <c r="O71" s="445">
        <v>0.76491719110540402</v>
      </c>
      <c r="P71" s="449"/>
      <c r="R71" s="413">
        <v>64</v>
      </c>
      <c r="S71" s="431" t="s">
        <v>1744</v>
      </c>
      <c r="T71" s="466">
        <v>19000</v>
      </c>
      <c r="U71" s="460">
        <f>D71</f>
        <v>1555.36</v>
      </c>
      <c r="V71" s="442">
        <f t="shared" si="3"/>
        <v>8.1861052631579001E-2</v>
      </c>
      <c r="W71" s="450">
        <v>11280.054422543501</v>
      </c>
      <c r="X71" s="384">
        <v>0.59368707487071104</v>
      </c>
      <c r="Y71" s="461">
        <v>11091.2992710284</v>
      </c>
      <c r="Z71" s="472">
        <v>0.583752593212019</v>
      </c>
      <c r="AA71" s="449"/>
      <c r="AB71" s="474"/>
      <c r="AC71" s="475">
        <v>64</v>
      </c>
      <c r="AD71" s="431" t="s">
        <v>1744</v>
      </c>
      <c r="AE71" s="480">
        <v>18000</v>
      </c>
      <c r="AF71" s="481">
        <v>11423.054422543501</v>
      </c>
      <c r="AG71" s="494">
        <v>0.634614134585751</v>
      </c>
      <c r="AH71" s="450">
        <v>11280.054422543501</v>
      </c>
      <c r="AI71" s="489">
        <v>0.62666969014130602</v>
      </c>
      <c r="AJ71" s="490">
        <v>11091.2992710284</v>
      </c>
      <c r="AK71" s="445">
        <v>0.61618329283490902</v>
      </c>
      <c r="AM71" s="475">
        <v>64</v>
      </c>
      <c r="AN71" s="431" t="s">
        <v>1744</v>
      </c>
      <c r="AO71" s="480">
        <v>17000</v>
      </c>
      <c r="AP71" s="460">
        <v>11423.054422543501</v>
      </c>
      <c r="AQ71" s="442">
        <v>0.67194437779667704</v>
      </c>
      <c r="AR71" s="497">
        <v>11280.054422543501</v>
      </c>
      <c r="AS71" s="384">
        <v>0.66353261309079503</v>
      </c>
      <c r="AT71" s="461">
        <v>11091.2992710284</v>
      </c>
      <c r="AU71" s="445">
        <v>0.65242936888402103</v>
      </c>
      <c r="AV71" s="495"/>
    </row>
    <row r="72" spans="1:48" ht="15.5">
      <c r="A72" s="413">
        <v>65</v>
      </c>
      <c r="B72" s="431" t="s">
        <v>1745</v>
      </c>
      <c r="C72" s="499">
        <v>16500</v>
      </c>
      <c r="D72" s="355">
        <f>'HITUNGAN HPP PRODUK'!AM61</f>
        <v>3136.7994310099598</v>
      </c>
      <c r="E72" s="352">
        <f>D72/C72</f>
        <v>0.19010905642484599</v>
      </c>
      <c r="G72" s="413">
        <v>65</v>
      </c>
      <c r="H72" s="431" t="s">
        <v>1745</v>
      </c>
      <c r="I72" s="370">
        <v>16500</v>
      </c>
      <c r="J72" s="503">
        <v>13043.054422543501</v>
      </c>
      <c r="K72" s="442">
        <v>0.79048814682081903</v>
      </c>
      <c r="L72" s="450">
        <v>12855.054422543501</v>
      </c>
      <c r="M72" s="384">
        <f>L72/I72</f>
        <v>0.77909420742687896</v>
      </c>
      <c r="N72" s="504">
        <v>12612.2992710284</v>
      </c>
      <c r="O72" s="445">
        <v>0.76438177400171903</v>
      </c>
      <c r="P72" s="449"/>
      <c r="R72" s="413">
        <v>65</v>
      </c>
      <c r="S72" s="431" t="s">
        <v>1745</v>
      </c>
      <c r="T72" s="466">
        <v>21000</v>
      </c>
      <c r="U72" s="460">
        <f>D72</f>
        <v>3136.7994310099598</v>
      </c>
      <c r="V72" s="442">
        <f t="shared" ref="V72:V77" si="10">U72/T72</f>
        <v>0.149371401476665</v>
      </c>
      <c r="W72" s="450">
        <v>12855.054422543501</v>
      </c>
      <c r="X72" s="384">
        <v>0.61214544869254806</v>
      </c>
      <c r="Y72" s="461">
        <v>12612.2992710284</v>
      </c>
      <c r="Z72" s="472">
        <v>0.60058567957277897</v>
      </c>
      <c r="AA72" s="449"/>
      <c r="AB72" s="474"/>
      <c r="AC72" s="475">
        <v>65</v>
      </c>
      <c r="AD72" s="431" t="s">
        <v>1745</v>
      </c>
      <c r="AE72" s="480">
        <v>20000</v>
      </c>
      <c r="AF72" s="481">
        <v>13043.054422543501</v>
      </c>
      <c r="AG72" s="494">
        <v>0.65215272112717604</v>
      </c>
      <c r="AH72" s="450">
        <v>12855.054422543501</v>
      </c>
      <c r="AI72" s="489">
        <v>0.64275272112717596</v>
      </c>
      <c r="AJ72" s="490">
        <v>12612.2992710284</v>
      </c>
      <c r="AK72" s="445">
        <v>0.630614963551418</v>
      </c>
      <c r="AM72" s="475">
        <v>65</v>
      </c>
      <c r="AN72" s="431" t="s">
        <v>1745</v>
      </c>
      <c r="AO72" s="480">
        <v>18500</v>
      </c>
      <c r="AP72" s="460">
        <v>13043.054422543501</v>
      </c>
      <c r="AQ72" s="442">
        <v>0.705029968786136</v>
      </c>
      <c r="AR72" s="497">
        <v>12855.054422543501</v>
      </c>
      <c r="AS72" s="384">
        <v>0.69486780662397396</v>
      </c>
      <c r="AT72" s="461">
        <v>12612.2992710284</v>
      </c>
      <c r="AU72" s="445">
        <v>0.68174590654207401</v>
      </c>
      <c r="AV72" s="495"/>
    </row>
    <row r="73" spans="1:48" ht="15.5">
      <c r="A73" s="413">
        <v>66</v>
      </c>
      <c r="B73" s="431"/>
      <c r="C73" s="499"/>
      <c r="D73" s="363"/>
      <c r="E73" s="352"/>
      <c r="G73" s="413">
        <v>66</v>
      </c>
      <c r="H73" s="431"/>
      <c r="I73" s="370"/>
      <c r="J73" s="503"/>
      <c r="K73" s="442"/>
      <c r="L73" s="457"/>
      <c r="M73" s="384"/>
      <c r="N73" s="504"/>
      <c r="O73" s="445"/>
      <c r="P73" s="449"/>
      <c r="R73" s="413">
        <v>66</v>
      </c>
      <c r="S73" s="431"/>
      <c r="T73" s="370"/>
      <c r="U73" s="465"/>
      <c r="V73" s="442"/>
      <c r="W73" s="457"/>
      <c r="X73" s="384"/>
      <c r="Y73" s="479"/>
      <c r="Z73" s="472"/>
      <c r="AA73" s="449"/>
      <c r="AB73" s="474"/>
      <c r="AC73" s="475">
        <v>66</v>
      </c>
      <c r="AD73" s="431"/>
      <c r="AE73" s="370"/>
      <c r="AF73" s="503"/>
      <c r="AG73" s="506"/>
      <c r="AH73" s="457"/>
      <c r="AI73" s="489"/>
      <c r="AJ73" s="493"/>
      <c r="AK73" s="445"/>
      <c r="AM73" s="475">
        <v>66</v>
      </c>
      <c r="AN73" s="431"/>
      <c r="AO73" s="370"/>
      <c r="AP73" s="465"/>
      <c r="AQ73" s="442"/>
      <c r="AR73" s="498"/>
      <c r="AS73" s="384"/>
      <c r="AT73" s="479"/>
      <c r="AU73" s="445"/>
      <c r="AV73" s="495"/>
    </row>
    <row r="74" spans="1:48" ht="15.5">
      <c r="A74" s="413">
        <v>67</v>
      </c>
      <c r="B74" s="431" t="s">
        <v>1746</v>
      </c>
      <c r="C74" s="499">
        <v>9500</v>
      </c>
      <c r="D74" s="355">
        <f>'HITUNGAN HPP PRODUK'!AG72</f>
        <v>0</v>
      </c>
      <c r="E74" s="352">
        <f>D74/C74</f>
        <v>0</v>
      </c>
      <c r="G74" s="413">
        <v>67</v>
      </c>
      <c r="H74" s="431" t="s">
        <v>1746</v>
      </c>
      <c r="I74" s="370">
        <v>9500</v>
      </c>
      <c r="J74" s="503">
        <v>8647.6800804382492</v>
      </c>
      <c r="K74" s="442">
        <v>0.91028211373034196</v>
      </c>
      <c r="L74" s="450">
        <v>8514.6800804382492</v>
      </c>
      <c r="M74" s="384">
        <f>L74/I74</f>
        <v>0.89628211373034194</v>
      </c>
      <c r="N74" s="504">
        <v>8337.9249289230993</v>
      </c>
      <c r="O74" s="445">
        <v>0.87767630830769405</v>
      </c>
      <c r="P74" s="449"/>
      <c r="R74" s="413">
        <v>67</v>
      </c>
      <c r="S74" s="431" t="s">
        <v>1746</v>
      </c>
      <c r="T74" s="370">
        <v>11500</v>
      </c>
      <c r="U74" s="460">
        <f>D74</f>
        <v>0</v>
      </c>
      <c r="V74" s="442">
        <f t="shared" si="10"/>
        <v>0</v>
      </c>
      <c r="W74" s="450">
        <v>8514.6800804382492</v>
      </c>
      <c r="X74" s="384">
        <v>0.74040696351636903</v>
      </c>
      <c r="Y74" s="461">
        <v>8337.9249289230993</v>
      </c>
      <c r="Z74" s="472">
        <v>0.72503695034113902</v>
      </c>
      <c r="AA74" s="449"/>
      <c r="AB74" s="474"/>
      <c r="AC74" s="475">
        <v>67</v>
      </c>
      <c r="AD74" s="431" t="s">
        <v>1746</v>
      </c>
      <c r="AE74" s="370">
        <v>11000</v>
      </c>
      <c r="AF74" s="503">
        <v>8647.6800804382492</v>
      </c>
      <c r="AG74" s="506">
        <v>0.786152734585295</v>
      </c>
      <c r="AH74" s="450">
        <v>8514.6800804382492</v>
      </c>
      <c r="AI74" s="489">
        <v>0.77406182549438596</v>
      </c>
      <c r="AJ74" s="490">
        <v>8337.9249289230993</v>
      </c>
      <c r="AK74" s="445">
        <v>0.75799317535664501</v>
      </c>
      <c r="AM74" s="475">
        <v>67</v>
      </c>
      <c r="AN74" s="431" t="s">
        <v>1746</v>
      </c>
      <c r="AO74" s="370">
        <v>11000</v>
      </c>
      <c r="AP74" s="460">
        <v>8647.6800804382492</v>
      </c>
      <c r="AQ74" s="442">
        <v>0.786152734585295</v>
      </c>
      <c r="AR74" s="497">
        <v>8514.6800804382492</v>
      </c>
      <c r="AS74" s="384">
        <v>0.77406182549438596</v>
      </c>
      <c r="AT74" s="461">
        <v>8337.9249289230993</v>
      </c>
      <c r="AU74" s="445">
        <v>0.75799317535664501</v>
      </c>
      <c r="AV74" s="495"/>
    </row>
    <row r="75" spans="1:48" ht="15.5">
      <c r="A75" s="413">
        <v>68</v>
      </c>
      <c r="B75" s="431" t="s">
        <v>1747</v>
      </c>
      <c r="C75" s="499">
        <v>10500</v>
      </c>
      <c r="D75" s="355">
        <f>'HITUNGAN HPP PRODUK'!AE72</f>
        <v>943</v>
      </c>
      <c r="E75" s="352">
        <f>D75/C75</f>
        <v>8.9809523809523797E-2</v>
      </c>
      <c r="G75" s="413">
        <v>68</v>
      </c>
      <c r="H75" s="431" t="s">
        <v>1747</v>
      </c>
      <c r="I75" s="370">
        <v>10500</v>
      </c>
      <c r="J75" s="503">
        <v>9007.6800804382492</v>
      </c>
      <c r="K75" s="442">
        <v>0.85787429337507104</v>
      </c>
      <c r="L75" s="450">
        <v>8864.6800804382492</v>
      </c>
      <c r="M75" s="384">
        <f>L75/I75</f>
        <v>0.84425524575602395</v>
      </c>
      <c r="N75" s="504">
        <v>8675.9249289230993</v>
      </c>
      <c r="O75" s="445">
        <v>0.82627856465934302</v>
      </c>
      <c r="P75" s="449"/>
      <c r="R75" s="413">
        <v>68</v>
      </c>
      <c r="S75" s="431" t="s">
        <v>1747</v>
      </c>
      <c r="T75" s="370">
        <v>12500</v>
      </c>
      <c r="U75" s="460">
        <f>D75</f>
        <v>943</v>
      </c>
      <c r="V75" s="442">
        <f t="shared" si="10"/>
        <v>7.5439999999999993E-2</v>
      </c>
      <c r="W75" s="450">
        <v>8864.6800804382492</v>
      </c>
      <c r="X75" s="384">
        <v>0.70917440643506002</v>
      </c>
      <c r="Y75" s="461">
        <v>8675.9249289230993</v>
      </c>
      <c r="Z75" s="472">
        <v>0.69407399431384798</v>
      </c>
      <c r="AA75" s="449"/>
      <c r="AB75" s="474"/>
      <c r="AC75" s="475">
        <v>68</v>
      </c>
      <c r="AD75" s="431" t="s">
        <v>1747</v>
      </c>
      <c r="AE75" s="370">
        <v>12000</v>
      </c>
      <c r="AF75" s="503">
        <v>9007.6800804382492</v>
      </c>
      <c r="AG75" s="506">
        <v>0.75064000670318698</v>
      </c>
      <c r="AH75" s="450">
        <v>8864.6800804382492</v>
      </c>
      <c r="AI75" s="489">
        <v>0.73872334003652096</v>
      </c>
      <c r="AJ75" s="490">
        <v>8675.9249289230993</v>
      </c>
      <c r="AK75" s="445">
        <v>0.72299374407692496</v>
      </c>
      <c r="AM75" s="475">
        <v>68</v>
      </c>
      <c r="AN75" s="431" t="s">
        <v>1747</v>
      </c>
      <c r="AO75" s="370">
        <v>12000</v>
      </c>
      <c r="AP75" s="460">
        <v>9007.6800804382492</v>
      </c>
      <c r="AQ75" s="442">
        <v>0.75064000670318698</v>
      </c>
      <c r="AR75" s="497">
        <v>8864.6800804382492</v>
      </c>
      <c r="AS75" s="384">
        <v>0.73872334003652096</v>
      </c>
      <c r="AT75" s="461">
        <v>8675.9249289230993</v>
      </c>
      <c r="AU75" s="445">
        <v>0.72299374407692496</v>
      </c>
      <c r="AV75" s="495"/>
    </row>
    <row r="76" spans="1:48" ht="15.5">
      <c r="A76" s="413">
        <v>69</v>
      </c>
      <c r="B76" s="431" t="s">
        <v>1748</v>
      </c>
      <c r="C76" s="499">
        <v>12000</v>
      </c>
      <c r="D76" s="355">
        <f>'HITUNGAN HPP PRODUK'!AA71</f>
        <v>0</v>
      </c>
      <c r="E76" s="352">
        <f>D76/C76</f>
        <v>0</v>
      </c>
      <c r="G76" s="413">
        <v>69</v>
      </c>
      <c r="H76" s="431" t="s">
        <v>1748</v>
      </c>
      <c r="I76" s="370">
        <v>12000</v>
      </c>
      <c r="J76" s="503">
        <v>10447.6800804383</v>
      </c>
      <c r="K76" s="442">
        <v>0.87064000670318797</v>
      </c>
      <c r="L76" s="450">
        <v>10264.6800804383</v>
      </c>
      <c r="M76" s="384">
        <f>L76/I76</f>
        <v>0.85539000670319199</v>
      </c>
      <c r="N76" s="504">
        <v>10027.924928923099</v>
      </c>
      <c r="O76" s="445">
        <v>0.83566041074359199</v>
      </c>
      <c r="P76" s="449"/>
      <c r="R76" s="413">
        <v>69</v>
      </c>
      <c r="S76" s="431" t="s">
        <v>1748</v>
      </c>
      <c r="T76" s="370">
        <v>14500</v>
      </c>
      <c r="U76" s="460">
        <f>D76</f>
        <v>0</v>
      </c>
      <c r="V76" s="442">
        <f t="shared" si="10"/>
        <v>0</v>
      </c>
      <c r="W76" s="450">
        <v>10264.6800804383</v>
      </c>
      <c r="X76" s="384">
        <v>0.70790897106470696</v>
      </c>
      <c r="Y76" s="461">
        <v>10027.924928923099</v>
      </c>
      <c r="Z76" s="472">
        <v>0.69158102958090295</v>
      </c>
      <c r="AA76" s="449"/>
      <c r="AB76" s="474"/>
      <c r="AC76" s="475">
        <v>69</v>
      </c>
      <c r="AD76" s="431" t="s">
        <v>1748</v>
      </c>
      <c r="AE76" s="370">
        <v>13000</v>
      </c>
      <c r="AF76" s="503">
        <v>10447.6800804383</v>
      </c>
      <c r="AG76" s="506">
        <v>0.80366769849524999</v>
      </c>
      <c r="AH76" s="450">
        <v>10264.6800804383</v>
      </c>
      <c r="AI76" s="489">
        <v>0.78959077541832701</v>
      </c>
      <c r="AJ76" s="490">
        <v>10027.924928923099</v>
      </c>
      <c r="AK76" s="445">
        <v>0.77137884068639195</v>
      </c>
      <c r="AM76" s="475">
        <v>69</v>
      </c>
      <c r="AN76" s="431" t="s">
        <v>1748</v>
      </c>
      <c r="AO76" s="370">
        <v>13000</v>
      </c>
      <c r="AP76" s="460">
        <v>10447.6800804383</v>
      </c>
      <c r="AQ76" s="442">
        <v>0.80366769849524999</v>
      </c>
      <c r="AR76" s="497">
        <v>10264.6800804383</v>
      </c>
      <c r="AS76" s="384">
        <v>0.78959077541832701</v>
      </c>
      <c r="AT76" s="461">
        <v>10027.924928923099</v>
      </c>
      <c r="AU76" s="445">
        <v>0.77137884068639195</v>
      </c>
      <c r="AV76" s="495"/>
    </row>
    <row r="77" spans="1:48" ht="15.5">
      <c r="A77" s="413">
        <v>70</v>
      </c>
      <c r="B77" s="431" t="s">
        <v>1749</v>
      </c>
      <c r="C77" s="425">
        <v>12000</v>
      </c>
      <c r="D77" s="355">
        <f>'HITUNGAN HPP PRODUK'!AC71</f>
        <v>0</v>
      </c>
      <c r="E77" s="352">
        <f>D77/C77</f>
        <v>0</v>
      </c>
      <c r="G77" s="413">
        <v>70</v>
      </c>
      <c r="H77" s="431" t="s">
        <v>1749</v>
      </c>
      <c r="I77" s="451">
        <v>12000</v>
      </c>
      <c r="J77" s="452">
        <v>10627.6800804382</v>
      </c>
      <c r="K77" s="442">
        <v>0.88564000670318699</v>
      </c>
      <c r="L77" s="450">
        <v>10439.6800804382</v>
      </c>
      <c r="M77" s="384">
        <f>L77/I77</f>
        <v>0.86997334003651705</v>
      </c>
      <c r="N77" s="453">
        <v>10196.924928923099</v>
      </c>
      <c r="O77" s="445">
        <v>0.84974374407692499</v>
      </c>
      <c r="P77" s="449"/>
      <c r="R77" s="413">
        <v>70</v>
      </c>
      <c r="S77" s="431" t="s">
        <v>1749</v>
      </c>
      <c r="T77" s="451">
        <v>14500</v>
      </c>
      <c r="U77" s="460">
        <f>D77</f>
        <v>0</v>
      </c>
      <c r="V77" s="442">
        <f t="shared" si="10"/>
        <v>0</v>
      </c>
      <c r="W77" s="450">
        <v>10439.6800804382</v>
      </c>
      <c r="X77" s="384">
        <v>0.71997793658194797</v>
      </c>
      <c r="Y77" s="461">
        <v>10196.924928923099</v>
      </c>
      <c r="Z77" s="472">
        <v>0.70323620199469605</v>
      </c>
      <c r="AA77" s="449"/>
      <c r="AB77" s="474"/>
      <c r="AC77" s="475">
        <v>70</v>
      </c>
      <c r="AD77" s="431" t="s">
        <v>1749</v>
      </c>
      <c r="AE77" s="477">
        <v>13000</v>
      </c>
      <c r="AF77" s="452">
        <v>10627.6800804382</v>
      </c>
      <c r="AG77" s="491">
        <v>0.81751385234140395</v>
      </c>
      <c r="AH77" s="450">
        <v>10439.6800804382</v>
      </c>
      <c r="AI77" s="489">
        <v>0.80305231387986498</v>
      </c>
      <c r="AJ77" s="490">
        <v>10196.924928923099</v>
      </c>
      <c r="AK77" s="445">
        <v>0.78437884068639196</v>
      </c>
      <c r="AM77" s="475">
        <v>70</v>
      </c>
      <c r="AN77" s="431" t="s">
        <v>1749</v>
      </c>
      <c r="AO77" s="477">
        <v>13000</v>
      </c>
      <c r="AP77" s="460">
        <v>10627.6800804382</v>
      </c>
      <c r="AQ77" s="442">
        <v>0.81751385234140395</v>
      </c>
      <c r="AR77" s="497">
        <v>10439.6800804382</v>
      </c>
      <c r="AS77" s="384">
        <v>0.80305231387986498</v>
      </c>
      <c r="AT77" s="461">
        <v>10196.924928923099</v>
      </c>
      <c r="AU77" s="445">
        <v>0.78437884068639196</v>
      </c>
      <c r="AV77" s="495"/>
    </row>
    <row r="78" spans="1:48" ht="15.5">
      <c r="A78" s="413">
        <v>71</v>
      </c>
      <c r="B78" s="431"/>
      <c r="C78" s="425"/>
      <c r="D78" s="363"/>
      <c r="E78" s="352"/>
      <c r="G78" s="413">
        <v>71</v>
      </c>
      <c r="H78" s="431"/>
      <c r="I78" s="451"/>
      <c r="J78" s="452"/>
      <c r="K78" s="442"/>
      <c r="L78" s="457"/>
      <c r="M78" s="384"/>
      <c r="N78" s="453"/>
      <c r="O78" s="445"/>
      <c r="P78" s="449"/>
      <c r="R78" s="413">
        <v>71</v>
      </c>
      <c r="S78" s="431"/>
      <c r="T78" s="451"/>
      <c r="U78" s="465"/>
      <c r="V78" s="442"/>
      <c r="W78" s="457"/>
      <c r="X78" s="384"/>
      <c r="Y78" s="479"/>
      <c r="Z78" s="472"/>
      <c r="AA78" s="449"/>
      <c r="AB78" s="474"/>
      <c r="AC78" s="475">
        <v>71</v>
      </c>
      <c r="AD78" s="431"/>
      <c r="AE78" s="477"/>
      <c r="AF78" s="452"/>
      <c r="AG78" s="491"/>
      <c r="AH78" s="457"/>
      <c r="AI78" s="489"/>
      <c r="AJ78" s="493"/>
      <c r="AK78" s="445"/>
      <c r="AM78" s="475">
        <v>71</v>
      </c>
      <c r="AN78" s="431"/>
      <c r="AO78" s="477"/>
      <c r="AP78" s="465"/>
      <c r="AQ78" s="442"/>
      <c r="AR78" s="498"/>
      <c r="AS78" s="384"/>
      <c r="AT78" s="479"/>
      <c r="AU78" s="445"/>
      <c r="AV78" s="495"/>
    </row>
    <row r="79" spans="1:48" ht="15.5">
      <c r="A79" s="413">
        <v>72</v>
      </c>
      <c r="B79" s="431" t="s">
        <v>1750</v>
      </c>
      <c r="C79" s="499">
        <v>13000</v>
      </c>
      <c r="D79" s="355">
        <f>'HITUNGAN HPP PRODUK'!U58</f>
        <v>1583.97</v>
      </c>
      <c r="E79" s="352">
        <f>D79/C79</f>
        <v>0.121843846153846</v>
      </c>
      <c r="G79" s="413">
        <v>72</v>
      </c>
      <c r="H79" s="431" t="s">
        <v>1750</v>
      </c>
      <c r="I79" s="370">
        <v>13000</v>
      </c>
      <c r="J79" s="503">
        <v>8599.9505263157898</v>
      </c>
      <c r="K79" s="442">
        <v>0.66153465587044502</v>
      </c>
      <c r="L79" s="450">
        <v>8511.2362406015</v>
      </c>
      <c r="M79" s="384">
        <f>L79/I79</f>
        <v>0.65471048004626897</v>
      </c>
      <c r="N79" s="504">
        <v>8405.1719548872206</v>
      </c>
      <c r="O79" s="445">
        <v>0.64655168883747804</v>
      </c>
      <c r="P79" s="449"/>
      <c r="R79" s="413">
        <v>72</v>
      </c>
      <c r="S79" s="431"/>
      <c r="T79" s="370"/>
      <c r="U79" s="460"/>
      <c r="V79" s="442"/>
      <c r="W79" s="450"/>
      <c r="X79" s="384"/>
      <c r="Y79" s="461"/>
      <c r="Z79" s="472"/>
      <c r="AA79" s="449"/>
      <c r="AB79" s="474"/>
      <c r="AC79" s="475">
        <v>72</v>
      </c>
      <c r="AD79" s="431" t="s">
        <v>1750</v>
      </c>
      <c r="AE79" s="370">
        <v>14500</v>
      </c>
      <c r="AF79" s="503">
        <v>8599.9505263157898</v>
      </c>
      <c r="AG79" s="506">
        <v>0.59310003629764096</v>
      </c>
      <c r="AH79" s="450">
        <v>8511.2362406015</v>
      </c>
      <c r="AI79" s="489">
        <v>0.58698180969665503</v>
      </c>
      <c r="AJ79" s="490">
        <v>8405.1719548872206</v>
      </c>
      <c r="AK79" s="445">
        <v>0.57966703137153197</v>
      </c>
      <c r="AM79" s="475">
        <v>72</v>
      </c>
      <c r="AN79" s="431" t="s">
        <v>1750</v>
      </c>
      <c r="AO79" s="370">
        <v>15000</v>
      </c>
      <c r="AP79" s="460">
        <v>8599.9505263157898</v>
      </c>
      <c r="AQ79" s="442">
        <v>0.57333003508771896</v>
      </c>
      <c r="AR79" s="497">
        <v>8511.2362406015</v>
      </c>
      <c r="AS79" s="384">
        <v>0.56741574937343398</v>
      </c>
      <c r="AT79" s="461">
        <v>8405.1719548872206</v>
      </c>
      <c r="AU79" s="445">
        <v>0.56034479699248096</v>
      </c>
      <c r="AV79" s="495"/>
    </row>
    <row r="80" spans="1:48" ht="15.5">
      <c r="A80" s="413">
        <v>73</v>
      </c>
      <c r="B80" s="431" t="s">
        <v>1751</v>
      </c>
      <c r="C80" s="499">
        <v>15000</v>
      </c>
      <c r="D80" s="355">
        <f>'HITUNGAN HPP PRODUK'!W57</f>
        <v>0</v>
      </c>
      <c r="E80" s="352">
        <f>D80/C80</f>
        <v>0</v>
      </c>
      <c r="G80" s="413">
        <v>73</v>
      </c>
      <c r="H80" s="431" t="s">
        <v>1751</v>
      </c>
      <c r="I80" s="370">
        <v>15000</v>
      </c>
      <c r="J80" s="503">
        <v>9859.5920267335005</v>
      </c>
      <c r="K80" s="442">
        <v>0.65730613511556701</v>
      </c>
      <c r="L80" s="450">
        <v>9859.5920267335005</v>
      </c>
      <c r="M80" s="384">
        <f>L80/I80</f>
        <v>0.65730613511556701</v>
      </c>
      <c r="N80" s="504">
        <v>9859.5920267335005</v>
      </c>
      <c r="O80" s="445">
        <v>0.65730613511556701</v>
      </c>
      <c r="P80" s="449"/>
      <c r="R80" s="413">
        <v>73</v>
      </c>
      <c r="S80" s="431"/>
      <c r="T80" s="370"/>
      <c r="U80" s="460"/>
      <c r="V80" s="442"/>
      <c r="W80" s="450"/>
      <c r="X80" s="384"/>
      <c r="Y80" s="461"/>
      <c r="Z80" s="472"/>
      <c r="AA80" s="449"/>
      <c r="AB80" s="474"/>
      <c r="AC80" s="475">
        <v>73</v>
      </c>
      <c r="AD80" s="431" t="s">
        <v>1751</v>
      </c>
      <c r="AE80" s="370">
        <v>18000</v>
      </c>
      <c r="AF80" s="503">
        <v>9859.5920267335005</v>
      </c>
      <c r="AG80" s="506" t="e">
        <v>#DIV/0!</v>
      </c>
      <c r="AH80" s="450">
        <v>9859.5920267335005</v>
      </c>
      <c r="AI80" s="489" t="e">
        <v>#DIV/0!</v>
      </c>
      <c r="AJ80" s="490">
        <v>9859.5920267335005</v>
      </c>
      <c r="AK80" s="445" t="e">
        <v>#DIV/0!</v>
      </c>
      <c r="AM80" s="475">
        <v>73</v>
      </c>
      <c r="AN80" s="431" t="s">
        <v>1751</v>
      </c>
      <c r="AO80" s="370">
        <v>17000</v>
      </c>
      <c r="AP80" s="460">
        <v>9859.5920267335005</v>
      </c>
      <c r="AQ80" s="442">
        <v>0.57997600157255902</v>
      </c>
      <c r="AR80" s="497">
        <v>9859.5920267335005</v>
      </c>
      <c r="AS80" s="384">
        <v>0.57997600157255902</v>
      </c>
      <c r="AT80" s="461">
        <v>9859.5920267335005</v>
      </c>
      <c r="AU80" s="445">
        <v>0.57997600157255902</v>
      </c>
      <c r="AV80" s="495"/>
    </row>
    <row r="81" spans="1:48" ht="15.5">
      <c r="A81" s="413">
        <v>74</v>
      </c>
      <c r="B81" s="422" t="s">
        <v>1752</v>
      </c>
      <c r="C81" s="499">
        <v>16000</v>
      </c>
      <c r="D81" s="355">
        <f>'HITUNGAN HPP PRODUK'!Y58</f>
        <v>1301.43540669856</v>
      </c>
      <c r="E81" s="352">
        <f>D81/C81</f>
        <v>8.1339712918660295E-2</v>
      </c>
      <c r="G81" s="413">
        <v>74</v>
      </c>
      <c r="H81" s="422" t="s">
        <v>1752</v>
      </c>
      <c r="I81" s="370">
        <v>16000</v>
      </c>
      <c r="J81" s="503">
        <v>10822.3590278067</v>
      </c>
      <c r="K81" s="442">
        <v>0.67639743923791695</v>
      </c>
      <c r="L81" s="450">
        <v>10679.3590278067</v>
      </c>
      <c r="M81" s="384">
        <f>L81/I81</f>
        <v>0.66745993923791902</v>
      </c>
      <c r="N81" s="504">
        <v>10490.6038762915</v>
      </c>
      <c r="O81" s="445">
        <v>0.65566274226821997</v>
      </c>
      <c r="P81" s="449"/>
      <c r="R81" s="413">
        <v>74</v>
      </c>
      <c r="S81" s="422"/>
      <c r="T81" s="370"/>
      <c r="U81" s="460"/>
      <c r="V81" s="442"/>
      <c r="W81" s="450"/>
      <c r="X81" s="384"/>
      <c r="Y81" s="461"/>
      <c r="Z81" s="472"/>
      <c r="AA81" s="449"/>
      <c r="AB81" s="474"/>
      <c r="AC81" s="475">
        <v>74</v>
      </c>
      <c r="AD81" s="422" t="s">
        <v>1752</v>
      </c>
      <c r="AE81" s="370">
        <v>18000</v>
      </c>
      <c r="AF81" s="503">
        <v>10822.3590278067</v>
      </c>
      <c r="AG81" s="506">
        <v>0.60124216821148202</v>
      </c>
      <c r="AH81" s="450">
        <v>10679.3590278067</v>
      </c>
      <c r="AI81" s="489">
        <v>0.59329772376703704</v>
      </c>
      <c r="AJ81" s="490">
        <v>10490.6038762915</v>
      </c>
      <c r="AK81" s="445">
        <v>0.58281132646064004</v>
      </c>
      <c r="AM81" s="475">
        <v>74</v>
      </c>
      <c r="AN81" s="422" t="s">
        <v>1752</v>
      </c>
      <c r="AO81" s="370">
        <v>18000</v>
      </c>
      <c r="AP81" s="460">
        <v>10822.3590278067</v>
      </c>
      <c r="AQ81" s="442">
        <v>0.60124216821148202</v>
      </c>
      <c r="AR81" s="497">
        <v>10679.3590278067</v>
      </c>
      <c r="AS81" s="384">
        <v>0.59329772376703704</v>
      </c>
      <c r="AT81" s="461">
        <v>10490.6038762915</v>
      </c>
      <c r="AU81" s="445">
        <v>0.58281132646064004</v>
      </c>
      <c r="AV81" s="495"/>
    </row>
    <row r="82" spans="1:48" ht="15.5">
      <c r="A82" s="413">
        <v>75</v>
      </c>
      <c r="B82" s="422" t="s">
        <v>1753</v>
      </c>
      <c r="C82" s="499">
        <v>15000</v>
      </c>
      <c r="D82" s="355">
        <f>'HITUNGAN HPP PRODUK'!AA58</f>
        <v>1301.43540669856</v>
      </c>
      <c r="E82" s="352">
        <f>D82/C82</f>
        <v>8.6762360446570999E-2</v>
      </c>
      <c r="G82" s="413">
        <v>75</v>
      </c>
      <c r="H82" s="422" t="s">
        <v>1753</v>
      </c>
      <c r="I82" s="370">
        <v>15000</v>
      </c>
      <c r="J82" s="503">
        <v>8599.9505263157898</v>
      </c>
      <c r="K82" s="442">
        <v>0.57333003508771896</v>
      </c>
      <c r="L82" s="450">
        <v>8511.2362406015</v>
      </c>
      <c r="M82" s="384">
        <f>L82/I82</f>
        <v>0.56741574937343298</v>
      </c>
      <c r="N82" s="504">
        <v>8405.1719548872206</v>
      </c>
      <c r="O82" s="445">
        <v>0.56034479699248096</v>
      </c>
      <c r="P82" s="449"/>
      <c r="R82" s="413">
        <v>75</v>
      </c>
      <c r="S82" s="422"/>
      <c r="T82" s="370"/>
      <c r="U82" s="460"/>
      <c r="V82" s="442"/>
      <c r="W82" s="450"/>
      <c r="X82" s="384"/>
      <c r="Y82" s="461"/>
      <c r="Z82" s="472"/>
      <c r="AA82" s="449"/>
      <c r="AB82" s="474"/>
      <c r="AC82" s="475">
        <v>75</v>
      </c>
      <c r="AD82" s="422" t="s">
        <v>1753</v>
      </c>
      <c r="AE82" s="382">
        <v>18000</v>
      </c>
      <c r="AF82" s="503">
        <v>8599.9505263157898</v>
      </c>
      <c r="AG82" s="506">
        <v>0.477775029239766</v>
      </c>
      <c r="AH82" s="450">
        <v>8511.2362406015</v>
      </c>
      <c r="AI82" s="489">
        <v>0.472846457811195</v>
      </c>
      <c r="AJ82" s="490">
        <v>8405.1719548872206</v>
      </c>
      <c r="AK82" s="445">
        <v>0.46695399749373401</v>
      </c>
      <c r="AM82" s="475">
        <v>75</v>
      </c>
      <c r="AN82" s="422" t="s">
        <v>1753</v>
      </c>
      <c r="AO82" s="382">
        <v>18000</v>
      </c>
      <c r="AP82" s="460">
        <v>8599.9505263157898</v>
      </c>
      <c r="AQ82" s="442">
        <v>0.477775029239766</v>
      </c>
      <c r="AR82" s="497">
        <v>8511.2362406015</v>
      </c>
      <c r="AS82" s="384">
        <v>0.472846457811195</v>
      </c>
      <c r="AT82" s="461">
        <v>8405.1719548872206</v>
      </c>
      <c r="AU82" s="445">
        <v>0.46695399749373401</v>
      </c>
      <c r="AV82" s="495"/>
    </row>
    <row r="84" spans="1:48">
      <c r="G84" s="500"/>
      <c r="H84" s="500" t="s">
        <v>1754</v>
      </c>
      <c r="O84" s="505"/>
      <c r="R84" s="500"/>
      <c r="S84" s="500" t="s">
        <v>1754</v>
      </c>
    </row>
    <row r="85" spans="1:48">
      <c r="H85" t="s">
        <v>1755</v>
      </c>
      <c r="S85" t="s">
        <v>1755</v>
      </c>
    </row>
    <row r="86" spans="1:48">
      <c r="H86" t="s">
        <v>1756</v>
      </c>
      <c r="S86" t="s">
        <v>1756</v>
      </c>
    </row>
    <row r="87" spans="1:48">
      <c r="H87" t="s">
        <v>1757</v>
      </c>
      <c r="S87" t="s">
        <v>1757</v>
      </c>
      <c r="AC87" s="500"/>
      <c r="AD87" s="500" t="s">
        <v>1754</v>
      </c>
      <c r="AM87" s="500"/>
      <c r="AN87" s="500" t="s">
        <v>1754</v>
      </c>
    </row>
    <row r="88" spans="1:48">
      <c r="AD88" t="s">
        <v>1755</v>
      </c>
      <c r="AN88" t="s">
        <v>1755</v>
      </c>
    </row>
    <row r="89" spans="1:48">
      <c r="AD89" t="s">
        <v>1756</v>
      </c>
      <c r="AN89" t="s">
        <v>1756</v>
      </c>
    </row>
    <row r="90" spans="1:48">
      <c r="G90" s="501"/>
      <c r="H90" s="501" t="s">
        <v>1754</v>
      </c>
      <c r="R90" s="501"/>
      <c r="S90" s="501" t="s">
        <v>1754</v>
      </c>
      <c r="AD90" t="s">
        <v>1757</v>
      </c>
      <c r="AN90" t="s">
        <v>1757</v>
      </c>
    </row>
    <row r="91" spans="1:48">
      <c r="H91" t="s">
        <v>1758</v>
      </c>
      <c r="S91" t="s">
        <v>1758</v>
      </c>
    </row>
    <row r="92" spans="1:48">
      <c r="H92" t="s">
        <v>1759</v>
      </c>
      <c r="S92" t="s">
        <v>1759</v>
      </c>
    </row>
    <row r="93" spans="1:48">
      <c r="H93" t="s">
        <v>1757</v>
      </c>
      <c r="S93" t="s">
        <v>1757</v>
      </c>
      <c r="AC93" s="501"/>
      <c r="AD93" s="501" t="s">
        <v>1754</v>
      </c>
      <c r="AM93" s="501"/>
      <c r="AN93" s="501" t="s">
        <v>1754</v>
      </c>
    </row>
    <row r="94" spans="1:48">
      <c r="AD94" t="s">
        <v>1758</v>
      </c>
      <c r="AN94" t="s">
        <v>1758</v>
      </c>
    </row>
    <row r="95" spans="1:48">
      <c r="G95" s="502"/>
      <c r="H95" s="502" t="s">
        <v>1754</v>
      </c>
      <c r="R95" s="502"/>
      <c r="S95" s="502" t="s">
        <v>1754</v>
      </c>
      <c r="T95" t="s">
        <v>1760</v>
      </c>
      <c r="AD95" t="s">
        <v>1759</v>
      </c>
      <c r="AN95" t="s">
        <v>1759</v>
      </c>
    </row>
    <row r="96" spans="1:48">
      <c r="H96" t="s">
        <v>1761</v>
      </c>
      <c r="S96" t="s">
        <v>1761</v>
      </c>
      <c r="AD96" t="s">
        <v>1757</v>
      </c>
      <c r="AN96" t="s">
        <v>1757</v>
      </c>
    </row>
    <row r="97" spans="8:40">
      <c r="H97" t="s">
        <v>1762</v>
      </c>
      <c r="S97" t="s">
        <v>1762</v>
      </c>
    </row>
    <row r="98" spans="8:40">
      <c r="H98" t="s">
        <v>1763</v>
      </c>
      <c r="S98" t="s">
        <v>1763</v>
      </c>
      <c r="AC98" s="502"/>
      <c r="AD98" s="502" t="s">
        <v>1754</v>
      </c>
      <c r="AM98" s="502"/>
      <c r="AN98" s="502" t="s">
        <v>1754</v>
      </c>
    </row>
    <row r="99" spans="8:40">
      <c r="AD99" t="s">
        <v>1761</v>
      </c>
      <c r="AN99" t="s">
        <v>1761</v>
      </c>
    </row>
    <row r="100" spans="8:40">
      <c r="AD100" t="s">
        <v>1762</v>
      </c>
      <c r="AN100" t="s">
        <v>1762</v>
      </c>
    </row>
    <row r="101" spans="8:40">
      <c r="AD101" t="s">
        <v>1763</v>
      </c>
      <c r="AN101" t="s">
        <v>1763</v>
      </c>
    </row>
  </sheetData>
  <mergeCells count="5">
    <mergeCell ref="L5:M5"/>
    <mergeCell ref="AN3:AU4"/>
    <mergeCell ref="AD3:AK4"/>
    <mergeCell ref="H2:O3"/>
    <mergeCell ref="S2:Y4"/>
  </mergeCells>
  <pageMargins left="0.7" right="0.7" top="0.75" bottom="0.75" header="0.3" footer="0.3"/>
  <pageSetup paperSize="10001" fitToWidth="0" fitToHeight="0"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FC000"/>
  </sheetPr>
  <dimension ref="A2:G140"/>
  <sheetViews>
    <sheetView workbookViewId="0">
      <selection activeCell="G72" sqref="A1:K115"/>
    </sheetView>
  </sheetViews>
  <sheetFormatPr defaultColWidth="9.26953125" defaultRowHeight="12.5"/>
  <cols>
    <col min="1" max="1" width="9.26953125" style="339" customWidth="1"/>
    <col min="2" max="2" width="34.26953125" style="339" hidden="1" customWidth="1"/>
    <col min="3" max="3" width="33.7265625" style="339" customWidth="1"/>
    <col min="4" max="4" width="48.54296875" style="339" customWidth="1"/>
    <col min="5" max="6" width="10.54296875" style="339" customWidth="1"/>
    <col min="7" max="7" width="10.54296875" style="385" customWidth="1"/>
    <col min="8" max="16384" width="9.26953125" style="339"/>
  </cols>
  <sheetData>
    <row r="2" spans="1:7">
      <c r="D2" s="2618" t="s">
        <v>1764</v>
      </c>
    </row>
    <row r="3" spans="1:7" ht="41.65" customHeight="1">
      <c r="D3" s="2618"/>
    </row>
    <row r="5" spans="1:7">
      <c r="B5" s="391"/>
      <c r="C5" s="391"/>
      <c r="D5" s="391"/>
      <c r="E5" s="391"/>
      <c r="F5" s="392"/>
      <c r="G5" s="393"/>
    </row>
    <row r="6" spans="1:7" ht="18.5">
      <c r="A6" s="394"/>
      <c r="B6" s="395" t="s">
        <v>1104</v>
      </c>
      <c r="C6" s="396" t="str">
        <f>B6</f>
        <v>ITEM</v>
      </c>
      <c r="D6" s="395" t="s">
        <v>1765</v>
      </c>
      <c r="E6" s="397" t="s">
        <v>365</v>
      </c>
      <c r="F6" s="398" t="s">
        <v>989</v>
      </c>
      <c r="G6" s="399" t="s">
        <v>1154</v>
      </c>
    </row>
    <row r="7" spans="1:7" ht="15.5">
      <c r="A7" s="400">
        <v>1</v>
      </c>
      <c r="B7" s="401" t="s">
        <v>1282</v>
      </c>
      <c r="C7" s="402" t="str">
        <f>B7</f>
        <v>Dada</v>
      </c>
      <c r="D7" s="403"/>
      <c r="E7" s="404">
        <f>'LAP TAMBAHAN '!S8</f>
        <v>32100</v>
      </c>
      <c r="F7" s="351">
        <f>'HITUNGAN HPP PRODUK'!E17</f>
        <v>9182.8200102148094</v>
      </c>
      <c r="G7" s="387">
        <f t="shared" ref="G7:G12" si="0">F7/E7</f>
        <v>0.28606915919672299</v>
      </c>
    </row>
    <row r="8" spans="1:7" ht="15.5">
      <c r="A8" s="400">
        <v>2</v>
      </c>
      <c r="B8" s="401" t="s">
        <v>1283</v>
      </c>
      <c r="C8" s="402" t="str">
        <f t="shared" ref="C8:C23" si="1">B8</f>
        <v>Paha Atas</v>
      </c>
      <c r="D8" s="401"/>
      <c r="E8" s="404">
        <f>'LAP TAMBAHAN '!S9</f>
        <v>0</v>
      </c>
      <c r="F8" s="354">
        <f>'HITUNGAN HPP PRODUK'!E30</f>
        <v>7746.7072025224998</v>
      </c>
      <c r="G8" s="387" t="e">
        <f t="shared" si="0"/>
        <v>#DIV/0!</v>
      </c>
    </row>
    <row r="9" spans="1:7" ht="15.5">
      <c r="A9" s="400">
        <v>3</v>
      </c>
      <c r="B9" s="401" t="s">
        <v>1284</v>
      </c>
      <c r="C9" s="402" t="str">
        <f t="shared" si="1"/>
        <v>Paha Bawah</v>
      </c>
      <c r="D9" s="401"/>
      <c r="E9" s="404">
        <f>'LAP TAMBAHAN '!S10</f>
        <v>0</v>
      </c>
      <c r="F9" s="355">
        <f>'HITUNGAN HPP PRODUK'!E43</f>
        <v>5695.1161640609598</v>
      </c>
      <c r="G9" s="387" t="e">
        <f t="shared" si="0"/>
        <v>#DIV/0!</v>
      </c>
    </row>
    <row r="10" spans="1:7" ht="15.5">
      <c r="A10" s="400">
        <v>4</v>
      </c>
      <c r="B10" s="401" t="s">
        <v>1285</v>
      </c>
      <c r="C10" s="402" t="str">
        <f t="shared" si="1"/>
        <v>Sayap</v>
      </c>
      <c r="D10" s="401"/>
      <c r="E10" s="404">
        <f>'LAP TAMBAHAN '!S11</f>
        <v>0</v>
      </c>
      <c r="F10" s="355">
        <f>'HITUNGAN HPP PRODUK'!E56</f>
        <v>6105.4353948301896</v>
      </c>
      <c r="G10" s="387" t="e">
        <f t="shared" si="0"/>
        <v>#DIV/0!</v>
      </c>
    </row>
    <row r="11" spans="1:7" ht="15.5">
      <c r="A11" s="400">
        <v>5</v>
      </c>
      <c r="B11" s="401" t="s">
        <v>1726</v>
      </c>
      <c r="C11" s="402" t="str">
        <f t="shared" si="1"/>
        <v>Chicken Strip</v>
      </c>
      <c r="D11" s="401"/>
      <c r="E11" s="404">
        <f>'LAP TAMBAHAN '!S12</f>
        <v>0</v>
      </c>
      <c r="F11" s="355">
        <f>'HITUNGAN HPP PRODUK'!E119</f>
        <v>6888.7584822414401</v>
      </c>
      <c r="G11" s="387" t="e">
        <f t="shared" si="0"/>
        <v>#DIV/0!</v>
      </c>
    </row>
    <row r="12" spans="1:7" ht="15.5">
      <c r="A12" s="400">
        <v>6</v>
      </c>
      <c r="B12" s="401" t="s">
        <v>1287</v>
      </c>
      <c r="C12" s="402" t="str">
        <f t="shared" si="1"/>
        <v>Chicken Steak</v>
      </c>
      <c r="D12" s="401"/>
      <c r="E12" s="404">
        <f>'LAP TAMBAHAN '!S13</f>
        <v>0</v>
      </c>
      <c r="F12" s="355">
        <f>'HITUNGAN HPP PRODUK'!E85</f>
        <v>8898.8770254116607</v>
      </c>
      <c r="G12" s="387" t="e">
        <f t="shared" si="0"/>
        <v>#DIV/0!</v>
      </c>
    </row>
    <row r="13" spans="1:7" ht="15.5">
      <c r="A13" s="400">
        <v>7</v>
      </c>
      <c r="B13" s="401"/>
      <c r="C13" s="403"/>
      <c r="D13" s="401"/>
      <c r="E13" s="356"/>
      <c r="F13" s="357"/>
      <c r="G13" s="388"/>
    </row>
    <row r="14" spans="1:7" ht="15.5">
      <c r="A14" s="400">
        <v>8</v>
      </c>
      <c r="B14" s="401" t="s">
        <v>1727</v>
      </c>
      <c r="C14" s="402" t="str">
        <f t="shared" si="1"/>
        <v>French Fries</v>
      </c>
      <c r="D14" s="401"/>
      <c r="E14" s="404">
        <f>'LAP TAMBAHAN '!S15</f>
        <v>0</v>
      </c>
      <c r="F14" s="355">
        <f>'HITUNGAN HPP PRODUK'!H72</f>
        <v>3872.1022727272698</v>
      </c>
      <c r="G14" s="387" t="e">
        <f>F14/E14</f>
        <v>#DIV/0!</v>
      </c>
    </row>
    <row r="15" spans="1:7" ht="15.5">
      <c r="A15" s="400">
        <v>9</v>
      </c>
      <c r="B15" s="401" t="s">
        <v>1728</v>
      </c>
      <c r="C15" s="402" t="str">
        <f t="shared" si="1"/>
        <v>Nasi</v>
      </c>
      <c r="D15" s="401"/>
      <c r="E15" s="404">
        <f>'LAP TAMBAHAN '!S16</f>
        <v>0</v>
      </c>
      <c r="F15" s="355">
        <f>'HITUNGAN HPP PRODUK'!H63</f>
        <v>954.385964912281</v>
      </c>
      <c r="G15" s="387" t="e">
        <f>F15/E15</f>
        <v>#DIV/0!</v>
      </c>
    </row>
    <row r="16" spans="1:7" ht="15.5">
      <c r="A16" s="400">
        <v>10</v>
      </c>
      <c r="B16" s="401" t="s">
        <v>1729</v>
      </c>
      <c r="C16" s="402" t="str">
        <f t="shared" si="1"/>
        <v>Perkedel</v>
      </c>
      <c r="D16" s="401"/>
      <c r="E16" s="404">
        <f>'LAP TAMBAHAN '!S17</f>
        <v>0</v>
      </c>
      <c r="F16" s="355">
        <f>'HITUNGAN HPP PRODUK'!H197</f>
        <v>2245.86341601819</v>
      </c>
      <c r="G16" s="387" t="e">
        <f>F16/E16</f>
        <v>#DIV/0!</v>
      </c>
    </row>
    <row r="17" spans="1:7" ht="15.5">
      <c r="A17" s="400">
        <v>11</v>
      </c>
      <c r="B17" s="401" t="s">
        <v>1291</v>
      </c>
      <c r="C17" s="402" t="str">
        <f t="shared" si="1"/>
        <v>Chicken Burger</v>
      </c>
      <c r="D17" s="401"/>
      <c r="E17" s="404">
        <f>'LAP TAMBAHAN '!S18</f>
        <v>0</v>
      </c>
      <c r="F17" s="355">
        <f>'HITUNGAN HPP PRODUK'!H138</f>
        <v>8292.1366750700308</v>
      </c>
      <c r="G17" s="387" t="e">
        <f>F17/E17</f>
        <v>#DIV/0!</v>
      </c>
    </row>
    <row r="18" spans="1:7" ht="15.5">
      <c r="A18" s="400">
        <v>12</v>
      </c>
      <c r="B18" s="401" t="s">
        <v>1730</v>
      </c>
      <c r="C18" s="402" t="str">
        <f t="shared" si="1"/>
        <v>Cheese Burger</v>
      </c>
      <c r="D18" s="401"/>
      <c r="E18" s="404">
        <f>'LAP TAMBAHAN '!S19</f>
        <v>0</v>
      </c>
      <c r="F18" s="355">
        <f>'HITUNGAN HPP PRODUK'!H154</f>
        <v>9150.1366750700308</v>
      </c>
      <c r="G18" s="387" t="e">
        <f>F18/E18</f>
        <v>#DIV/0!</v>
      </c>
    </row>
    <row r="19" spans="1:7" ht="15.5">
      <c r="A19" s="400">
        <v>13</v>
      </c>
      <c r="B19" s="401"/>
      <c r="C19" s="403"/>
      <c r="D19" s="401"/>
      <c r="E19" s="356"/>
      <c r="F19" s="357"/>
      <c r="G19" s="388"/>
    </row>
    <row r="20" spans="1:7" ht="15.5">
      <c r="A20" s="400">
        <v>14</v>
      </c>
      <c r="B20" s="401" t="s">
        <v>1731</v>
      </c>
      <c r="C20" s="402" t="str">
        <f t="shared" si="1"/>
        <v>Nasi Goreng</v>
      </c>
      <c r="D20" s="401"/>
      <c r="E20" s="356"/>
      <c r="F20" s="355"/>
      <c r="G20" s="387" t="e">
        <f t="shared" ref="G20:G34" si="2">F20/E20</f>
        <v>#DIV/0!</v>
      </c>
    </row>
    <row r="21" spans="1:7" ht="15.5">
      <c r="A21" s="400">
        <v>15</v>
      </c>
      <c r="B21" s="401" t="s">
        <v>1732</v>
      </c>
      <c r="C21" s="402" t="s">
        <v>1525</v>
      </c>
      <c r="D21" s="401"/>
      <c r="E21" s="356">
        <f>'LAP TAMBAHAN '!S22</f>
        <v>0</v>
      </c>
      <c r="F21" s="360">
        <f>'HITUNGAN HPP PRODUK'!H99</f>
        <v>6711.6703571428598</v>
      </c>
      <c r="G21" s="387" t="e">
        <f t="shared" si="2"/>
        <v>#DIV/0!</v>
      </c>
    </row>
    <row r="22" spans="1:7" ht="15.5">
      <c r="A22" s="400">
        <v>16</v>
      </c>
      <c r="B22" s="401"/>
      <c r="C22" s="403"/>
      <c r="D22" s="401"/>
      <c r="E22" s="356"/>
      <c r="F22" s="360"/>
      <c r="G22" s="387" t="e">
        <f t="shared" si="2"/>
        <v>#DIV/0!</v>
      </c>
    </row>
    <row r="23" spans="1:7" ht="15.5">
      <c r="A23" s="400">
        <v>17</v>
      </c>
      <c r="B23" s="401" t="s">
        <v>1295</v>
      </c>
      <c r="C23" s="402" t="str">
        <f t="shared" si="1"/>
        <v>Telur Ceplok</v>
      </c>
      <c r="D23" s="401"/>
      <c r="E23" s="356"/>
      <c r="F23" s="360"/>
      <c r="G23" s="387" t="e">
        <f t="shared" si="2"/>
        <v>#DIV/0!</v>
      </c>
    </row>
    <row r="24" spans="1:7" ht="15.5">
      <c r="A24" s="400">
        <v>18</v>
      </c>
      <c r="B24" s="401"/>
      <c r="C24" s="403"/>
      <c r="D24" s="401"/>
      <c r="E24" s="356"/>
      <c r="F24" s="360"/>
      <c r="G24" s="387" t="e">
        <f t="shared" si="2"/>
        <v>#DIV/0!</v>
      </c>
    </row>
    <row r="25" spans="1:7" ht="15.5">
      <c r="A25" s="400">
        <v>19</v>
      </c>
      <c r="B25" s="401" t="s">
        <v>1533</v>
      </c>
      <c r="C25" s="402" t="str">
        <f>'LAP. PENJUALAN SHOPEE FOOD'!C24</f>
        <v>Paket Segar 1 Dine In (Es Teh / S-tee)</v>
      </c>
      <c r="D25" s="405" t="s">
        <v>1766</v>
      </c>
      <c r="E25" s="406">
        <f>'LAP TAMBAHAN '!S34</f>
        <v>0</v>
      </c>
      <c r="F25" s="357" t="e">
        <f>'HITUNGAN HPP PRODUK'!#REF!</f>
        <v>#REF!</v>
      </c>
      <c r="G25" s="387" t="e">
        <f t="shared" si="2"/>
        <v>#REF!</v>
      </c>
    </row>
    <row r="26" spans="1:7" ht="15.5">
      <c r="A26" s="400">
        <v>20</v>
      </c>
      <c r="B26" s="401" t="s">
        <v>1307</v>
      </c>
      <c r="C26" s="402" t="str">
        <f>'LAP. PENJUALAN SHOPEE FOOD'!C25</f>
        <v>Paket Segar 1 Take Away (Es Teh / S-tee)</v>
      </c>
      <c r="D26" s="405" t="s">
        <v>1767</v>
      </c>
      <c r="E26" s="406">
        <f>'LAP TAMBAHAN '!S35</f>
        <v>0</v>
      </c>
      <c r="F26" s="357">
        <f>'HITUNGAN HPP PRODUK'!M85</f>
        <v>0</v>
      </c>
      <c r="G26" s="387" t="e">
        <f t="shared" si="2"/>
        <v>#DIV/0!</v>
      </c>
    </row>
    <row r="27" spans="1:7" ht="15.5">
      <c r="A27" s="400">
        <v>21</v>
      </c>
      <c r="B27" s="401" t="s">
        <v>1308</v>
      </c>
      <c r="C27" s="402" t="str">
        <f>'LAP. PENJUALAN SHOPEE FOOD'!C26</f>
        <v>Paket Segar 2 (Es Teh / S-tee)</v>
      </c>
      <c r="D27" s="405" t="s">
        <v>1768</v>
      </c>
      <c r="E27" s="406">
        <f>'LAP TAMBAHAN '!S36</f>
        <v>0</v>
      </c>
      <c r="F27" s="357">
        <f>'HITUNGAN HPP PRODUK'!O85</f>
        <v>0</v>
      </c>
      <c r="G27" s="387" t="e">
        <f t="shared" si="2"/>
        <v>#DIV/0!</v>
      </c>
    </row>
    <row r="28" spans="1:7" ht="15.5">
      <c r="A28" s="400">
        <v>22</v>
      </c>
      <c r="B28" s="401" t="s">
        <v>1309</v>
      </c>
      <c r="C28" s="402" t="str">
        <f>'LAP. PENJUALAN SHOPEE FOOD'!C27</f>
        <v>Paket Segar 3 (Es Teh / S-tee)</v>
      </c>
      <c r="D28" s="405" t="s">
        <v>1769</v>
      </c>
      <c r="E28" s="406">
        <f>'LAP TAMBAHAN '!S37</f>
        <v>0</v>
      </c>
      <c r="F28" s="357">
        <f>'HITUNGAN HPP PRODUK'!Q83</f>
        <v>0</v>
      </c>
      <c r="G28" s="387" t="e">
        <f t="shared" si="2"/>
        <v>#DIV/0!</v>
      </c>
    </row>
    <row r="29" spans="1:7" ht="15.5">
      <c r="A29" s="400">
        <v>23</v>
      </c>
      <c r="B29" s="401" t="s">
        <v>1310</v>
      </c>
      <c r="C29" s="402" t="str">
        <f>'LAP. PENJUALAN SHOPEE FOOD'!C28</f>
        <v>Paket Segar 4 (Es Teh / S-tee)</v>
      </c>
      <c r="D29" s="405" t="s">
        <v>1770</v>
      </c>
      <c r="E29" s="406">
        <f>'LAP TAMBAHAN '!S38</f>
        <v>0</v>
      </c>
      <c r="F29" s="357">
        <f>'HITUNGAN HPP PRODUK'!S85</f>
        <v>0</v>
      </c>
      <c r="G29" s="387" t="e">
        <f t="shared" si="2"/>
        <v>#DIV/0!</v>
      </c>
    </row>
    <row r="30" spans="1:7" ht="15.5">
      <c r="A30" s="400">
        <v>24</v>
      </c>
      <c r="B30" s="401" t="s">
        <v>1311</v>
      </c>
      <c r="C30" s="402" t="str">
        <f>'LAP. PENJUALAN SHOPEE FOOD'!C29</f>
        <v>Paket Segar 5 (Es Teh / S-tee)</v>
      </c>
      <c r="D30" s="405" t="s">
        <v>1771</v>
      </c>
      <c r="E30" s="406">
        <f>'LAP TAMBAHAN '!S39</f>
        <v>0</v>
      </c>
      <c r="F30" s="357">
        <f>'HITUNGAN HPP PRODUK'!U82</f>
        <v>0</v>
      </c>
      <c r="G30" s="387" t="e">
        <f t="shared" si="2"/>
        <v>#DIV/0!</v>
      </c>
    </row>
    <row r="31" spans="1:7" ht="15.5">
      <c r="A31" s="400">
        <v>25</v>
      </c>
      <c r="B31" s="401" t="s">
        <v>1312</v>
      </c>
      <c r="C31" s="402" t="str">
        <f>'LAP. PENJUALAN SHOPEE FOOD'!C30</f>
        <v>Paket Segar 6 (Es Teh / S-tee)</v>
      </c>
      <c r="D31" s="405" t="s">
        <v>1772</v>
      </c>
      <c r="E31" s="406">
        <f>'LAP TAMBAHAN '!S40</f>
        <v>0</v>
      </c>
      <c r="F31" s="357">
        <f>'HITUNGAN HPP PRODUK'!W84</f>
        <v>0</v>
      </c>
      <c r="G31" s="387" t="e">
        <f t="shared" si="2"/>
        <v>#DIV/0!</v>
      </c>
    </row>
    <row r="32" spans="1:7" ht="15.5">
      <c r="A32" s="400">
        <v>26</v>
      </c>
      <c r="B32" s="401" t="s">
        <v>1313</v>
      </c>
      <c r="C32" s="402" t="str">
        <f>'LAP. PENJUALAN SHOPEE FOOD'!C31</f>
        <v>Paket Segar 7 (Es Teh / S-tee)</v>
      </c>
      <c r="D32" s="405"/>
      <c r="E32" s="406">
        <f>'LAP TAMBAHAN '!S41</f>
        <v>0</v>
      </c>
      <c r="F32" s="357">
        <f>'HITUNGAN HPP PRODUK'!Y84</f>
        <v>0</v>
      </c>
      <c r="G32" s="387" t="e">
        <f t="shared" si="2"/>
        <v>#DIV/0!</v>
      </c>
    </row>
    <row r="33" spans="1:7" ht="15.5">
      <c r="A33" s="400">
        <v>27</v>
      </c>
      <c r="B33" s="401" t="s">
        <v>1314</v>
      </c>
      <c r="C33" s="402">
        <f>'LAP. PENJUALAN SHOPEE FOOD'!C32</f>
        <v>0</v>
      </c>
      <c r="D33" s="405"/>
      <c r="E33" s="406">
        <f>'LAP TAMBAHAN '!S43</f>
        <v>0</v>
      </c>
      <c r="F33" s="357">
        <f>'HITUNGAN HPP PRODUK'!AA83</f>
        <v>0</v>
      </c>
      <c r="G33" s="387" t="e">
        <f t="shared" si="2"/>
        <v>#DIV/0!</v>
      </c>
    </row>
    <row r="34" spans="1:7" ht="15.5">
      <c r="A34" s="400">
        <v>28</v>
      </c>
      <c r="B34" s="401" t="s">
        <v>1315</v>
      </c>
      <c r="C34" s="402" t="str">
        <f>'LAP. PENJUALAN SHOPEE FOOD'!C33</f>
        <v>Paket Rocket 1 Dine In</v>
      </c>
      <c r="D34" s="405" t="s">
        <v>1773</v>
      </c>
      <c r="E34" s="406">
        <f>'LAP TAMBAHAN '!S43</f>
        <v>0</v>
      </c>
      <c r="F34" s="357">
        <f>'HITUNGAN HPP PRODUK'!AC84</f>
        <v>0</v>
      </c>
      <c r="G34" s="387" t="e">
        <f t="shared" si="2"/>
        <v>#DIV/0!</v>
      </c>
    </row>
    <row r="35" spans="1:7" ht="15.5">
      <c r="A35" s="400">
        <v>29</v>
      </c>
      <c r="B35" s="401"/>
      <c r="C35" s="402" t="str">
        <f>'LAP. PENJUALAN SHOPEE FOOD'!C34</f>
        <v>Paket Rocket 1 Take Away</v>
      </c>
      <c r="D35" s="405" t="s">
        <v>1774</v>
      </c>
      <c r="E35" s="406">
        <f>'LAP TAMBAHAN '!S44</f>
        <v>0</v>
      </c>
      <c r="F35" s="360"/>
      <c r="G35" s="388"/>
    </row>
    <row r="36" spans="1:7" ht="15.5">
      <c r="A36" s="400">
        <v>30</v>
      </c>
      <c r="B36" s="401" t="s">
        <v>1316</v>
      </c>
      <c r="C36" s="402" t="str">
        <f>'LAP. PENJUALAN SHOPEE FOOD'!C35</f>
        <v>Paket Rocket 2</v>
      </c>
      <c r="D36" s="405" t="s">
        <v>1775</v>
      </c>
      <c r="E36" s="406">
        <f>'LAP TAMBAHAN '!S45</f>
        <v>0</v>
      </c>
      <c r="F36" s="357">
        <f>'HITUNGAN HPP PRODUK'!K95</f>
        <v>8</v>
      </c>
      <c r="G36" s="387" t="e">
        <f>F36/E36</f>
        <v>#DIV/0!</v>
      </c>
    </row>
    <row r="37" spans="1:7" ht="15.5">
      <c r="A37" s="400">
        <v>31</v>
      </c>
      <c r="B37" s="401" t="s">
        <v>1317</v>
      </c>
      <c r="C37" s="402" t="str">
        <f>'LAP. PENJUALAN SHOPEE FOOD'!C36</f>
        <v>Paket Rocket 3</v>
      </c>
      <c r="D37" s="405" t="s">
        <v>1776</v>
      </c>
      <c r="E37" s="406">
        <f>'LAP TAMBAHAN '!S46</f>
        <v>0</v>
      </c>
      <c r="F37" s="357">
        <f>'HITUNGAN HPP PRODUK'!M97</f>
        <v>0</v>
      </c>
      <c r="G37" s="387" t="e">
        <f>F37/E37</f>
        <v>#DIV/0!</v>
      </c>
    </row>
    <row r="38" spans="1:7" ht="15.5">
      <c r="A38" s="400">
        <v>32</v>
      </c>
      <c r="B38" s="401" t="s">
        <v>1318</v>
      </c>
      <c r="C38" s="402" t="str">
        <f>'LAP. PENJUALAN SHOPEE FOOD'!C37</f>
        <v>Paket Rocket 4</v>
      </c>
      <c r="D38" s="405" t="s">
        <v>1777</v>
      </c>
      <c r="E38" s="406">
        <f>'LAP TAMBAHAN '!S47</f>
        <v>0</v>
      </c>
      <c r="F38" s="357">
        <f>'HITUNGAN HPP PRODUK'!O97</f>
        <v>30</v>
      </c>
      <c r="G38" s="387" t="e">
        <f>F38/E38</f>
        <v>#DIV/0!</v>
      </c>
    </row>
    <row r="39" spans="1:7" ht="15.5">
      <c r="A39" s="400">
        <v>33</v>
      </c>
      <c r="B39" s="401" t="s">
        <v>1319</v>
      </c>
      <c r="C39" s="402" t="str">
        <f>'LAP. PENJUALAN SHOPEE FOOD'!C38</f>
        <v>Paket Rocket 5</v>
      </c>
      <c r="D39" s="405" t="s">
        <v>1778</v>
      </c>
      <c r="E39" s="406">
        <f>'LAP TAMBAHAN '!S48</f>
        <v>0</v>
      </c>
      <c r="F39" s="357">
        <f>'HITUNGAN HPP PRODUK'!Q97</f>
        <v>3136.7994310099598</v>
      </c>
      <c r="G39" s="387" t="e">
        <f>F39/E39</f>
        <v>#DIV/0!</v>
      </c>
    </row>
    <row r="40" spans="1:7" ht="15.5">
      <c r="A40" s="400">
        <v>34</v>
      </c>
      <c r="B40" s="401" t="s">
        <v>1320</v>
      </c>
      <c r="C40" s="402" t="str">
        <f>'LAP. PENJUALAN SHOPEE FOOD'!C39</f>
        <v>Paket Rocket 6</v>
      </c>
      <c r="D40" s="405" t="s">
        <v>1779</v>
      </c>
      <c r="E40" s="406">
        <f>'LAP TAMBAHAN '!S49</f>
        <v>0</v>
      </c>
      <c r="F40" s="357">
        <f>'HITUNGAN HPP PRODUK'!S97</f>
        <v>0</v>
      </c>
      <c r="G40" s="387" t="e">
        <f>F40/E40</f>
        <v>#DIV/0!</v>
      </c>
    </row>
    <row r="41" spans="1:7" ht="15.5">
      <c r="A41" s="400">
        <v>35</v>
      </c>
      <c r="B41" s="401"/>
      <c r="C41" s="402" t="str">
        <f>'LAP. PENJUALAN SHOPEE FOOD'!C43</f>
        <v>Paket Rocket 10</v>
      </c>
      <c r="D41" s="405"/>
      <c r="E41" s="406">
        <f>'LAP TAMBAHAN '!S53</f>
        <v>0</v>
      </c>
      <c r="F41" s="360"/>
      <c r="G41" s="388"/>
    </row>
    <row r="42" spans="1:7" ht="15.5">
      <c r="A42" s="400">
        <v>36</v>
      </c>
      <c r="B42" s="401" t="s">
        <v>1733</v>
      </c>
      <c r="C42" s="402">
        <f>'LAP. PENJUALAN SHOPEE FOOD'!C44</f>
        <v>0</v>
      </c>
      <c r="D42" s="361" t="s">
        <v>1780</v>
      </c>
      <c r="E42" s="406">
        <f>'LAP TAMBAHAN '!S54</f>
        <v>0</v>
      </c>
      <c r="F42" s="357">
        <f>'HITUNGAN HPP PRODUK'!AE86</f>
        <v>0</v>
      </c>
      <c r="G42" s="387" t="e">
        <f>F42/E42</f>
        <v>#DIV/0!</v>
      </c>
    </row>
    <row r="43" spans="1:7" ht="15.5">
      <c r="A43" s="400">
        <v>37</v>
      </c>
      <c r="B43" s="401" t="s">
        <v>1734</v>
      </c>
      <c r="C43" s="402" t="str">
        <f>'LAP. PENJUALAN SHOPEE FOOD'!C45</f>
        <v>Paket Roma 1</v>
      </c>
      <c r="D43" s="361" t="s">
        <v>1781</v>
      </c>
      <c r="E43" s="406">
        <f>'LAP TAMBAHAN '!S55</f>
        <v>0</v>
      </c>
      <c r="F43" s="357">
        <f>'HITUNGAN HPP PRODUK'!AG86</f>
        <v>0</v>
      </c>
      <c r="G43" s="387" t="e">
        <f>F43/E43</f>
        <v>#DIV/0!</v>
      </c>
    </row>
    <row r="44" spans="1:7" ht="15.5">
      <c r="A44" s="400">
        <v>38</v>
      </c>
      <c r="B44" s="401" t="s">
        <v>1735</v>
      </c>
      <c r="C44" s="402" t="str">
        <f>'LAP. PENJUALAN SHOPEE FOOD'!C46</f>
        <v>Paket Roma 2</v>
      </c>
      <c r="D44" s="361" t="s">
        <v>1782</v>
      </c>
      <c r="E44" s="406">
        <f>'LAP TAMBAHAN '!S56</f>
        <v>0</v>
      </c>
      <c r="F44" s="357">
        <f>'HITUNGAN HPP PRODUK'!AI86</f>
        <v>0</v>
      </c>
      <c r="G44" s="387" t="e">
        <f>F44/E44</f>
        <v>#DIV/0!</v>
      </c>
    </row>
    <row r="45" spans="1:7" ht="15.5">
      <c r="A45" s="400">
        <v>39</v>
      </c>
      <c r="B45" s="401"/>
      <c r="C45" s="402" t="str">
        <f>'LAP. PENJUALAN SHOPEE FOOD'!C47</f>
        <v>Paket Roma 3</v>
      </c>
      <c r="D45" s="361" t="s">
        <v>1783</v>
      </c>
      <c r="E45" s="406">
        <f>'LAP TAMBAHAN '!S57</f>
        <v>0</v>
      </c>
      <c r="F45" s="360"/>
      <c r="G45" s="388"/>
    </row>
    <row r="46" spans="1:7" ht="16.5" customHeight="1">
      <c r="A46" s="400">
        <v>40</v>
      </c>
      <c r="B46" s="401" t="s">
        <v>1353</v>
      </c>
      <c r="C46" s="402" t="str">
        <f>'LAP. PENJUALAN SHOPEE FOOD'!C48</f>
        <v>Paket Roma 4</v>
      </c>
      <c r="D46" s="361" t="s">
        <v>1784</v>
      </c>
      <c r="E46" s="406">
        <f>'LAP TAMBAHAN '!S58</f>
        <v>0</v>
      </c>
      <c r="F46" s="357"/>
      <c r="G46" s="387" t="e">
        <f>F46/E46</f>
        <v>#DIV/0!</v>
      </c>
    </row>
    <row r="47" spans="1:7" ht="16.5" customHeight="1">
      <c r="A47" s="400">
        <v>41</v>
      </c>
      <c r="B47" s="401" t="s">
        <v>1354</v>
      </c>
      <c r="C47" s="402" t="str">
        <f>'LAP. PENJUALAN SHOPEE FOOD'!C49</f>
        <v>Paket Roma 5</v>
      </c>
      <c r="D47" s="401"/>
      <c r="E47" s="406">
        <f>'LAP TAMBAHAN '!S59</f>
        <v>0</v>
      </c>
      <c r="F47" s="357"/>
      <c r="G47" s="387" t="e">
        <f>F47/E47</f>
        <v>#DIV/0!</v>
      </c>
    </row>
    <row r="48" spans="1:7" ht="16.5" customHeight="1">
      <c r="A48" s="400">
        <v>42</v>
      </c>
      <c r="B48" s="401" t="s">
        <v>1355</v>
      </c>
      <c r="C48" s="402">
        <f>'LAP. PENJUALAN SHOPEE FOOD'!C50</f>
        <v>0</v>
      </c>
      <c r="D48" s="361" t="s">
        <v>1785</v>
      </c>
      <c r="E48" s="406">
        <f>'LAP TAMBAHAN '!S63</f>
        <v>0</v>
      </c>
      <c r="F48" s="357"/>
      <c r="G48" s="387" t="e">
        <f>F48/E48</f>
        <v>#DIV/0!</v>
      </c>
    </row>
    <row r="49" spans="1:7" ht="16.5" customHeight="1">
      <c r="A49" s="400">
        <v>43</v>
      </c>
      <c r="B49" s="401"/>
      <c r="C49" s="402" t="str">
        <f>'LAP. PENJUALAN SHOPEE FOOD'!C51</f>
        <v>Paket Geprek Bawang 1 (Es Teh / S-tee / Lemon Tea)</v>
      </c>
      <c r="D49" s="361" t="s">
        <v>1786</v>
      </c>
      <c r="E49" s="406">
        <f>'LAP TAMBAHAN '!S64</f>
        <v>0</v>
      </c>
      <c r="F49" s="360"/>
      <c r="G49" s="388"/>
    </row>
    <row r="50" spans="1:7" ht="16.5" customHeight="1">
      <c r="A50" s="400">
        <v>44</v>
      </c>
      <c r="B50" s="407" t="s">
        <v>1740</v>
      </c>
      <c r="C50" s="402" t="str">
        <f>'LAP. PENJUALAN SHOPEE FOOD'!C52</f>
        <v>Paket Geprek Bawang 2 (Es Teh / S-tee / Lemon Tea)</v>
      </c>
      <c r="D50" s="361" t="s">
        <v>1787</v>
      </c>
      <c r="E50" s="406">
        <f>'LAP TAMBAHAN '!S65</f>
        <v>0</v>
      </c>
      <c r="F50" s="357"/>
      <c r="G50" s="387" t="e">
        <f t="shared" ref="G50:G55" si="3">F50/E50</f>
        <v>#DIV/0!</v>
      </c>
    </row>
    <row r="51" spans="1:7" ht="16.5" customHeight="1">
      <c r="A51" s="400">
        <v>45</v>
      </c>
      <c r="B51" s="407" t="s">
        <v>1741</v>
      </c>
      <c r="C51" s="402" t="str">
        <f>'LAP. PENJUALAN SHOPEE FOOD'!C53</f>
        <v>Paket Geprek Bawang 3 (Es Teh / S-tee / Lemon Tea)</v>
      </c>
      <c r="D51" s="401"/>
      <c r="E51" s="406">
        <f>'LAP TAMBAHAN '!S66</f>
        <v>0</v>
      </c>
      <c r="F51" s="357"/>
      <c r="G51" s="387" t="e">
        <f t="shared" si="3"/>
        <v>#DIV/0!</v>
      </c>
    </row>
    <row r="52" spans="1:7" ht="16.5" customHeight="1">
      <c r="A52" s="400">
        <v>46</v>
      </c>
      <c r="B52" s="407" t="s">
        <v>1742</v>
      </c>
      <c r="C52" s="402" t="str">
        <f>'LAP. PENJUALAN SHOPEE FOOD'!C54</f>
        <v>Sayap Geprek Bawang</v>
      </c>
      <c r="D52" s="401"/>
      <c r="E52" s="406">
        <f>'LAP TAMBAHAN '!S67</f>
        <v>0</v>
      </c>
      <c r="F52" s="357"/>
      <c r="G52" s="387" t="e">
        <f t="shared" si="3"/>
        <v>#DIV/0!</v>
      </c>
    </row>
    <row r="53" spans="1:7" ht="16.5" customHeight="1">
      <c r="A53" s="400">
        <v>47</v>
      </c>
      <c r="B53" s="408" t="s">
        <v>1544</v>
      </c>
      <c r="C53" s="402" t="str">
        <f>'LAP. PENJUALAN SHOPEE FOOD'!C55</f>
        <v>Paha Bawah Geprek Bawang</v>
      </c>
      <c r="D53" s="401"/>
      <c r="E53" s="406">
        <f>'LAP TAMBAHAN '!S68</f>
        <v>0</v>
      </c>
      <c r="F53" s="357"/>
      <c r="G53" s="387" t="e">
        <f t="shared" si="3"/>
        <v>#DIV/0!</v>
      </c>
    </row>
    <row r="54" spans="1:7" ht="16.5" customHeight="1">
      <c r="A54" s="400">
        <v>48</v>
      </c>
      <c r="B54" s="408" t="s">
        <v>1545</v>
      </c>
      <c r="C54" s="402" t="str">
        <f>'LAP. PENJUALAN SHOPEE FOOD'!C56</f>
        <v>Paha Atas / Dada Geprek Bawang</v>
      </c>
      <c r="D54" s="401"/>
      <c r="E54" s="406">
        <f>'LAP TAMBAHAN '!S69</f>
        <v>0</v>
      </c>
      <c r="F54" s="357"/>
      <c r="G54" s="387" t="e">
        <f t="shared" si="3"/>
        <v>#DIV/0!</v>
      </c>
    </row>
    <row r="55" spans="1:7" ht="16.5" customHeight="1">
      <c r="A55" s="400">
        <v>49</v>
      </c>
      <c r="B55" s="408" t="s">
        <v>1546</v>
      </c>
      <c r="C55" s="402" t="str">
        <f>'LAP. PENJUALAN SHOPEE FOOD'!C57</f>
        <v>Sambal Geprek Bawang</v>
      </c>
      <c r="D55" s="401"/>
      <c r="E55" s="406">
        <f>'LAP TAMBAHAN '!S70</f>
        <v>0</v>
      </c>
      <c r="F55" s="357"/>
      <c r="G55" s="387" t="e">
        <f t="shared" si="3"/>
        <v>#DIV/0!</v>
      </c>
    </row>
    <row r="56" spans="1:7" ht="16.5" customHeight="1">
      <c r="A56" s="400">
        <v>50</v>
      </c>
      <c r="B56" s="347"/>
      <c r="C56" s="402">
        <f>'LAP. PENJUALAN SHOPEE FOOD'!C58</f>
        <v>0</v>
      </c>
      <c r="D56" s="361" t="s">
        <v>1788</v>
      </c>
      <c r="E56" s="406">
        <f>'LAP TAMBAHAN '!S74</f>
        <v>0</v>
      </c>
      <c r="F56" s="360"/>
      <c r="G56" s="388"/>
    </row>
    <row r="57" spans="1:7" ht="16.5" customHeight="1">
      <c r="A57" s="400">
        <v>51</v>
      </c>
      <c r="B57" s="409" t="s">
        <v>1548</v>
      </c>
      <c r="C57" s="402" t="str">
        <f>'LAP. PENJUALAN SHOPEE FOOD'!C59</f>
        <v>Paket Matah 1 (Es Teh / S-tee / Lemon Tea)</v>
      </c>
      <c r="D57" s="361" t="s">
        <v>1789</v>
      </c>
      <c r="E57" s="406">
        <f>'LAP TAMBAHAN '!S75</f>
        <v>0</v>
      </c>
      <c r="F57" s="357"/>
      <c r="G57" s="387" t="e">
        <f t="shared" ref="G57:G62" si="4">F57/E57</f>
        <v>#DIV/0!</v>
      </c>
    </row>
    <row r="58" spans="1:7" ht="16.5" customHeight="1">
      <c r="A58" s="400">
        <v>52</v>
      </c>
      <c r="B58" s="409" t="s">
        <v>1549</v>
      </c>
      <c r="C58" s="402" t="str">
        <f>'LAP. PENJUALAN SHOPEE FOOD'!C60</f>
        <v>Paket Matah 2 (Es Teh / S-tee / Lemon Tea)</v>
      </c>
      <c r="D58" s="361" t="s">
        <v>1790</v>
      </c>
      <c r="E58" s="406">
        <f>'LAP TAMBAHAN '!S76</f>
        <v>0</v>
      </c>
      <c r="F58" s="357"/>
      <c r="G58" s="387" t="e">
        <f t="shared" si="4"/>
        <v>#DIV/0!</v>
      </c>
    </row>
    <row r="59" spans="1:7" ht="16.5" customHeight="1">
      <c r="A59" s="400">
        <v>53</v>
      </c>
      <c r="B59" s="409" t="s">
        <v>1550</v>
      </c>
      <c r="C59" s="402" t="str">
        <f>'LAP. PENJUALAN SHOPEE FOOD'!C61</f>
        <v>Paket Matah 3 (Es Teh / S-tee / Lemon Tea)</v>
      </c>
      <c r="D59" s="366"/>
      <c r="E59" s="406">
        <f>'LAP TAMBAHAN '!S77</f>
        <v>0</v>
      </c>
      <c r="F59" s="357"/>
      <c r="G59" s="387" t="e">
        <f t="shared" si="4"/>
        <v>#DIV/0!</v>
      </c>
    </row>
    <row r="60" spans="1:7" ht="16.5" customHeight="1">
      <c r="A60" s="400">
        <v>54</v>
      </c>
      <c r="B60" s="409" t="s">
        <v>1551</v>
      </c>
      <c r="C60" s="402" t="str">
        <f>'LAP. PENJUALAN SHOPEE FOOD'!C62</f>
        <v>Sayap Matah</v>
      </c>
      <c r="D60" s="366"/>
      <c r="E60" s="406">
        <f>'LAP TAMBAHAN '!S78</f>
        <v>0</v>
      </c>
      <c r="F60" s="357"/>
      <c r="G60" s="387" t="e">
        <f t="shared" si="4"/>
        <v>#DIV/0!</v>
      </c>
    </row>
    <row r="61" spans="1:7" ht="15.5">
      <c r="A61" s="400">
        <v>55</v>
      </c>
      <c r="B61" s="409" t="s">
        <v>1552</v>
      </c>
      <c r="C61" s="402" t="str">
        <f>'LAP. PENJUALAN SHOPEE FOOD'!C63</f>
        <v>Paha Bawah Matah</v>
      </c>
      <c r="D61" s="366"/>
      <c r="E61" s="406">
        <f>'LAP TAMBAHAN '!S79</f>
        <v>0</v>
      </c>
      <c r="F61" s="357"/>
      <c r="G61" s="387" t="e">
        <f t="shared" si="4"/>
        <v>#DIV/0!</v>
      </c>
    </row>
    <row r="62" spans="1:7" ht="15.5">
      <c r="A62" s="400">
        <v>56</v>
      </c>
      <c r="B62" s="409" t="s">
        <v>1553</v>
      </c>
      <c r="C62" s="402" t="str">
        <f>'LAP. PENJUALAN SHOPEE FOOD'!C64</f>
        <v>Paha Atas / Dada  Matah</v>
      </c>
      <c r="D62" s="364"/>
      <c r="E62" s="406">
        <f>'LAP TAMBAHAN '!S80</f>
        <v>0</v>
      </c>
      <c r="F62" s="357"/>
      <c r="G62" s="387" t="e">
        <f t="shared" si="4"/>
        <v>#DIV/0!</v>
      </c>
    </row>
    <row r="63" spans="1:7" ht="15.5">
      <c r="A63" s="400">
        <v>57</v>
      </c>
      <c r="B63" s="347"/>
      <c r="C63" s="402" t="str">
        <f>'LAP. PENJUALAN SHOPEE FOOD'!C65</f>
        <v>Sambal Matah</v>
      </c>
      <c r="D63" s="361"/>
      <c r="E63" s="406">
        <f>'LAP TAMBAHAN '!S81</f>
        <v>0</v>
      </c>
      <c r="F63" s="360"/>
      <c r="G63" s="388"/>
    </row>
    <row r="64" spans="1:7" ht="15.5">
      <c r="A64" s="400">
        <v>58</v>
      </c>
      <c r="B64" s="347" t="s">
        <v>1743</v>
      </c>
      <c r="C64" s="402">
        <f>'LAP. PENJUALAN SHOPEE FOOD'!C66</f>
        <v>0</v>
      </c>
      <c r="D64" s="361" t="s">
        <v>1791</v>
      </c>
      <c r="E64" s="406">
        <f>'LAP TAMBAHAN '!S85</f>
        <v>0</v>
      </c>
      <c r="F64" s="357"/>
      <c r="G64" s="387" t="e">
        <f>F64/E64</f>
        <v>#DIV/0!</v>
      </c>
    </row>
    <row r="65" spans="1:7" ht="15.5">
      <c r="A65" s="400">
        <v>59</v>
      </c>
      <c r="B65" s="347" t="s">
        <v>1744</v>
      </c>
      <c r="C65" s="402" t="str">
        <f>'LAP. PENJUALAN SHOPEE FOOD'!C67</f>
        <v>Paket Terasi 1 (Es Teh / S-tee / Lemon Tea)</v>
      </c>
      <c r="D65" s="361" t="s">
        <v>1792</v>
      </c>
      <c r="E65" s="406">
        <f>'LAP TAMBAHAN '!S86</f>
        <v>0</v>
      </c>
      <c r="F65" s="357"/>
      <c r="G65" s="387" t="e">
        <f>F65/E65</f>
        <v>#DIV/0!</v>
      </c>
    </row>
    <row r="66" spans="1:7" ht="15.5">
      <c r="A66" s="400">
        <v>60</v>
      </c>
      <c r="B66" s="347" t="s">
        <v>1745</v>
      </c>
      <c r="C66" s="402" t="str">
        <f>'LAP. PENJUALAN SHOPEE FOOD'!C68</f>
        <v>Paket Terasi 2 (Es Teh / S-tee / Lemon Tea)</v>
      </c>
      <c r="D66" s="361" t="s">
        <v>1793</v>
      </c>
      <c r="E66" s="406">
        <f>'LAP TAMBAHAN '!S87</f>
        <v>0</v>
      </c>
      <c r="F66" s="357"/>
      <c r="G66" s="387" t="e">
        <f>F66/E66</f>
        <v>#DIV/0!</v>
      </c>
    </row>
    <row r="67" spans="1:7" ht="15.5">
      <c r="A67" s="400">
        <v>61</v>
      </c>
      <c r="B67" s="347"/>
      <c r="C67" s="402" t="str">
        <f>'LAP. PENJUALAN SHOPEE FOOD'!C69</f>
        <v>Paket Terasi 3 (Es Teh / S-tee / Lemon Tea)</v>
      </c>
      <c r="D67" s="361"/>
      <c r="E67" s="406">
        <f>'LAP TAMBAHAN '!S88</f>
        <v>0</v>
      </c>
      <c r="F67" s="360"/>
      <c r="G67" s="388"/>
    </row>
    <row r="68" spans="1:7" ht="15.5">
      <c r="A68" s="400">
        <v>62</v>
      </c>
      <c r="B68" s="347" t="s">
        <v>1746</v>
      </c>
      <c r="C68" s="402" t="str">
        <f>'LAP. PENJUALAN SHOPEE FOOD'!C70</f>
        <v>Sayap Terasi</v>
      </c>
      <c r="D68" s="361"/>
      <c r="E68" s="406">
        <f>'LAP TAMBAHAN '!S89</f>
        <v>0</v>
      </c>
      <c r="F68" s="357"/>
      <c r="G68" s="387" t="e">
        <f>F68/E68</f>
        <v>#DIV/0!</v>
      </c>
    </row>
    <row r="69" spans="1:7" ht="15.5">
      <c r="A69" s="400">
        <v>63</v>
      </c>
      <c r="B69" s="347" t="s">
        <v>1747</v>
      </c>
      <c r="C69" s="402" t="str">
        <f>'LAP. PENJUALAN SHOPEE FOOD'!C71</f>
        <v>Paha Bawah Terasi</v>
      </c>
      <c r="D69" s="369"/>
      <c r="E69" s="406">
        <f>'LAP TAMBAHAN '!S90</f>
        <v>0</v>
      </c>
      <c r="F69" s="357"/>
      <c r="G69" s="387" t="e">
        <f>F69/E69</f>
        <v>#DIV/0!</v>
      </c>
    </row>
    <row r="70" spans="1:7" ht="15.5">
      <c r="A70" s="400">
        <v>64</v>
      </c>
      <c r="B70" s="347" t="s">
        <v>1748</v>
      </c>
      <c r="C70" s="402" t="str">
        <f>'LAP. PENJUALAN SHOPEE FOOD'!C72</f>
        <v>Paha Atas / Dada Terasi</v>
      </c>
      <c r="D70" s="369"/>
      <c r="E70" s="406">
        <f>'LAP TAMBAHAN '!S91</f>
        <v>0</v>
      </c>
      <c r="F70" s="357"/>
      <c r="G70" s="387" t="e">
        <f>F70/E70</f>
        <v>#DIV/0!</v>
      </c>
    </row>
    <row r="71" spans="1:7" ht="15.5">
      <c r="A71" s="400">
        <v>65</v>
      </c>
      <c r="B71" s="347" t="s">
        <v>1749</v>
      </c>
      <c r="C71" s="402" t="str">
        <f>'LAP. PENJUALAN SHOPEE FOOD'!C73</f>
        <v>Sambal  Terasi</v>
      </c>
      <c r="D71" s="369"/>
      <c r="E71" s="406">
        <f>'LAP TAMBAHAN '!S92</f>
        <v>0</v>
      </c>
      <c r="F71" s="357"/>
      <c r="G71" s="387" t="e">
        <f>F71/E71</f>
        <v>#DIV/0!</v>
      </c>
    </row>
    <row r="72" spans="1:7" ht="15.5">
      <c r="A72" s="400">
        <v>66</v>
      </c>
      <c r="B72" s="347"/>
      <c r="C72" s="402">
        <f>'LAP. PENJUALAN SHOPEE FOOD'!C74</f>
        <v>0</v>
      </c>
      <c r="D72" s="364"/>
      <c r="E72" s="406">
        <f>'LAP TAMBAHAN '!S96</f>
        <v>0</v>
      </c>
      <c r="F72" s="360"/>
      <c r="G72" s="388"/>
    </row>
    <row r="73" spans="1:7" ht="15.5">
      <c r="A73" s="400">
        <v>67</v>
      </c>
      <c r="B73" s="347"/>
      <c r="C73" s="402" t="str">
        <f>'LAP. PENJUALAN SHOPEE FOOD'!C75</f>
        <v>Paket 1 Hot Cheesy (Es Teh / S-tee / Lemon Tea)</v>
      </c>
      <c r="D73" s="361" t="s">
        <v>1794</v>
      </c>
      <c r="E73" s="406">
        <f>'LAP TAMBAHAN '!S97</f>
        <v>0</v>
      </c>
      <c r="F73" s="360"/>
      <c r="G73" s="388"/>
    </row>
    <row r="74" spans="1:7" ht="15.5">
      <c r="A74" s="400">
        <v>68</v>
      </c>
      <c r="B74" s="347"/>
      <c r="C74" s="402" t="str">
        <f>'LAP. PENJUALAN SHOPEE FOOD'!C76</f>
        <v>Paket 2 Hot Cheesy (Es Teh / S-tee / Lemon Tea)</v>
      </c>
      <c r="D74" s="361" t="s">
        <v>1795</v>
      </c>
      <c r="E74" s="406">
        <f>'LAP TAMBAHAN '!S98</f>
        <v>0</v>
      </c>
      <c r="F74" s="360"/>
      <c r="G74" s="388"/>
    </row>
    <row r="75" spans="1:7" ht="15.5">
      <c r="A75" s="400">
        <v>69</v>
      </c>
      <c r="B75" s="347"/>
      <c r="C75" s="402" t="str">
        <f>'LAP. PENJUALAN SHOPEE FOOD'!C77</f>
        <v>Paket 3 Hot Cheesy (Es Teh / S-tee / Lemon Tea)</v>
      </c>
      <c r="D75" s="361" t="s">
        <v>1796</v>
      </c>
      <c r="E75" s="406">
        <f>'LAP TAMBAHAN '!S99</f>
        <v>0</v>
      </c>
      <c r="F75" s="360"/>
      <c r="G75" s="388"/>
    </row>
    <row r="76" spans="1:7" ht="15.5">
      <c r="A76" s="400">
        <v>70</v>
      </c>
      <c r="B76" s="347"/>
      <c r="C76" s="402" t="str">
        <f>'LAP. PENJUALAN SHOPEE FOOD'!C78</f>
        <v>Sayap Hot Cheesy</v>
      </c>
      <c r="D76" s="364"/>
      <c r="E76" s="406">
        <f>'LAP TAMBAHAN '!S100</f>
        <v>0</v>
      </c>
      <c r="F76" s="360"/>
      <c r="G76" s="388"/>
    </row>
    <row r="77" spans="1:7" ht="15.5">
      <c r="A77" s="400">
        <v>71</v>
      </c>
      <c r="B77" s="347"/>
      <c r="C77" s="402" t="str">
        <f>'LAP. PENJUALAN SHOPEE FOOD'!C79</f>
        <v>Paha Bawah Hot Cheesy</v>
      </c>
      <c r="D77" s="364"/>
      <c r="E77" s="406">
        <f>'LAP TAMBAHAN '!S101</f>
        <v>0</v>
      </c>
      <c r="F77" s="360"/>
      <c r="G77" s="388"/>
    </row>
    <row r="78" spans="1:7" ht="15.5">
      <c r="A78" s="400">
        <v>72</v>
      </c>
      <c r="B78" s="347"/>
      <c r="C78" s="402" t="str">
        <f>'LAP. PENJUALAN SHOPEE FOOD'!C80</f>
        <v>Paha Atas / Dada Hot Cheesy</v>
      </c>
      <c r="D78" s="364"/>
      <c r="E78" s="406">
        <f>'LAP TAMBAHAN '!S102</f>
        <v>0</v>
      </c>
      <c r="F78" s="357"/>
      <c r="G78" s="388"/>
    </row>
    <row r="79" spans="1:7" ht="15.5">
      <c r="A79" s="400">
        <v>73</v>
      </c>
      <c r="B79" s="347"/>
      <c r="C79" s="402" t="str">
        <f>'LAP. PENJUALAN SHOPEE FOOD'!C81</f>
        <v>Saos  Hot Cheesy</v>
      </c>
      <c r="D79" s="364"/>
      <c r="E79" s="406">
        <f>'LAP TAMBAHAN '!S103</f>
        <v>0</v>
      </c>
      <c r="F79" s="357"/>
      <c r="G79" s="388"/>
    </row>
    <row r="80" spans="1:7" ht="15.5">
      <c r="A80" s="400">
        <v>74</v>
      </c>
      <c r="B80" s="347"/>
      <c r="C80" s="402">
        <f>'LAP. PENJUALAN SHOPEE FOOD'!C82</f>
        <v>0</v>
      </c>
      <c r="D80" s="364"/>
      <c r="E80" s="406">
        <f>'LAP TAMBAHAN '!S104</f>
        <v>0</v>
      </c>
      <c r="F80" s="357"/>
      <c r="G80" s="388"/>
    </row>
    <row r="81" spans="1:7" ht="15.5">
      <c r="A81" s="400">
        <v>75</v>
      </c>
      <c r="B81" s="347"/>
      <c r="C81" s="402" t="str">
        <f>'LAP. PENJUALAN SHOPEE FOOD'!C83</f>
        <v>Paket Sehat 1</v>
      </c>
      <c r="D81" s="364"/>
      <c r="E81" s="406">
        <f>'LAP TAMBAHAN '!S105</f>
        <v>0</v>
      </c>
      <c r="F81" s="357"/>
      <c r="G81" s="388"/>
    </row>
    <row r="82" spans="1:7" ht="15.5">
      <c r="A82" s="400">
        <v>76</v>
      </c>
      <c r="B82" s="347"/>
      <c r="C82" s="402" t="str">
        <f>'LAP. PENJUALAN SHOPEE FOOD'!C84</f>
        <v>Paket Sehat 2</v>
      </c>
      <c r="D82" s="364"/>
      <c r="E82" s="406">
        <f>'LAP TAMBAHAN '!S106</f>
        <v>0</v>
      </c>
      <c r="F82" s="357"/>
      <c r="G82" s="388"/>
    </row>
    <row r="83" spans="1:7" ht="15.5">
      <c r="A83" s="400">
        <v>77</v>
      </c>
      <c r="B83" s="347"/>
      <c r="C83" s="402" t="str">
        <f>'LAP. PENJUALAN SHOPEE FOOD'!C85</f>
        <v>Paket Sehat 3</v>
      </c>
      <c r="D83" s="364"/>
      <c r="E83" s="406">
        <f>'LAP TAMBAHAN '!S107</f>
        <v>0</v>
      </c>
      <c r="F83" s="357"/>
      <c r="G83" s="388"/>
    </row>
    <row r="84" spans="1:7" ht="15.5">
      <c r="A84" s="400">
        <v>78</v>
      </c>
      <c r="B84" s="347"/>
      <c r="C84" s="402" t="str">
        <f>'LAP. PENJUALAN SHOPEE FOOD'!C86</f>
        <v>Paket Sehat 4</v>
      </c>
      <c r="D84" s="364"/>
      <c r="E84" s="406">
        <f>'LAP TAMBAHAN '!S108</f>
        <v>0</v>
      </c>
      <c r="F84" s="357"/>
      <c r="G84" s="388"/>
    </row>
    <row r="85" spans="1:7" ht="15.5">
      <c r="A85" s="400">
        <v>79</v>
      </c>
      <c r="B85" s="347"/>
      <c r="C85" s="402">
        <f>'LAP. PENJUALAN SHOPEE FOOD'!C87</f>
        <v>0</v>
      </c>
      <c r="D85" s="364"/>
      <c r="E85" s="406">
        <f>'LAP TAMBAHAN '!S109</f>
        <v>0</v>
      </c>
      <c r="F85" s="357"/>
      <c r="G85" s="388"/>
    </row>
    <row r="86" spans="1:7" ht="15.5">
      <c r="A86" s="400">
        <v>80</v>
      </c>
      <c r="B86" s="347"/>
      <c r="C86" s="402" t="str">
        <f>'LAP. PENJUALAN SHOPEE FOOD'!C88</f>
        <v>Paket Catering 1</v>
      </c>
      <c r="D86" s="364"/>
      <c r="E86" s="406">
        <f>'LAP TAMBAHAN '!S110</f>
        <v>0</v>
      </c>
      <c r="F86" s="357"/>
      <c r="G86" s="388"/>
    </row>
    <row r="87" spans="1:7" ht="15.5">
      <c r="A87" s="400">
        <v>81</v>
      </c>
      <c r="B87" s="347"/>
      <c r="C87" s="402" t="str">
        <f>'LAP. PENJUALAN SHOPEE FOOD'!C89</f>
        <v>Paket Catering 2</v>
      </c>
      <c r="D87" s="364"/>
      <c r="E87" s="406">
        <f>'LAP TAMBAHAN '!S111</f>
        <v>0</v>
      </c>
      <c r="F87" s="357"/>
      <c r="G87" s="388"/>
    </row>
    <row r="88" spans="1:7" ht="15.5">
      <c r="A88" s="400">
        <v>82</v>
      </c>
      <c r="B88" s="347"/>
      <c r="C88" s="402" t="str">
        <f>'LAP. PENJUALAN SHOPEE FOOD'!C90</f>
        <v>Paket Catering 3</v>
      </c>
      <c r="D88" s="364"/>
      <c r="E88" s="406">
        <f>'LAP TAMBAHAN '!S112</f>
        <v>0</v>
      </c>
      <c r="F88" s="357"/>
      <c r="G88" s="388"/>
    </row>
    <row r="89" spans="1:7" ht="15.5">
      <c r="A89" s="400">
        <v>83</v>
      </c>
      <c r="B89" s="347"/>
      <c r="C89" s="402" t="str">
        <f>'LAP. PENJUALAN SHOPEE FOOD'!C91</f>
        <v>Paket Catering 4</v>
      </c>
      <c r="D89" s="364"/>
      <c r="E89" s="406">
        <f>'LAP TAMBAHAN '!S113</f>
        <v>0</v>
      </c>
      <c r="F89" s="357"/>
      <c r="G89" s="388"/>
    </row>
    <row r="90" spans="1:7" ht="15.5">
      <c r="A90" s="400">
        <v>84</v>
      </c>
      <c r="B90" s="347"/>
      <c r="C90" s="402">
        <f>'LAP. PENJUALAN SHOPEE FOOD'!C92</f>
        <v>0</v>
      </c>
      <c r="D90" s="364"/>
      <c r="E90" s="406">
        <f>'LAP TAMBAHAN '!S114</f>
        <v>0</v>
      </c>
      <c r="F90" s="357"/>
      <c r="G90" s="388"/>
    </row>
    <row r="91" spans="1:7" ht="15.5">
      <c r="A91" s="400">
        <v>85</v>
      </c>
      <c r="B91" s="347"/>
      <c r="C91" s="402" t="str">
        <f>'LAP. PENJUALAN SHOPEE FOOD'!C93</f>
        <v>Paket Takjil 1</v>
      </c>
      <c r="D91" s="364"/>
      <c r="E91" s="406">
        <f>'LAP TAMBAHAN '!S115</f>
        <v>0</v>
      </c>
      <c r="F91" s="357"/>
      <c r="G91" s="388"/>
    </row>
    <row r="92" spans="1:7" ht="15.5">
      <c r="A92" s="400">
        <v>86</v>
      </c>
      <c r="B92" s="347"/>
      <c r="C92" s="402" t="str">
        <f>'LAP. PENJUALAN SHOPEE FOOD'!C94</f>
        <v>Paket Takjil 2</v>
      </c>
      <c r="D92" s="364"/>
      <c r="E92" s="406">
        <f>'LAP TAMBAHAN '!S116</f>
        <v>0</v>
      </c>
      <c r="F92" s="357"/>
      <c r="G92" s="388"/>
    </row>
    <row r="93" spans="1:7" ht="15.5">
      <c r="A93" s="400">
        <v>87</v>
      </c>
      <c r="B93" s="347"/>
      <c r="C93" s="402" t="str">
        <f>'LAP. PENJUALAN SHOPEE FOOD'!C95</f>
        <v>Paket Takjil 3</v>
      </c>
      <c r="D93" s="364"/>
      <c r="E93" s="406">
        <f>'LAP TAMBAHAN '!S117</f>
        <v>0</v>
      </c>
      <c r="F93" s="357"/>
      <c r="G93" s="388"/>
    </row>
    <row r="94" spans="1:7" ht="15.5">
      <c r="A94" s="400">
        <v>88</v>
      </c>
      <c r="B94" s="347"/>
      <c r="C94" s="402" t="str">
        <f>'LAP. PENJUALAN SHOPEE FOOD'!C96</f>
        <v>Paket Takjil 4</v>
      </c>
      <c r="D94" s="364"/>
      <c r="E94" s="406">
        <f>'LAP TAMBAHAN '!S118</f>
        <v>0</v>
      </c>
      <c r="F94" s="357"/>
      <c r="G94" s="388"/>
    </row>
    <row r="95" spans="1:7" ht="15.5">
      <c r="A95" s="400">
        <v>89</v>
      </c>
      <c r="B95" s="347"/>
      <c r="C95" s="402" t="str">
        <f>'LAP. PENJUALAN SHOPEE FOOD'!C97</f>
        <v>Paket Takjil 5</v>
      </c>
      <c r="D95" s="364"/>
      <c r="E95" s="406">
        <f>'LAP TAMBAHAN '!S119</f>
        <v>0</v>
      </c>
      <c r="F95" s="357"/>
      <c r="G95" s="388"/>
    </row>
    <row r="96" spans="1:7" ht="15.5">
      <c r="A96" s="400">
        <v>90</v>
      </c>
      <c r="B96" s="347"/>
      <c r="C96" s="402" t="str">
        <f>'LAP. PENJUALAN SHOPEE FOOD'!C98</f>
        <v>Paket Takjil 6</v>
      </c>
      <c r="D96" s="364"/>
      <c r="E96" s="406">
        <f>'LAP TAMBAHAN '!S120</f>
        <v>0</v>
      </c>
      <c r="F96" s="357"/>
      <c r="G96" s="388"/>
    </row>
    <row r="97" spans="1:7" ht="15.5">
      <c r="A97" s="400">
        <v>91</v>
      </c>
      <c r="B97" s="347"/>
      <c r="C97" s="402" t="str">
        <f>'LAP. PENJUALAN SHOPEE FOOD'!C99</f>
        <v>Paket Takjil 7</v>
      </c>
      <c r="D97" s="364"/>
      <c r="E97" s="406">
        <f>'LAP TAMBAHAN '!S121</f>
        <v>0</v>
      </c>
      <c r="F97" s="357"/>
      <c r="G97" s="388"/>
    </row>
    <row r="98" spans="1:7" ht="15.5">
      <c r="A98" s="400">
        <v>92</v>
      </c>
      <c r="B98" s="347"/>
      <c r="C98" s="402" t="str">
        <f>'LAP. PENJUALAN SHOPEE FOOD'!C100</f>
        <v>Paket Takjil 8</v>
      </c>
      <c r="D98" s="364"/>
      <c r="E98" s="406">
        <f>'LAP TAMBAHAN '!S122</f>
        <v>0</v>
      </c>
      <c r="F98" s="357"/>
      <c r="G98" s="388"/>
    </row>
    <row r="99" spans="1:7" ht="15.5">
      <c r="A99" s="400">
        <v>93</v>
      </c>
      <c r="B99" s="347"/>
      <c r="C99" s="402">
        <f>'LAP. PENJUALAN SHOPEE FOOD'!C101</f>
        <v>0</v>
      </c>
      <c r="D99" s="364"/>
      <c r="E99" s="406">
        <f>'LAP TAMBAHAN '!S123</f>
        <v>70000</v>
      </c>
      <c r="F99" s="357"/>
      <c r="G99" s="388"/>
    </row>
    <row r="100" spans="1:7" ht="15.5">
      <c r="A100" s="400">
        <v>94</v>
      </c>
      <c r="B100" s="347"/>
      <c r="C100" s="402" t="str">
        <f>'LAP. PENJUALAN SHOPEE FOOD'!C102</f>
        <v>Ayam Utuh Original</v>
      </c>
      <c r="D100" s="364"/>
      <c r="E100" s="406">
        <f>'LAP TAMBAHAN '!S124</f>
        <v>80000</v>
      </c>
      <c r="F100" s="357"/>
      <c r="G100" s="388"/>
    </row>
    <row r="101" spans="1:7" ht="15.5">
      <c r="A101" s="400">
        <v>95</v>
      </c>
      <c r="B101" s="347"/>
      <c r="C101" s="402" t="str">
        <f>'LAP. PENJUALAN SHOPEE FOOD'!C103</f>
        <v>Ayam Utuh Hot Cheesy</v>
      </c>
      <c r="D101" s="364"/>
      <c r="E101" s="406">
        <f>'LAP TAMBAHAN '!S125</f>
        <v>82000</v>
      </c>
      <c r="F101" s="357"/>
      <c r="G101" s="388"/>
    </row>
    <row r="102" spans="1:7" ht="15.5">
      <c r="A102" s="400">
        <v>96</v>
      </c>
      <c r="B102" s="347"/>
      <c r="C102" s="402" t="str">
        <f>'LAP. PENJUALAN SHOPEE FOOD'!C104</f>
        <v>Ayam Utuh Geprek</v>
      </c>
      <c r="D102" s="364"/>
      <c r="E102" s="406">
        <f>'LAP TAMBAHAN '!S126</f>
        <v>0</v>
      </c>
      <c r="F102" s="357"/>
      <c r="G102" s="388"/>
    </row>
    <row r="103" spans="1:7" ht="15.5">
      <c r="A103" s="400">
        <v>97</v>
      </c>
      <c r="B103" s="347"/>
      <c r="C103" s="402" t="str">
        <f>'LAP. PENJUALAN SHOPEE FOOD'!C105</f>
        <v>P. Ayam Utuh Original</v>
      </c>
      <c r="D103" s="364"/>
      <c r="E103" s="406">
        <f>'LAP TAMBAHAN '!S127</f>
        <v>0</v>
      </c>
      <c r="F103" s="357"/>
      <c r="G103" s="388"/>
    </row>
    <row r="104" spans="1:7" ht="15.5">
      <c r="A104" s="400">
        <v>98</v>
      </c>
      <c r="B104" s="347"/>
      <c r="C104" s="402" t="str">
        <f>'LAP. PENJUALAN SHOPEE FOOD'!C106</f>
        <v>P. Ayam Utuh Hot Cheesy</v>
      </c>
      <c r="D104" s="401"/>
      <c r="E104" s="406">
        <f>'LAP TAMBAHAN '!S128</f>
        <v>0</v>
      </c>
      <c r="F104" s="357"/>
      <c r="G104" s="388"/>
    </row>
    <row r="105" spans="1:7" ht="15.5">
      <c r="A105" s="400">
        <v>99</v>
      </c>
      <c r="B105" s="347"/>
      <c r="C105" s="402" t="str">
        <f>'LAP. PENJUALAN SHOPEE FOOD'!C107</f>
        <v>P. Ayam Utuh Geprek</v>
      </c>
      <c r="D105" s="401"/>
      <c r="E105" s="406">
        <f>'LAP TAMBAHAN '!S129</f>
        <v>0</v>
      </c>
      <c r="F105" s="357"/>
      <c r="G105" s="388"/>
    </row>
    <row r="106" spans="1:7" ht="18.5">
      <c r="A106" s="410" t="str">
        <f>'FC ITEM KELAS 3A'!A96</f>
        <v>II</v>
      </c>
      <c r="B106" s="379" t="s">
        <v>411</v>
      </c>
      <c r="C106" s="411" t="str">
        <f t="shared" ref="C106:C134" si="5">B106</f>
        <v>MINUMAN</v>
      </c>
      <c r="D106" s="381"/>
      <c r="E106" s="382"/>
      <c r="F106" s="383"/>
      <c r="G106" s="412"/>
    </row>
    <row r="107" spans="1:7" ht="15.5">
      <c r="A107" s="413">
        <f>'FC ITEM KELAS 3A'!A97</f>
        <v>1</v>
      </c>
      <c r="B107" s="361" t="s">
        <v>1797</v>
      </c>
      <c r="C107" s="414" t="str">
        <f t="shared" si="5"/>
        <v>ES TEH</v>
      </c>
      <c r="D107" s="361"/>
      <c r="E107" s="370"/>
      <c r="F107" s="355"/>
      <c r="G107" s="387" t="e">
        <f>'FC ITEM KELAS 3A'!G97</f>
        <v>#DIV/0!</v>
      </c>
    </row>
    <row r="108" spans="1:7" ht="15.5">
      <c r="A108" s="413">
        <f>'FC ITEM KELAS 3A'!A98</f>
        <v>2</v>
      </c>
      <c r="B108" s="361" t="s">
        <v>868</v>
      </c>
      <c r="C108" s="414" t="str">
        <f t="shared" si="5"/>
        <v>MILO</v>
      </c>
      <c r="D108" s="361"/>
      <c r="E108" s="370"/>
      <c r="F108" s="355"/>
      <c r="G108" s="387" t="e">
        <f>'FC ITEM KELAS 3A'!G98</f>
        <v>#DIV/0!</v>
      </c>
    </row>
    <row r="109" spans="1:7" ht="15.5">
      <c r="A109" s="413">
        <f>'FC ITEM KELAS 3A'!A99</f>
        <v>3</v>
      </c>
      <c r="B109" s="361" t="s">
        <v>1798</v>
      </c>
      <c r="C109" s="414" t="str">
        <f t="shared" si="5"/>
        <v>LEMON TEA</v>
      </c>
      <c r="D109" s="361"/>
      <c r="E109" s="370"/>
      <c r="F109" s="355"/>
      <c r="G109" s="387" t="e">
        <f>'FC ITEM KELAS 3A'!G99</f>
        <v>#DIV/0!</v>
      </c>
    </row>
    <row r="110" spans="1:7" ht="15.5">
      <c r="A110" s="413">
        <f>'FC ITEM KELAS 3A'!A100</f>
        <v>4</v>
      </c>
      <c r="B110" s="361" t="s">
        <v>907</v>
      </c>
      <c r="C110" s="414" t="str">
        <f t="shared" si="5"/>
        <v>NESTLE ORANGE</v>
      </c>
      <c r="D110" s="361"/>
      <c r="E110" s="370"/>
      <c r="F110" s="355"/>
      <c r="G110" s="387" t="e">
        <f>'FC ITEM KELAS 3A'!G100</f>
        <v>#DIV/0!</v>
      </c>
    </row>
    <row r="111" spans="1:7" ht="15.5">
      <c r="A111" s="413">
        <f>'FC ITEM KELAS 3A'!A101</f>
        <v>5</v>
      </c>
      <c r="B111" s="361" t="s">
        <v>1799</v>
      </c>
      <c r="C111" s="414" t="str">
        <f t="shared" si="5"/>
        <v>AMB</v>
      </c>
      <c r="D111" s="361"/>
      <c r="E111" s="370"/>
      <c r="F111" s="355"/>
      <c r="G111" s="387" t="e">
        <f>'FC ITEM KELAS 3A'!G101</f>
        <v>#DIV/0!</v>
      </c>
    </row>
    <row r="112" spans="1:7" ht="15.5">
      <c r="A112" s="413">
        <f>'FC ITEM KELAS 3A'!A102</f>
        <v>6</v>
      </c>
      <c r="B112" s="361" t="s">
        <v>1800</v>
      </c>
      <c r="C112" s="414" t="str">
        <f t="shared" si="5"/>
        <v>AMC</v>
      </c>
      <c r="D112" s="361"/>
      <c r="E112" s="370"/>
      <c r="F112" s="355"/>
      <c r="G112" s="387" t="e">
        <f>'FC ITEM KELAS 3A'!G102</f>
        <v>#DIV/0!</v>
      </c>
    </row>
    <row r="113" spans="1:7" ht="15.5">
      <c r="A113" s="413">
        <f>'FC ITEM KELAS 3A'!A103</f>
        <v>7</v>
      </c>
      <c r="B113" s="361" t="s">
        <v>1801</v>
      </c>
      <c r="C113" s="414" t="str">
        <f t="shared" si="5"/>
        <v>MILKSHAKE COKLAT</v>
      </c>
      <c r="D113" s="361"/>
      <c r="E113" s="370"/>
      <c r="F113" s="355"/>
      <c r="G113" s="387" t="e">
        <f>'FC ITEM KELAS 3A'!G103</f>
        <v>#DIV/0!</v>
      </c>
    </row>
    <row r="114" spans="1:7" ht="15.5">
      <c r="A114" s="413">
        <f>'FC ITEM KELAS 3A'!A104</f>
        <v>8</v>
      </c>
      <c r="B114" s="361" t="s">
        <v>1802</v>
      </c>
      <c r="C114" s="414" t="str">
        <f t="shared" si="5"/>
        <v>MILKSHAKE CAPUCINO</v>
      </c>
      <c r="D114" s="361"/>
      <c r="E114" s="370"/>
      <c r="F114" s="355"/>
      <c r="G114" s="387" t="e">
        <f>'FC ITEM KELAS 3A'!G104</f>
        <v>#DIV/0!</v>
      </c>
    </row>
    <row r="115" spans="1:7" ht="15.5">
      <c r="A115" s="413">
        <f>'FC ITEM KELAS 3A'!A105</f>
        <v>9</v>
      </c>
      <c r="B115" s="361" t="s">
        <v>1803</v>
      </c>
      <c r="C115" s="414" t="str">
        <f t="shared" si="5"/>
        <v>MILKSHAKE MANGGA</v>
      </c>
      <c r="D115" s="361"/>
      <c r="E115" s="370"/>
      <c r="F115" s="355"/>
      <c r="G115" s="387" t="e">
        <f>'FC ITEM KELAS 3A'!G105</f>
        <v>#DIV/0!</v>
      </c>
    </row>
    <row r="116" spans="1:7" ht="15.5">
      <c r="A116" s="413">
        <f>'FC ITEM KELAS 3A'!A106</f>
        <v>10</v>
      </c>
      <c r="B116" s="361" t="s">
        <v>1804</v>
      </c>
      <c r="C116" s="414" t="str">
        <f t="shared" si="5"/>
        <v>MILKSHAKE STRAWBERY</v>
      </c>
      <c r="D116" s="361"/>
      <c r="E116" s="370"/>
      <c r="F116" s="355"/>
      <c r="G116" s="387" t="e">
        <f>'FC ITEM KELAS 3A'!G106</f>
        <v>#DIV/0!</v>
      </c>
    </row>
    <row r="117" spans="1:7" ht="15.5">
      <c r="A117" s="413">
        <f>'FC ITEM KELAS 3A'!A107</f>
        <v>11</v>
      </c>
      <c r="B117" s="361" t="s">
        <v>1805</v>
      </c>
      <c r="C117" s="414" t="str">
        <f t="shared" si="5"/>
        <v>MILKSHAKE COKLAT FLOAT</v>
      </c>
      <c r="D117" s="361"/>
      <c r="E117" s="370"/>
      <c r="F117" s="355"/>
      <c r="G117" s="387" t="e">
        <f>'FC ITEM KELAS 3A'!G107</f>
        <v>#DIV/0!</v>
      </c>
    </row>
    <row r="118" spans="1:7" ht="15.5">
      <c r="A118" s="413">
        <f>'FC ITEM KELAS 3A'!A108</f>
        <v>12</v>
      </c>
      <c r="B118" s="361" t="s">
        <v>1806</v>
      </c>
      <c r="C118" s="414" t="str">
        <f t="shared" si="5"/>
        <v>MILKSHAKE CAPUCINO FLOAT</v>
      </c>
      <c r="D118" s="361"/>
      <c r="E118" s="370"/>
      <c r="F118" s="355"/>
      <c r="G118" s="387" t="e">
        <f>'FC ITEM KELAS 3A'!G108</f>
        <v>#DIV/0!</v>
      </c>
    </row>
    <row r="119" spans="1:7" ht="15.5">
      <c r="A119" s="413">
        <f>'FC ITEM KELAS 3A'!A109</f>
        <v>13</v>
      </c>
      <c r="B119" s="361" t="s">
        <v>1807</v>
      </c>
      <c r="C119" s="414" t="str">
        <f t="shared" si="5"/>
        <v>MILKSHAKE MANGGA FLOAT</v>
      </c>
      <c r="D119" s="361"/>
      <c r="E119" s="370"/>
      <c r="F119" s="355"/>
      <c r="G119" s="387" t="e">
        <f>'FC ITEM KELAS 3A'!G109</f>
        <v>#DIV/0!</v>
      </c>
    </row>
    <row r="120" spans="1:7" ht="15.5">
      <c r="A120" s="413">
        <f>'FC ITEM KELAS 3A'!A110</f>
        <v>14</v>
      </c>
      <c r="B120" s="361" t="s">
        <v>1808</v>
      </c>
      <c r="C120" s="414" t="str">
        <f t="shared" si="5"/>
        <v>MILKSHAKE STRAWBERY FLOAT</v>
      </c>
      <c r="D120" s="361"/>
      <c r="E120" s="370"/>
      <c r="F120" s="355"/>
      <c r="G120" s="387" t="e">
        <f>'FC ITEM KELAS 3A'!G110</f>
        <v>#DIV/0!</v>
      </c>
    </row>
    <row r="121" spans="1:7" ht="15.5">
      <c r="A121" s="413">
        <f>'FC ITEM KELAS 3A'!A111</f>
        <v>15</v>
      </c>
      <c r="B121" s="361" t="s">
        <v>1809</v>
      </c>
      <c r="C121" s="414" t="str">
        <f t="shared" si="5"/>
        <v>TBS</v>
      </c>
      <c r="D121" s="361"/>
      <c r="E121" s="370"/>
      <c r="F121" s="355"/>
      <c r="G121" s="387" t="e">
        <f>'FC ITEM KELAS 3A'!G111</f>
        <v>#DIV/0!</v>
      </c>
    </row>
    <row r="122" spans="1:7" ht="15.5">
      <c r="A122" s="413">
        <f>'FC ITEM KELAS 3A'!A112</f>
        <v>16</v>
      </c>
      <c r="B122" s="361" t="s">
        <v>1810</v>
      </c>
      <c r="C122" s="414" t="str">
        <f t="shared" si="5"/>
        <v>TEBS</v>
      </c>
      <c r="D122" s="361"/>
      <c r="E122" s="370"/>
      <c r="F122" s="355"/>
      <c r="G122" s="387" t="e">
        <f>'FC ITEM KELAS 3A'!G112</f>
        <v>#DIV/0!</v>
      </c>
    </row>
    <row r="123" spans="1:7" ht="15.5">
      <c r="A123" s="413">
        <f>'FC ITEM KELAS 3A'!A113</f>
        <v>17</v>
      </c>
      <c r="B123" s="361" t="s">
        <v>1811</v>
      </c>
      <c r="C123" s="414" t="str">
        <f t="shared" si="5"/>
        <v>FRUITEA</v>
      </c>
      <c r="D123" s="361"/>
      <c r="E123" s="370"/>
      <c r="F123" s="355"/>
      <c r="G123" s="387" t="e">
        <f>'FC ITEM KELAS 3A'!G113</f>
        <v>#DIV/0!</v>
      </c>
    </row>
    <row r="124" spans="1:7" ht="15.5">
      <c r="A124" s="413">
        <f>'FC ITEM KELAS 3A'!A114</f>
        <v>18</v>
      </c>
      <c r="B124" s="361" t="s">
        <v>1812</v>
      </c>
      <c r="C124" s="414" t="str">
        <f t="shared" si="5"/>
        <v>TBO/FTO</v>
      </c>
      <c r="D124" s="361"/>
      <c r="E124" s="370"/>
      <c r="F124" s="355"/>
      <c r="G124" s="387" t="e">
        <f>'FC ITEM KELAS 3A'!G114</f>
        <v>#DIV/0!</v>
      </c>
    </row>
    <row r="125" spans="1:7" ht="15.5">
      <c r="A125" s="413">
        <f>'FC ITEM KELAS 3A'!A115</f>
        <v>19</v>
      </c>
      <c r="B125" s="361" t="s">
        <v>1813</v>
      </c>
      <c r="C125" s="414" t="str">
        <f t="shared" si="5"/>
        <v>TEH KOTAK</v>
      </c>
      <c r="D125" s="361"/>
      <c r="E125" s="370"/>
      <c r="F125" s="355"/>
      <c r="G125" s="387" t="e">
        <f>'FC ITEM KELAS 3A'!G115</f>
        <v>#DIV/0!</v>
      </c>
    </row>
    <row r="126" spans="1:7" ht="15.5">
      <c r="A126" s="413">
        <f>'FC ITEM KELAS 3A'!A116</f>
        <v>20</v>
      </c>
      <c r="B126" s="361" t="s">
        <v>1814</v>
      </c>
      <c r="C126" s="414" t="str">
        <f t="shared" si="5"/>
        <v>STEE</v>
      </c>
      <c r="D126" s="361"/>
      <c r="E126" s="370"/>
      <c r="F126" s="355"/>
      <c r="G126" s="387" t="e">
        <f>'FC ITEM KELAS 3A'!G116</f>
        <v>#DIV/0!</v>
      </c>
    </row>
    <row r="127" spans="1:7" ht="15.5">
      <c r="A127" s="413">
        <f>'FC ITEM KELAS 3A'!A117</f>
        <v>21</v>
      </c>
      <c r="B127" s="361" t="s">
        <v>1815</v>
      </c>
      <c r="C127" s="414" t="str">
        <f t="shared" si="5"/>
        <v>JUICE DURIAN</v>
      </c>
      <c r="D127" s="361"/>
      <c r="E127" s="370"/>
      <c r="F127" s="355"/>
      <c r="G127" s="387" t="e">
        <f>'FC ITEM KELAS 3A'!G117</f>
        <v>#DIV/0!</v>
      </c>
    </row>
    <row r="128" spans="1:7" ht="15.5">
      <c r="A128" s="413">
        <f>'FC ITEM KELAS 3A'!A118</f>
        <v>22</v>
      </c>
      <c r="B128" s="361" t="s">
        <v>1816</v>
      </c>
      <c r="C128" s="414" t="str">
        <f t="shared" si="5"/>
        <v>JUICE DURIAN FLOAT</v>
      </c>
      <c r="D128" s="361"/>
      <c r="E128" s="370"/>
      <c r="F128" s="355"/>
      <c r="G128" s="387" t="e">
        <f>'FC ITEM KELAS 3A'!G118</f>
        <v>#DIV/0!</v>
      </c>
    </row>
    <row r="129" spans="1:7" ht="15.5">
      <c r="A129" s="413">
        <f>'FC ITEM KELAS 3A'!A119</f>
        <v>23</v>
      </c>
      <c r="B129" s="361" t="s">
        <v>1817</v>
      </c>
      <c r="C129" s="414" t="str">
        <f t="shared" si="5"/>
        <v>JUICE  SIRSAK</v>
      </c>
      <c r="D129" s="361"/>
      <c r="E129" s="370"/>
      <c r="F129" s="355"/>
      <c r="G129" s="387" t="e">
        <f>'FC ITEM KELAS 3A'!G119</f>
        <v>#DIV/0!</v>
      </c>
    </row>
    <row r="130" spans="1:7" ht="15.5">
      <c r="A130" s="413">
        <f>'FC ITEM KELAS 3A'!A120</f>
        <v>24</v>
      </c>
      <c r="B130" s="361" t="s">
        <v>1818</v>
      </c>
      <c r="C130" s="414" t="str">
        <f t="shared" si="5"/>
        <v>JUICE MELON</v>
      </c>
      <c r="D130" s="361"/>
      <c r="E130" s="370"/>
      <c r="F130" s="355"/>
      <c r="G130" s="387" t="e">
        <f>'FC ITEM KELAS 3A'!G120</f>
        <v>#DIV/0!</v>
      </c>
    </row>
    <row r="131" spans="1:7" ht="15.5">
      <c r="A131" s="413">
        <f>'FC ITEM KELAS 3A'!A121</f>
        <v>25</v>
      </c>
      <c r="B131" s="361" t="s">
        <v>1819</v>
      </c>
      <c r="C131" s="414" t="str">
        <f t="shared" si="5"/>
        <v>JUICE STRAWBERRI</v>
      </c>
      <c r="D131" s="361"/>
      <c r="E131" s="370"/>
      <c r="F131" s="355"/>
      <c r="G131" s="387" t="e">
        <f>'FC ITEM KELAS 3A'!G121</f>
        <v>#DIV/0!</v>
      </c>
    </row>
    <row r="132" spans="1:7" ht="15.5">
      <c r="A132" s="413">
        <f>'FC ITEM KELAS 3A'!A122</f>
        <v>26</v>
      </c>
      <c r="B132" s="361" t="s">
        <v>1820</v>
      </c>
      <c r="C132" s="414" t="str">
        <f t="shared" si="5"/>
        <v>JUICE MANGGA</v>
      </c>
      <c r="D132" s="361"/>
      <c r="E132" s="370"/>
      <c r="F132" s="355"/>
      <c r="G132" s="387" t="e">
        <f>'FC ITEM KELAS 3A'!G122</f>
        <v>#DIV/0!</v>
      </c>
    </row>
    <row r="133" spans="1:7" ht="15.5">
      <c r="A133" s="413">
        <f>'FC ITEM KELAS 3A'!A123</f>
        <v>27</v>
      </c>
      <c r="B133" s="361" t="s">
        <v>1821</v>
      </c>
      <c r="C133" s="414" t="str">
        <f t="shared" si="5"/>
        <v>JUICE JAMBU</v>
      </c>
      <c r="D133" s="361"/>
      <c r="E133" s="370"/>
      <c r="F133" s="355"/>
      <c r="G133" s="387" t="e">
        <f>'FC ITEM KELAS 3A'!G123</f>
        <v>#DIV/0!</v>
      </c>
    </row>
    <row r="134" spans="1:7" ht="15.5">
      <c r="A134" s="413">
        <f>'FC ITEM KELAS 3A'!A124</f>
        <v>28</v>
      </c>
      <c r="B134" s="361" t="s">
        <v>1822</v>
      </c>
      <c r="C134" s="414" t="str">
        <f t="shared" si="5"/>
        <v>ES CREAM</v>
      </c>
      <c r="D134" s="361"/>
      <c r="E134" s="370"/>
      <c r="F134" s="355"/>
      <c r="G134" s="387">
        <f>'FC ITEM KELAS 3A'!G124</f>
        <v>0</v>
      </c>
    </row>
    <row r="135" spans="1:7" ht="15.5">
      <c r="A135" s="413">
        <f>'FC ITEM KELAS 3A'!A125</f>
        <v>29</v>
      </c>
      <c r="B135" s="347"/>
      <c r="C135" s="415"/>
      <c r="D135" s="361"/>
      <c r="E135" s="370"/>
      <c r="F135" s="355"/>
      <c r="G135" s="387" t="e">
        <f>'FC ITEM KELAS 3A'!G125</f>
        <v>#DIV/0!</v>
      </c>
    </row>
    <row r="136" spans="1:7" ht="15.5">
      <c r="A136" s="413">
        <f>'FC ITEM KELAS 3A'!A126</f>
        <v>30</v>
      </c>
      <c r="B136" s="347"/>
      <c r="C136" s="415"/>
      <c r="D136" s="361"/>
      <c r="E136" s="370"/>
      <c r="F136" s="355"/>
      <c r="G136" s="387" t="e">
        <f>'FC ITEM KELAS 3A'!G126</f>
        <v>#DIV/0!</v>
      </c>
    </row>
    <row r="137" spans="1:7" ht="15.5">
      <c r="A137" s="413">
        <f>'FC ITEM KELAS 3A'!A127</f>
        <v>31</v>
      </c>
      <c r="B137" s="347"/>
      <c r="C137" s="415"/>
      <c r="D137" s="361"/>
      <c r="E137" s="370"/>
      <c r="F137" s="355"/>
      <c r="G137" s="387" t="e">
        <f>'FC ITEM KELAS 3A'!G127</f>
        <v>#DIV/0!</v>
      </c>
    </row>
    <row r="139" spans="1:7" ht="32.25" customHeight="1">
      <c r="B139" s="2616"/>
      <c r="C139" s="2616"/>
      <c r="D139" s="2616"/>
      <c r="E139" s="2616"/>
      <c r="F139" s="2616"/>
      <c r="G139" s="2616"/>
    </row>
    <row r="140" spans="1:7" ht="32.25" customHeight="1">
      <c r="B140" s="2617" t="s">
        <v>1823</v>
      </c>
      <c r="C140" s="2617"/>
      <c r="D140" s="2617"/>
      <c r="E140" s="2617"/>
      <c r="F140" s="2617"/>
      <c r="G140" s="2617"/>
    </row>
  </sheetData>
  <mergeCells count="3">
    <mergeCell ref="B139:G139"/>
    <mergeCell ref="B140:G140"/>
    <mergeCell ref="D2:D3"/>
  </mergeCells>
  <pageMargins left="0.7" right="0.7" top="0.75" bottom="0.75" header="0.3" footer="0.3"/>
  <pageSetup paperSize="10001" fitToWidth="0" fitToHeight="0" orientation="portrait"/>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FFC000"/>
  </sheetPr>
  <dimension ref="A2:G127"/>
  <sheetViews>
    <sheetView workbookViewId="0">
      <selection activeCell="G72" sqref="A1:K115"/>
    </sheetView>
  </sheetViews>
  <sheetFormatPr defaultColWidth="9.26953125" defaultRowHeight="12.5"/>
  <cols>
    <col min="1" max="1" width="9.26953125" style="339" customWidth="1"/>
    <col min="2" max="2" width="31.54296875" style="339" hidden="1" customWidth="1"/>
    <col min="3" max="3" width="35.81640625" style="339" customWidth="1"/>
    <col min="4" max="4" width="43.7265625" style="339" customWidth="1"/>
    <col min="5" max="6" width="9.26953125" style="339" customWidth="1"/>
    <col min="7" max="7" width="9.26953125" style="385" customWidth="1"/>
    <col min="8" max="16384" width="9.26953125" style="339"/>
  </cols>
  <sheetData>
    <row r="2" spans="1:7">
      <c r="D2" s="2619" t="s">
        <v>1824</v>
      </c>
    </row>
    <row r="3" spans="1:7">
      <c r="D3" s="2619"/>
    </row>
    <row r="6" spans="1:7" ht="18.5">
      <c r="A6" s="340"/>
      <c r="B6" s="341" t="s">
        <v>1104</v>
      </c>
      <c r="C6" s="342" t="str">
        <f>B6</f>
        <v>ITEM</v>
      </c>
      <c r="D6" s="343" t="s">
        <v>1765</v>
      </c>
      <c r="E6" s="344" t="s">
        <v>365</v>
      </c>
      <c r="F6" s="345" t="s">
        <v>989</v>
      </c>
      <c r="G6" s="386" t="s">
        <v>1154</v>
      </c>
    </row>
    <row r="7" spans="1:7" ht="15.5">
      <c r="A7" s="346">
        <v>1</v>
      </c>
      <c r="B7" s="347" t="s">
        <v>1282</v>
      </c>
      <c r="C7" s="348" t="str">
        <f>B7</f>
        <v>Dada</v>
      </c>
      <c r="D7" s="349"/>
      <c r="E7" s="350">
        <v>12000</v>
      </c>
      <c r="F7" s="351">
        <f>'HITUNGAN HPP PRODUK'!E17</f>
        <v>9182.8200102148094</v>
      </c>
      <c r="G7" s="387">
        <f t="shared" ref="G7:G12" si="0">F7/E7</f>
        <v>0.76523500085123397</v>
      </c>
    </row>
    <row r="8" spans="1:7" ht="15.5">
      <c r="A8" s="346">
        <v>2</v>
      </c>
      <c r="B8" s="347" t="s">
        <v>1283</v>
      </c>
      <c r="C8" s="348" t="str">
        <f t="shared" ref="C8:C71" si="1">B8</f>
        <v>Paha Atas</v>
      </c>
      <c r="D8" s="347"/>
      <c r="E8" s="353">
        <v>12000</v>
      </c>
      <c r="F8" s="354">
        <f>'HITUNGAN HPP PRODUK'!E30</f>
        <v>7746.7072025224998</v>
      </c>
      <c r="G8" s="387">
        <f t="shared" si="0"/>
        <v>0.64555893354354199</v>
      </c>
    </row>
    <row r="9" spans="1:7" ht="15.5">
      <c r="A9" s="346">
        <v>3</v>
      </c>
      <c r="B9" s="347" t="s">
        <v>1284</v>
      </c>
      <c r="C9" s="348" t="str">
        <f t="shared" si="1"/>
        <v>Paha Bawah</v>
      </c>
      <c r="D9" s="347"/>
      <c r="E9" s="353">
        <v>10000</v>
      </c>
      <c r="F9" s="355"/>
      <c r="G9" s="387">
        <f t="shared" si="0"/>
        <v>0</v>
      </c>
    </row>
    <row r="10" spans="1:7" ht="15.5">
      <c r="A10" s="346">
        <v>4</v>
      </c>
      <c r="B10" s="347" t="s">
        <v>1285</v>
      </c>
      <c r="C10" s="348" t="str">
        <f t="shared" si="1"/>
        <v>Sayap</v>
      </c>
      <c r="D10" s="347"/>
      <c r="E10" s="353">
        <v>9000</v>
      </c>
      <c r="F10" s="355"/>
      <c r="G10" s="387">
        <f t="shared" si="0"/>
        <v>0</v>
      </c>
    </row>
    <row r="11" spans="1:7" ht="15.5">
      <c r="A11" s="346">
        <v>5</v>
      </c>
      <c r="B11" s="347" t="s">
        <v>1726</v>
      </c>
      <c r="C11" s="348" t="str">
        <f t="shared" si="1"/>
        <v>Chicken Strip</v>
      </c>
      <c r="D11" s="347"/>
      <c r="E11" s="353">
        <v>10000</v>
      </c>
      <c r="F11" s="355"/>
      <c r="G11" s="387">
        <f t="shared" si="0"/>
        <v>0</v>
      </c>
    </row>
    <row r="12" spans="1:7" ht="15.5">
      <c r="A12" s="346">
        <v>6</v>
      </c>
      <c r="B12" s="347" t="s">
        <v>1287</v>
      </c>
      <c r="C12" s="348" t="str">
        <f t="shared" si="1"/>
        <v>Chicken Steak</v>
      </c>
      <c r="D12" s="347"/>
      <c r="E12" s="353">
        <v>12000</v>
      </c>
      <c r="F12" s="355"/>
      <c r="G12" s="387">
        <f t="shared" si="0"/>
        <v>0</v>
      </c>
    </row>
    <row r="13" spans="1:7" ht="15.5">
      <c r="A13" s="346">
        <v>7</v>
      </c>
      <c r="B13" s="347"/>
      <c r="C13" s="349"/>
      <c r="D13" s="347"/>
      <c r="E13" s="375"/>
      <c r="F13" s="357"/>
      <c r="G13" s="388"/>
    </row>
    <row r="14" spans="1:7" ht="15.5">
      <c r="A14" s="346">
        <v>8</v>
      </c>
      <c r="B14" s="347" t="s">
        <v>1727</v>
      </c>
      <c r="C14" s="348" t="str">
        <f t="shared" si="1"/>
        <v>French Fries</v>
      </c>
      <c r="D14" s="347"/>
      <c r="E14" s="376">
        <v>7000</v>
      </c>
      <c r="F14" s="355"/>
      <c r="G14" s="387">
        <f>F14/E14</f>
        <v>0</v>
      </c>
    </row>
    <row r="15" spans="1:7" ht="15.5">
      <c r="A15" s="346">
        <v>9</v>
      </c>
      <c r="B15" s="347" t="s">
        <v>1728</v>
      </c>
      <c r="C15" s="348" t="str">
        <f t="shared" si="1"/>
        <v>Nasi</v>
      </c>
      <c r="D15" s="347"/>
      <c r="E15" s="376">
        <v>3000</v>
      </c>
      <c r="F15" s="355"/>
      <c r="G15" s="387">
        <f>F15/E15</f>
        <v>0</v>
      </c>
    </row>
    <row r="16" spans="1:7" ht="15.5">
      <c r="A16" s="346">
        <v>10</v>
      </c>
      <c r="B16" s="347" t="s">
        <v>1729</v>
      </c>
      <c r="C16" s="348" t="str">
        <f t="shared" si="1"/>
        <v>Perkedel</v>
      </c>
      <c r="D16" s="347"/>
      <c r="E16" s="376">
        <v>3000</v>
      </c>
      <c r="F16" s="355"/>
      <c r="G16" s="387">
        <f>F16/E16</f>
        <v>0</v>
      </c>
    </row>
    <row r="17" spans="1:7" ht="15.5">
      <c r="A17" s="346">
        <v>11</v>
      </c>
      <c r="B17" s="347" t="s">
        <v>1291</v>
      </c>
      <c r="C17" s="348" t="str">
        <f t="shared" si="1"/>
        <v>Chicken Burger</v>
      </c>
      <c r="D17" s="347"/>
      <c r="E17" s="376">
        <v>13000</v>
      </c>
      <c r="F17" s="355"/>
      <c r="G17" s="387">
        <f>F17/E17</f>
        <v>0</v>
      </c>
    </row>
    <row r="18" spans="1:7" ht="15.5">
      <c r="A18" s="346">
        <v>12</v>
      </c>
      <c r="B18" s="347" t="s">
        <v>1730</v>
      </c>
      <c r="C18" s="348" t="str">
        <f t="shared" si="1"/>
        <v>Cheese Burger</v>
      </c>
      <c r="D18" s="347"/>
      <c r="E18" s="376">
        <v>15000</v>
      </c>
      <c r="F18" s="355"/>
      <c r="G18" s="387">
        <f>F18/E18</f>
        <v>0</v>
      </c>
    </row>
    <row r="19" spans="1:7" ht="15.5">
      <c r="A19" s="346">
        <v>13</v>
      </c>
      <c r="B19" s="347"/>
      <c r="C19" s="349"/>
      <c r="D19" s="347"/>
      <c r="E19" s="375"/>
      <c r="F19" s="357"/>
      <c r="G19" s="388"/>
    </row>
    <row r="20" spans="1:7" ht="15.5">
      <c r="A20" s="346">
        <v>14</v>
      </c>
      <c r="B20" s="347" t="s">
        <v>1731</v>
      </c>
      <c r="C20" s="348" t="str">
        <f t="shared" si="1"/>
        <v>Nasi Goreng</v>
      </c>
      <c r="D20" s="347"/>
      <c r="E20" s="375">
        <v>12000</v>
      </c>
      <c r="F20" s="355"/>
      <c r="G20" s="387">
        <f t="shared" ref="G20:G34" si="2">F20/E20</f>
        <v>0</v>
      </c>
    </row>
    <row r="21" spans="1:7" ht="15.5">
      <c r="A21" s="346">
        <v>15</v>
      </c>
      <c r="B21" s="347" t="s">
        <v>1825</v>
      </c>
      <c r="C21" s="348" t="str">
        <f t="shared" si="1"/>
        <v>Nasgor telor ceplok</v>
      </c>
      <c r="D21" s="347"/>
      <c r="E21" s="375"/>
      <c r="F21" s="360"/>
      <c r="G21" s="387" t="e">
        <f t="shared" si="2"/>
        <v>#DIV/0!</v>
      </c>
    </row>
    <row r="22" spans="1:7" ht="15.5">
      <c r="A22" s="346">
        <v>16</v>
      </c>
      <c r="B22" s="347"/>
      <c r="C22" s="349"/>
      <c r="D22" s="347"/>
      <c r="E22" s="375"/>
      <c r="F22" s="360"/>
      <c r="G22" s="387" t="e">
        <f t="shared" si="2"/>
        <v>#DIV/0!</v>
      </c>
    </row>
    <row r="23" spans="1:7" ht="15.5">
      <c r="A23" s="346">
        <v>17</v>
      </c>
      <c r="B23" s="347" t="s">
        <v>1295</v>
      </c>
      <c r="C23" s="348" t="str">
        <f t="shared" si="1"/>
        <v>Telur Ceplok</v>
      </c>
      <c r="D23" s="347"/>
      <c r="E23" s="375"/>
      <c r="F23" s="360"/>
      <c r="G23" s="387" t="e">
        <f t="shared" si="2"/>
        <v>#DIV/0!</v>
      </c>
    </row>
    <row r="24" spans="1:7" ht="15.5">
      <c r="A24" s="346">
        <v>18</v>
      </c>
      <c r="B24" s="347"/>
      <c r="C24" s="349"/>
      <c r="D24" s="347"/>
      <c r="E24" s="375"/>
      <c r="F24" s="360"/>
      <c r="G24" s="387" t="e">
        <f t="shared" si="2"/>
        <v>#DIV/0!</v>
      </c>
    </row>
    <row r="25" spans="1:7" ht="15.5">
      <c r="A25" s="346">
        <v>19</v>
      </c>
      <c r="B25" s="347" t="s">
        <v>1533</v>
      </c>
      <c r="C25" s="348" t="str">
        <f t="shared" si="1"/>
        <v>Paket Rocket 1</v>
      </c>
      <c r="D25" s="361" t="s">
        <v>1826</v>
      </c>
      <c r="E25" s="353">
        <v>9500</v>
      </c>
      <c r="F25" s="355">
        <f>'HITUNGAN HPP PRODUK'!K17</f>
        <v>7937.8367106196602</v>
      </c>
      <c r="G25" s="387">
        <f t="shared" si="2"/>
        <v>0.83556175901259599</v>
      </c>
    </row>
    <row r="26" spans="1:7" ht="15.5">
      <c r="A26" s="346">
        <v>20</v>
      </c>
      <c r="B26" s="347" t="s">
        <v>1307</v>
      </c>
      <c r="C26" s="348" t="str">
        <f t="shared" si="1"/>
        <v>Paket Rocket 2</v>
      </c>
      <c r="D26" s="361" t="s">
        <v>1827</v>
      </c>
      <c r="E26" s="353">
        <v>15500</v>
      </c>
      <c r="F26" s="355">
        <f>'HITUNGAN HPP PRODUK'!M17</f>
        <v>9978.2783412011304</v>
      </c>
      <c r="G26" s="387">
        <f t="shared" si="2"/>
        <v>0.64375989298071801</v>
      </c>
    </row>
    <row r="27" spans="1:7" ht="15.5">
      <c r="A27" s="346">
        <v>21</v>
      </c>
      <c r="B27" s="347" t="s">
        <v>1308</v>
      </c>
      <c r="C27" s="348" t="str">
        <f t="shared" si="1"/>
        <v>Paket Rocket 3</v>
      </c>
      <c r="D27" s="361" t="s">
        <v>1828</v>
      </c>
      <c r="E27" s="353">
        <v>14000</v>
      </c>
      <c r="F27" s="355">
        <f>'HITUNGAN HPP PRODUK'!O15</f>
        <v>1130</v>
      </c>
      <c r="G27" s="387">
        <f t="shared" si="2"/>
        <v>8.0714285714285697E-2</v>
      </c>
    </row>
    <row r="28" spans="1:7" ht="15.5">
      <c r="A28" s="346">
        <v>22</v>
      </c>
      <c r="B28" s="347" t="s">
        <v>1309</v>
      </c>
      <c r="C28" s="348" t="str">
        <f t="shared" si="1"/>
        <v>Paket Rocket 4</v>
      </c>
      <c r="D28" s="361" t="s">
        <v>1829</v>
      </c>
      <c r="E28" s="353">
        <v>16000</v>
      </c>
      <c r="F28" s="355"/>
      <c r="G28" s="387">
        <f t="shared" si="2"/>
        <v>0</v>
      </c>
    </row>
    <row r="29" spans="1:7" ht="15.5">
      <c r="A29" s="346">
        <v>23</v>
      </c>
      <c r="B29" s="347" t="s">
        <v>1310</v>
      </c>
      <c r="C29" s="348" t="str">
        <f t="shared" si="1"/>
        <v>Paket Rocket 5</v>
      </c>
      <c r="D29" s="361" t="s">
        <v>1830</v>
      </c>
      <c r="E29" s="353">
        <v>16000</v>
      </c>
      <c r="F29" s="355"/>
      <c r="G29" s="387">
        <f t="shared" si="2"/>
        <v>0</v>
      </c>
    </row>
    <row r="30" spans="1:7" ht="15.5">
      <c r="A30" s="346">
        <v>24</v>
      </c>
      <c r="B30" s="347" t="s">
        <v>1311</v>
      </c>
      <c r="C30" s="348" t="str">
        <f t="shared" si="1"/>
        <v>Paket Rocket 6</v>
      </c>
      <c r="D30" s="361" t="s">
        <v>1831</v>
      </c>
      <c r="E30" s="353">
        <v>18000</v>
      </c>
      <c r="F30" s="355"/>
      <c r="G30" s="387">
        <f t="shared" si="2"/>
        <v>0</v>
      </c>
    </row>
    <row r="31" spans="1:7" ht="15.5">
      <c r="A31" s="346">
        <v>25</v>
      </c>
      <c r="B31" s="347" t="s">
        <v>1312</v>
      </c>
      <c r="C31" s="348" t="str">
        <f t="shared" si="1"/>
        <v>Paket Rocket 7</v>
      </c>
      <c r="D31" s="361" t="s">
        <v>1832</v>
      </c>
      <c r="E31" s="353">
        <v>18000</v>
      </c>
      <c r="F31" s="355"/>
      <c r="G31" s="387">
        <f t="shared" si="2"/>
        <v>0</v>
      </c>
    </row>
    <row r="32" spans="1:7" ht="15.5">
      <c r="A32" s="346">
        <v>26</v>
      </c>
      <c r="B32" s="347" t="s">
        <v>1313</v>
      </c>
      <c r="C32" s="348" t="str">
        <f t="shared" si="1"/>
        <v>Paket Rocket 8</v>
      </c>
      <c r="D32" s="361" t="s">
        <v>1833</v>
      </c>
      <c r="E32" s="353">
        <v>18000</v>
      </c>
      <c r="F32" s="355"/>
      <c r="G32" s="387">
        <f t="shared" si="2"/>
        <v>0</v>
      </c>
    </row>
    <row r="33" spans="1:7" ht="15.5">
      <c r="A33" s="346">
        <v>27</v>
      </c>
      <c r="B33" s="347" t="s">
        <v>1314</v>
      </c>
      <c r="C33" s="348" t="str">
        <f t="shared" si="1"/>
        <v>Paket Rocket 9</v>
      </c>
      <c r="D33" s="361" t="s">
        <v>1834</v>
      </c>
      <c r="E33" s="353">
        <v>19000</v>
      </c>
      <c r="F33" s="355"/>
      <c r="G33" s="387">
        <f t="shared" si="2"/>
        <v>0</v>
      </c>
    </row>
    <row r="34" spans="1:7" ht="15.5">
      <c r="A34" s="346">
        <v>28</v>
      </c>
      <c r="B34" s="347" t="s">
        <v>1315</v>
      </c>
      <c r="C34" s="348" t="str">
        <f t="shared" si="1"/>
        <v>Paket Rocket 10</v>
      </c>
      <c r="D34" s="361" t="s">
        <v>1835</v>
      </c>
      <c r="E34" s="353">
        <v>17000</v>
      </c>
      <c r="F34" s="355"/>
      <c r="G34" s="387">
        <f t="shared" si="2"/>
        <v>0</v>
      </c>
    </row>
    <row r="35" spans="1:7" ht="15.5">
      <c r="A35" s="346">
        <v>29</v>
      </c>
      <c r="B35" s="347"/>
      <c r="C35" s="349"/>
      <c r="D35" s="347"/>
      <c r="E35" s="375"/>
      <c r="F35" s="360"/>
      <c r="G35" s="388"/>
    </row>
    <row r="36" spans="1:7" ht="15.5">
      <c r="A36" s="346">
        <v>30</v>
      </c>
      <c r="B36" s="347" t="s">
        <v>1316</v>
      </c>
      <c r="C36" s="348" t="str">
        <f t="shared" si="1"/>
        <v>Paket Roma 1</v>
      </c>
      <c r="D36" s="361" t="s">
        <v>1780</v>
      </c>
      <c r="E36" s="353">
        <v>16000</v>
      </c>
      <c r="F36" s="355"/>
      <c r="G36" s="387">
        <f>F36/E36</f>
        <v>0</v>
      </c>
    </row>
    <row r="37" spans="1:7" ht="15.5">
      <c r="A37" s="346">
        <v>31</v>
      </c>
      <c r="B37" s="347" t="s">
        <v>1317</v>
      </c>
      <c r="C37" s="348" t="str">
        <f t="shared" si="1"/>
        <v>Paket Roma 2</v>
      </c>
      <c r="D37" s="361" t="s">
        <v>1781</v>
      </c>
      <c r="E37" s="353">
        <v>17000</v>
      </c>
      <c r="F37" s="355"/>
      <c r="G37" s="387">
        <f>F37/E37</f>
        <v>0</v>
      </c>
    </row>
    <row r="38" spans="1:7" ht="15.5">
      <c r="A38" s="346">
        <v>32</v>
      </c>
      <c r="B38" s="347" t="s">
        <v>1318</v>
      </c>
      <c r="C38" s="348" t="str">
        <f t="shared" si="1"/>
        <v>Paket Roma 3</v>
      </c>
      <c r="D38" s="361" t="s">
        <v>1782</v>
      </c>
      <c r="E38" s="353">
        <v>18000</v>
      </c>
      <c r="F38" s="355"/>
      <c r="G38" s="387">
        <f>F38/E38</f>
        <v>0</v>
      </c>
    </row>
    <row r="39" spans="1:7" ht="15.5">
      <c r="A39" s="346">
        <v>33</v>
      </c>
      <c r="B39" s="347" t="s">
        <v>1319</v>
      </c>
      <c r="C39" s="348" t="str">
        <f t="shared" si="1"/>
        <v>Paket Roma 4</v>
      </c>
      <c r="D39" s="361" t="s">
        <v>1783</v>
      </c>
      <c r="E39" s="353">
        <v>19000</v>
      </c>
      <c r="F39" s="355"/>
      <c r="G39" s="387">
        <f>F39/E39</f>
        <v>0</v>
      </c>
    </row>
    <row r="40" spans="1:7" ht="15.5">
      <c r="A40" s="346">
        <v>34</v>
      </c>
      <c r="B40" s="347" t="s">
        <v>1320</v>
      </c>
      <c r="C40" s="348" t="str">
        <f t="shared" si="1"/>
        <v>Paket Roma 5</v>
      </c>
      <c r="D40" s="361" t="s">
        <v>1836</v>
      </c>
      <c r="E40" s="353">
        <v>19000</v>
      </c>
      <c r="F40" s="355"/>
      <c r="G40" s="387">
        <f>F40/E40</f>
        <v>0</v>
      </c>
    </row>
    <row r="41" spans="1:7" ht="15.5">
      <c r="A41" s="346">
        <v>35</v>
      </c>
      <c r="B41" s="347"/>
      <c r="C41" s="349"/>
      <c r="D41" s="347"/>
      <c r="E41" s="375"/>
      <c r="F41" s="360"/>
      <c r="G41" s="388"/>
    </row>
    <row r="42" spans="1:7" ht="15.5">
      <c r="A42" s="346">
        <v>36</v>
      </c>
      <c r="B42" s="347" t="s">
        <v>1733</v>
      </c>
      <c r="C42" s="348" t="str">
        <f t="shared" si="1"/>
        <v>Paket geprek 1</v>
      </c>
      <c r="D42" s="361" t="s">
        <v>1837</v>
      </c>
      <c r="E42" s="377">
        <v>16000</v>
      </c>
      <c r="F42" s="355"/>
      <c r="G42" s="387">
        <f>F42/E42</f>
        <v>0</v>
      </c>
    </row>
    <row r="43" spans="1:7" ht="15.5">
      <c r="A43" s="346">
        <v>37</v>
      </c>
      <c r="B43" s="347" t="s">
        <v>1734</v>
      </c>
      <c r="C43" s="348" t="str">
        <f t="shared" si="1"/>
        <v>Paket geprek 2</v>
      </c>
      <c r="D43" s="361" t="s">
        <v>1838</v>
      </c>
      <c r="E43" s="377">
        <v>17000</v>
      </c>
      <c r="F43" s="355"/>
      <c r="G43" s="387">
        <f>F43/E43</f>
        <v>0</v>
      </c>
    </row>
    <row r="44" spans="1:7" ht="15.5">
      <c r="A44" s="346">
        <v>38</v>
      </c>
      <c r="B44" s="347" t="s">
        <v>1735</v>
      </c>
      <c r="C44" s="348" t="str">
        <f t="shared" si="1"/>
        <v>Paket geprek 3</v>
      </c>
      <c r="D44" s="361" t="s">
        <v>1839</v>
      </c>
      <c r="E44" s="377">
        <v>19000</v>
      </c>
      <c r="F44" s="355"/>
      <c r="G44" s="387">
        <f>F44/E44</f>
        <v>0</v>
      </c>
    </row>
    <row r="45" spans="1:7" ht="15.5">
      <c r="A45" s="346">
        <v>39</v>
      </c>
      <c r="B45" s="347"/>
      <c r="C45" s="349"/>
      <c r="D45" s="347"/>
      <c r="E45" s="353"/>
      <c r="F45" s="357"/>
      <c r="G45" s="388"/>
    </row>
    <row r="46" spans="1:7" ht="15.5">
      <c r="A46" s="346">
        <v>40</v>
      </c>
      <c r="B46" s="347" t="s">
        <v>1736</v>
      </c>
      <c r="C46" s="348" t="str">
        <f t="shared" si="1"/>
        <v>Dada geprek</v>
      </c>
      <c r="D46" s="347"/>
      <c r="E46" s="377">
        <v>14000</v>
      </c>
      <c r="F46" s="355"/>
      <c r="G46" s="387">
        <f>F46/E46</f>
        <v>0</v>
      </c>
    </row>
    <row r="47" spans="1:7" ht="15.5">
      <c r="A47" s="346">
        <v>41</v>
      </c>
      <c r="B47" s="347" t="s">
        <v>1737</v>
      </c>
      <c r="C47" s="348" t="str">
        <f t="shared" si="1"/>
        <v>P.atas geprek</v>
      </c>
      <c r="D47" s="347"/>
      <c r="E47" s="377">
        <v>14000</v>
      </c>
      <c r="F47" s="355"/>
      <c r="G47" s="387">
        <f>F47/E47</f>
        <v>0</v>
      </c>
    </row>
    <row r="48" spans="1:7" ht="16.5" customHeight="1">
      <c r="A48" s="346">
        <v>42</v>
      </c>
      <c r="B48" s="347" t="s">
        <v>1738</v>
      </c>
      <c r="C48" s="348" t="str">
        <f t="shared" si="1"/>
        <v>P.bawah geprek</v>
      </c>
      <c r="D48" s="347"/>
      <c r="E48" s="377">
        <v>13000</v>
      </c>
      <c r="F48" s="355"/>
      <c r="G48" s="387">
        <f>F48/E48</f>
        <v>0</v>
      </c>
    </row>
    <row r="49" spans="1:7" ht="16.5" customHeight="1">
      <c r="A49" s="346">
        <v>43</v>
      </c>
      <c r="B49" s="347" t="s">
        <v>1739</v>
      </c>
      <c r="C49" s="348" t="str">
        <f t="shared" si="1"/>
        <v>Sayap geprek</v>
      </c>
      <c r="D49" s="347"/>
      <c r="E49" s="377">
        <v>12000</v>
      </c>
      <c r="F49" s="363"/>
      <c r="G49" s="387">
        <f>F49/E49</f>
        <v>0</v>
      </c>
    </row>
    <row r="50" spans="1:7" ht="16.5" customHeight="1">
      <c r="A50" s="346">
        <v>44</v>
      </c>
      <c r="B50" s="347"/>
      <c r="C50" s="349"/>
      <c r="D50" s="347"/>
      <c r="E50" s="375"/>
      <c r="F50" s="360"/>
      <c r="G50" s="388"/>
    </row>
    <row r="51" spans="1:7" ht="16.5" customHeight="1">
      <c r="A51" s="346">
        <v>45</v>
      </c>
      <c r="B51" s="347" t="s">
        <v>1353</v>
      </c>
      <c r="C51" s="348" t="str">
        <f t="shared" si="1"/>
        <v>Paket Catering 1</v>
      </c>
      <c r="D51" s="347"/>
      <c r="E51" s="377"/>
      <c r="F51" s="355"/>
      <c r="G51" s="387" t="e">
        <f>F51/E51</f>
        <v>#DIV/0!</v>
      </c>
    </row>
    <row r="52" spans="1:7" ht="16.5" customHeight="1">
      <c r="A52" s="346">
        <v>46</v>
      </c>
      <c r="B52" s="347" t="s">
        <v>1354</v>
      </c>
      <c r="C52" s="348" t="str">
        <f t="shared" si="1"/>
        <v>Paket Catering 2</v>
      </c>
      <c r="D52" s="347"/>
      <c r="E52" s="377"/>
      <c r="F52" s="355"/>
      <c r="G52" s="387" t="e">
        <f>F52/E52</f>
        <v>#DIV/0!</v>
      </c>
    </row>
    <row r="53" spans="1:7" ht="16.5" customHeight="1">
      <c r="A53" s="346">
        <v>47</v>
      </c>
      <c r="B53" s="347" t="s">
        <v>1355</v>
      </c>
      <c r="C53" s="348" t="str">
        <f t="shared" si="1"/>
        <v>Paket Catering 3</v>
      </c>
      <c r="D53" s="347"/>
      <c r="E53" s="377"/>
      <c r="F53" s="355"/>
      <c r="G53" s="387" t="e">
        <f>F53/E53</f>
        <v>#DIV/0!</v>
      </c>
    </row>
    <row r="54" spans="1:7" ht="16.5" customHeight="1">
      <c r="A54" s="346">
        <v>48</v>
      </c>
      <c r="B54" s="347"/>
      <c r="C54" s="349"/>
      <c r="D54" s="347"/>
      <c r="E54" s="375"/>
      <c r="F54" s="360"/>
      <c r="G54" s="388"/>
    </row>
    <row r="55" spans="1:7" ht="16.5" customHeight="1">
      <c r="A55" s="346">
        <v>49</v>
      </c>
      <c r="B55" s="347" t="s">
        <v>1740</v>
      </c>
      <c r="C55" s="348" t="str">
        <f t="shared" si="1"/>
        <v>Paket geprek Matah 1</v>
      </c>
      <c r="D55" s="361" t="s">
        <v>1840</v>
      </c>
      <c r="E55" s="377">
        <v>18000</v>
      </c>
      <c r="F55" s="355"/>
      <c r="G55" s="387">
        <f t="shared" ref="G55:G61" si="3">F55/E55</f>
        <v>0</v>
      </c>
    </row>
    <row r="56" spans="1:7" ht="16.5" customHeight="1">
      <c r="A56" s="346">
        <v>50</v>
      </c>
      <c r="B56" s="347" t="s">
        <v>1741</v>
      </c>
      <c r="C56" s="348" t="str">
        <f t="shared" si="1"/>
        <v>Paket geprek Matah 2</v>
      </c>
      <c r="D56" s="361" t="s">
        <v>1841</v>
      </c>
      <c r="E56" s="377">
        <v>19000</v>
      </c>
      <c r="F56" s="355"/>
      <c r="G56" s="387">
        <f t="shared" si="3"/>
        <v>0</v>
      </c>
    </row>
    <row r="57" spans="1:7" ht="16.5" customHeight="1">
      <c r="A57" s="346">
        <v>51</v>
      </c>
      <c r="B57" s="347" t="s">
        <v>1742</v>
      </c>
      <c r="C57" s="348" t="str">
        <f t="shared" si="1"/>
        <v>Paket geprek Matah  3</v>
      </c>
      <c r="D57" s="361" t="s">
        <v>1842</v>
      </c>
      <c r="E57" s="377">
        <v>21000</v>
      </c>
      <c r="F57" s="355"/>
      <c r="G57" s="387">
        <f t="shared" si="3"/>
        <v>0</v>
      </c>
    </row>
    <row r="58" spans="1:7" ht="16.5" customHeight="1">
      <c r="A58" s="346">
        <v>52</v>
      </c>
      <c r="B58" s="364"/>
      <c r="C58" s="349"/>
      <c r="D58" s="364"/>
      <c r="E58" s="353"/>
      <c r="F58" s="357"/>
      <c r="G58" s="388"/>
    </row>
    <row r="59" spans="1:7" ht="16.5" customHeight="1">
      <c r="A59" s="346">
        <v>53</v>
      </c>
      <c r="B59" s="365" t="s">
        <v>1544</v>
      </c>
      <c r="C59" s="348" t="str">
        <f t="shared" si="1"/>
        <v>Geprek Matah Sayap</v>
      </c>
      <c r="D59" s="366"/>
      <c r="E59" s="377">
        <v>12000</v>
      </c>
      <c r="F59" s="355"/>
      <c r="G59" s="387">
        <f t="shared" si="3"/>
        <v>0</v>
      </c>
    </row>
    <row r="60" spans="1:7" ht="16.5" customHeight="1">
      <c r="A60" s="346">
        <v>54</v>
      </c>
      <c r="B60" s="365" t="s">
        <v>1545</v>
      </c>
      <c r="C60" s="348" t="str">
        <f t="shared" si="1"/>
        <v>Geprek Matah Paha Bawah</v>
      </c>
      <c r="D60" s="366"/>
      <c r="E60" s="377">
        <v>13000</v>
      </c>
      <c r="F60" s="355"/>
      <c r="G60" s="387">
        <f t="shared" si="3"/>
        <v>0</v>
      </c>
    </row>
    <row r="61" spans="1:7" ht="16.5" customHeight="1">
      <c r="A61" s="346">
        <v>55</v>
      </c>
      <c r="B61" s="365" t="s">
        <v>1546</v>
      </c>
      <c r="C61" s="348" t="str">
        <f t="shared" si="1"/>
        <v>Geprek Matah Paha Atas / Dada</v>
      </c>
      <c r="D61" s="366"/>
      <c r="E61" s="377">
        <v>14000</v>
      </c>
      <c r="F61" s="355"/>
      <c r="G61" s="387">
        <f t="shared" si="3"/>
        <v>0</v>
      </c>
    </row>
    <row r="62" spans="1:7" ht="16.5" customHeight="1">
      <c r="A62" s="346">
        <v>56</v>
      </c>
      <c r="B62" s="367"/>
      <c r="C62" s="349"/>
      <c r="D62" s="367"/>
      <c r="E62" s="375"/>
      <c r="F62" s="360"/>
      <c r="G62" s="388"/>
    </row>
    <row r="63" spans="1:7" ht="15.5">
      <c r="A63" s="346">
        <v>57</v>
      </c>
      <c r="B63" s="368" t="s">
        <v>1548</v>
      </c>
      <c r="C63" s="348" t="str">
        <f t="shared" si="1"/>
        <v>Paket Geprek Terasi 1</v>
      </c>
      <c r="D63" s="361" t="s">
        <v>1843</v>
      </c>
      <c r="E63" s="377">
        <v>17000</v>
      </c>
      <c r="F63" s="355"/>
      <c r="G63" s="387">
        <f t="shared" ref="G63:G68" si="4">F63/E63</f>
        <v>0</v>
      </c>
    </row>
    <row r="64" spans="1:7" ht="15.5">
      <c r="A64" s="346">
        <v>58</v>
      </c>
      <c r="B64" s="368" t="s">
        <v>1549</v>
      </c>
      <c r="C64" s="348" t="str">
        <f t="shared" si="1"/>
        <v>Paket Geprek Terasi 2</v>
      </c>
      <c r="D64" s="361" t="s">
        <v>1844</v>
      </c>
      <c r="E64" s="377">
        <v>18000</v>
      </c>
      <c r="F64" s="355"/>
      <c r="G64" s="387">
        <f t="shared" si="4"/>
        <v>0</v>
      </c>
    </row>
    <row r="65" spans="1:7" ht="15.5">
      <c r="A65" s="346">
        <v>59</v>
      </c>
      <c r="B65" s="368" t="s">
        <v>1550</v>
      </c>
      <c r="C65" s="348" t="str">
        <f t="shared" si="1"/>
        <v>Paket Geprek Terasi 3</v>
      </c>
      <c r="D65" s="361" t="s">
        <v>1845</v>
      </c>
      <c r="E65" s="377">
        <v>20000</v>
      </c>
      <c r="F65" s="355"/>
      <c r="G65" s="387">
        <f t="shared" si="4"/>
        <v>0</v>
      </c>
    </row>
    <row r="66" spans="1:7" ht="15.5">
      <c r="A66" s="346">
        <v>60</v>
      </c>
      <c r="B66" s="368" t="s">
        <v>1551</v>
      </c>
      <c r="C66" s="348" t="str">
        <f t="shared" si="1"/>
        <v>Geprek Terasi Sayap</v>
      </c>
      <c r="D66" s="369"/>
      <c r="E66" s="377">
        <v>12000</v>
      </c>
      <c r="F66" s="355"/>
      <c r="G66" s="387">
        <f t="shared" si="4"/>
        <v>0</v>
      </c>
    </row>
    <row r="67" spans="1:7" ht="15.5">
      <c r="A67" s="346">
        <v>61</v>
      </c>
      <c r="B67" s="368" t="s">
        <v>1552</v>
      </c>
      <c r="C67" s="348" t="str">
        <f t="shared" si="1"/>
        <v>Geprek Terasi Paha Bawah</v>
      </c>
      <c r="D67" s="369"/>
      <c r="E67" s="377">
        <v>13000</v>
      </c>
      <c r="F67" s="355"/>
      <c r="G67" s="387">
        <f t="shared" si="4"/>
        <v>0</v>
      </c>
    </row>
    <row r="68" spans="1:7" ht="15.5">
      <c r="A68" s="346">
        <v>62</v>
      </c>
      <c r="B68" s="368" t="s">
        <v>1553</v>
      </c>
      <c r="C68" s="348" t="str">
        <f t="shared" si="1"/>
        <v>Geprek Terasi Paha Atas / Dada</v>
      </c>
      <c r="D68" s="369"/>
      <c r="E68" s="377">
        <v>14000</v>
      </c>
      <c r="F68" s="355"/>
      <c r="G68" s="387">
        <f t="shared" si="4"/>
        <v>0</v>
      </c>
    </row>
    <row r="69" spans="1:7" ht="15.5">
      <c r="A69" s="346">
        <v>63</v>
      </c>
      <c r="B69" s="367"/>
      <c r="C69" s="349"/>
      <c r="D69" s="367"/>
      <c r="E69" s="375"/>
      <c r="F69" s="360"/>
      <c r="G69" s="388"/>
    </row>
    <row r="70" spans="1:7" ht="15.5">
      <c r="A70" s="346">
        <v>64</v>
      </c>
      <c r="B70" s="367" t="s">
        <v>1743</v>
      </c>
      <c r="C70" s="348" t="str">
        <f t="shared" si="1"/>
        <v>Paket level 1</v>
      </c>
      <c r="D70" s="361" t="s">
        <v>1846</v>
      </c>
      <c r="E70" s="377">
        <v>17000</v>
      </c>
      <c r="F70" s="355"/>
      <c r="G70" s="387">
        <f>F70/E70</f>
        <v>0</v>
      </c>
    </row>
    <row r="71" spans="1:7" ht="15.5">
      <c r="A71" s="346">
        <v>65</v>
      </c>
      <c r="B71" s="367" t="s">
        <v>1744</v>
      </c>
      <c r="C71" s="348" t="str">
        <f t="shared" si="1"/>
        <v>Paket level 2</v>
      </c>
      <c r="D71" s="361" t="s">
        <v>1847</v>
      </c>
      <c r="E71" s="377">
        <v>18000</v>
      </c>
      <c r="F71" s="355"/>
      <c r="G71" s="387">
        <f>F71/E71</f>
        <v>0</v>
      </c>
    </row>
    <row r="72" spans="1:7" ht="15.5">
      <c r="A72" s="346">
        <v>66</v>
      </c>
      <c r="B72" s="367" t="s">
        <v>1745</v>
      </c>
      <c r="C72" s="348" t="str">
        <f t="shared" ref="C72:C124" si="5">B72</f>
        <v>Paket level 3</v>
      </c>
      <c r="D72" s="361" t="s">
        <v>1848</v>
      </c>
      <c r="E72" s="377">
        <v>20000</v>
      </c>
      <c r="F72" s="355"/>
      <c r="G72" s="387">
        <f>F72/E72</f>
        <v>0</v>
      </c>
    </row>
    <row r="73" spans="1:7" ht="15.5">
      <c r="A73" s="346">
        <v>67</v>
      </c>
      <c r="B73" s="367"/>
      <c r="C73" s="349"/>
      <c r="D73" s="367"/>
      <c r="E73" s="370"/>
      <c r="F73" s="360"/>
      <c r="G73" s="388"/>
    </row>
    <row r="74" spans="1:7" ht="15.5">
      <c r="A74" s="346">
        <v>68</v>
      </c>
      <c r="B74" s="367" t="s">
        <v>1746</v>
      </c>
      <c r="C74" s="348" t="str">
        <f t="shared" si="5"/>
        <v>Sayap level</v>
      </c>
      <c r="D74" s="367"/>
      <c r="E74" s="370">
        <v>11000</v>
      </c>
      <c r="F74" s="355"/>
      <c r="G74" s="387">
        <f>F74/E74</f>
        <v>0</v>
      </c>
    </row>
    <row r="75" spans="1:7" ht="15.5">
      <c r="A75" s="346">
        <v>69</v>
      </c>
      <c r="B75" s="367" t="s">
        <v>1747</v>
      </c>
      <c r="C75" s="348" t="str">
        <f t="shared" si="5"/>
        <v>P.bawah level</v>
      </c>
      <c r="D75" s="367"/>
      <c r="E75" s="370">
        <v>12000</v>
      </c>
      <c r="F75" s="355"/>
      <c r="G75" s="387">
        <f>F75/E75</f>
        <v>0</v>
      </c>
    </row>
    <row r="76" spans="1:7" ht="15.5">
      <c r="A76" s="346">
        <v>70</v>
      </c>
      <c r="B76" s="367" t="s">
        <v>1748</v>
      </c>
      <c r="C76" s="348" t="str">
        <f t="shared" si="5"/>
        <v>Dada level</v>
      </c>
      <c r="D76" s="367"/>
      <c r="E76" s="370">
        <v>13000</v>
      </c>
      <c r="F76" s="355"/>
      <c r="G76" s="387">
        <f>F76/E76</f>
        <v>0</v>
      </c>
    </row>
    <row r="77" spans="1:7" ht="15.5">
      <c r="A77" s="346">
        <v>71</v>
      </c>
      <c r="B77" s="367" t="s">
        <v>1749</v>
      </c>
      <c r="C77" s="348" t="str">
        <f t="shared" si="5"/>
        <v>P.atas Level</v>
      </c>
      <c r="D77" s="367"/>
      <c r="E77" s="375">
        <v>13000</v>
      </c>
      <c r="F77" s="355"/>
      <c r="G77" s="387">
        <f>F77/E77</f>
        <v>0</v>
      </c>
    </row>
    <row r="78" spans="1:7" ht="15.5">
      <c r="A78" s="346">
        <v>72</v>
      </c>
      <c r="B78" s="367"/>
      <c r="C78" s="349"/>
      <c r="D78" s="367"/>
      <c r="E78" s="375"/>
      <c r="F78" s="360"/>
      <c r="G78" s="388"/>
    </row>
    <row r="79" spans="1:7" ht="15.5">
      <c r="A79" s="346">
        <v>73</v>
      </c>
      <c r="B79" s="367" t="s">
        <v>1750</v>
      </c>
      <c r="C79" s="348" t="str">
        <f t="shared" si="5"/>
        <v>Sehat 1</v>
      </c>
      <c r="D79" s="361" t="s">
        <v>1849</v>
      </c>
      <c r="E79" s="370">
        <v>14500</v>
      </c>
      <c r="F79" s="355"/>
      <c r="G79" s="387">
        <f>F79/E79</f>
        <v>0</v>
      </c>
    </row>
    <row r="80" spans="1:7" ht="15.5">
      <c r="A80" s="346">
        <v>74</v>
      </c>
      <c r="B80" s="367" t="s">
        <v>1751</v>
      </c>
      <c r="C80" s="348" t="str">
        <f t="shared" si="5"/>
        <v>Sehat 2</v>
      </c>
      <c r="D80" s="361" t="s">
        <v>1850</v>
      </c>
      <c r="E80" s="370">
        <v>18000</v>
      </c>
      <c r="F80" s="355"/>
      <c r="G80" s="387">
        <f>F80/E80</f>
        <v>0</v>
      </c>
    </row>
    <row r="81" spans="1:7" ht="15.5">
      <c r="A81" s="346">
        <v>75</v>
      </c>
      <c r="B81" s="347" t="s">
        <v>1752</v>
      </c>
      <c r="C81" s="348" t="str">
        <f t="shared" si="5"/>
        <v>Sehat 3</v>
      </c>
      <c r="D81" s="361" t="s">
        <v>1851</v>
      </c>
      <c r="E81" s="370">
        <v>18000</v>
      </c>
      <c r="F81" s="355"/>
      <c r="G81" s="387">
        <f>F81/E81</f>
        <v>0</v>
      </c>
    </row>
    <row r="82" spans="1:7" ht="15.5">
      <c r="A82" s="346">
        <v>76</v>
      </c>
      <c r="B82" s="347" t="s">
        <v>1753</v>
      </c>
      <c r="C82" s="348" t="str">
        <f t="shared" si="5"/>
        <v>Sehat 4</v>
      </c>
      <c r="D82" s="361" t="s">
        <v>1852</v>
      </c>
      <c r="E82" s="370">
        <v>18000</v>
      </c>
      <c r="F82" s="355"/>
      <c r="G82" s="387">
        <f>F82/E82</f>
        <v>0</v>
      </c>
    </row>
    <row r="83" spans="1:7" ht="15.5">
      <c r="A83" s="346"/>
      <c r="B83" s="347"/>
      <c r="C83" s="349"/>
      <c r="D83" s="361"/>
      <c r="E83" s="370"/>
      <c r="F83" s="357"/>
      <c r="G83" s="388"/>
    </row>
    <row r="84" spans="1:7" ht="15.5">
      <c r="A84" s="346"/>
      <c r="B84" s="347"/>
      <c r="C84" s="349"/>
      <c r="D84" s="361"/>
      <c r="E84" s="370"/>
      <c r="F84" s="357"/>
      <c r="G84" s="388"/>
    </row>
    <row r="85" spans="1:7" ht="15.5">
      <c r="A85" s="346"/>
      <c r="B85" s="347"/>
      <c r="C85" s="349"/>
      <c r="D85" s="361"/>
      <c r="E85" s="370"/>
      <c r="F85" s="357"/>
      <c r="G85" s="388"/>
    </row>
    <row r="86" spans="1:7" ht="15.5">
      <c r="A86" s="346"/>
      <c r="B86" s="347"/>
      <c r="C86" s="349"/>
      <c r="D86" s="361"/>
      <c r="E86" s="370"/>
      <c r="F86" s="357"/>
      <c r="G86" s="388"/>
    </row>
    <row r="87" spans="1:7" ht="15.5">
      <c r="A87" s="346"/>
      <c r="B87" s="347"/>
      <c r="C87" s="349"/>
      <c r="D87" s="361"/>
      <c r="E87" s="370"/>
      <c r="F87" s="357"/>
      <c r="G87" s="388"/>
    </row>
    <row r="88" spans="1:7" ht="15.5">
      <c r="A88" s="346"/>
      <c r="B88" s="347"/>
      <c r="C88" s="349"/>
      <c r="D88" s="361"/>
      <c r="E88" s="370"/>
      <c r="F88" s="357"/>
      <c r="G88" s="388"/>
    </row>
    <row r="89" spans="1:7" ht="15.5">
      <c r="A89" s="346"/>
      <c r="B89" s="347"/>
      <c r="C89" s="349"/>
      <c r="D89" s="361"/>
      <c r="E89" s="370"/>
      <c r="F89" s="357"/>
      <c r="G89" s="388"/>
    </row>
    <row r="90" spans="1:7" ht="15.5">
      <c r="A90" s="346"/>
      <c r="B90" s="347"/>
      <c r="C90" s="349"/>
      <c r="D90" s="361"/>
      <c r="E90" s="370"/>
      <c r="F90" s="357"/>
      <c r="G90" s="388"/>
    </row>
    <row r="91" spans="1:7" ht="15.5">
      <c r="A91" s="346"/>
      <c r="B91" s="347"/>
      <c r="C91" s="349"/>
      <c r="D91" s="361"/>
      <c r="E91" s="370"/>
      <c r="F91" s="357"/>
      <c r="G91" s="388"/>
    </row>
    <row r="92" spans="1:7" ht="15.5">
      <c r="A92" s="346"/>
      <c r="B92" s="347"/>
      <c r="C92" s="349"/>
      <c r="D92" s="361"/>
      <c r="E92" s="370"/>
      <c r="F92" s="357"/>
      <c r="G92" s="388"/>
    </row>
    <row r="93" spans="1:7" ht="15.5">
      <c r="A93" s="346"/>
      <c r="B93" s="347"/>
      <c r="C93" s="349"/>
      <c r="D93" s="361"/>
      <c r="E93" s="370"/>
      <c r="F93" s="357"/>
      <c r="G93" s="388"/>
    </row>
    <row r="94" spans="1:7" ht="15.5">
      <c r="A94" s="346"/>
      <c r="B94" s="347"/>
      <c r="C94" s="349"/>
      <c r="D94" s="361"/>
      <c r="E94" s="370"/>
      <c r="F94" s="357"/>
      <c r="G94" s="388"/>
    </row>
    <row r="95" spans="1:7" ht="15.5">
      <c r="A95" s="346"/>
      <c r="B95" s="347"/>
      <c r="C95" s="349"/>
      <c r="D95" s="361"/>
      <c r="E95" s="370"/>
      <c r="F95" s="357"/>
      <c r="G95" s="387" t="e">
        <f t="shared" ref="G95:G127" si="6">F95/E95</f>
        <v>#DIV/0!</v>
      </c>
    </row>
    <row r="96" spans="1:7" ht="18.5">
      <c r="A96" s="371" t="s">
        <v>92</v>
      </c>
      <c r="B96" s="372" t="s">
        <v>411</v>
      </c>
      <c r="C96" s="389" t="str">
        <f t="shared" si="5"/>
        <v>MINUMAN</v>
      </c>
      <c r="D96" s="361"/>
      <c r="E96" s="370"/>
      <c r="F96" s="357"/>
      <c r="G96" s="387" t="e">
        <f t="shared" si="6"/>
        <v>#DIV/0!</v>
      </c>
    </row>
    <row r="97" spans="1:7" ht="15.5">
      <c r="A97" s="346">
        <v>1</v>
      </c>
      <c r="B97" s="361" t="s">
        <v>1797</v>
      </c>
      <c r="C97" s="390" t="str">
        <f t="shared" si="5"/>
        <v>ES TEH</v>
      </c>
      <c r="D97" s="361"/>
      <c r="E97" s="370"/>
      <c r="F97" s="355"/>
      <c r="G97" s="387" t="e">
        <f t="shared" si="6"/>
        <v>#DIV/0!</v>
      </c>
    </row>
    <row r="98" spans="1:7" ht="15.5">
      <c r="A98" s="346">
        <v>2</v>
      </c>
      <c r="B98" s="361" t="s">
        <v>868</v>
      </c>
      <c r="C98" s="390" t="str">
        <f t="shared" si="5"/>
        <v>MILO</v>
      </c>
      <c r="D98" s="361"/>
      <c r="E98" s="370"/>
      <c r="F98" s="355"/>
      <c r="G98" s="387" t="e">
        <f t="shared" si="6"/>
        <v>#DIV/0!</v>
      </c>
    </row>
    <row r="99" spans="1:7" ht="15.5">
      <c r="A99" s="346">
        <v>3</v>
      </c>
      <c r="B99" s="361" t="s">
        <v>1798</v>
      </c>
      <c r="C99" s="390" t="str">
        <f t="shared" si="5"/>
        <v>LEMON TEA</v>
      </c>
      <c r="D99" s="361"/>
      <c r="E99" s="370"/>
      <c r="F99" s="355"/>
      <c r="G99" s="387" t="e">
        <f t="shared" si="6"/>
        <v>#DIV/0!</v>
      </c>
    </row>
    <row r="100" spans="1:7" ht="15.5">
      <c r="A100" s="346">
        <v>4</v>
      </c>
      <c r="B100" s="361" t="s">
        <v>907</v>
      </c>
      <c r="C100" s="390" t="str">
        <f t="shared" si="5"/>
        <v>NESTLE ORANGE</v>
      </c>
      <c r="D100" s="361"/>
      <c r="E100" s="370"/>
      <c r="F100" s="355"/>
      <c r="G100" s="387" t="e">
        <f t="shared" si="6"/>
        <v>#DIV/0!</v>
      </c>
    </row>
    <row r="101" spans="1:7" ht="15.5">
      <c r="A101" s="346">
        <v>5</v>
      </c>
      <c r="B101" s="361" t="s">
        <v>1799</v>
      </c>
      <c r="C101" s="390" t="str">
        <f t="shared" si="5"/>
        <v>AMB</v>
      </c>
      <c r="D101" s="361"/>
      <c r="E101" s="370"/>
      <c r="F101" s="355"/>
      <c r="G101" s="387" t="e">
        <f t="shared" si="6"/>
        <v>#DIV/0!</v>
      </c>
    </row>
    <row r="102" spans="1:7" ht="15.5">
      <c r="A102" s="346">
        <v>6</v>
      </c>
      <c r="B102" s="361" t="s">
        <v>1800</v>
      </c>
      <c r="C102" s="390" t="str">
        <f t="shared" si="5"/>
        <v>AMC</v>
      </c>
      <c r="D102" s="361"/>
      <c r="E102" s="370"/>
      <c r="F102" s="355"/>
      <c r="G102" s="387" t="e">
        <f t="shared" si="6"/>
        <v>#DIV/0!</v>
      </c>
    </row>
    <row r="103" spans="1:7" ht="15.5">
      <c r="A103" s="346">
        <v>7</v>
      </c>
      <c r="B103" s="361" t="s">
        <v>1801</v>
      </c>
      <c r="C103" s="390" t="str">
        <f t="shared" si="5"/>
        <v>MILKSHAKE COKLAT</v>
      </c>
      <c r="D103" s="361"/>
      <c r="E103" s="370"/>
      <c r="F103" s="355"/>
      <c r="G103" s="387" t="e">
        <f t="shared" si="6"/>
        <v>#DIV/0!</v>
      </c>
    </row>
    <row r="104" spans="1:7" ht="15.5">
      <c r="A104" s="346">
        <v>8</v>
      </c>
      <c r="B104" s="361" t="s">
        <v>1802</v>
      </c>
      <c r="C104" s="390" t="str">
        <f t="shared" si="5"/>
        <v>MILKSHAKE CAPUCINO</v>
      </c>
      <c r="D104" s="361"/>
      <c r="E104" s="370"/>
      <c r="F104" s="355"/>
      <c r="G104" s="387" t="e">
        <f t="shared" si="6"/>
        <v>#DIV/0!</v>
      </c>
    </row>
    <row r="105" spans="1:7" ht="15.5">
      <c r="A105" s="346">
        <v>9</v>
      </c>
      <c r="B105" s="361" t="s">
        <v>1803</v>
      </c>
      <c r="C105" s="390" t="str">
        <f t="shared" si="5"/>
        <v>MILKSHAKE MANGGA</v>
      </c>
      <c r="D105" s="361"/>
      <c r="E105" s="370"/>
      <c r="F105" s="355"/>
      <c r="G105" s="387" t="e">
        <f t="shared" si="6"/>
        <v>#DIV/0!</v>
      </c>
    </row>
    <row r="106" spans="1:7" ht="15.5">
      <c r="A106" s="346">
        <v>10</v>
      </c>
      <c r="B106" s="361" t="s">
        <v>1804</v>
      </c>
      <c r="C106" s="390" t="str">
        <f t="shared" si="5"/>
        <v>MILKSHAKE STRAWBERY</v>
      </c>
      <c r="D106" s="361"/>
      <c r="E106" s="370"/>
      <c r="F106" s="355"/>
      <c r="G106" s="387" t="e">
        <f t="shared" si="6"/>
        <v>#DIV/0!</v>
      </c>
    </row>
    <row r="107" spans="1:7" ht="15.5">
      <c r="A107" s="346">
        <v>11</v>
      </c>
      <c r="B107" s="361" t="s">
        <v>1805</v>
      </c>
      <c r="C107" s="390" t="str">
        <f t="shared" si="5"/>
        <v>MILKSHAKE COKLAT FLOAT</v>
      </c>
      <c r="D107" s="361"/>
      <c r="E107" s="370"/>
      <c r="F107" s="355"/>
      <c r="G107" s="387" t="e">
        <f t="shared" si="6"/>
        <v>#DIV/0!</v>
      </c>
    </row>
    <row r="108" spans="1:7" ht="15.5">
      <c r="A108" s="346">
        <v>12</v>
      </c>
      <c r="B108" s="361" t="s">
        <v>1806</v>
      </c>
      <c r="C108" s="390" t="str">
        <f t="shared" si="5"/>
        <v>MILKSHAKE CAPUCINO FLOAT</v>
      </c>
      <c r="D108" s="361"/>
      <c r="E108" s="370"/>
      <c r="F108" s="355"/>
      <c r="G108" s="387" t="e">
        <f t="shared" si="6"/>
        <v>#DIV/0!</v>
      </c>
    </row>
    <row r="109" spans="1:7" ht="15.5">
      <c r="A109" s="346">
        <v>13</v>
      </c>
      <c r="B109" s="361" t="s">
        <v>1807</v>
      </c>
      <c r="C109" s="390" t="str">
        <f t="shared" si="5"/>
        <v>MILKSHAKE MANGGA FLOAT</v>
      </c>
      <c r="D109" s="361"/>
      <c r="E109" s="370"/>
      <c r="F109" s="355"/>
      <c r="G109" s="387" t="e">
        <f t="shared" si="6"/>
        <v>#DIV/0!</v>
      </c>
    </row>
    <row r="110" spans="1:7" ht="15.5">
      <c r="A110" s="346">
        <v>14</v>
      </c>
      <c r="B110" s="361" t="s">
        <v>1808</v>
      </c>
      <c r="C110" s="390" t="str">
        <f t="shared" si="5"/>
        <v>MILKSHAKE STRAWBERY FLOAT</v>
      </c>
      <c r="D110" s="361"/>
      <c r="E110" s="370"/>
      <c r="F110" s="355"/>
      <c r="G110" s="387" t="e">
        <f t="shared" si="6"/>
        <v>#DIV/0!</v>
      </c>
    </row>
    <row r="111" spans="1:7" ht="15.5">
      <c r="A111" s="346">
        <v>15</v>
      </c>
      <c r="B111" s="361" t="s">
        <v>1809</v>
      </c>
      <c r="C111" s="390" t="str">
        <f t="shared" si="5"/>
        <v>TBS</v>
      </c>
      <c r="D111" s="361"/>
      <c r="E111" s="370"/>
      <c r="F111" s="355"/>
      <c r="G111" s="387" t="e">
        <f t="shared" si="6"/>
        <v>#DIV/0!</v>
      </c>
    </row>
    <row r="112" spans="1:7" ht="15.5">
      <c r="A112" s="346">
        <v>16</v>
      </c>
      <c r="B112" s="361" t="s">
        <v>1810</v>
      </c>
      <c r="C112" s="390" t="str">
        <f t="shared" si="5"/>
        <v>TEBS</v>
      </c>
      <c r="D112" s="361"/>
      <c r="E112" s="370"/>
      <c r="F112" s="355"/>
      <c r="G112" s="387" t="e">
        <f t="shared" si="6"/>
        <v>#DIV/0!</v>
      </c>
    </row>
    <row r="113" spans="1:7" ht="15.5">
      <c r="A113" s="346">
        <v>17</v>
      </c>
      <c r="B113" s="361" t="s">
        <v>1811</v>
      </c>
      <c r="C113" s="390" t="str">
        <f t="shared" si="5"/>
        <v>FRUITEA</v>
      </c>
      <c r="D113" s="361"/>
      <c r="E113" s="370"/>
      <c r="F113" s="355"/>
      <c r="G113" s="387" t="e">
        <f t="shared" si="6"/>
        <v>#DIV/0!</v>
      </c>
    </row>
    <row r="114" spans="1:7" ht="15.5">
      <c r="A114" s="346">
        <v>18</v>
      </c>
      <c r="B114" s="361" t="s">
        <v>1812</v>
      </c>
      <c r="C114" s="390" t="str">
        <f t="shared" si="5"/>
        <v>TBO/FTO</v>
      </c>
      <c r="D114" s="361"/>
      <c r="E114" s="370"/>
      <c r="F114" s="355"/>
      <c r="G114" s="387" t="e">
        <f t="shared" si="6"/>
        <v>#DIV/0!</v>
      </c>
    </row>
    <row r="115" spans="1:7" ht="15.5">
      <c r="A115" s="346">
        <v>19</v>
      </c>
      <c r="B115" s="361" t="s">
        <v>1813</v>
      </c>
      <c r="C115" s="390" t="str">
        <f t="shared" si="5"/>
        <v>TEH KOTAK</v>
      </c>
      <c r="D115" s="361"/>
      <c r="E115" s="370"/>
      <c r="F115" s="355"/>
      <c r="G115" s="387" t="e">
        <f t="shared" si="6"/>
        <v>#DIV/0!</v>
      </c>
    </row>
    <row r="116" spans="1:7" ht="15.5">
      <c r="A116" s="346">
        <v>20</v>
      </c>
      <c r="B116" s="361" t="s">
        <v>1814</v>
      </c>
      <c r="C116" s="390" t="str">
        <f t="shared" si="5"/>
        <v>STEE</v>
      </c>
      <c r="D116" s="361"/>
      <c r="E116" s="370"/>
      <c r="F116" s="355"/>
      <c r="G116" s="387" t="e">
        <f t="shared" si="6"/>
        <v>#DIV/0!</v>
      </c>
    </row>
    <row r="117" spans="1:7" ht="15.5">
      <c r="A117" s="346">
        <v>21</v>
      </c>
      <c r="B117" s="361" t="s">
        <v>1815</v>
      </c>
      <c r="C117" s="390" t="str">
        <f t="shared" si="5"/>
        <v>JUICE DURIAN</v>
      </c>
      <c r="D117" s="361"/>
      <c r="E117" s="370"/>
      <c r="F117" s="355"/>
      <c r="G117" s="387" t="e">
        <f t="shared" si="6"/>
        <v>#DIV/0!</v>
      </c>
    </row>
    <row r="118" spans="1:7" ht="15.5">
      <c r="A118" s="346">
        <v>22</v>
      </c>
      <c r="B118" s="361" t="s">
        <v>1816</v>
      </c>
      <c r="C118" s="390" t="str">
        <f t="shared" si="5"/>
        <v>JUICE DURIAN FLOAT</v>
      </c>
      <c r="D118" s="361"/>
      <c r="E118" s="370"/>
      <c r="F118" s="355"/>
      <c r="G118" s="387" t="e">
        <f t="shared" si="6"/>
        <v>#DIV/0!</v>
      </c>
    </row>
    <row r="119" spans="1:7" ht="15.5">
      <c r="A119" s="346">
        <v>23</v>
      </c>
      <c r="B119" s="361" t="s">
        <v>1817</v>
      </c>
      <c r="C119" s="390" t="str">
        <f t="shared" si="5"/>
        <v>JUICE  SIRSAK</v>
      </c>
      <c r="D119" s="361"/>
      <c r="E119" s="370"/>
      <c r="F119" s="355"/>
      <c r="G119" s="387" t="e">
        <f t="shared" si="6"/>
        <v>#DIV/0!</v>
      </c>
    </row>
    <row r="120" spans="1:7" ht="15.5">
      <c r="A120" s="346">
        <v>24</v>
      </c>
      <c r="B120" s="361" t="s">
        <v>1818</v>
      </c>
      <c r="C120" s="390" t="str">
        <f t="shared" si="5"/>
        <v>JUICE MELON</v>
      </c>
      <c r="D120" s="361"/>
      <c r="E120" s="370"/>
      <c r="F120" s="355"/>
      <c r="G120" s="387" t="e">
        <f t="shared" si="6"/>
        <v>#DIV/0!</v>
      </c>
    </row>
    <row r="121" spans="1:7" ht="15.5">
      <c r="A121" s="346">
        <v>25</v>
      </c>
      <c r="B121" s="361" t="s">
        <v>1819</v>
      </c>
      <c r="C121" s="390" t="str">
        <f t="shared" si="5"/>
        <v>JUICE STRAWBERRI</v>
      </c>
      <c r="D121" s="361"/>
      <c r="E121" s="370"/>
      <c r="F121" s="355"/>
      <c r="G121" s="387" t="e">
        <f t="shared" si="6"/>
        <v>#DIV/0!</v>
      </c>
    </row>
    <row r="122" spans="1:7" ht="15.5">
      <c r="A122" s="346">
        <v>26</v>
      </c>
      <c r="B122" s="361" t="s">
        <v>1820</v>
      </c>
      <c r="C122" s="390" t="str">
        <f t="shared" si="5"/>
        <v>JUICE MANGGA</v>
      </c>
      <c r="D122" s="361"/>
      <c r="E122" s="370"/>
      <c r="F122" s="355"/>
      <c r="G122" s="387" t="e">
        <f t="shared" si="6"/>
        <v>#DIV/0!</v>
      </c>
    </row>
    <row r="123" spans="1:7" ht="15.5">
      <c r="A123" s="346">
        <v>27</v>
      </c>
      <c r="B123" s="361" t="s">
        <v>1821</v>
      </c>
      <c r="C123" s="390" t="str">
        <f t="shared" si="5"/>
        <v>JUICE JAMBU</v>
      </c>
      <c r="D123" s="361"/>
      <c r="E123" s="370"/>
      <c r="F123" s="355"/>
      <c r="G123" s="387" t="e">
        <f t="shared" si="6"/>
        <v>#DIV/0!</v>
      </c>
    </row>
    <row r="124" spans="1:7" ht="15.5">
      <c r="A124" s="346">
        <v>28</v>
      </c>
      <c r="B124" s="361" t="s">
        <v>1822</v>
      </c>
      <c r="C124" s="390" t="str">
        <f t="shared" si="5"/>
        <v>ES CREAM</v>
      </c>
      <c r="D124" s="361"/>
      <c r="E124" s="370">
        <v>3000</v>
      </c>
      <c r="F124" s="355"/>
      <c r="G124" s="387">
        <f t="shared" si="6"/>
        <v>0</v>
      </c>
    </row>
    <row r="125" spans="1:7" ht="15.5">
      <c r="A125" s="346">
        <v>29</v>
      </c>
      <c r="B125" s="347"/>
      <c r="C125" s="347"/>
      <c r="D125" s="361"/>
      <c r="E125" s="370"/>
      <c r="F125" s="357"/>
      <c r="G125" s="387" t="e">
        <f t="shared" si="6"/>
        <v>#DIV/0!</v>
      </c>
    </row>
    <row r="126" spans="1:7" ht="15.5">
      <c r="A126" s="346">
        <v>30</v>
      </c>
      <c r="B126" s="347"/>
      <c r="C126" s="347"/>
      <c r="D126" s="361"/>
      <c r="E126" s="370"/>
      <c r="F126" s="357"/>
      <c r="G126" s="387" t="e">
        <f t="shared" si="6"/>
        <v>#DIV/0!</v>
      </c>
    </row>
    <row r="127" spans="1:7" ht="15.5">
      <c r="A127" s="346">
        <v>31</v>
      </c>
      <c r="B127" s="347"/>
      <c r="C127" s="347"/>
      <c r="D127" s="361"/>
      <c r="E127" s="370"/>
      <c r="F127" s="357"/>
      <c r="G127" s="387" t="e">
        <f t="shared" si="6"/>
        <v>#DIV/0!</v>
      </c>
    </row>
  </sheetData>
  <mergeCells count="1">
    <mergeCell ref="D2:D3"/>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FFC000"/>
  </sheetPr>
  <dimension ref="A2:O129"/>
  <sheetViews>
    <sheetView workbookViewId="0">
      <selection activeCell="G72" sqref="A1:K115"/>
    </sheetView>
  </sheetViews>
  <sheetFormatPr defaultColWidth="9.26953125" defaultRowHeight="12.5"/>
  <cols>
    <col min="1" max="1" width="9.26953125" style="339" customWidth="1"/>
    <col min="2" max="2" width="31.54296875" style="339" hidden="1" customWidth="1"/>
    <col min="3" max="3" width="31.54296875" style="339" customWidth="1"/>
    <col min="4" max="4" width="45.26953125" style="339" customWidth="1"/>
    <col min="5" max="16384" width="9.26953125" style="339"/>
  </cols>
  <sheetData>
    <row r="2" spans="1:7">
      <c r="D2" s="2619" t="s">
        <v>1853</v>
      </c>
    </row>
    <row r="3" spans="1:7">
      <c r="D3" s="2619"/>
    </row>
    <row r="6" spans="1:7" ht="18.5">
      <c r="A6" s="340"/>
      <c r="B6" s="341" t="s">
        <v>1104</v>
      </c>
      <c r="C6" s="342" t="str">
        <f>B6</f>
        <v>ITEM</v>
      </c>
      <c r="D6" s="343" t="s">
        <v>1765</v>
      </c>
      <c r="E6" s="344" t="s">
        <v>365</v>
      </c>
      <c r="F6" s="345" t="s">
        <v>989</v>
      </c>
      <c r="G6" s="341" t="s">
        <v>1154</v>
      </c>
    </row>
    <row r="7" spans="1:7" ht="15.5">
      <c r="A7" s="346">
        <v>1</v>
      </c>
      <c r="B7" s="347" t="s">
        <v>1282</v>
      </c>
      <c r="C7" s="348" t="str">
        <f>B7</f>
        <v>Dada</v>
      </c>
      <c r="D7" s="349"/>
      <c r="E7" s="350">
        <v>11500</v>
      </c>
      <c r="F7" s="351">
        <f>'HITUNGAN HPP PRODUK'!E17</f>
        <v>9182.8200102148094</v>
      </c>
      <c r="G7" s="352">
        <f t="shared" ref="G7:G12" si="0">F7/E7</f>
        <v>0.79850608784476595</v>
      </c>
    </row>
    <row r="8" spans="1:7" ht="15.5">
      <c r="A8" s="346">
        <v>2</v>
      </c>
      <c r="B8" s="347" t="s">
        <v>1283</v>
      </c>
      <c r="C8" s="348" t="str">
        <f t="shared" ref="C8:C71" si="1">B8</f>
        <v>Paha Atas</v>
      </c>
      <c r="D8" s="347"/>
      <c r="E8" s="353">
        <v>11500</v>
      </c>
      <c r="F8" s="354">
        <f>'HITUNGAN HPP PRODUK'!E30</f>
        <v>7746.7072025224998</v>
      </c>
      <c r="G8" s="352">
        <f t="shared" si="0"/>
        <v>0.67362671326282597</v>
      </c>
    </row>
    <row r="9" spans="1:7" ht="15.5">
      <c r="A9" s="346">
        <v>3</v>
      </c>
      <c r="B9" s="347" t="s">
        <v>1284</v>
      </c>
      <c r="C9" s="348" t="str">
        <f t="shared" si="1"/>
        <v>Paha Bawah</v>
      </c>
      <c r="D9" s="347"/>
      <c r="E9" s="353">
        <v>10000</v>
      </c>
      <c r="F9" s="355"/>
      <c r="G9" s="352">
        <f t="shared" si="0"/>
        <v>0</v>
      </c>
    </row>
    <row r="10" spans="1:7" ht="15.5">
      <c r="A10" s="346">
        <v>4</v>
      </c>
      <c r="B10" s="347" t="s">
        <v>1285</v>
      </c>
      <c r="C10" s="348" t="str">
        <f t="shared" si="1"/>
        <v>Sayap</v>
      </c>
      <c r="D10" s="347"/>
      <c r="E10" s="353">
        <v>9000</v>
      </c>
      <c r="F10" s="355"/>
      <c r="G10" s="352">
        <f t="shared" si="0"/>
        <v>0</v>
      </c>
    </row>
    <row r="11" spans="1:7" ht="15.5">
      <c r="A11" s="346">
        <v>5</v>
      </c>
      <c r="B11" s="347" t="s">
        <v>1726</v>
      </c>
      <c r="C11" s="348" t="str">
        <f t="shared" si="1"/>
        <v>Chicken Strip</v>
      </c>
      <c r="D11" s="347"/>
      <c r="E11" s="353">
        <v>10000</v>
      </c>
      <c r="F11" s="355"/>
      <c r="G11" s="352">
        <f t="shared" si="0"/>
        <v>0</v>
      </c>
    </row>
    <row r="12" spans="1:7" ht="15.5">
      <c r="A12" s="346">
        <v>6</v>
      </c>
      <c r="B12" s="347" t="s">
        <v>1287</v>
      </c>
      <c r="C12" s="348" t="str">
        <f t="shared" si="1"/>
        <v>Chicken Steak</v>
      </c>
      <c r="D12" s="347"/>
      <c r="E12" s="353">
        <v>12000</v>
      </c>
      <c r="F12" s="355"/>
      <c r="G12" s="352">
        <f t="shared" si="0"/>
        <v>0</v>
      </c>
    </row>
    <row r="13" spans="1:7" ht="15.5">
      <c r="A13" s="346">
        <v>7</v>
      </c>
      <c r="B13" s="347"/>
      <c r="C13" s="349"/>
      <c r="D13" s="347"/>
      <c r="E13" s="375"/>
      <c r="F13" s="357"/>
      <c r="G13" s="358"/>
    </row>
    <row r="14" spans="1:7" ht="15.5">
      <c r="A14" s="346">
        <v>8</v>
      </c>
      <c r="B14" s="347" t="s">
        <v>1727</v>
      </c>
      <c r="C14" s="348" t="str">
        <f t="shared" si="1"/>
        <v>French Fries</v>
      </c>
      <c r="D14" s="347"/>
      <c r="E14" s="376">
        <v>7000</v>
      </c>
      <c r="F14" s="355"/>
      <c r="G14" s="352">
        <f>F14/E14</f>
        <v>0</v>
      </c>
    </row>
    <row r="15" spans="1:7" ht="15.5">
      <c r="A15" s="346">
        <v>9</v>
      </c>
      <c r="B15" s="347" t="s">
        <v>1728</v>
      </c>
      <c r="C15" s="348" t="str">
        <f t="shared" si="1"/>
        <v>Nasi</v>
      </c>
      <c r="D15" s="347"/>
      <c r="E15" s="376">
        <v>3000</v>
      </c>
      <c r="F15" s="355"/>
      <c r="G15" s="352">
        <f>F15/E15</f>
        <v>0</v>
      </c>
    </row>
    <row r="16" spans="1:7" ht="15.5">
      <c r="A16" s="346">
        <v>10</v>
      </c>
      <c r="B16" s="347" t="s">
        <v>1729</v>
      </c>
      <c r="C16" s="348" t="str">
        <f t="shared" si="1"/>
        <v>Perkedel</v>
      </c>
      <c r="D16" s="347"/>
      <c r="E16" s="376">
        <v>3000</v>
      </c>
      <c r="F16" s="355"/>
      <c r="G16" s="352">
        <f>F16/E16</f>
        <v>0</v>
      </c>
    </row>
    <row r="17" spans="1:7" ht="15.5">
      <c r="A17" s="346">
        <v>11</v>
      </c>
      <c r="B17" s="347" t="s">
        <v>1291</v>
      </c>
      <c r="C17" s="348" t="str">
        <f t="shared" si="1"/>
        <v>Chicken Burger</v>
      </c>
      <c r="D17" s="347"/>
      <c r="E17" s="376">
        <v>13000</v>
      </c>
      <c r="F17" s="355"/>
      <c r="G17" s="352">
        <f>F17/E17</f>
        <v>0</v>
      </c>
    </row>
    <row r="18" spans="1:7" ht="15.5">
      <c r="A18" s="346">
        <v>12</v>
      </c>
      <c r="B18" s="347" t="s">
        <v>1730</v>
      </c>
      <c r="C18" s="348" t="str">
        <f t="shared" si="1"/>
        <v>Cheese Burger</v>
      </c>
      <c r="D18" s="347"/>
      <c r="E18" s="376">
        <v>15000</v>
      </c>
      <c r="F18" s="355"/>
      <c r="G18" s="352">
        <f>F18/E18</f>
        <v>0</v>
      </c>
    </row>
    <row r="19" spans="1:7" ht="15.5">
      <c r="A19" s="346">
        <v>13</v>
      </c>
      <c r="B19" s="347"/>
      <c r="C19" s="349"/>
      <c r="D19" s="347"/>
      <c r="E19" s="375"/>
      <c r="F19" s="357"/>
      <c r="G19" s="358"/>
    </row>
    <row r="20" spans="1:7" ht="15.5">
      <c r="A20" s="346">
        <v>14</v>
      </c>
      <c r="B20" s="347" t="s">
        <v>1731</v>
      </c>
      <c r="C20" s="348" t="str">
        <f t="shared" si="1"/>
        <v>Nasi Goreng</v>
      </c>
      <c r="D20" s="347"/>
      <c r="E20" s="375">
        <v>12000</v>
      </c>
      <c r="F20" s="355"/>
      <c r="G20" s="352">
        <f t="shared" ref="G20:G34" si="2">F20/E20</f>
        <v>0</v>
      </c>
    </row>
    <row r="21" spans="1:7" ht="15.5">
      <c r="A21" s="346">
        <v>15</v>
      </c>
      <c r="B21" s="347" t="s">
        <v>1825</v>
      </c>
      <c r="C21" s="348" t="str">
        <f t="shared" si="1"/>
        <v>Nasgor telor ceplok</v>
      </c>
      <c r="D21" s="347"/>
      <c r="E21" s="375"/>
      <c r="F21" s="360"/>
      <c r="G21" s="352" t="e">
        <f t="shared" si="2"/>
        <v>#DIV/0!</v>
      </c>
    </row>
    <row r="22" spans="1:7" ht="15.5">
      <c r="A22" s="346">
        <v>16</v>
      </c>
      <c r="B22" s="347"/>
      <c r="C22" s="349"/>
      <c r="D22" s="347"/>
      <c r="E22" s="375"/>
      <c r="F22" s="360"/>
      <c r="G22" s="352" t="e">
        <f t="shared" si="2"/>
        <v>#DIV/0!</v>
      </c>
    </row>
    <row r="23" spans="1:7" ht="15.5">
      <c r="A23" s="346">
        <v>17</v>
      </c>
      <c r="B23" s="347" t="s">
        <v>1295</v>
      </c>
      <c r="C23" s="348" t="str">
        <f t="shared" si="1"/>
        <v>Telur Ceplok</v>
      </c>
      <c r="D23" s="347"/>
      <c r="E23" s="375"/>
      <c r="F23" s="360"/>
      <c r="G23" s="352" t="e">
        <f t="shared" si="2"/>
        <v>#DIV/0!</v>
      </c>
    </row>
    <row r="24" spans="1:7" ht="15.5">
      <c r="A24" s="346">
        <v>18</v>
      </c>
      <c r="B24" s="347"/>
      <c r="C24" s="349"/>
      <c r="D24" s="347"/>
      <c r="E24" s="375"/>
      <c r="F24" s="360"/>
      <c r="G24" s="352" t="e">
        <f t="shared" si="2"/>
        <v>#DIV/0!</v>
      </c>
    </row>
    <row r="25" spans="1:7" ht="15.5">
      <c r="A25" s="346">
        <v>19</v>
      </c>
      <c r="B25" s="347" t="s">
        <v>1533</v>
      </c>
      <c r="C25" s="348" t="str">
        <f t="shared" si="1"/>
        <v>Paket Rocket 1</v>
      </c>
      <c r="D25" s="361" t="s">
        <v>1826</v>
      </c>
      <c r="E25" s="353">
        <v>9500</v>
      </c>
      <c r="F25" s="355">
        <f>'HITUNGAN HPP PRODUK'!K17</f>
        <v>7937.8367106196602</v>
      </c>
      <c r="G25" s="352">
        <f t="shared" si="2"/>
        <v>0.83556175901259599</v>
      </c>
    </row>
    <row r="26" spans="1:7" ht="15.5">
      <c r="A26" s="346">
        <v>20</v>
      </c>
      <c r="B26" s="347" t="s">
        <v>1307</v>
      </c>
      <c r="C26" s="348" t="str">
        <f t="shared" si="1"/>
        <v>Paket Rocket 2</v>
      </c>
      <c r="D26" s="361" t="s">
        <v>1827</v>
      </c>
      <c r="E26" s="353">
        <v>16000</v>
      </c>
      <c r="F26" s="355">
        <f>'HITUNGAN HPP PRODUK'!M17</f>
        <v>9978.2783412011304</v>
      </c>
      <c r="G26" s="352">
        <f t="shared" si="2"/>
        <v>0.62364239632507101</v>
      </c>
    </row>
    <row r="27" spans="1:7" ht="15.5">
      <c r="A27" s="346">
        <v>21</v>
      </c>
      <c r="B27" s="347" t="s">
        <v>1308</v>
      </c>
      <c r="C27" s="348" t="str">
        <f t="shared" si="1"/>
        <v>Paket Rocket 3</v>
      </c>
      <c r="D27" s="361" t="s">
        <v>1828</v>
      </c>
      <c r="E27" s="353">
        <v>15000</v>
      </c>
      <c r="F27" s="355"/>
      <c r="G27" s="352">
        <f t="shared" si="2"/>
        <v>0</v>
      </c>
    </row>
    <row r="28" spans="1:7" ht="15.5">
      <c r="A28" s="346">
        <v>22</v>
      </c>
      <c r="B28" s="347" t="s">
        <v>1309</v>
      </c>
      <c r="C28" s="348" t="str">
        <f t="shared" si="1"/>
        <v>Paket Rocket 4</v>
      </c>
      <c r="D28" s="361" t="s">
        <v>1829</v>
      </c>
      <c r="E28" s="353">
        <v>13500</v>
      </c>
      <c r="F28" s="355"/>
      <c r="G28" s="352">
        <f t="shared" si="2"/>
        <v>0</v>
      </c>
    </row>
    <row r="29" spans="1:7" ht="15.5">
      <c r="A29" s="346">
        <v>23</v>
      </c>
      <c r="B29" s="347" t="s">
        <v>1310</v>
      </c>
      <c r="C29" s="348" t="str">
        <f t="shared" si="1"/>
        <v>Paket Rocket 5</v>
      </c>
      <c r="D29" s="361" t="s">
        <v>1830</v>
      </c>
      <c r="E29" s="353">
        <v>16500</v>
      </c>
      <c r="F29" s="355"/>
      <c r="G29" s="352">
        <f t="shared" si="2"/>
        <v>0</v>
      </c>
    </row>
    <row r="30" spans="1:7" ht="15.5">
      <c r="A30" s="346">
        <v>24</v>
      </c>
      <c r="B30" s="347" t="s">
        <v>1311</v>
      </c>
      <c r="C30" s="348" t="str">
        <f t="shared" si="1"/>
        <v>Paket Rocket 6</v>
      </c>
      <c r="D30" s="361" t="s">
        <v>1831</v>
      </c>
      <c r="E30" s="353">
        <v>16500</v>
      </c>
      <c r="F30" s="355"/>
      <c r="G30" s="352">
        <f t="shared" si="2"/>
        <v>0</v>
      </c>
    </row>
    <row r="31" spans="1:7" ht="15.5">
      <c r="A31" s="346">
        <v>25</v>
      </c>
      <c r="B31" s="347" t="s">
        <v>1312</v>
      </c>
      <c r="C31" s="348" t="str">
        <f t="shared" si="1"/>
        <v>Paket Rocket 7</v>
      </c>
      <c r="D31" s="361" t="s">
        <v>1832</v>
      </c>
      <c r="E31" s="353">
        <v>16500</v>
      </c>
      <c r="F31" s="355"/>
      <c r="G31" s="352">
        <f t="shared" si="2"/>
        <v>0</v>
      </c>
    </row>
    <row r="32" spans="1:7" ht="15.5">
      <c r="A32" s="346">
        <v>26</v>
      </c>
      <c r="B32" s="347" t="s">
        <v>1313</v>
      </c>
      <c r="C32" s="348" t="str">
        <f t="shared" si="1"/>
        <v>Paket Rocket 8</v>
      </c>
      <c r="D32" s="361" t="s">
        <v>1833</v>
      </c>
      <c r="E32" s="353">
        <v>16000</v>
      </c>
      <c r="F32" s="355"/>
      <c r="G32" s="352">
        <f t="shared" si="2"/>
        <v>0</v>
      </c>
    </row>
    <row r="33" spans="1:7" ht="15.5">
      <c r="A33" s="346">
        <v>27</v>
      </c>
      <c r="B33" s="347" t="s">
        <v>1314</v>
      </c>
      <c r="C33" s="348" t="str">
        <f t="shared" si="1"/>
        <v>Paket Rocket 9</v>
      </c>
      <c r="D33" s="361" t="s">
        <v>1834</v>
      </c>
      <c r="E33" s="353">
        <v>17000</v>
      </c>
      <c r="F33" s="355"/>
      <c r="G33" s="352">
        <f t="shared" si="2"/>
        <v>0</v>
      </c>
    </row>
    <row r="34" spans="1:7" ht="15.5">
      <c r="A34" s="346">
        <v>28</v>
      </c>
      <c r="B34" s="347" t="s">
        <v>1315</v>
      </c>
      <c r="C34" s="348" t="str">
        <f t="shared" si="1"/>
        <v>Paket Rocket 10</v>
      </c>
      <c r="D34" s="361" t="s">
        <v>1835</v>
      </c>
      <c r="E34" s="353">
        <v>17500</v>
      </c>
      <c r="F34" s="355"/>
      <c r="G34" s="352">
        <f t="shared" si="2"/>
        <v>0</v>
      </c>
    </row>
    <row r="35" spans="1:7" ht="15.5">
      <c r="A35" s="346">
        <v>29</v>
      </c>
      <c r="B35" s="347"/>
      <c r="C35" s="349"/>
      <c r="D35" s="347"/>
      <c r="E35" s="375"/>
      <c r="F35" s="360"/>
      <c r="G35" s="358"/>
    </row>
    <row r="36" spans="1:7" ht="15.5">
      <c r="A36" s="346">
        <v>30</v>
      </c>
      <c r="B36" s="347" t="s">
        <v>1316</v>
      </c>
      <c r="C36" s="348" t="str">
        <f t="shared" si="1"/>
        <v>Paket Roma 1</v>
      </c>
      <c r="D36" s="361" t="s">
        <v>1780</v>
      </c>
      <c r="E36" s="353">
        <v>16500</v>
      </c>
      <c r="F36" s="355"/>
      <c r="G36" s="352">
        <f>F36/E36</f>
        <v>0</v>
      </c>
    </row>
    <row r="37" spans="1:7" ht="15.5">
      <c r="A37" s="346">
        <v>31</v>
      </c>
      <c r="B37" s="347" t="s">
        <v>1317</v>
      </c>
      <c r="C37" s="348" t="str">
        <f t="shared" si="1"/>
        <v>Paket Roma 2</v>
      </c>
      <c r="D37" s="361" t="s">
        <v>1781</v>
      </c>
      <c r="E37" s="353">
        <v>16500</v>
      </c>
      <c r="F37" s="355"/>
      <c r="G37" s="352">
        <f>F37/E37</f>
        <v>0</v>
      </c>
    </row>
    <row r="38" spans="1:7" ht="15.5">
      <c r="A38" s="346">
        <v>32</v>
      </c>
      <c r="B38" s="347" t="s">
        <v>1318</v>
      </c>
      <c r="C38" s="348" t="str">
        <f t="shared" si="1"/>
        <v>Paket Roma 3</v>
      </c>
      <c r="D38" s="361" t="s">
        <v>1782</v>
      </c>
      <c r="E38" s="353">
        <v>17000</v>
      </c>
      <c r="F38" s="355"/>
      <c r="G38" s="352">
        <f>F38/E38</f>
        <v>0</v>
      </c>
    </row>
    <row r="39" spans="1:7" ht="15.5">
      <c r="A39" s="346">
        <v>33</v>
      </c>
      <c r="B39" s="347" t="s">
        <v>1319</v>
      </c>
      <c r="C39" s="348" t="str">
        <f t="shared" si="1"/>
        <v>Paket Roma 4</v>
      </c>
      <c r="D39" s="361" t="s">
        <v>1783</v>
      </c>
      <c r="E39" s="353">
        <v>18000</v>
      </c>
      <c r="F39" s="355">
        <v>5699</v>
      </c>
      <c r="G39" s="352">
        <f>F39/E39</f>
        <v>0.31661111111111101</v>
      </c>
    </row>
    <row r="40" spans="1:7" ht="15.5">
      <c r="A40" s="346">
        <v>34</v>
      </c>
      <c r="B40" s="347" t="s">
        <v>1320</v>
      </c>
      <c r="C40" s="348" t="str">
        <f t="shared" si="1"/>
        <v>Paket Roma 5</v>
      </c>
      <c r="D40" s="361" t="s">
        <v>1836</v>
      </c>
      <c r="E40" s="353">
        <v>16000</v>
      </c>
      <c r="F40" s="355"/>
      <c r="G40" s="352">
        <f>F40/E40</f>
        <v>0</v>
      </c>
    </row>
    <row r="41" spans="1:7" ht="15.5">
      <c r="A41" s="346">
        <v>35</v>
      </c>
      <c r="B41" s="347"/>
      <c r="C41" s="349"/>
      <c r="D41" s="347"/>
      <c r="E41" s="375"/>
      <c r="F41" s="360"/>
      <c r="G41" s="358"/>
    </row>
    <row r="42" spans="1:7" ht="15.5">
      <c r="A42" s="346">
        <v>36</v>
      </c>
      <c r="B42" s="347" t="s">
        <v>1733</v>
      </c>
      <c r="C42" s="348" t="str">
        <f t="shared" si="1"/>
        <v>Paket geprek 1</v>
      </c>
      <c r="D42" s="361" t="s">
        <v>1837</v>
      </c>
      <c r="E42" s="377">
        <v>16000</v>
      </c>
      <c r="F42" s="355"/>
      <c r="G42" s="352">
        <f>F42/E42</f>
        <v>0</v>
      </c>
    </row>
    <row r="43" spans="1:7" ht="15.5">
      <c r="A43" s="346">
        <v>37</v>
      </c>
      <c r="B43" s="347" t="s">
        <v>1734</v>
      </c>
      <c r="C43" s="348" t="str">
        <f t="shared" si="1"/>
        <v>Paket geprek 2</v>
      </c>
      <c r="D43" s="361" t="s">
        <v>1838</v>
      </c>
      <c r="E43" s="377">
        <v>17000</v>
      </c>
      <c r="F43" s="355"/>
      <c r="G43" s="352">
        <f>F43/E43</f>
        <v>0</v>
      </c>
    </row>
    <row r="44" spans="1:7" ht="15.5">
      <c r="A44" s="346">
        <v>38</v>
      </c>
      <c r="B44" s="347" t="s">
        <v>1735</v>
      </c>
      <c r="C44" s="348" t="str">
        <f t="shared" si="1"/>
        <v>Paket geprek 3</v>
      </c>
      <c r="D44" s="361" t="s">
        <v>1839</v>
      </c>
      <c r="E44" s="377">
        <v>19000</v>
      </c>
      <c r="F44" s="355"/>
      <c r="G44" s="352">
        <f>F44/E44</f>
        <v>0</v>
      </c>
    </row>
    <row r="45" spans="1:7" ht="15.5">
      <c r="A45" s="346">
        <v>39</v>
      </c>
      <c r="B45" s="347"/>
      <c r="C45" s="349"/>
      <c r="D45" s="347"/>
      <c r="E45" s="353"/>
      <c r="F45" s="357"/>
      <c r="G45" s="358"/>
    </row>
    <row r="46" spans="1:7" ht="15.5">
      <c r="A46" s="346">
        <v>40</v>
      </c>
      <c r="B46" s="347" t="s">
        <v>1736</v>
      </c>
      <c r="C46" s="348" t="str">
        <f t="shared" si="1"/>
        <v>Dada geprek</v>
      </c>
      <c r="D46" s="347"/>
      <c r="E46" s="377">
        <v>14000</v>
      </c>
      <c r="F46" s="355"/>
      <c r="G46" s="352">
        <f>F46/E46</f>
        <v>0</v>
      </c>
    </row>
    <row r="47" spans="1:7" ht="15.5">
      <c r="A47" s="346">
        <v>41</v>
      </c>
      <c r="B47" s="347" t="s">
        <v>1737</v>
      </c>
      <c r="C47" s="348" t="str">
        <f t="shared" si="1"/>
        <v>P.atas geprek</v>
      </c>
      <c r="D47" s="347"/>
      <c r="E47" s="377">
        <v>14000</v>
      </c>
      <c r="F47" s="355"/>
      <c r="G47" s="352">
        <f>F47/E47</f>
        <v>0</v>
      </c>
    </row>
    <row r="48" spans="1:7" ht="16.5" customHeight="1">
      <c r="A48" s="346">
        <v>42</v>
      </c>
      <c r="B48" s="347" t="s">
        <v>1738</v>
      </c>
      <c r="C48" s="348" t="str">
        <f t="shared" si="1"/>
        <v>P.bawah geprek</v>
      </c>
      <c r="D48" s="347"/>
      <c r="E48" s="377">
        <v>13000</v>
      </c>
      <c r="F48" s="355"/>
      <c r="G48" s="352">
        <f>F48/E48</f>
        <v>0</v>
      </c>
    </row>
    <row r="49" spans="1:7" ht="16.5" customHeight="1">
      <c r="A49" s="346">
        <v>43</v>
      </c>
      <c r="B49" s="347" t="s">
        <v>1739</v>
      </c>
      <c r="C49" s="348" t="str">
        <f t="shared" si="1"/>
        <v>Sayap geprek</v>
      </c>
      <c r="D49" s="347"/>
      <c r="E49" s="377">
        <v>12000</v>
      </c>
      <c r="F49" s="363"/>
      <c r="G49" s="352">
        <f>F49/E49</f>
        <v>0</v>
      </c>
    </row>
    <row r="50" spans="1:7" ht="16.5" customHeight="1">
      <c r="A50" s="346">
        <v>44</v>
      </c>
      <c r="B50" s="347"/>
      <c r="C50" s="349"/>
      <c r="D50" s="347"/>
      <c r="E50" s="375"/>
      <c r="F50" s="360"/>
      <c r="G50" s="358"/>
    </row>
    <row r="51" spans="1:7" ht="16.5" customHeight="1">
      <c r="A51" s="346">
        <v>45</v>
      </c>
      <c r="B51" s="347" t="s">
        <v>1353</v>
      </c>
      <c r="C51" s="348" t="str">
        <f t="shared" si="1"/>
        <v>Paket Catering 1</v>
      </c>
      <c r="D51" s="347"/>
      <c r="E51" s="377"/>
      <c r="F51" s="355"/>
      <c r="G51" s="352" t="e">
        <f>F51/E51</f>
        <v>#DIV/0!</v>
      </c>
    </row>
    <row r="52" spans="1:7" ht="16.5" customHeight="1">
      <c r="A52" s="346">
        <v>46</v>
      </c>
      <c r="B52" s="347" t="s">
        <v>1354</v>
      </c>
      <c r="C52" s="348" t="str">
        <f t="shared" si="1"/>
        <v>Paket Catering 2</v>
      </c>
      <c r="D52" s="347"/>
      <c r="E52" s="377"/>
      <c r="F52" s="355"/>
      <c r="G52" s="352" t="e">
        <f>F52/E52</f>
        <v>#DIV/0!</v>
      </c>
    </row>
    <row r="53" spans="1:7" ht="16.5" customHeight="1">
      <c r="A53" s="346">
        <v>47</v>
      </c>
      <c r="B53" s="347" t="s">
        <v>1355</v>
      </c>
      <c r="C53" s="348" t="str">
        <f t="shared" si="1"/>
        <v>Paket Catering 3</v>
      </c>
      <c r="D53" s="347"/>
      <c r="E53" s="377"/>
      <c r="F53" s="355"/>
      <c r="G53" s="352" t="e">
        <f>F53/E53</f>
        <v>#DIV/0!</v>
      </c>
    </row>
    <row r="54" spans="1:7" ht="16.5" customHeight="1">
      <c r="A54" s="346">
        <v>48</v>
      </c>
      <c r="B54" s="347"/>
      <c r="C54" s="349"/>
      <c r="D54" s="347"/>
      <c r="E54" s="375"/>
      <c r="F54" s="360"/>
      <c r="G54" s="358"/>
    </row>
    <row r="55" spans="1:7" ht="16.5" customHeight="1">
      <c r="A55" s="346">
        <v>49</v>
      </c>
      <c r="B55" s="347" t="s">
        <v>1740</v>
      </c>
      <c r="C55" s="348" t="str">
        <f t="shared" si="1"/>
        <v>Paket geprek Matah 1</v>
      </c>
      <c r="D55" s="361" t="s">
        <v>1840</v>
      </c>
      <c r="E55" s="377">
        <v>17500</v>
      </c>
      <c r="F55" s="355"/>
      <c r="G55" s="352">
        <f>F55/E55</f>
        <v>0</v>
      </c>
    </row>
    <row r="56" spans="1:7" ht="16.5" customHeight="1">
      <c r="A56" s="346">
        <v>50</v>
      </c>
      <c r="B56" s="347" t="s">
        <v>1741</v>
      </c>
      <c r="C56" s="348" t="str">
        <f t="shared" si="1"/>
        <v>Paket geprek Matah 2</v>
      </c>
      <c r="D56" s="361" t="s">
        <v>1841</v>
      </c>
      <c r="E56" s="377">
        <v>18500</v>
      </c>
      <c r="F56" s="355"/>
      <c r="G56" s="352">
        <f>F56/E56</f>
        <v>0</v>
      </c>
    </row>
    <row r="57" spans="1:7" ht="16.5" customHeight="1">
      <c r="A57" s="346">
        <v>51</v>
      </c>
      <c r="B57" s="347" t="s">
        <v>1742</v>
      </c>
      <c r="C57" s="348" t="str">
        <f t="shared" si="1"/>
        <v>Paket geprek Matah  3</v>
      </c>
      <c r="D57" s="361" t="s">
        <v>1842</v>
      </c>
      <c r="E57" s="377">
        <v>20500</v>
      </c>
      <c r="F57" s="355"/>
      <c r="G57" s="352">
        <f>F57/E57</f>
        <v>0</v>
      </c>
    </row>
    <row r="58" spans="1:7" ht="16.5" customHeight="1">
      <c r="A58" s="346">
        <v>52</v>
      </c>
      <c r="B58" s="364"/>
      <c r="C58" s="349"/>
      <c r="D58" s="364"/>
      <c r="E58" s="353"/>
      <c r="F58" s="357"/>
      <c r="G58" s="358"/>
    </row>
    <row r="59" spans="1:7" ht="16.5" customHeight="1">
      <c r="A59" s="346">
        <v>53</v>
      </c>
      <c r="B59" s="365" t="s">
        <v>1544</v>
      </c>
      <c r="C59" s="348" t="str">
        <f t="shared" si="1"/>
        <v>Geprek Matah Sayap</v>
      </c>
      <c r="D59" s="366"/>
      <c r="E59" s="377">
        <v>12000</v>
      </c>
      <c r="F59" s="355"/>
      <c r="G59" s="352">
        <f>F59/E59</f>
        <v>0</v>
      </c>
    </row>
    <row r="60" spans="1:7" ht="16.5" customHeight="1">
      <c r="A60" s="346">
        <v>54</v>
      </c>
      <c r="B60" s="365" t="s">
        <v>1545</v>
      </c>
      <c r="C60" s="348" t="str">
        <f t="shared" si="1"/>
        <v>Geprek Matah Paha Bawah</v>
      </c>
      <c r="D60" s="366"/>
      <c r="E60" s="377">
        <v>13000</v>
      </c>
      <c r="F60" s="355"/>
      <c r="G60" s="352">
        <f>F60/E60</f>
        <v>0</v>
      </c>
    </row>
    <row r="61" spans="1:7" ht="16.5" customHeight="1">
      <c r="A61" s="346">
        <v>55</v>
      </c>
      <c r="B61" s="365" t="s">
        <v>1546</v>
      </c>
      <c r="C61" s="348" t="str">
        <f t="shared" si="1"/>
        <v>Geprek Matah Paha Atas / Dada</v>
      </c>
      <c r="D61" s="366"/>
      <c r="E61" s="377">
        <v>13500</v>
      </c>
      <c r="F61" s="355"/>
      <c r="G61" s="352">
        <f>F61/E61</f>
        <v>0</v>
      </c>
    </row>
    <row r="62" spans="1:7" ht="16.5" customHeight="1">
      <c r="A62" s="346">
        <v>56</v>
      </c>
      <c r="B62" s="367"/>
      <c r="C62" s="349"/>
      <c r="D62" s="367"/>
      <c r="E62" s="375"/>
      <c r="F62" s="360"/>
      <c r="G62" s="358"/>
    </row>
    <row r="63" spans="1:7" ht="15.5">
      <c r="A63" s="346">
        <v>57</v>
      </c>
      <c r="B63" s="368" t="s">
        <v>1548</v>
      </c>
      <c r="C63" s="348" t="str">
        <f t="shared" si="1"/>
        <v>Paket Geprek Terasi 1</v>
      </c>
      <c r="D63" s="361" t="s">
        <v>1843</v>
      </c>
      <c r="E63" s="377">
        <v>16000</v>
      </c>
      <c r="F63" s="355"/>
      <c r="G63" s="352">
        <f t="shared" ref="G63:G68" si="3">F63/E63</f>
        <v>0</v>
      </c>
    </row>
    <row r="64" spans="1:7" ht="15.5">
      <c r="A64" s="346">
        <v>58</v>
      </c>
      <c r="B64" s="368" t="s">
        <v>1549</v>
      </c>
      <c r="C64" s="348" t="str">
        <f t="shared" si="1"/>
        <v>Paket Geprek Terasi 2</v>
      </c>
      <c r="D64" s="361" t="s">
        <v>1844</v>
      </c>
      <c r="E64" s="377">
        <v>17000</v>
      </c>
      <c r="F64" s="355"/>
      <c r="G64" s="352">
        <f t="shared" si="3"/>
        <v>0</v>
      </c>
    </row>
    <row r="65" spans="1:7" ht="15.5">
      <c r="A65" s="346">
        <v>59</v>
      </c>
      <c r="B65" s="368" t="s">
        <v>1550</v>
      </c>
      <c r="C65" s="348" t="str">
        <f t="shared" si="1"/>
        <v>Paket Geprek Terasi 3</v>
      </c>
      <c r="D65" s="361" t="s">
        <v>1845</v>
      </c>
      <c r="E65" s="377">
        <v>19000</v>
      </c>
      <c r="F65" s="355"/>
      <c r="G65" s="352">
        <f t="shared" si="3"/>
        <v>0</v>
      </c>
    </row>
    <row r="66" spans="1:7" ht="15.5">
      <c r="A66" s="346">
        <v>60</v>
      </c>
      <c r="B66" s="368" t="s">
        <v>1551</v>
      </c>
      <c r="C66" s="348" t="str">
        <f t="shared" si="1"/>
        <v>Geprek Terasi Sayap</v>
      </c>
      <c r="D66" s="369"/>
      <c r="E66" s="377">
        <v>12000</v>
      </c>
      <c r="F66" s="355"/>
      <c r="G66" s="352">
        <f t="shared" si="3"/>
        <v>0</v>
      </c>
    </row>
    <row r="67" spans="1:7" ht="15.5">
      <c r="A67" s="346">
        <v>61</v>
      </c>
      <c r="B67" s="368" t="s">
        <v>1552</v>
      </c>
      <c r="C67" s="348" t="str">
        <f t="shared" si="1"/>
        <v>Geprek Terasi Paha Bawah</v>
      </c>
      <c r="D67" s="369"/>
      <c r="E67" s="377">
        <v>13000</v>
      </c>
      <c r="F67" s="355"/>
      <c r="G67" s="352">
        <f t="shared" si="3"/>
        <v>0</v>
      </c>
    </row>
    <row r="68" spans="1:7" ht="15.5">
      <c r="A68" s="346">
        <v>62</v>
      </c>
      <c r="B68" s="368" t="s">
        <v>1553</v>
      </c>
      <c r="C68" s="348" t="str">
        <f t="shared" si="1"/>
        <v>Geprek Terasi Paha Atas / Dada</v>
      </c>
      <c r="D68" s="369"/>
      <c r="E68" s="377">
        <v>14000</v>
      </c>
      <c r="F68" s="355"/>
      <c r="G68" s="352">
        <f t="shared" si="3"/>
        <v>0</v>
      </c>
    </row>
    <row r="69" spans="1:7" ht="15.5">
      <c r="A69" s="346">
        <v>63</v>
      </c>
      <c r="B69" s="367"/>
      <c r="C69" s="349"/>
      <c r="D69" s="367"/>
      <c r="E69" s="375"/>
      <c r="F69" s="360"/>
      <c r="G69" s="358"/>
    </row>
    <row r="70" spans="1:7" ht="15.5">
      <c r="A70" s="346">
        <v>64</v>
      </c>
      <c r="B70" s="367" t="s">
        <v>1743</v>
      </c>
      <c r="C70" s="348" t="str">
        <f t="shared" si="1"/>
        <v>Paket level 1</v>
      </c>
      <c r="D70" s="361" t="s">
        <v>1846</v>
      </c>
      <c r="E70" s="377">
        <v>16000</v>
      </c>
      <c r="F70" s="355"/>
      <c r="G70" s="352">
        <f>F70/E70</f>
        <v>0</v>
      </c>
    </row>
    <row r="71" spans="1:7" ht="15.5">
      <c r="A71" s="346">
        <v>65</v>
      </c>
      <c r="B71" s="367" t="s">
        <v>1744</v>
      </c>
      <c r="C71" s="348" t="str">
        <f t="shared" si="1"/>
        <v>Paket level 2</v>
      </c>
      <c r="D71" s="361" t="s">
        <v>1847</v>
      </c>
      <c r="E71" s="377">
        <v>17000</v>
      </c>
      <c r="F71" s="355"/>
      <c r="G71" s="352">
        <f>F71/E71</f>
        <v>0</v>
      </c>
    </row>
    <row r="72" spans="1:7" ht="15.5">
      <c r="A72" s="346">
        <v>66</v>
      </c>
      <c r="B72" s="367" t="s">
        <v>1745</v>
      </c>
      <c r="C72" s="348" t="str">
        <f t="shared" ref="C72:C82" si="4">B72</f>
        <v>Paket level 3</v>
      </c>
      <c r="D72" s="361" t="s">
        <v>1848</v>
      </c>
      <c r="E72" s="377">
        <v>18500</v>
      </c>
      <c r="F72" s="355"/>
      <c r="G72" s="352">
        <f>F72/E72</f>
        <v>0</v>
      </c>
    </row>
    <row r="73" spans="1:7" ht="15.5">
      <c r="A73" s="346">
        <v>67</v>
      </c>
      <c r="B73" s="367"/>
      <c r="C73" s="349"/>
      <c r="D73" s="367"/>
      <c r="E73" s="370"/>
      <c r="F73" s="360"/>
      <c r="G73" s="358"/>
    </row>
    <row r="74" spans="1:7" ht="15.5">
      <c r="A74" s="346">
        <v>68</v>
      </c>
      <c r="B74" s="367" t="s">
        <v>1746</v>
      </c>
      <c r="C74" s="348" t="str">
        <f t="shared" si="4"/>
        <v>Sayap level</v>
      </c>
      <c r="D74" s="367"/>
      <c r="E74" s="370">
        <v>11000</v>
      </c>
      <c r="F74" s="355"/>
      <c r="G74" s="352">
        <f>F74/E74</f>
        <v>0</v>
      </c>
    </row>
    <row r="75" spans="1:7" ht="15.5">
      <c r="A75" s="346">
        <v>69</v>
      </c>
      <c r="B75" s="367" t="s">
        <v>1747</v>
      </c>
      <c r="C75" s="348" t="str">
        <f t="shared" si="4"/>
        <v>P.bawah level</v>
      </c>
      <c r="D75" s="367"/>
      <c r="E75" s="370">
        <v>12000</v>
      </c>
      <c r="F75" s="355"/>
      <c r="G75" s="352">
        <f>F75/E75</f>
        <v>0</v>
      </c>
    </row>
    <row r="76" spans="1:7" ht="15.5">
      <c r="A76" s="346">
        <v>70</v>
      </c>
      <c r="B76" s="367" t="s">
        <v>1748</v>
      </c>
      <c r="C76" s="348" t="str">
        <f t="shared" si="4"/>
        <v>Dada level</v>
      </c>
      <c r="D76" s="367"/>
      <c r="E76" s="370">
        <v>13000</v>
      </c>
      <c r="F76" s="355"/>
      <c r="G76" s="352">
        <f>F76/E76</f>
        <v>0</v>
      </c>
    </row>
    <row r="77" spans="1:7" ht="15.5">
      <c r="A77" s="346">
        <v>71</v>
      </c>
      <c r="B77" s="367" t="s">
        <v>1749</v>
      </c>
      <c r="C77" s="348" t="str">
        <f t="shared" si="4"/>
        <v>P.atas Level</v>
      </c>
      <c r="D77" s="367"/>
      <c r="E77" s="375">
        <v>13000</v>
      </c>
      <c r="F77" s="355"/>
      <c r="G77" s="352">
        <f>F77/E77</f>
        <v>0</v>
      </c>
    </row>
    <row r="78" spans="1:7" ht="15.5">
      <c r="A78" s="346">
        <v>72</v>
      </c>
      <c r="B78" s="367"/>
      <c r="C78" s="349"/>
      <c r="D78" s="367"/>
      <c r="E78" s="375"/>
      <c r="F78" s="360"/>
      <c r="G78" s="358"/>
    </row>
    <row r="79" spans="1:7" ht="15.5">
      <c r="A79" s="346">
        <v>73</v>
      </c>
      <c r="B79" s="367" t="s">
        <v>1750</v>
      </c>
      <c r="C79" s="348" t="str">
        <f t="shared" si="4"/>
        <v>Sehat 1</v>
      </c>
      <c r="D79" s="361" t="s">
        <v>1849</v>
      </c>
      <c r="E79" s="370">
        <v>15000</v>
      </c>
      <c r="F79" s="355"/>
      <c r="G79" s="352">
        <f>F79/E79</f>
        <v>0</v>
      </c>
    </row>
    <row r="80" spans="1:7" ht="15.5">
      <c r="A80" s="346">
        <v>74</v>
      </c>
      <c r="B80" s="367" t="s">
        <v>1751</v>
      </c>
      <c r="C80" s="348" t="str">
        <f t="shared" si="4"/>
        <v>Sehat 2</v>
      </c>
      <c r="D80" s="361" t="s">
        <v>1850</v>
      </c>
      <c r="E80" s="370">
        <v>17000</v>
      </c>
      <c r="F80" s="355"/>
      <c r="G80" s="352">
        <f>F80/E80</f>
        <v>0</v>
      </c>
    </row>
    <row r="81" spans="1:15" ht="15.5">
      <c r="A81" s="346">
        <v>75</v>
      </c>
      <c r="B81" s="347" t="s">
        <v>1752</v>
      </c>
      <c r="C81" s="348" t="str">
        <f t="shared" si="4"/>
        <v>Sehat 3</v>
      </c>
      <c r="D81" s="361" t="s">
        <v>1851</v>
      </c>
      <c r="E81" s="370">
        <v>18000</v>
      </c>
      <c r="F81" s="355"/>
      <c r="G81" s="352">
        <f>F81/E81</f>
        <v>0</v>
      </c>
    </row>
    <row r="82" spans="1:15" ht="15.5">
      <c r="A82" s="346">
        <v>76</v>
      </c>
      <c r="B82" s="347" t="s">
        <v>1753</v>
      </c>
      <c r="C82" s="348" t="str">
        <f t="shared" si="4"/>
        <v>Sehat 4</v>
      </c>
      <c r="D82" s="361" t="s">
        <v>1852</v>
      </c>
      <c r="E82" s="370">
        <v>18000</v>
      </c>
      <c r="F82" s="355"/>
      <c r="G82" s="352">
        <f>F82/E82</f>
        <v>0</v>
      </c>
    </row>
    <row r="83" spans="1:15" ht="15.5">
      <c r="A83" s="346"/>
      <c r="B83" s="347"/>
      <c r="C83" s="347"/>
      <c r="D83" s="361"/>
      <c r="E83" s="370"/>
      <c r="F83" s="357"/>
      <c r="G83" s="358"/>
    </row>
    <row r="84" spans="1:15" ht="15.5">
      <c r="A84" s="346"/>
      <c r="B84" s="347"/>
      <c r="C84" s="347"/>
      <c r="D84" s="361"/>
      <c r="E84" s="370"/>
      <c r="F84" s="357"/>
      <c r="G84" s="358"/>
    </row>
    <row r="85" spans="1:15" ht="15.5">
      <c r="A85" s="346"/>
      <c r="B85" s="347"/>
      <c r="C85" s="347"/>
      <c r="D85" s="361"/>
      <c r="E85" s="370"/>
      <c r="F85" s="357"/>
      <c r="G85" s="358"/>
    </row>
    <row r="86" spans="1:15" ht="15.5">
      <c r="A86" s="346"/>
      <c r="B86" s="347"/>
      <c r="C86" s="347"/>
      <c r="D86" s="361"/>
      <c r="E86" s="370"/>
      <c r="F86" s="357"/>
      <c r="G86" s="358"/>
    </row>
    <row r="87" spans="1:15" ht="15.5">
      <c r="A87" s="346"/>
      <c r="B87" s="347"/>
      <c r="C87" s="347"/>
      <c r="D87" s="361"/>
      <c r="E87" s="370"/>
      <c r="F87" s="357"/>
      <c r="G87" s="358"/>
    </row>
    <row r="88" spans="1:15" ht="15.5">
      <c r="A88" s="346"/>
      <c r="B88" s="347"/>
      <c r="C88" s="347"/>
      <c r="D88" s="361"/>
      <c r="E88" s="370"/>
      <c r="F88" s="357"/>
      <c r="G88" s="358"/>
    </row>
    <row r="89" spans="1:15" ht="15.5">
      <c r="A89" s="346"/>
      <c r="B89" s="347"/>
      <c r="C89" s="347"/>
      <c r="D89" s="361"/>
      <c r="E89" s="370"/>
      <c r="F89" s="357"/>
      <c r="G89" s="358"/>
    </row>
    <row r="90" spans="1:15" ht="15.5">
      <c r="A90" s="346"/>
      <c r="B90" s="347"/>
      <c r="C90" s="347"/>
      <c r="D90" s="361"/>
      <c r="E90" s="370"/>
      <c r="F90" s="357"/>
      <c r="G90" s="358"/>
    </row>
    <row r="91" spans="1:15" ht="15.5">
      <c r="A91" s="346"/>
      <c r="B91" s="347"/>
      <c r="C91" s="347"/>
      <c r="D91" s="361"/>
      <c r="E91" s="370"/>
      <c r="F91" s="357"/>
      <c r="G91" s="358"/>
    </row>
    <row r="92" spans="1:15" ht="15.5">
      <c r="A92" s="346"/>
      <c r="B92" s="347"/>
      <c r="C92" s="347"/>
      <c r="D92" s="361"/>
      <c r="E92" s="370"/>
      <c r="F92" s="357"/>
      <c r="G92" s="358"/>
      <c r="O92" s="339" t="s">
        <v>61</v>
      </c>
    </row>
    <row r="93" spans="1:15" ht="15.5">
      <c r="A93" s="346"/>
      <c r="B93" s="347"/>
      <c r="C93" s="347"/>
      <c r="D93" s="361"/>
      <c r="E93" s="370"/>
      <c r="F93" s="357"/>
      <c r="G93" s="358"/>
    </row>
    <row r="94" spans="1:15" ht="15.5">
      <c r="A94" s="346"/>
      <c r="B94" s="347"/>
      <c r="C94" s="347"/>
      <c r="D94" s="361"/>
      <c r="E94" s="370"/>
      <c r="F94" s="357"/>
      <c r="G94" s="358"/>
    </row>
    <row r="95" spans="1:15" ht="15.5">
      <c r="A95" s="346"/>
      <c r="B95" s="347"/>
      <c r="C95" s="347"/>
      <c r="D95" s="361"/>
      <c r="E95" s="370"/>
      <c r="F95" s="357"/>
      <c r="G95" s="352"/>
    </row>
    <row r="96" spans="1:15" ht="18.5">
      <c r="A96" s="378" t="s">
        <v>92</v>
      </c>
      <c r="B96" s="379" t="s">
        <v>411</v>
      </c>
      <c r="C96" s="380" t="str">
        <f>B96</f>
        <v>MINUMAN</v>
      </c>
      <c r="D96" s="381"/>
      <c r="E96" s="382"/>
      <c r="F96" s="383"/>
      <c r="G96" s="384" t="e">
        <f t="shared" ref="G96:G127" si="5">F96/E96</f>
        <v>#DIV/0!</v>
      </c>
    </row>
    <row r="97" spans="1:7" ht="15.5">
      <c r="A97" s="346">
        <v>1</v>
      </c>
      <c r="B97" s="361" t="s">
        <v>1797</v>
      </c>
      <c r="C97" s="231" t="str">
        <f>B97</f>
        <v>ES TEH</v>
      </c>
      <c r="D97" s="361"/>
      <c r="E97" s="370"/>
      <c r="F97" s="355"/>
      <c r="G97" s="352" t="e">
        <f t="shared" si="5"/>
        <v>#DIV/0!</v>
      </c>
    </row>
    <row r="98" spans="1:7" ht="15.5">
      <c r="A98" s="346">
        <v>2</v>
      </c>
      <c r="B98" s="361" t="s">
        <v>868</v>
      </c>
      <c r="C98" s="231" t="str">
        <f t="shared" ref="C98:C124" si="6">B98</f>
        <v>MILO</v>
      </c>
      <c r="D98" s="361"/>
      <c r="E98" s="370"/>
      <c r="F98" s="355"/>
      <c r="G98" s="352" t="e">
        <f t="shared" si="5"/>
        <v>#DIV/0!</v>
      </c>
    </row>
    <row r="99" spans="1:7" ht="15.5">
      <c r="A99" s="346">
        <v>3</v>
      </c>
      <c r="B99" s="361" t="s">
        <v>1798</v>
      </c>
      <c r="C99" s="231" t="str">
        <f t="shared" si="6"/>
        <v>LEMON TEA</v>
      </c>
      <c r="D99" s="361"/>
      <c r="E99" s="370"/>
      <c r="F99" s="355"/>
      <c r="G99" s="352" t="e">
        <f t="shared" si="5"/>
        <v>#DIV/0!</v>
      </c>
    </row>
    <row r="100" spans="1:7" ht="15.5">
      <c r="A100" s="346">
        <v>4</v>
      </c>
      <c r="B100" s="361" t="s">
        <v>907</v>
      </c>
      <c r="C100" s="231" t="str">
        <f t="shared" si="6"/>
        <v>NESTLE ORANGE</v>
      </c>
      <c r="D100" s="361"/>
      <c r="E100" s="370"/>
      <c r="F100" s="355"/>
      <c r="G100" s="352" t="e">
        <f t="shared" si="5"/>
        <v>#DIV/0!</v>
      </c>
    </row>
    <row r="101" spans="1:7" ht="15.5">
      <c r="A101" s="346">
        <v>5</v>
      </c>
      <c r="B101" s="361" t="s">
        <v>1799</v>
      </c>
      <c r="C101" s="231" t="str">
        <f t="shared" si="6"/>
        <v>AMB</v>
      </c>
      <c r="D101" s="361"/>
      <c r="E101" s="370"/>
      <c r="F101" s="355"/>
      <c r="G101" s="352" t="e">
        <f t="shared" si="5"/>
        <v>#DIV/0!</v>
      </c>
    </row>
    <row r="102" spans="1:7" ht="15.5">
      <c r="A102" s="346">
        <v>6</v>
      </c>
      <c r="B102" s="361" t="s">
        <v>1800</v>
      </c>
      <c r="C102" s="231" t="str">
        <f t="shared" si="6"/>
        <v>AMC</v>
      </c>
      <c r="D102" s="361"/>
      <c r="E102" s="370"/>
      <c r="F102" s="355"/>
      <c r="G102" s="352" t="e">
        <f t="shared" si="5"/>
        <v>#DIV/0!</v>
      </c>
    </row>
    <row r="103" spans="1:7" ht="15.5">
      <c r="A103" s="346">
        <v>7</v>
      </c>
      <c r="B103" s="361" t="s">
        <v>1801</v>
      </c>
      <c r="C103" s="231" t="str">
        <f t="shared" si="6"/>
        <v>MILKSHAKE COKLAT</v>
      </c>
      <c r="D103" s="361"/>
      <c r="E103" s="370"/>
      <c r="F103" s="355"/>
      <c r="G103" s="352" t="e">
        <f t="shared" si="5"/>
        <v>#DIV/0!</v>
      </c>
    </row>
    <row r="104" spans="1:7" ht="15.5">
      <c r="A104" s="346">
        <v>8</v>
      </c>
      <c r="B104" s="361" t="s">
        <v>1802</v>
      </c>
      <c r="C104" s="231" t="str">
        <f t="shared" si="6"/>
        <v>MILKSHAKE CAPUCINO</v>
      </c>
      <c r="D104" s="361"/>
      <c r="E104" s="370"/>
      <c r="F104" s="355"/>
      <c r="G104" s="352" t="e">
        <f t="shared" si="5"/>
        <v>#DIV/0!</v>
      </c>
    </row>
    <row r="105" spans="1:7" ht="15.5">
      <c r="A105" s="346">
        <v>9</v>
      </c>
      <c r="B105" s="361" t="s">
        <v>1803</v>
      </c>
      <c r="C105" s="231" t="str">
        <f t="shared" si="6"/>
        <v>MILKSHAKE MANGGA</v>
      </c>
      <c r="D105" s="361"/>
      <c r="E105" s="370"/>
      <c r="F105" s="355"/>
      <c r="G105" s="352" t="e">
        <f t="shared" si="5"/>
        <v>#DIV/0!</v>
      </c>
    </row>
    <row r="106" spans="1:7" ht="15.5">
      <c r="A106" s="346">
        <v>10</v>
      </c>
      <c r="B106" s="361" t="s">
        <v>1804</v>
      </c>
      <c r="C106" s="231" t="str">
        <f t="shared" si="6"/>
        <v>MILKSHAKE STRAWBERY</v>
      </c>
      <c r="D106" s="361"/>
      <c r="E106" s="370"/>
      <c r="F106" s="355"/>
      <c r="G106" s="352" t="e">
        <f t="shared" si="5"/>
        <v>#DIV/0!</v>
      </c>
    </row>
    <row r="107" spans="1:7" ht="15.5">
      <c r="A107" s="346">
        <v>11</v>
      </c>
      <c r="B107" s="361" t="s">
        <v>1805</v>
      </c>
      <c r="C107" s="231" t="str">
        <f t="shared" si="6"/>
        <v>MILKSHAKE COKLAT FLOAT</v>
      </c>
      <c r="D107" s="361"/>
      <c r="E107" s="370"/>
      <c r="F107" s="355"/>
      <c r="G107" s="352" t="e">
        <f t="shared" si="5"/>
        <v>#DIV/0!</v>
      </c>
    </row>
    <row r="108" spans="1:7" ht="15.5">
      <c r="A108" s="346">
        <v>12</v>
      </c>
      <c r="B108" s="361" t="s">
        <v>1806</v>
      </c>
      <c r="C108" s="231" t="str">
        <f t="shared" si="6"/>
        <v>MILKSHAKE CAPUCINO FLOAT</v>
      </c>
      <c r="D108" s="361"/>
      <c r="E108" s="370"/>
      <c r="F108" s="355"/>
      <c r="G108" s="352" t="e">
        <f t="shared" si="5"/>
        <v>#DIV/0!</v>
      </c>
    </row>
    <row r="109" spans="1:7" ht="15.5">
      <c r="A109" s="346">
        <v>13</v>
      </c>
      <c r="B109" s="361" t="s">
        <v>1807</v>
      </c>
      <c r="C109" s="231" t="str">
        <f t="shared" si="6"/>
        <v>MILKSHAKE MANGGA FLOAT</v>
      </c>
      <c r="D109" s="361"/>
      <c r="E109" s="370"/>
      <c r="F109" s="355"/>
      <c r="G109" s="352" t="e">
        <f t="shared" si="5"/>
        <v>#DIV/0!</v>
      </c>
    </row>
    <row r="110" spans="1:7" ht="15.5">
      <c r="A110" s="346">
        <v>14</v>
      </c>
      <c r="B110" s="361" t="s">
        <v>1808</v>
      </c>
      <c r="C110" s="231" t="str">
        <f t="shared" si="6"/>
        <v>MILKSHAKE STRAWBERY FLOAT</v>
      </c>
      <c r="D110" s="361"/>
      <c r="E110" s="370"/>
      <c r="F110" s="355"/>
      <c r="G110" s="352" t="e">
        <f t="shared" si="5"/>
        <v>#DIV/0!</v>
      </c>
    </row>
    <row r="111" spans="1:7" ht="15.5">
      <c r="A111" s="346">
        <v>15</v>
      </c>
      <c r="B111" s="361" t="s">
        <v>1809</v>
      </c>
      <c r="C111" s="231" t="str">
        <f t="shared" si="6"/>
        <v>TBS</v>
      </c>
      <c r="D111" s="361"/>
      <c r="E111" s="370"/>
      <c r="F111" s="355"/>
      <c r="G111" s="352" t="e">
        <f t="shared" si="5"/>
        <v>#DIV/0!</v>
      </c>
    </row>
    <row r="112" spans="1:7" ht="15.5">
      <c r="A112" s="346">
        <v>16</v>
      </c>
      <c r="B112" s="361" t="s">
        <v>1810</v>
      </c>
      <c r="C112" s="231" t="str">
        <f t="shared" si="6"/>
        <v>TEBS</v>
      </c>
      <c r="D112" s="361"/>
      <c r="E112" s="370"/>
      <c r="F112" s="355"/>
      <c r="G112" s="352" t="e">
        <f t="shared" si="5"/>
        <v>#DIV/0!</v>
      </c>
    </row>
    <row r="113" spans="1:7" ht="15.5">
      <c r="A113" s="346">
        <v>17</v>
      </c>
      <c r="B113" s="361" t="s">
        <v>1811</v>
      </c>
      <c r="C113" s="231" t="str">
        <f t="shared" si="6"/>
        <v>FRUITEA</v>
      </c>
      <c r="D113" s="361"/>
      <c r="E113" s="370"/>
      <c r="F113" s="355"/>
      <c r="G113" s="352" t="e">
        <f t="shared" si="5"/>
        <v>#DIV/0!</v>
      </c>
    </row>
    <row r="114" spans="1:7" ht="15.5">
      <c r="A114" s="346">
        <v>18</v>
      </c>
      <c r="B114" s="361" t="s">
        <v>1812</v>
      </c>
      <c r="C114" s="231" t="str">
        <f t="shared" si="6"/>
        <v>TBO/FTO</v>
      </c>
      <c r="D114" s="361"/>
      <c r="E114" s="370"/>
      <c r="F114" s="355"/>
      <c r="G114" s="352" t="e">
        <f t="shared" si="5"/>
        <v>#DIV/0!</v>
      </c>
    </row>
    <row r="115" spans="1:7" ht="15.5">
      <c r="A115" s="346">
        <v>19</v>
      </c>
      <c r="B115" s="361" t="s">
        <v>1813</v>
      </c>
      <c r="C115" s="231" t="str">
        <f t="shared" si="6"/>
        <v>TEH KOTAK</v>
      </c>
      <c r="D115" s="361"/>
      <c r="E115" s="370"/>
      <c r="F115" s="355"/>
      <c r="G115" s="352" t="e">
        <f t="shared" si="5"/>
        <v>#DIV/0!</v>
      </c>
    </row>
    <row r="116" spans="1:7" ht="15.5">
      <c r="A116" s="346">
        <v>20</v>
      </c>
      <c r="B116" s="361" t="s">
        <v>1814</v>
      </c>
      <c r="C116" s="231" t="str">
        <f t="shared" si="6"/>
        <v>STEE</v>
      </c>
      <c r="D116" s="361"/>
      <c r="E116" s="370"/>
      <c r="F116" s="355"/>
      <c r="G116" s="352" t="e">
        <f t="shared" si="5"/>
        <v>#DIV/0!</v>
      </c>
    </row>
    <row r="117" spans="1:7" ht="15.5">
      <c r="A117" s="346">
        <v>21</v>
      </c>
      <c r="B117" s="361" t="s">
        <v>1815</v>
      </c>
      <c r="C117" s="231" t="str">
        <f t="shared" si="6"/>
        <v>JUICE DURIAN</v>
      </c>
      <c r="D117" s="361"/>
      <c r="E117" s="370"/>
      <c r="F117" s="355"/>
      <c r="G117" s="352" t="e">
        <f t="shared" si="5"/>
        <v>#DIV/0!</v>
      </c>
    </row>
    <row r="118" spans="1:7" ht="15.5">
      <c r="A118" s="346">
        <v>22</v>
      </c>
      <c r="B118" s="361" t="s">
        <v>1816</v>
      </c>
      <c r="C118" s="231" t="str">
        <f t="shared" si="6"/>
        <v>JUICE DURIAN FLOAT</v>
      </c>
      <c r="D118" s="361"/>
      <c r="E118" s="370"/>
      <c r="F118" s="355"/>
      <c r="G118" s="352" t="e">
        <f t="shared" si="5"/>
        <v>#DIV/0!</v>
      </c>
    </row>
    <row r="119" spans="1:7" ht="15.5">
      <c r="A119" s="346">
        <v>23</v>
      </c>
      <c r="B119" s="361" t="s">
        <v>1817</v>
      </c>
      <c r="C119" s="231" t="str">
        <f t="shared" si="6"/>
        <v>JUICE  SIRSAK</v>
      </c>
      <c r="D119" s="361"/>
      <c r="E119" s="370"/>
      <c r="F119" s="355"/>
      <c r="G119" s="352" t="e">
        <f t="shared" si="5"/>
        <v>#DIV/0!</v>
      </c>
    </row>
    <row r="120" spans="1:7" ht="15.5">
      <c r="A120" s="346">
        <v>24</v>
      </c>
      <c r="B120" s="361" t="s">
        <v>1818</v>
      </c>
      <c r="C120" s="231" t="str">
        <f t="shared" si="6"/>
        <v>JUICE MELON</v>
      </c>
      <c r="D120" s="361"/>
      <c r="E120" s="370"/>
      <c r="F120" s="355"/>
      <c r="G120" s="352" t="e">
        <f t="shared" si="5"/>
        <v>#DIV/0!</v>
      </c>
    </row>
    <row r="121" spans="1:7" ht="15.5">
      <c r="A121" s="346">
        <v>25</v>
      </c>
      <c r="B121" s="361" t="s">
        <v>1819</v>
      </c>
      <c r="C121" s="231" t="str">
        <f t="shared" si="6"/>
        <v>JUICE STRAWBERRI</v>
      </c>
      <c r="D121" s="361"/>
      <c r="E121" s="370"/>
      <c r="F121" s="355"/>
      <c r="G121" s="352" t="e">
        <f t="shared" si="5"/>
        <v>#DIV/0!</v>
      </c>
    </row>
    <row r="122" spans="1:7" ht="15.5">
      <c r="A122" s="346">
        <v>26</v>
      </c>
      <c r="B122" s="361" t="s">
        <v>1820</v>
      </c>
      <c r="C122" s="231" t="str">
        <f t="shared" si="6"/>
        <v>JUICE MANGGA</v>
      </c>
      <c r="D122" s="361"/>
      <c r="E122" s="370"/>
      <c r="F122" s="355"/>
      <c r="G122" s="352" t="e">
        <f t="shared" si="5"/>
        <v>#DIV/0!</v>
      </c>
    </row>
    <row r="123" spans="1:7" ht="15.5">
      <c r="A123" s="346">
        <v>27</v>
      </c>
      <c r="B123" s="361" t="s">
        <v>1821</v>
      </c>
      <c r="C123" s="231" t="str">
        <f t="shared" si="6"/>
        <v>JUICE JAMBU</v>
      </c>
      <c r="D123" s="361"/>
      <c r="E123" s="370"/>
      <c r="F123" s="355"/>
      <c r="G123" s="352" t="e">
        <f t="shared" si="5"/>
        <v>#DIV/0!</v>
      </c>
    </row>
    <row r="124" spans="1:7" ht="15.5">
      <c r="A124" s="346">
        <v>28</v>
      </c>
      <c r="B124" s="361" t="s">
        <v>1822</v>
      </c>
      <c r="C124" s="231" t="str">
        <f t="shared" si="6"/>
        <v>ES CREAM</v>
      </c>
      <c r="D124" s="361"/>
      <c r="E124" s="370">
        <v>3000</v>
      </c>
      <c r="F124" s="355"/>
      <c r="G124" s="352">
        <f t="shared" si="5"/>
        <v>0</v>
      </c>
    </row>
    <row r="125" spans="1:7" ht="15.5">
      <c r="A125" s="346">
        <v>29</v>
      </c>
      <c r="B125" s="347"/>
      <c r="C125" s="347"/>
      <c r="D125" s="361"/>
      <c r="E125" s="370"/>
      <c r="F125" s="357"/>
      <c r="G125" s="352" t="e">
        <f t="shared" si="5"/>
        <v>#DIV/0!</v>
      </c>
    </row>
    <row r="126" spans="1:7" ht="15.5">
      <c r="A126" s="346">
        <v>30</v>
      </c>
      <c r="B126" s="347"/>
      <c r="C126" s="347"/>
      <c r="D126" s="361"/>
      <c r="E126" s="370"/>
      <c r="F126" s="357"/>
      <c r="G126" s="352" t="e">
        <f t="shared" si="5"/>
        <v>#DIV/0!</v>
      </c>
    </row>
    <row r="127" spans="1:7" ht="15.5">
      <c r="A127" s="346">
        <v>31</v>
      </c>
      <c r="B127" s="347"/>
      <c r="C127" s="347"/>
      <c r="D127" s="361"/>
      <c r="E127" s="370"/>
      <c r="F127" s="357"/>
      <c r="G127" s="352" t="e">
        <f t="shared" si="5"/>
        <v>#DIV/0!</v>
      </c>
    </row>
    <row r="129" spans="2:4" ht="34.5" customHeight="1">
      <c r="B129" s="2620" t="s">
        <v>1517</v>
      </c>
      <c r="C129" s="2620"/>
      <c r="D129" s="2620"/>
    </row>
  </sheetData>
  <mergeCells count="2">
    <mergeCell ref="B129:D129"/>
    <mergeCell ref="D2:D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FFC000"/>
  </sheetPr>
  <dimension ref="A2:G126"/>
  <sheetViews>
    <sheetView workbookViewId="0">
      <selection activeCell="G72" sqref="A1:K115"/>
    </sheetView>
  </sheetViews>
  <sheetFormatPr defaultColWidth="9.26953125" defaultRowHeight="12.5"/>
  <cols>
    <col min="1" max="1" width="9.26953125" style="339" customWidth="1"/>
    <col min="2" max="2" width="31.54296875" style="339" hidden="1" customWidth="1"/>
    <col min="3" max="3" width="31.54296875" style="339" customWidth="1"/>
    <col min="4" max="4" width="41.1796875" style="339" customWidth="1"/>
    <col min="5" max="16384" width="9.26953125" style="339"/>
  </cols>
  <sheetData>
    <row r="2" spans="1:7">
      <c r="D2" s="2619" t="s">
        <v>1854</v>
      </c>
    </row>
    <row r="3" spans="1:7">
      <c r="D3" s="2619"/>
    </row>
    <row r="6" spans="1:7" ht="18.5">
      <c r="A6" s="340"/>
      <c r="B6" s="341" t="s">
        <v>1104</v>
      </c>
      <c r="C6" s="342" t="str">
        <f>B6</f>
        <v>ITEM</v>
      </c>
      <c r="D6" s="343" t="s">
        <v>1765</v>
      </c>
      <c r="E6" s="344" t="s">
        <v>365</v>
      </c>
      <c r="F6" s="345" t="s">
        <v>989</v>
      </c>
      <c r="G6" s="341" t="s">
        <v>1154</v>
      </c>
    </row>
    <row r="7" spans="1:7" ht="15.5">
      <c r="A7" s="346">
        <v>1</v>
      </c>
      <c r="B7" s="347" t="s">
        <v>1282</v>
      </c>
      <c r="C7" s="348" t="str">
        <f>B7</f>
        <v>Dada</v>
      </c>
      <c r="D7" s="349"/>
      <c r="E7" s="350">
        <v>10000</v>
      </c>
      <c r="F7" s="351">
        <f>'HITUNGAN HPP PRODUK'!E17</f>
        <v>9182.8200102148094</v>
      </c>
      <c r="G7" s="352">
        <f t="shared" ref="G7:G12" si="0">F7/E7</f>
        <v>0.91828200102148105</v>
      </c>
    </row>
    <row r="8" spans="1:7" ht="15.5">
      <c r="A8" s="346">
        <v>2</v>
      </c>
      <c r="B8" s="347" t="s">
        <v>1283</v>
      </c>
      <c r="C8" s="348" t="str">
        <f t="shared" ref="C8:C71" si="1">B8</f>
        <v>Paha Atas</v>
      </c>
      <c r="D8" s="347"/>
      <c r="E8" s="353">
        <v>10000</v>
      </c>
      <c r="F8" s="354">
        <f>'HITUNGAN HPP PRODUK'!E30</f>
        <v>7746.7072025224998</v>
      </c>
      <c r="G8" s="352">
        <f t="shared" si="0"/>
        <v>0.77467072025225003</v>
      </c>
    </row>
    <row r="9" spans="1:7" ht="15.5">
      <c r="A9" s="346">
        <v>3</v>
      </c>
      <c r="B9" s="347" t="s">
        <v>1284</v>
      </c>
      <c r="C9" s="348" t="str">
        <f t="shared" si="1"/>
        <v>Paha Bawah</v>
      </c>
      <c r="D9" s="347"/>
      <c r="E9" s="353">
        <v>8500</v>
      </c>
      <c r="F9" s="355"/>
      <c r="G9" s="352">
        <f t="shared" si="0"/>
        <v>0</v>
      </c>
    </row>
    <row r="10" spans="1:7" ht="15.5">
      <c r="A10" s="346">
        <v>4</v>
      </c>
      <c r="B10" s="347" t="s">
        <v>1285</v>
      </c>
      <c r="C10" s="348" t="str">
        <f t="shared" si="1"/>
        <v>Sayap</v>
      </c>
      <c r="D10" s="347"/>
      <c r="E10" s="353">
        <v>8000</v>
      </c>
      <c r="F10" s="355"/>
      <c r="G10" s="352">
        <f t="shared" si="0"/>
        <v>0</v>
      </c>
    </row>
    <row r="11" spans="1:7" ht="15.5">
      <c r="A11" s="346">
        <v>5</v>
      </c>
      <c r="B11" s="347" t="s">
        <v>1726</v>
      </c>
      <c r="C11" s="348" t="str">
        <f t="shared" si="1"/>
        <v>Chicken Strip</v>
      </c>
      <c r="D11" s="347"/>
      <c r="E11" s="353">
        <v>9000</v>
      </c>
      <c r="F11" s="355"/>
      <c r="G11" s="352">
        <f t="shared" si="0"/>
        <v>0</v>
      </c>
    </row>
    <row r="12" spans="1:7" ht="15.5">
      <c r="A12" s="346">
        <v>6</v>
      </c>
      <c r="B12" s="347" t="s">
        <v>1287</v>
      </c>
      <c r="C12" s="348" t="str">
        <f t="shared" si="1"/>
        <v>Chicken Steak</v>
      </c>
      <c r="D12" s="347"/>
      <c r="E12" s="353">
        <v>11500</v>
      </c>
      <c r="F12" s="355"/>
      <c r="G12" s="352">
        <f t="shared" si="0"/>
        <v>0</v>
      </c>
    </row>
    <row r="13" spans="1:7" ht="15.5">
      <c r="A13" s="346">
        <v>7</v>
      </c>
      <c r="B13" s="347"/>
      <c r="C13" s="349"/>
      <c r="D13" s="347"/>
      <c r="E13" s="356"/>
      <c r="F13" s="357"/>
      <c r="G13" s="358"/>
    </row>
    <row r="14" spans="1:7" ht="15.5">
      <c r="A14" s="346">
        <v>8</v>
      </c>
      <c r="B14" s="347" t="s">
        <v>1727</v>
      </c>
      <c r="C14" s="348" t="str">
        <f t="shared" si="1"/>
        <v>French Fries</v>
      </c>
      <c r="D14" s="347"/>
      <c r="E14" s="359">
        <v>6500</v>
      </c>
      <c r="F14" s="355"/>
      <c r="G14" s="352">
        <f>F14/E14</f>
        <v>0</v>
      </c>
    </row>
    <row r="15" spans="1:7" ht="15.5">
      <c r="A15" s="346">
        <v>9</v>
      </c>
      <c r="B15" s="347" t="s">
        <v>1728</v>
      </c>
      <c r="C15" s="348" t="str">
        <f t="shared" si="1"/>
        <v>Nasi</v>
      </c>
      <c r="D15" s="347"/>
      <c r="E15" s="359">
        <v>3000</v>
      </c>
      <c r="F15" s="355"/>
      <c r="G15" s="352">
        <f>F15/E15</f>
        <v>0</v>
      </c>
    </row>
    <row r="16" spans="1:7" ht="15.5">
      <c r="A16" s="346">
        <v>10</v>
      </c>
      <c r="B16" s="347" t="s">
        <v>1729</v>
      </c>
      <c r="C16" s="348" t="str">
        <f t="shared" si="1"/>
        <v>Perkedel</v>
      </c>
      <c r="D16" s="347"/>
      <c r="E16" s="359">
        <v>3000</v>
      </c>
      <c r="F16" s="355"/>
      <c r="G16" s="352">
        <f>F16/E16</f>
        <v>0</v>
      </c>
    </row>
    <row r="17" spans="1:7" ht="15.5">
      <c r="A17" s="346">
        <v>11</v>
      </c>
      <c r="B17" s="347" t="s">
        <v>1291</v>
      </c>
      <c r="C17" s="348" t="str">
        <f t="shared" si="1"/>
        <v>Chicken Burger</v>
      </c>
      <c r="D17" s="347"/>
      <c r="E17" s="359">
        <v>11000</v>
      </c>
      <c r="F17" s="355"/>
      <c r="G17" s="352">
        <f>F17/E17</f>
        <v>0</v>
      </c>
    </row>
    <row r="18" spans="1:7" ht="15.5">
      <c r="A18" s="346">
        <v>12</v>
      </c>
      <c r="B18" s="347" t="s">
        <v>1730</v>
      </c>
      <c r="C18" s="348" t="str">
        <f t="shared" si="1"/>
        <v>Cheese Burger</v>
      </c>
      <c r="D18" s="347"/>
      <c r="E18" s="359">
        <v>13000</v>
      </c>
      <c r="F18" s="355"/>
      <c r="G18" s="352">
        <f>F18/E18</f>
        <v>0</v>
      </c>
    </row>
    <row r="19" spans="1:7" ht="15.5">
      <c r="A19" s="346">
        <v>13</v>
      </c>
      <c r="B19" s="347"/>
      <c r="C19" s="349"/>
      <c r="D19" s="347"/>
      <c r="E19" s="356"/>
      <c r="F19" s="357"/>
      <c r="G19" s="358"/>
    </row>
    <row r="20" spans="1:7" ht="15.5">
      <c r="A20" s="346">
        <v>14</v>
      </c>
      <c r="B20" s="347" t="s">
        <v>1731</v>
      </c>
      <c r="C20" s="348" t="str">
        <f t="shared" si="1"/>
        <v>Nasi Goreng</v>
      </c>
      <c r="D20" s="347"/>
      <c r="E20" s="356"/>
      <c r="F20" s="355"/>
      <c r="G20" s="352" t="e">
        <f t="shared" ref="G20:G34" si="2">F20/E20</f>
        <v>#DIV/0!</v>
      </c>
    </row>
    <row r="21" spans="1:7" ht="15.5">
      <c r="A21" s="346">
        <v>15</v>
      </c>
      <c r="B21" s="347" t="s">
        <v>1825</v>
      </c>
      <c r="C21" s="348" t="str">
        <f t="shared" si="1"/>
        <v>Nasgor telor ceplok</v>
      </c>
      <c r="D21" s="347"/>
      <c r="E21" s="356"/>
      <c r="F21" s="360"/>
      <c r="G21" s="352" t="e">
        <f t="shared" si="2"/>
        <v>#DIV/0!</v>
      </c>
    </row>
    <row r="22" spans="1:7" ht="15.5">
      <c r="A22" s="346">
        <v>16</v>
      </c>
      <c r="B22" s="347"/>
      <c r="C22" s="349"/>
      <c r="D22" s="347"/>
      <c r="E22" s="356"/>
      <c r="F22" s="360"/>
      <c r="G22" s="352" t="e">
        <f t="shared" si="2"/>
        <v>#DIV/0!</v>
      </c>
    </row>
    <row r="23" spans="1:7" ht="15.5">
      <c r="A23" s="346">
        <v>17</v>
      </c>
      <c r="B23" s="347" t="s">
        <v>1295</v>
      </c>
      <c r="C23" s="348" t="str">
        <f t="shared" si="1"/>
        <v>Telur Ceplok</v>
      </c>
      <c r="D23" s="347"/>
      <c r="E23" s="356"/>
      <c r="F23" s="360"/>
      <c r="G23" s="352" t="e">
        <f t="shared" si="2"/>
        <v>#DIV/0!</v>
      </c>
    </row>
    <row r="24" spans="1:7" ht="15.5">
      <c r="A24" s="346">
        <v>18</v>
      </c>
      <c r="B24" s="347"/>
      <c r="C24" s="349"/>
      <c r="D24" s="347"/>
      <c r="E24" s="356"/>
      <c r="F24" s="360"/>
      <c r="G24" s="352" t="e">
        <f t="shared" si="2"/>
        <v>#DIV/0!</v>
      </c>
    </row>
    <row r="25" spans="1:7" ht="15.5">
      <c r="A25" s="346">
        <v>19</v>
      </c>
      <c r="B25" s="347" t="s">
        <v>1533</v>
      </c>
      <c r="C25" s="348" t="str">
        <f t="shared" si="1"/>
        <v>Paket Rocket 1</v>
      </c>
      <c r="D25" s="361" t="s">
        <v>1826</v>
      </c>
      <c r="E25" s="353">
        <v>9000</v>
      </c>
      <c r="F25" s="355">
        <f>'HITUNGAN HPP PRODUK'!K17</f>
        <v>7937.8367106196602</v>
      </c>
      <c r="G25" s="352">
        <f t="shared" si="2"/>
        <v>0.88198185673551799</v>
      </c>
    </row>
    <row r="26" spans="1:7" ht="15.5">
      <c r="A26" s="346">
        <v>20</v>
      </c>
      <c r="B26" s="347" t="s">
        <v>1307</v>
      </c>
      <c r="C26" s="348" t="str">
        <f t="shared" si="1"/>
        <v>Paket Rocket 2</v>
      </c>
      <c r="D26" s="361" t="s">
        <v>1827</v>
      </c>
      <c r="E26" s="353">
        <v>14000</v>
      </c>
      <c r="F26" s="355">
        <f>'HITUNGAN HPP PRODUK'!M17</f>
        <v>9978.2783412011304</v>
      </c>
      <c r="G26" s="352">
        <f t="shared" si="2"/>
        <v>0.71273416722865202</v>
      </c>
    </row>
    <row r="27" spans="1:7" ht="15.5">
      <c r="A27" s="346">
        <v>21</v>
      </c>
      <c r="B27" s="347" t="s">
        <v>1308</v>
      </c>
      <c r="C27" s="348" t="str">
        <f t="shared" si="1"/>
        <v>Paket Rocket 3</v>
      </c>
      <c r="D27" s="361" t="s">
        <v>1828</v>
      </c>
      <c r="E27" s="353">
        <v>13000</v>
      </c>
      <c r="F27" s="355"/>
      <c r="G27" s="352">
        <f t="shared" si="2"/>
        <v>0</v>
      </c>
    </row>
    <row r="28" spans="1:7" ht="15.5">
      <c r="A28" s="346">
        <v>22</v>
      </c>
      <c r="B28" s="347" t="s">
        <v>1309</v>
      </c>
      <c r="C28" s="348" t="str">
        <f t="shared" si="1"/>
        <v>Paket Rocket 4</v>
      </c>
      <c r="D28" s="361" t="s">
        <v>1829</v>
      </c>
      <c r="E28" s="353">
        <v>12000</v>
      </c>
      <c r="F28" s="355"/>
      <c r="G28" s="352">
        <f t="shared" si="2"/>
        <v>0</v>
      </c>
    </row>
    <row r="29" spans="1:7" ht="15.5">
      <c r="A29" s="346">
        <v>23</v>
      </c>
      <c r="B29" s="347" t="s">
        <v>1310</v>
      </c>
      <c r="C29" s="348" t="str">
        <f t="shared" si="1"/>
        <v>Paket Rocket 5</v>
      </c>
      <c r="D29" s="361" t="s">
        <v>1830</v>
      </c>
      <c r="E29" s="353">
        <v>15000</v>
      </c>
      <c r="F29" s="355"/>
      <c r="G29" s="352">
        <f t="shared" si="2"/>
        <v>0</v>
      </c>
    </row>
    <row r="30" spans="1:7" ht="15.5">
      <c r="A30" s="346">
        <v>24</v>
      </c>
      <c r="B30" s="347" t="s">
        <v>1311</v>
      </c>
      <c r="C30" s="348" t="str">
        <f t="shared" si="1"/>
        <v>Paket Rocket 6</v>
      </c>
      <c r="D30" s="361" t="s">
        <v>1831</v>
      </c>
      <c r="E30" s="353">
        <v>14000</v>
      </c>
      <c r="F30" s="355"/>
      <c r="G30" s="352">
        <f t="shared" si="2"/>
        <v>0</v>
      </c>
    </row>
    <row r="31" spans="1:7" ht="15.5">
      <c r="A31" s="346">
        <v>25</v>
      </c>
      <c r="B31" s="347" t="s">
        <v>1312</v>
      </c>
      <c r="C31" s="348" t="str">
        <f t="shared" si="1"/>
        <v>Paket Rocket 7</v>
      </c>
      <c r="D31" s="361" t="s">
        <v>1832</v>
      </c>
      <c r="E31" s="353">
        <v>14500</v>
      </c>
      <c r="F31" s="355"/>
      <c r="G31" s="352">
        <f t="shared" si="2"/>
        <v>0</v>
      </c>
    </row>
    <row r="32" spans="1:7" ht="15.5">
      <c r="A32" s="346">
        <v>26</v>
      </c>
      <c r="B32" s="347" t="s">
        <v>1313</v>
      </c>
      <c r="C32" s="348" t="str">
        <f t="shared" si="1"/>
        <v>Paket Rocket 8</v>
      </c>
      <c r="D32" s="361" t="s">
        <v>1833</v>
      </c>
      <c r="E32" s="353">
        <v>15000</v>
      </c>
      <c r="F32" s="355"/>
      <c r="G32" s="352">
        <f t="shared" si="2"/>
        <v>0</v>
      </c>
    </row>
    <row r="33" spans="1:7" ht="15.5">
      <c r="A33" s="346">
        <v>27</v>
      </c>
      <c r="B33" s="347" t="s">
        <v>1314</v>
      </c>
      <c r="C33" s="348" t="str">
        <f t="shared" si="1"/>
        <v>Paket Rocket 9</v>
      </c>
      <c r="D33" s="361" t="s">
        <v>1834</v>
      </c>
      <c r="E33" s="353">
        <v>14000</v>
      </c>
      <c r="F33" s="355"/>
      <c r="G33" s="352">
        <f t="shared" si="2"/>
        <v>0</v>
      </c>
    </row>
    <row r="34" spans="1:7" ht="15.5">
      <c r="A34" s="346">
        <v>28</v>
      </c>
      <c r="B34" s="347" t="s">
        <v>1315</v>
      </c>
      <c r="C34" s="348" t="str">
        <f t="shared" si="1"/>
        <v>Paket Rocket 10</v>
      </c>
      <c r="D34" s="361" t="s">
        <v>1835</v>
      </c>
      <c r="E34" s="353">
        <v>15500</v>
      </c>
      <c r="F34" s="355"/>
      <c r="G34" s="352">
        <f t="shared" si="2"/>
        <v>0</v>
      </c>
    </row>
    <row r="35" spans="1:7" ht="15.5">
      <c r="A35" s="346">
        <v>29</v>
      </c>
      <c r="B35" s="347"/>
      <c r="C35" s="349"/>
      <c r="D35" s="347"/>
      <c r="E35" s="356"/>
      <c r="F35" s="360"/>
      <c r="G35" s="358"/>
    </row>
    <row r="36" spans="1:7" ht="15.5">
      <c r="A36" s="346">
        <v>30</v>
      </c>
      <c r="B36" s="347" t="s">
        <v>1316</v>
      </c>
      <c r="C36" s="348" t="str">
        <f t="shared" si="1"/>
        <v>Paket Roma 1</v>
      </c>
      <c r="D36" s="361" t="s">
        <v>1780</v>
      </c>
      <c r="E36" s="353">
        <v>12500</v>
      </c>
      <c r="F36" s="355"/>
      <c r="G36" s="352">
        <f>F36/E36</f>
        <v>0</v>
      </c>
    </row>
    <row r="37" spans="1:7" ht="15.5">
      <c r="A37" s="346">
        <v>31</v>
      </c>
      <c r="B37" s="347" t="s">
        <v>1317</v>
      </c>
      <c r="C37" s="348" t="str">
        <f t="shared" si="1"/>
        <v>Paket Roma 2</v>
      </c>
      <c r="D37" s="361" t="s">
        <v>1781</v>
      </c>
      <c r="E37" s="353">
        <v>14000</v>
      </c>
      <c r="F37" s="355"/>
      <c r="G37" s="352">
        <f>F37/E37</f>
        <v>0</v>
      </c>
    </row>
    <row r="38" spans="1:7" ht="15.5">
      <c r="A38" s="346">
        <v>32</v>
      </c>
      <c r="B38" s="347" t="s">
        <v>1318</v>
      </c>
      <c r="C38" s="348" t="str">
        <f t="shared" si="1"/>
        <v>Paket Roma 3</v>
      </c>
      <c r="D38" s="361" t="s">
        <v>1782</v>
      </c>
      <c r="E38" s="353">
        <v>14500</v>
      </c>
      <c r="F38" s="355"/>
      <c r="G38" s="352">
        <f>F38/E38</f>
        <v>0</v>
      </c>
    </row>
    <row r="39" spans="1:7" ht="15.5">
      <c r="A39" s="346">
        <v>33</v>
      </c>
      <c r="B39" s="347" t="s">
        <v>1319</v>
      </c>
      <c r="C39" s="348" t="str">
        <f t="shared" si="1"/>
        <v>Paket Roma 4</v>
      </c>
      <c r="D39" s="361" t="s">
        <v>1783</v>
      </c>
      <c r="E39" s="353">
        <v>16000</v>
      </c>
      <c r="F39" s="355"/>
      <c r="G39" s="352">
        <f>F39/E39</f>
        <v>0</v>
      </c>
    </row>
    <row r="40" spans="1:7" ht="15.5">
      <c r="A40" s="346">
        <v>34</v>
      </c>
      <c r="B40" s="347" t="s">
        <v>1320</v>
      </c>
      <c r="C40" s="348" t="str">
        <f t="shared" si="1"/>
        <v>Paket Roma 5</v>
      </c>
      <c r="D40" s="361" t="s">
        <v>1836</v>
      </c>
      <c r="E40" s="353">
        <v>14500</v>
      </c>
      <c r="F40" s="355"/>
      <c r="G40" s="352">
        <f>F40/E40</f>
        <v>0</v>
      </c>
    </row>
    <row r="41" spans="1:7" ht="15.5">
      <c r="A41" s="346">
        <v>35</v>
      </c>
      <c r="B41" s="347"/>
      <c r="C41" s="349"/>
      <c r="D41" s="347"/>
      <c r="E41" s="356"/>
      <c r="F41" s="360"/>
      <c r="G41" s="358"/>
    </row>
    <row r="42" spans="1:7" ht="15.5">
      <c r="A42" s="346">
        <v>36</v>
      </c>
      <c r="B42" s="347" t="s">
        <v>1733</v>
      </c>
      <c r="C42" s="348" t="str">
        <f t="shared" si="1"/>
        <v>Paket geprek 1</v>
      </c>
      <c r="D42" s="361" t="s">
        <v>1837</v>
      </c>
      <c r="E42" s="362">
        <v>14500</v>
      </c>
      <c r="F42" s="355"/>
      <c r="G42" s="352">
        <f>F42/E42</f>
        <v>0</v>
      </c>
    </row>
    <row r="43" spans="1:7" ht="15.5">
      <c r="A43" s="346">
        <v>37</v>
      </c>
      <c r="B43" s="347" t="s">
        <v>1734</v>
      </c>
      <c r="C43" s="348" t="str">
        <f t="shared" si="1"/>
        <v>Paket geprek 2</v>
      </c>
      <c r="D43" s="361" t="s">
        <v>1838</v>
      </c>
      <c r="E43" s="353">
        <v>15500</v>
      </c>
      <c r="F43" s="355"/>
      <c r="G43" s="352">
        <f>F43/E43</f>
        <v>0</v>
      </c>
    </row>
    <row r="44" spans="1:7" ht="15.5">
      <c r="A44" s="346">
        <v>38</v>
      </c>
      <c r="B44" s="347" t="s">
        <v>1735</v>
      </c>
      <c r="C44" s="348" t="str">
        <f t="shared" si="1"/>
        <v>Paket geprek 3</v>
      </c>
      <c r="D44" s="361" t="s">
        <v>1839</v>
      </c>
      <c r="E44" s="353">
        <v>17500</v>
      </c>
      <c r="F44" s="355"/>
      <c r="G44" s="352">
        <f>F44/E44</f>
        <v>0</v>
      </c>
    </row>
    <row r="45" spans="1:7" ht="15.5">
      <c r="A45" s="346">
        <v>39</v>
      </c>
      <c r="B45" s="347"/>
      <c r="C45" s="349"/>
      <c r="D45" s="347"/>
      <c r="E45" s="353"/>
      <c r="F45" s="357"/>
      <c r="G45" s="358"/>
    </row>
    <row r="46" spans="1:7" ht="15.5">
      <c r="A46" s="346">
        <v>40</v>
      </c>
      <c r="B46" s="347" t="s">
        <v>1736</v>
      </c>
      <c r="C46" s="348" t="str">
        <f t="shared" si="1"/>
        <v>Dada geprek</v>
      </c>
      <c r="D46" s="347"/>
      <c r="E46" s="353"/>
      <c r="F46" s="355"/>
      <c r="G46" s="352" t="e">
        <f>F46/E46</f>
        <v>#DIV/0!</v>
      </c>
    </row>
    <row r="47" spans="1:7" ht="15.5">
      <c r="A47" s="346">
        <v>41</v>
      </c>
      <c r="B47" s="347" t="s">
        <v>1737</v>
      </c>
      <c r="C47" s="348" t="str">
        <f t="shared" si="1"/>
        <v>P.atas geprek</v>
      </c>
      <c r="D47" s="347"/>
      <c r="E47" s="353"/>
      <c r="F47" s="355"/>
      <c r="G47" s="352" t="e">
        <f>F47/E47</f>
        <v>#DIV/0!</v>
      </c>
    </row>
    <row r="48" spans="1:7" ht="16.5" customHeight="1">
      <c r="A48" s="346">
        <v>42</v>
      </c>
      <c r="B48" s="347" t="s">
        <v>1738</v>
      </c>
      <c r="C48" s="348" t="str">
        <f t="shared" si="1"/>
        <v>P.bawah geprek</v>
      </c>
      <c r="D48" s="347"/>
      <c r="E48" s="353"/>
      <c r="F48" s="355"/>
      <c r="G48" s="352" t="e">
        <f>F48/E48</f>
        <v>#DIV/0!</v>
      </c>
    </row>
    <row r="49" spans="1:7" ht="16.5" customHeight="1">
      <c r="A49" s="346">
        <v>43</v>
      </c>
      <c r="B49" s="347" t="s">
        <v>1739</v>
      </c>
      <c r="C49" s="348" t="str">
        <f t="shared" si="1"/>
        <v>Sayap geprek</v>
      </c>
      <c r="D49" s="347"/>
      <c r="E49" s="356"/>
      <c r="F49" s="363"/>
      <c r="G49" s="352" t="e">
        <f>F49/E49</f>
        <v>#DIV/0!</v>
      </c>
    </row>
    <row r="50" spans="1:7" ht="16.5" customHeight="1">
      <c r="A50" s="346">
        <v>44</v>
      </c>
      <c r="B50" s="347"/>
      <c r="C50" s="349"/>
      <c r="D50" s="347"/>
      <c r="E50" s="356"/>
      <c r="F50" s="360"/>
      <c r="G50" s="358"/>
    </row>
    <row r="51" spans="1:7" ht="16.5" customHeight="1">
      <c r="A51" s="346">
        <v>45</v>
      </c>
      <c r="B51" s="347" t="s">
        <v>1353</v>
      </c>
      <c r="C51" s="348" t="str">
        <f t="shared" si="1"/>
        <v>Paket Catering 1</v>
      </c>
      <c r="D51" s="347"/>
      <c r="E51" s="359">
        <v>8000</v>
      </c>
      <c r="F51" s="355"/>
      <c r="G51" s="352">
        <f>F51/E51</f>
        <v>0</v>
      </c>
    </row>
    <row r="52" spans="1:7" ht="16.5" customHeight="1">
      <c r="A52" s="346">
        <v>46</v>
      </c>
      <c r="B52" s="347" t="s">
        <v>1354</v>
      </c>
      <c r="C52" s="348" t="str">
        <f t="shared" si="1"/>
        <v>Paket Catering 2</v>
      </c>
      <c r="D52" s="347"/>
      <c r="E52" s="359">
        <v>10000</v>
      </c>
      <c r="F52" s="355"/>
      <c r="G52" s="352">
        <f>F52/E52</f>
        <v>0</v>
      </c>
    </row>
    <row r="53" spans="1:7" ht="16.5" customHeight="1">
      <c r="A53" s="346">
        <v>47</v>
      </c>
      <c r="B53" s="347" t="s">
        <v>1355</v>
      </c>
      <c r="C53" s="348" t="str">
        <f t="shared" si="1"/>
        <v>Paket Catering 3</v>
      </c>
      <c r="D53" s="347"/>
      <c r="E53" s="359">
        <v>12000</v>
      </c>
      <c r="F53" s="355"/>
      <c r="G53" s="352">
        <f>F53/E53</f>
        <v>0</v>
      </c>
    </row>
    <row r="54" spans="1:7" ht="16.5" customHeight="1">
      <c r="A54" s="346">
        <v>48</v>
      </c>
      <c r="B54" s="347"/>
      <c r="C54" s="349"/>
      <c r="D54" s="347"/>
      <c r="E54" s="356"/>
      <c r="F54" s="360"/>
      <c r="G54" s="358"/>
    </row>
    <row r="55" spans="1:7" ht="16.5" customHeight="1">
      <c r="A55" s="346">
        <v>49</v>
      </c>
      <c r="B55" s="347" t="s">
        <v>1740</v>
      </c>
      <c r="C55" s="348" t="str">
        <f t="shared" si="1"/>
        <v>Paket geprek Matah 1</v>
      </c>
      <c r="D55" s="361" t="s">
        <v>1840</v>
      </c>
      <c r="E55" s="353">
        <v>15500</v>
      </c>
      <c r="F55" s="355"/>
      <c r="G55" s="352">
        <f t="shared" ref="G55:G61" si="3">F55/E55</f>
        <v>0</v>
      </c>
    </row>
    <row r="56" spans="1:7" ht="16.5" customHeight="1">
      <c r="A56" s="346">
        <v>50</v>
      </c>
      <c r="B56" s="347" t="s">
        <v>1741</v>
      </c>
      <c r="C56" s="348" t="str">
        <f t="shared" si="1"/>
        <v>Paket geprek Matah 2</v>
      </c>
      <c r="D56" s="361" t="s">
        <v>1841</v>
      </c>
      <c r="E56" s="353">
        <v>16500</v>
      </c>
      <c r="F56" s="355"/>
      <c r="G56" s="352">
        <f t="shared" si="3"/>
        <v>0</v>
      </c>
    </row>
    <row r="57" spans="1:7" ht="16.5" customHeight="1">
      <c r="A57" s="346">
        <v>51</v>
      </c>
      <c r="B57" s="347" t="s">
        <v>1742</v>
      </c>
      <c r="C57" s="348" t="str">
        <f t="shared" si="1"/>
        <v>Paket geprek Matah  3</v>
      </c>
      <c r="D57" s="361" t="s">
        <v>1842</v>
      </c>
      <c r="E57" s="353">
        <v>18500</v>
      </c>
      <c r="F57" s="355"/>
      <c r="G57" s="352">
        <f t="shared" si="3"/>
        <v>0</v>
      </c>
    </row>
    <row r="58" spans="1:7" ht="16.5" customHeight="1">
      <c r="A58" s="346">
        <v>52</v>
      </c>
      <c r="B58" s="364"/>
      <c r="C58" s="349"/>
      <c r="D58" s="364"/>
      <c r="E58" s="353"/>
      <c r="F58" s="357"/>
      <c r="G58" s="358"/>
    </row>
    <row r="59" spans="1:7" ht="16.5" customHeight="1">
      <c r="A59" s="346">
        <v>53</v>
      </c>
      <c r="B59" s="365" t="s">
        <v>1544</v>
      </c>
      <c r="C59" s="348" t="str">
        <f t="shared" si="1"/>
        <v>Geprek Matah Sayap</v>
      </c>
      <c r="D59" s="366"/>
      <c r="E59" s="357">
        <v>11500</v>
      </c>
      <c r="F59" s="355"/>
      <c r="G59" s="352">
        <f t="shared" si="3"/>
        <v>0</v>
      </c>
    </row>
    <row r="60" spans="1:7" ht="16.5" customHeight="1">
      <c r="A60" s="346">
        <v>54</v>
      </c>
      <c r="B60" s="365" t="s">
        <v>1545</v>
      </c>
      <c r="C60" s="348" t="str">
        <f t="shared" si="1"/>
        <v>Geprek Matah Paha Bawah</v>
      </c>
      <c r="D60" s="366"/>
      <c r="E60" s="357">
        <v>12500</v>
      </c>
      <c r="F60" s="355"/>
      <c r="G60" s="352">
        <f t="shared" si="3"/>
        <v>0</v>
      </c>
    </row>
    <row r="61" spans="1:7" ht="16.5" customHeight="1">
      <c r="A61" s="346">
        <v>55</v>
      </c>
      <c r="B61" s="365" t="s">
        <v>1546</v>
      </c>
      <c r="C61" s="348" t="str">
        <f t="shared" si="1"/>
        <v>Geprek Matah Paha Atas / Dada</v>
      </c>
      <c r="D61" s="366"/>
      <c r="E61" s="357">
        <v>13000</v>
      </c>
      <c r="F61" s="355"/>
      <c r="G61" s="352">
        <f t="shared" si="3"/>
        <v>0</v>
      </c>
    </row>
    <row r="62" spans="1:7" ht="16.5" customHeight="1">
      <c r="A62" s="346">
        <v>56</v>
      </c>
      <c r="B62" s="367"/>
      <c r="C62" s="349"/>
      <c r="D62" s="367"/>
      <c r="E62" s="356"/>
      <c r="F62" s="360"/>
      <c r="G62" s="358"/>
    </row>
    <row r="63" spans="1:7" ht="15.5">
      <c r="A63" s="346">
        <v>57</v>
      </c>
      <c r="B63" s="368" t="s">
        <v>1548</v>
      </c>
      <c r="C63" s="348" t="str">
        <f t="shared" si="1"/>
        <v>Paket Geprek Terasi 1</v>
      </c>
      <c r="D63" s="361" t="s">
        <v>1843</v>
      </c>
      <c r="E63" s="357">
        <v>14500</v>
      </c>
      <c r="F63" s="355"/>
      <c r="G63" s="352">
        <f t="shared" ref="G63:G68" si="4">F63/E63</f>
        <v>0</v>
      </c>
    </row>
    <row r="64" spans="1:7" ht="15.5">
      <c r="A64" s="346">
        <v>58</v>
      </c>
      <c r="B64" s="368" t="s">
        <v>1549</v>
      </c>
      <c r="C64" s="348" t="str">
        <f t="shared" si="1"/>
        <v>Paket Geprek Terasi 2</v>
      </c>
      <c r="D64" s="361" t="s">
        <v>1844</v>
      </c>
      <c r="E64" s="357">
        <v>15500</v>
      </c>
      <c r="F64" s="355"/>
      <c r="G64" s="352">
        <f t="shared" si="4"/>
        <v>0</v>
      </c>
    </row>
    <row r="65" spans="1:7" ht="15.5">
      <c r="A65" s="346">
        <v>59</v>
      </c>
      <c r="B65" s="368" t="s">
        <v>1550</v>
      </c>
      <c r="C65" s="348" t="str">
        <f t="shared" si="1"/>
        <v>Paket Geprek Terasi 3</v>
      </c>
      <c r="D65" s="361" t="s">
        <v>1845</v>
      </c>
      <c r="E65" s="357">
        <v>17500</v>
      </c>
      <c r="F65" s="355"/>
      <c r="G65" s="352">
        <f t="shared" si="4"/>
        <v>0</v>
      </c>
    </row>
    <row r="66" spans="1:7" ht="15.5">
      <c r="A66" s="346">
        <v>60</v>
      </c>
      <c r="B66" s="368" t="s">
        <v>1551</v>
      </c>
      <c r="C66" s="348" t="str">
        <f t="shared" si="1"/>
        <v>Geprek Terasi Sayap</v>
      </c>
      <c r="D66" s="369"/>
      <c r="E66" s="357">
        <v>11500</v>
      </c>
      <c r="F66" s="355"/>
      <c r="G66" s="352">
        <f t="shared" si="4"/>
        <v>0</v>
      </c>
    </row>
    <row r="67" spans="1:7" ht="15.5">
      <c r="A67" s="346">
        <v>61</v>
      </c>
      <c r="B67" s="368" t="s">
        <v>1552</v>
      </c>
      <c r="C67" s="348" t="str">
        <f t="shared" si="1"/>
        <v>Geprek Terasi Paha Bawah</v>
      </c>
      <c r="D67" s="369"/>
      <c r="E67" s="357">
        <v>12500</v>
      </c>
      <c r="F67" s="355"/>
      <c r="G67" s="352">
        <f t="shared" si="4"/>
        <v>0</v>
      </c>
    </row>
    <row r="68" spans="1:7" ht="15.5">
      <c r="A68" s="346">
        <v>62</v>
      </c>
      <c r="B68" s="368" t="s">
        <v>1553</v>
      </c>
      <c r="C68" s="348" t="str">
        <f t="shared" si="1"/>
        <v>Geprek Terasi Paha Atas / Dada</v>
      </c>
      <c r="D68" s="369"/>
      <c r="E68" s="357">
        <v>13000</v>
      </c>
      <c r="F68" s="355"/>
      <c r="G68" s="352">
        <f t="shared" si="4"/>
        <v>0</v>
      </c>
    </row>
    <row r="69" spans="1:7" ht="15.5">
      <c r="A69" s="346">
        <v>63</v>
      </c>
      <c r="B69" s="367"/>
      <c r="C69" s="349"/>
      <c r="D69" s="367"/>
      <c r="E69" s="356"/>
      <c r="F69" s="360"/>
      <c r="G69" s="358"/>
    </row>
    <row r="70" spans="1:7" ht="15.5">
      <c r="A70" s="346">
        <v>64</v>
      </c>
      <c r="B70" s="367" t="s">
        <v>1743</v>
      </c>
      <c r="C70" s="348" t="str">
        <f t="shared" si="1"/>
        <v>Paket level 1</v>
      </c>
      <c r="D70" s="361" t="s">
        <v>1846</v>
      </c>
      <c r="E70" s="370">
        <v>13500</v>
      </c>
      <c r="F70" s="355"/>
      <c r="G70" s="352">
        <f>F70/E70</f>
        <v>0</v>
      </c>
    </row>
    <row r="71" spans="1:7" ht="15.5">
      <c r="A71" s="346">
        <v>65</v>
      </c>
      <c r="B71" s="367" t="s">
        <v>1744</v>
      </c>
      <c r="C71" s="348" t="str">
        <f t="shared" si="1"/>
        <v>Paket level 2</v>
      </c>
      <c r="D71" s="361" t="s">
        <v>1847</v>
      </c>
      <c r="E71" s="370">
        <v>14500</v>
      </c>
      <c r="F71" s="355"/>
      <c r="G71" s="352">
        <f>F71/E71</f>
        <v>0</v>
      </c>
    </row>
    <row r="72" spans="1:7" ht="15.5">
      <c r="A72" s="346">
        <v>66</v>
      </c>
      <c r="B72" s="367" t="s">
        <v>1745</v>
      </c>
      <c r="C72" s="348" t="str">
        <f t="shared" ref="C72:C123" si="5">B72</f>
        <v>Paket level 3</v>
      </c>
      <c r="D72" s="361" t="s">
        <v>1848</v>
      </c>
      <c r="E72" s="370">
        <v>16500</v>
      </c>
      <c r="F72" s="355"/>
      <c r="G72" s="352">
        <f>F72/E72</f>
        <v>0</v>
      </c>
    </row>
    <row r="73" spans="1:7" ht="15.5">
      <c r="A73" s="346">
        <v>67</v>
      </c>
      <c r="B73" s="367"/>
      <c r="C73" s="349"/>
      <c r="D73" s="367"/>
      <c r="E73" s="370"/>
      <c r="F73" s="360"/>
      <c r="G73" s="358"/>
    </row>
    <row r="74" spans="1:7" ht="15.5">
      <c r="A74" s="346">
        <v>68</v>
      </c>
      <c r="B74" s="367" t="s">
        <v>1746</v>
      </c>
      <c r="C74" s="348" t="str">
        <f t="shared" si="5"/>
        <v>Sayap level</v>
      </c>
      <c r="D74" s="367"/>
      <c r="E74" s="370">
        <v>9500</v>
      </c>
      <c r="F74" s="355"/>
      <c r="G74" s="352">
        <f>F74/E74</f>
        <v>0</v>
      </c>
    </row>
    <row r="75" spans="1:7" ht="15.5">
      <c r="A75" s="346">
        <v>69</v>
      </c>
      <c r="B75" s="367" t="s">
        <v>1747</v>
      </c>
      <c r="C75" s="348" t="str">
        <f t="shared" si="5"/>
        <v>P.bawah level</v>
      </c>
      <c r="D75" s="367"/>
      <c r="E75" s="370">
        <v>10500</v>
      </c>
      <c r="F75" s="355"/>
      <c r="G75" s="352">
        <f>F75/E75</f>
        <v>0</v>
      </c>
    </row>
    <row r="76" spans="1:7" ht="15.5">
      <c r="A76" s="346">
        <v>70</v>
      </c>
      <c r="B76" s="367" t="s">
        <v>1748</v>
      </c>
      <c r="C76" s="348" t="str">
        <f t="shared" si="5"/>
        <v>Dada level</v>
      </c>
      <c r="D76" s="367"/>
      <c r="E76" s="370">
        <v>12000</v>
      </c>
      <c r="F76" s="355"/>
      <c r="G76" s="352">
        <f>F76/E76</f>
        <v>0</v>
      </c>
    </row>
    <row r="77" spans="1:7" ht="15.5">
      <c r="A77" s="346">
        <v>71</v>
      </c>
      <c r="B77" s="367" t="s">
        <v>1749</v>
      </c>
      <c r="C77" s="348" t="str">
        <f t="shared" si="5"/>
        <v>P.atas Level</v>
      </c>
      <c r="D77" s="367"/>
      <c r="E77" s="356">
        <v>12000</v>
      </c>
      <c r="F77" s="355"/>
      <c r="G77" s="352">
        <f>F77/E77</f>
        <v>0</v>
      </c>
    </row>
    <row r="78" spans="1:7" ht="15.5">
      <c r="A78" s="346">
        <v>72</v>
      </c>
      <c r="B78" s="367"/>
      <c r="C78" s="349"/>
      <c r="D78" s="367"/>
      <c r="E78" s="356"/>
      <c r="F78" s="360"/>
      <c r="G78" s="358"/>
    </row>
    <row r="79" spans="1:7" ht="15.5">
      <c r="A79" s="346">
        <v>73</v>
      </c>
      <c r="B79" s="367" t="s">
        <v>1750</v>
      </c>
      <c r="C79" s="348" t="str">
        <f t="shared" si="5"/>
        <v>Sehat 1</v>
      </c>
      <c r="D79" s="361" t="s">
        <v>1849</v>
      </c>
      <c r="E79" s="370">
        <v>13000</v>
      </c>
      <c r="F79" s="355"/>
      <c r="G79" s="352">
        <f>F79/E79</f>
        <v>0</v>
      </c>
    </row>
    <row r="80" spans="1:7" ht="15.5">
      <c r="A80" s="346">
        <v>74</v>
      </c>
      <c r="B80" s="367" t="s">
        <v>1751</v>
      </c>
      <c r="C80" s="348" t="str">
        <f t="shared" si="5"/>
        <v>Sehat 2</v>
      </c>
      <c r="D80" s="361" t="s">
        <v>1850</v>
      </c>
      <c r="E80" s="370">
        <v>15000</v>
      </c>
      <c r="F80" s="355"/>
      <c r="G80" s="352">
        <f>F80/E80</f>
        <v>0</v>
      </c>
    </row>
    <row r="81" spans="1:7" ht="15.5">
      <c r="A81" s="346">
        <v>75</v>
      </c>
      <c r="B81" s="347" t="s">
        <v>1752</v>
      </c>
      <c r="C81" s="348" t="str">
        <f t="shared" si="5"/>
        <v>Sehat 3</v>
      </c>
      <c r="D81" s="361" t="s">
        <v>1851</v>
      </c>
      <c r="E81" s="370">
        <v>16000</v>
      </c>
      <c r="F81" s="355"/>
      <c r="G81" s="352">
        <f>F81/E81</f>
        <v>0</v>
      </c>
    </row>
    <row r="82" spans="1:7" ht="15.5">
      <c r="A82" s="346">
        <v>76</v>
      </c>
      <c r="B82" s="347" t="s">
        <v>1753</v>
      </c>
      <c r="C82" s="348" t="str">
        <f t="shared" si="5"/>
        <v>Sehat 4</v>
      </c>
      <c r="D82" s="361" t="s">
        <v>1852</v>
      </c>
      <c r="E82" s="370">
        <v>15000</v>
      </c>
      <c r="F82" s="355"/>
      <c r="G82" s="352">
        <f>F82/E82</f>
        <v>0</v>
      </c>
    </row>
    <row r="83" spans="1:7" ht="15.5">
      <c r="A83" s="346"/>
      <c r="B83" s="347"/>
      <c r="C83" s="349"/>
      <c r="D83" s="361"/>
      <c r="E83" s="370"/>
      <c r="F83" s="357"/>
      <c r="G83" s="358"/>
    </row>
    <row r="84" spans="1:7" ht="15.5">
      <c r="A84" s="346"/>
      <c r="B84" s="347"/>
      <c r="C84" s="349"/>
      <c r="D84" s="361"/>
      <c r="E84" s="370"/>
      <c r="F84" s="357"/>
      <c r="G84" s="358"/>
    </row>
    <row r="85" spans="1:7" ht="15.5">
      <c r="A85" s="346"/>
      <c r="B85" s="347"/>
      <c r="C85" s="349"/>
      <c r="D85" s="361"/>
      <c r="E85" s="370"/>
      <c r="F85" s="357"/>
      <c r="G85" s="358"/>
    </row>
    <row r="86" spans="1:7" ht="15.5">
      <c r="A86" s="346"/>
      <c r="B86" s="347"/>
      <c r="C86" s="349"/>
      <c r="D86" s="361"/>
      <c r="E86" s="370"/>
      <c r="F86" s="357"/>
      <c r="G86" s="358"/>
    </row>
    <row r="87" spans="1:7" ht="15.5">
      <c r="A87" s="346"/>
      <c r="B87" s="347"/>
      <c r="C87" s="349"/>
      <c r="D87" s="361"/>
      <c r="E87" s="370"/>
      <c r="F87" s="357"/>
      <c r="G87" s="358"/>
    </row>
    <row r="88" spans="1:7" ht="15.5">
      <c r="A88" s="346"/>
      <c r="B88" s="347"/>
      <c r="C88" s="349"/>
      <c r="D88" s="361"/>
      <c r="E88" s="370"/>
      <c r="F88" s="357"/>
      <c r="G88" s="358"/>
    </row>
    <row r="89" spans="1:7" ht="15.5">
      <c r="A89" s="346"/>
      <c r="B89" s="347"/>
      <c r="C89" s="349"/>
      <c r="D89" s="361"/>
      <c r="E89" s="370"/>
      <c r="F89" s="357"/>
      <c r="G89" s="358"/>
    </row>
    <row r="90" spans="1:7" ht="15.5">
      <c r="A90" s="346"/>
      <c r="B90" s="347"/>
      <c r="C90" s="349"/>
      <c r="D90" s="361"/>
      <c r="E90" s="370"/>
      <c r="F90" s="357"/>
      <c r="G90" s="358"/>
    </row>
    <row r="91" spans="1:7" ht="15.5">
      <c r="A91" s="346"/>
      <c r="B91" s="347"/>
      <c r="C91" s="349"/>
      <c r="D91" s="361"/>
      <c r="E91" s="370"/>
      <c r="F91" s="357"/>
      <c r="G91" s="358"/>
    </row>
    <row r="92" spans="1:7" ht="15.5">
      <c r="A92" s="346"/>
      <c r="B92" s="347"/>
      <c r="C92" s="349"/>
      <c r="D92" s="361"/>
      <c r="E92" s="370"/>
      <c r="F92" s="357"/>
      <c r="G92" s="358"/>
    </row>
    <row r="93" spans="1:7" ht="15.5">
      <c r="A93" s="346"/>
      <c r="B93" s="347"/>
      <c r="C93" s="349"/>
      <c r="D93" s="361"/>
      <c r="E93" s="370"/>
      <c r="F93" s="357"/>
      <c r="G93" s="358"/>
    </row>
    <row r="94" spans="1:7" ht="15.5">
      <c r="A94" s="346"/>
      <c r="B94" s="347"/>
      <c r="C94" s="349"/>
      <c r="D94" s="361"/>
      <c r="E94" s="370"/>
      <c r="F94" s="357"/>
      <c r="G94" s="352" t="e">
        <f t="shared" ref="G94:G126" si="6">F94/E94</f>
        <v>#DIV/0!</v>
      </c>
    </row>
    <row r="95" spans="1:7" ht="18.5">
      <c r="A95" s="371" t="s">
        <v>92</v>
      </c>
      <c r="B95" s="372" t="s">
        <v>411</v>
      </c>
      <c r="C95" s="373" t="str">
        <f t="shared" si="5"/>
        <v>MINUMAN</v>
      </c>
      <c r="D95" s="361"/>
      <c r="E95" s="370"/>
      <c r="F95" s="357"/>
      <c r="G95" s="352" t="e">
        <f t="shared" si="6"/>
        <v>#DIV/0!</v>
      </c>
    </row>
    <row r="96" spans="1:7" ht="15.5">
      <c r="A96" s="346">
        <v>1</v>
      </c>
      <c r="B96" s="361" t="s">
        <v>1797</v>
      </c>
      <c r="C96" s="374" t="str">
        <f t="shared" si="5"/>
        <v>ES TEH</v>
      </c>
      <c r="D96" s="361"/>
      <c r="E96" s="370"/>
      <c r="F96" s="355"/>
      <c r="G96" s="352" t="e">
        <f t="shared" si="6"/>
        <v>#DIV/0!</v>
      </c>
    </row>
    <row r="97" spans="1:7" ht="15.5">
      <c r="A97" s="346">
        <v>2</v>
      </c>
      <c r="B97" s="361" t="s">
        <v>868</v>
      </c>
      <c r="C97" s="374" t="str">
        <f t="shared" si="5"/>
        <v>MILO</v>
      </c>
      <c r="D97" s="361"/>
      <c r="E97" s="370"/>
      <c r="F97" s="355"/>
      <c r="G97" s="352" t="e">
        <f t="shared" si="6"/>
        <v>#DIV/0!</v>
      </c>
    </row>
    <row r="98" spans="1:7" ht="15.5">
      <c r="A98" s="346">
        <v>3</v>
      </c>
      <c r="B98" s="361" t="s">
        <v>1798</v>
      </c>
      <c r="C98" s="374" t="str">
        <f t="shared" si="5"/>
        <v>LEMON TEA</v>
      </c>
      <c r="D98" s="361"/>
      <c r="E98" s="370"/>
      <c r="F98" s="355"/>
      <c r="G98" s="352" t="e">
        <f t="shared" si="6"/>
        <v>#DIV/0!</v>
      </c>
    </row>
    <row r="99" spans="1:7" ht="15.5">
      <c r="A99" s="346">
        <v>4</v>
      </c>
      <c r="B99" s="361" t="s">
        <v>907</v>
      </c>
      <c r="C99" s="374" t="str">
        <f t="shared" si="5"/>
        <v>NESTLE ORANGE</v>
      </c>
      <c r="D99" s="361"/>
      <c r="E99" s="370"/>
      <c r="F99" s="355"/>
      <c r="G99" s="352" t="e">
        <f t="shared" si="6"/>
        <v>#DIV/0!</v>
      </c>
    </row>
    <row r="100" spans="1:7" ht="15.5">
      <c r="A100" s="346">
        <v>5</v>
      </c>
      <c r="B100" s="361" t="s">
        <v>1799</v>
      </c>
      <c r="C100" s="374" t="str">
        <f t="shared" si="5"/>
        <v>AMB</v>
      </c>
      <c r="D100" s="361"/>
      <c r="E100" s="370"/>
      <c r="F100" s="355"/>
      <c r="G100" s="352" t="e">
        <f t="shared" si="6"/>
        <v>#DIV/0!</v>
      </c>
    </row>
    <row r="101" spans="1:7" ht="15.5">
      <c r="A101" s="346">
        <v>6</v>
      </c>
      <c r="B101" s="361" t="s">
        <v>1800</v>
      </c>
      <c r="C101" s="374" t="str">
        <f t="shared" si="5"/>
        <v>AMC</v>
      </c>
      <c r="D101" s="361"/>
      <c r="E101" s="370"/>
      <c r="F101" s="355"/>
      <c r="G101" s="352" t="e">
        <f t="shared" si="6"/>
        <v>#DIV/0!</v>
      </c>
    </row>
    <row r="102" spans="1:7" ht="15.5">
      <c r="A102" s="346">
        <v>7</v>
      </c>
      <c r="B102" s="361" t="s">
        <v>1801</v>
      </c>
      <c r="C102" s="374" t="str">
        <f t="shared" si="5"/>
        <v>MILKSHAKE COKLAT</v>
      </c>
      <c r="D102" s="361"/>
      <c r="E102" s="370"/>
      <c r="F102" s="355"/>
      <c r="G102" s="352" t="e">
        <f t="shared" si="6"/>
        <v>#DIV/0!</v>
      </c>
    </row>
    <row r="103" spans="1:7" ht="15.5">
      <c r="A103" s="346">
        <v>8</v>
      </c>
      <c r="B103" s="361" t="s">
        <v>1802</v>
      </c>
      <c r="C103" s="374" t="str">
        <f t="shared" si="5"/>
        <v>MILKSHAKE CAPUCINO</v>
      </c>
      <c r="D103" s="361"/>
      <c r="E103" s="370"/>
      <c r="F103" s="355"/>
      <c r="G103" s="352" t="e">
        <f t="shared" si="6"/>
        <v>#DIV/0!</v>
      </c>
    </row>
    <row r="104" spans="1:7" ht="15.5">
      <c r="A104" s="346">
        <v>9</v>
      </c>
      <c r="B104" s="361" t="s">
        <v>1803</v>
      </c>
      <c r="C104" s="374" t="str">
        <f t="shared" si="5"/>
        <v>MILKSHAKE MANGGA</v>
      </c>
      <c r="D104" s="361"/>
      <c r="E104" s="370"/>
      <c r="F104" s="355"/>
      <c r="G104" s="352" t="e">
        <f t="shared" si="6"/>
        <v>#DIV/0!</v>
      </c>
    </row>
    <row r="105" spans="1:7" ht="15.5">
      <c r="A105" s="346">
        <v>10</v>
      </c>
      <c r="B105" s="361" t="s">
        <v>1804</v>
      </c>
      <c r="C105" s="374" t="str">
        <f t="shared" si="5"/>
        <v>MILKSHAKE STRAWBERY</v>
      </c>
      <c r="D105" s="361"/>
      <c r="E105" s="370"/>
      <c r="F105" s="355"/>
      <c r="G105" s="352" t="e">
        <f t="shared" si="6"/>
        <v>#DIV/0!</v>
      </c>
    </row>
    <row r="106" spans="1:7" ht="15.5">
      <c r="A106" s="346">
        <v>11</v>
      </c>
      <c r="B106" s="361" t="s">
        <v>1805</v>
      </c>
      <c r="C106" s="374" t="str">
        <f t="shared" si="5"/>
        <v>MILKSHAKE COKLAT FLOAT</v>
      </c>
      <c r="D106" s="361"/>
      <c r="E106" s="370"/>
      <c r="F106" s="355"/>
      <c r="G106" s="352" t="e">
        <f t="shared" si="6"/>
        <v>#DIV/0!</v>
      </c>
    </row>
    <row r="107" spans="1:7" ht="15.5">
      <c r="A107" s="346">
        <v>12</v>
      </c>
      <c r="B107" s="361" t="s">
        <v>1806</v>
      </c>
      <c r="C107" s="374" t="str">
        <f t="shared" si="5"/>
        <v>MILKSHAKE CAPUCINO FLOAT</v>
      </c>
      <c r="D107" s="361"/>
      <c r="E107" s="370"/>
      <c r="F107" s="355"/>
      <c r="G107" s="352" t="e">
        <f t="shared" si="6"/>
        <v>#DIV/0!</v>
      </c>
    </row>
    <row r="108" spans="1:7" ht="15.5">
      <c r="A108" s="346">
        <v>13</v>
      </c>
      <c r="B108" s="361" t="s">
        <v>1807</v>
      </c>
      <c r="C108" s="374" t="str">
        <f t="shared" si="5"/>
        <v>MILKSHAKE MANGGA FLOAT</v>
      </c>
      <c r="D108" s="361"/>
      <c r="E108" s="370"/>
      <c r="F108" s="355"/>
      <c r="G108" s="352" t="e">
        <f t="shared" si="6"/>
        <v>#DIV/0!</v>
      </c>
    </row>
    <row r="109" spans="1:7" ht="15.5">
      <c r="A109" s="346">
        <v>14</v>
      </c>
      <c r="B109" s="361" t="s">
        <v>1808</v>
      </c>
      <c r="C109" s="374" t="str">
        <f t="shared" si="5"/>
        <v>MILKSHAKE STRAWBERY FLOAT</v>
      </c>
      <c r="D109" s="361"/>
      <c r="E109" s="370"/>
      <c r="F109" s="355"/>
      <c r="G109" s="352" t="e">
        <f t="shared" si="6"/>
        <v>#DIV/0!</v>
      </c>
    </row>
    <row r="110" spans="1:7" ht="15.5">
      <c r="A110" s="346">
        <v>15</v>
      </c>
      <c r="B110" s="361" t="s">
        <v>1809</v>
      </c>
      <c r="C110" s="374" t="str">
        <f t="shared" si="5"/>
        <v>TBS</v>
      </c>
      <c r="D110" s="361"/>
      <c r="E110" s="370"/>
      <c r="F110" s="355"/>
      <c r="G110" s="352" t="e">
        <f t="shared" si="6"/>
        <v>#DIV/0!</v>
      </c>
    </row>
    <row r="111" spans="1:7" ht="15.5">
      <c r="A111" s="346">
        <v>16</v>
      </c>
      <c r="B111" s="361" t="s">
        <v>1810</v>
      </c>
      <c r="C111" s="374" t="str">
        <f t="shared" si="5"/>
        <v>TEBS</v>
      </c>
      <c r="D111" s="361"/>
      <c r="E111" s="370"/>
      <c r="F111" s="355"/>
      <c r="G111" s="352" t="e">
        <f t="shared" si="6"/>
        <v>#DIV/0!</v>
      </c>
    </row>
    <row r="112" spans="1:7" ht="15.5">
      <c r="A112" s="346">
        <v>17</v>
      </c>
      <c r="B112" s="361" t="s">
        <v>1811</v>
      </c>
      <c r="C112" s="374" t="str">
        <f t="shared" si="5"/>
        <v>FRUITEA</v>
      </c>
      <c r="D112" s="361"/>
      <c r="E112" s="370"/>
      <c r="F112" s="355"/>
      <c r="G112" s="352" t="e">
        <f t="shared" si="6"/>
        <v>#DIV/0!</v>
      </c>
    </row>
    <row r="113" spans="1:7" ht="15.5">
      <c r="A113" s="346">
        <v>18</v>
      </c>
      <c r="B113" s="361" t="s">
        <v>1812</v>
      </c>
      <c r="C113" s="374" t="str">
        <f t="shared" si="5"/>
        <v>TBO/FTO</v>
      </c>
      <c r="D113" s="361"/>
      <c r="E113" s="370"/>
      <c r="F113" s="355"/>
      <c r="G113" s="352" t="e">
        <f t="shared" si="6"/>
        <v>#DIV/0!</v>
      </c>
    </row>
    <row r="114" spans="1:7" ht="15.5">
      <c r="A114" s="346">
        <v>19</v>
      </c>
      <c r="B114" s="361" t="s">
        <v>1813</v>
      </c>
      <c r="C114" s="374" t="str">
        <f t="shared" si="5"/>
        <v>TEH KOTAK</v>
      </c>
      <c r="D114" s="361"/>
      <c r="E114" s="370"/>
      <c r="F114" s="355"/>
      <c r="G114" s="352" t="e">
        <f t="shared" si="6"/>
        <v>#DIV/0!</v>
      </c>
    </row>
    <row r="115" spans="1:7" ht="15.5">
      <c r="A115" s="346">
        <v>20</v>
      </c>
      <c r="B115" s="361" t="s">
        <v>1814</v>
      </c>
      <c r="C115" s="374" t="str">
        <f t="shared" si="5"/>
        <v>STEE</v>
      </c>
      <c r="D115" s="361"/>
      <c r="E115" s="370"/>
      <c r="F115" s="355"/>
      <c r="G115" s="352" t="e">
        <f t="shared" si="6"/>
        <v>#DIV/0!</v>
      </c>
    </row>
    <row r="116" spans="1:7" ht="15.5">
      <c r="A116" s="346">
        <v>21</v>
      </c>
      <c r="B116" s="361" t="s">
        <v>1815</v>
      </c>
      <c r="C116" s="374" t="str">
        <f t="shared" si="5"/>
        <v>JUICE DURIAN</v>
      </c>
      <c r="D116" s="361"/>
      <c r="E116" s="370"/>
      <c r="F116" s="355"/>
      <c r="G116" s="352" t="e">
        <f t="shared" si="6"/>
        <v>#DIV/0!</v>
      </c>
    </row>
    <row r="117" spans="1:7" ht="15.5">
      <c r="A117" s="346">
        <v>22</v>
      </c>
      <c r="B117" s="361" t="s">
        <v>1816</v>
      </c>
      <c r="C117" s="374" t="str">
        <f t="shared" si="5"/>
        <v>JUICE DURIAN FLOAT</v>
      </c>
      <c r="D117" s="361"/>
      <c r="E117" s="370"/>
      <c r="F117" s="355"/>
      <c r="G117" s="352" t="e">
        <f t="shared" si="6"/>
        <v>#DIV/0!</v>
      </c>
    </row>
    <row r="118" spans="1:7" ht="15.5">
      <c r="A118" s="346">
        <v>23</v>
      </c>
      <c r="B118" s="361" t="s">
        <v>1817</v>
      </c>
      <c r="C118" s="374" t="str">
        <f t="shared" si="5"/>
        <v>JUICE  SIRSAK</v>
      </c>
      <c r="D118" s="361"/>
      <c r="E118" s="370"/>
      <c r="F118" s="355"/>
      <c r="G118" s="352" t="e">
        <f t="shared" si="6"/>
        <v>#DIV/0!</v>
      </c>
    </row>
    <row r="119" spans="1:7" ht="15.5">
      <c r="A119" s="346">
        <v>24</v>
      </c>
      <c r="B119" s="361" t="s">
        <v>1818</v>
      </c>
      <c r="C119" s="374" t="str">
        <f t="shared" si="5"/>
        <v>JUICE MELON</v>
      </c>
      <c r="D119" s="361"/>
      <c r="E119" s="370"/>
      <c r="F119" s="355"/>
      <c r="G119" s="352" t="e">
        <f t="shared" si="6"/>
        <v>#DIV/0!</v>
      </c>
    </row>
    <row r="120" spans="1:7" ht="15.5">
      <c r="A120" s="346">
        <v>25</v>
      </c>
      <c r="B120" s="361" t="s">
        <v>1819</v>
      </c>
      <c r="C120" s="374" t="str">
        <f t="shared" si="5"/>
        <v>JUICE STRAWBERRI</v>
      </c>
      <c r="D120" s="361"/>
      <c r="E120" s="370"/>
      <c r="F120" s="355"/>
      <c r="G120" s="352" t="e">
        <f t="shared" si="6"/>
        <v>#DIV/0!</v>
      </c>
    </row>
    <row r="121" spans="1:7" ht="15.5">
      <c r="A121" s="346">
        <v>26</v>
      </c>
      <c r="B121" s="361" t="s">
        <v>1820</v>
      </c>
      <c r="C121" s="374" t="str">
        <f t="shared" si="5"/>
        <v>JUICE MANGGA</v>
      </c>
      <c r="D121" s="361"/>
      <c r="E121" s="370"/>
      <c r="F121" s="355"/>
      <c r="G121" s="352" t="e">
        <f t="shared" si="6"/>
        <v>#DIV/0!</v>
      </c>
    </row>
    <row r="122" spans="1:7" ht="15.5">
      <c r="A122" s="346">
        <v>27</v>
      </c>
      <c r="B122" s="361" t="s">
        <v>1821</v>
      </c>
      <c r="C122" s="374" t="str">
        <f t="shared" si="5"/>
        <v>JUICE JAMBU</v>
      </c>
      <c r="D122" s="361"/>
      <c r="E122" s="370"/>
      <c r="F122" s="355"/>
      <c r="G122" s="352" t="e">
        <f t="shared" si="6"/>
        <v>#DIV/0!</v>
      </c>
    </row>
    <row r="123" spans="1:7" ht="15.5">
      <c r="A123" s="346">
        <v>28</v>
      </c>
      <c r="B123" s="361" t="s">
        <v>1822</v>
      </c>
      <c r="C123" s="374" t="str">
        <f t="shared" si="5"/>
        <v>ES CREAM</v>
      </c>
      <c r="D123" s="361"/>
      <c r="E123" s="370">
        <v>3000</v>
      </c>
      <c r="F123" s="355"/>
      <c r="G123" s="352">
        <f t="shared" si="6"/>
        <v>0</v>
      </c>
    </row>
    <row r="124" spans="1:7" ht="15.5">
      <c r="A124" s="346">
        <v>29</v>
      </c>
      <c r="B124" s="347"/>
      <c r="C124" s="347"/>
      <c r="D124" s="361"/>
      <c r="E124" s="370"/>
      <c r="F124" s="357"/>
      <c r="G124" s="352" t="e">
        <f t="shared" si="6"/>
        <v>#DIV/0!</v>
      </c>
    </row>
    <row r="125" spans="1:7" ht="15.5">
      <c r="A125" s="346">
        <v>30</v>
      </c>
      <c r="B125" s="347"/>
      <c r="C125" s="347"/>
      <c r="D125" s="361"/>
      <c r="E125" s="370"/>
      <c r="F125" s="357"/>
      <c r="G125" s="352" t="e">
        <f t="shared" si="6"/>
        <v>#DIV/0!</v>
      </c>
    </row>
    <row r="126" spans="1:7" ht="15.5">
      <c r="A126" s="346">
        <v>31</v>
      </c>
      <c r="B126" s="347"/>
      <c r="C126" s="347"/>
      <c r="D126" s="361"/>
      <c r="E126" s="370"/>
      <c r="F126" s="357"/>
      <c r="G126" s="352" t="e">
        <f t="shared" si="6"/>
        <v>#DIV/0!</v>
      </c>
    </row>
  </sheetData>
  <mergeCells count="1">
    <mergeCell ref="D2:D3"/>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F0"/>
  </sheetPr>
  <dimension ref="A1:S46"/>
  <sheetViews>
    <sheetView workbookViewId="0">
      <selection activeCell="G72" sqref="A1:S115"/>
    </sheetView>
  </sheetViews>
  <sheetFormatPr defaultColWidth="8.81640625" defaultRowHeight="13"/>
  <cols>
    <col min="1" max="1" width="4.453125" style="310" customWidth="1"/>
    <col min="2" max="2" width="20" style="310" customWidth="1"/>
    <col min="3" max="9" width="12.54296875" style="310" customWidth="1"/>
    <col min="10" max="10" width="4.54296875" style="310" customWidth="1"/>
    <col min="11" max="11" width="4.7265625" style="310" customWidth="1"/>
    <col min="12" max="12" width="19.81640625" style="310" customWidth="1"/>
    <col min="13" max="19" width="12.54296875" style="310" customWidth="1"/>
    <col min="20" max="16384" width="8.81640625" style="310"/>
  </cols>
  <sheetData>
    <row r="1" spans="1:19">
      <c r="A1" s="310" t="s">
        <v>61</v>
      </c>
    </row>
    <row r="2" spans="1:19" ht="23.5">
      <c r="B2" s="2216" t="s">
        <v>1855</v>
      </c>
      <c r="C2" s="2216"/>
      <c r="D2" s="2216"/>
      <c r="E2" s="2216"/>
      <c r="F2" s="2216"/>
      <c r="G2" s="2216"/>
      <c r="H2" s="2216"/>
      <c r="I2" s="2216"/>
      <c r="J2" s="2216"/>
      <c r="K2" s="2216"/>
      <c r="L2" s="2216"/>
      <c r="M2" s="2216"/>
      <c r="N2" s="2216"/>
      <c r="O2" s="2216"/>
      <c r="P2" s="2216"/>
      <c r="Q2" s="2216"/>
      <c r="R2" s="2216"/>
      <c r="S2" s="2216"/>
    </row>
    <row r="6" spans="1:19" ht="30.65" customHeight="1">
      <c r="A6" s="2621" t="s">
        <v>1856</v>
      </c>
      <c r="B6" s="2621"/>
      <c r="C6" s="2621"/>
      <c r="D6" s="311"/>
      <c r="E6" s="311"/>
      <c r="F6" s="311"/>
      <c r="G6" s="2621" t="s">
        <v>1857</v>
      </c>
      <c r="H6" s="2621"/>
      <c r="I6" s="2621"/>
      <c r="J6" s="311"/>
      <c r="K6" s="2621" t="s">
        <v>1856</v>
      </c>
      <c r="L6" s="2621"/>
      <c r="M6" s="2621"/>
      <c r="N6" s="311"/>
      <c r="O6" s="311"/>
      <c r="P6" s="311"/>
      <c r="Q6" s="2621" t="s">
        <v>1857</v>
      </c>
      <c r="R6" s="2621"/>
      <c r="S6" s="2621"/>
    </row>
    <row r="7" spans="1:19" ht="15.75" customHeight="1">
      <c r="A7" s="2623" t="s">
        <v>1179</v>
      </c>
      <c r="B7" s="2625" t="s">
        <v>1180</v>
      </c>
      <c r="C7" s="2631" t="s">
        <v>1181</v>
      </c>
      <c r="D7" s="2625" t="s">
        <v>1182</v>
      </c>
      <c r="E7" s="2631" t="s">
        <v>1183</v>
      </c>
      <c r="F7" s="2625" t="s">
        <v>1858</v>
      </c>
      <c r="G7" s="2625" t="s">
        <v>1185</v>
      </c>
      <c r="H7" s="2625" t="s">
        <v>1859</v>
      </c>
      <c r="I7" s="2637" t="s">
        <v>1187</v>
      </c>
      <c r="K7" s="2623" t="s">
        <v>1179</v>
      </c>
      <c r="L7" s="2625" t="s">
        <v>1180</v>
      </c>
      <c r="M7" s="2631" t="s">
        <v>1181</v>
      </c>
      <c r="N7" s="2625" t="s">
        <v>1182</v>
      </c>
      <c r="O7" s="2631" t="s">
        <v>1183</v>
      </c>
      <c r="P7" s="2625" t="s">
        <v>1858</v>
      </c>
      <c r="Q7" s="2625" t="s">
        <v>1185</v>
      </c>
      <c r="R7" s="2625" t="s">
        <v>1859</v>
      </c>
      <c r="S7" s="2637" t="s">
        <v>1187</v>
      </c>
    </row>
    <row r="8" spans="1:19" ht="15.75" customHeight="1">
      <c r="A8" s="2624"/>
      <c r="B8" s="2626"/>
      <c r="C8" s="2632"/>
      <c r="D8" s="2626"/>
      <c r="E8" s="2632"/>
      <c r="F8" s="2626"/>
      <c r="G8" s="2626"/>
      <c r="H8" s="2626"/>
      <c r="I8" s="2638"/>
      <c r="K8" s="2624"/>
      <c r="L8" s="2626"/>
      <c r="M8" s="2632"/>
      <c r="N8" s="2626"/>
      <c r="O8" s="2632"/>
      <c r="P8" s="2626"/>
      <c r="Q8" s="2626"/>
      <c r="R8" s="2626"/>
      <c r="S8" s="2638"/>
    </row>
    <row r="9" spans="1:19" ht="22.5" customHeight="1">
      <c r="A9" s="312">
        <v>1</v>
      </c>
      <c r="B9" s="313" t="s">
        <v>1860</v>
      </c>
      <c r="C9" s="314"/>
      <c r="D9" s="314"/>
      <c r="E9" s="314"/>
      <c r="F9" s="315"/>
      <c r="G9" s="314"/>
      <c r="H9" s="316"/>
      <c r="I9" s="332"/>
      <c r="K9" s="312">
        <v>1</v>
      </c>
      <c r="L9" s="313" t="s">
        <v>1860</v>
      </c>
      <c r="M9" s="333"/>
      <c r="N9" s="314"/>
      <c r="O9" s="314"/>
      <c r="P9" s="314"/>
      <c r="Q9" s="314"/>
      <c r="R9" s="314"/>
      <c r="S9" s="332"/>
    </row>
    <row r="10" spans="1:19" ht="22.5" customHeight="1">
      <c r="A10" s="317">
        <v>2</v>
      </c>
      <c r="B10" s="318" t="s">
        <v>1861</v>
      </c>
      <c r="C10" s="319"/>
      <c r="D10" s="319"/>
      <c r="E10" s="319"/>
      <c r="F10" s="315"/>
      <c r="G10" s="319"/>
      <c r="H10" s="316"/>
      <c r="I10" s="334"/>
      <c r="K10" s="317">
        <v>2</v>
      </c>
      <c r="L10" s="318" t="s">
        <v>1861</v>
      </c>
      <c r="M10" s="335"/>
      <c r="N10" s="319"/>
      <c r="O10" s="319"/>
      <c r="P10" s="319"/>
      <c r="Q10" s="319"/>
      <c r="R10" s="319"/>
      <c r="S10" s="334"/>
    </row>
    <row r="11" spans="1:19" ht="22.5" customHeight="1">
      <c r="A11" s="317">
        <v>3</v>
      </c>
      <c r="B11" s="318" t="s">
        <v>1283</v>
      </c>
      <c r="C11" s="319"/>
      <c r="D11" s="319"/>
      <c r="E11" s="319"/>
      <c r="F11" s="315"/>
      <c r="G11" s="319"/>
      <c r="H11" s="316"/>
      <c r="I11" s="334"/>
      <c r="K11" s="317">
        <v>3</v>
      </c>
      <c r="L11" s="318" t="s">
        <v>1283</v>
      </c>
      <c r="M11" s="335"/>
      <c r="N11" s="319"/>
      <c r="O11" s="319"/>
      <c r="P11" s="319"/>
      <c r="Q11" s="319"/>
      <c r="R11" s="319"/>
      <c r="S11" s="334"/>
    </row>
    <row r="12" spans="1:19" ht="22.5" customHeight="1">
      <c r="A12" s="317">
        <v>4</v>
      </c>
      <c r="B12" s="318" t="s">
        <v>1862</v>
      </c>
      <c r="C12" s="319"/>
      <c r="D12" s="319"/>
      <c r="E12" s="319"/>
      <c r="F12" s="315"/>
      <c r="G12" s="319"/>
      <c r="H12" s="316"/>
      <c r="I12" s="334"/>
      <c r="K12" s="317">
        <v>4</v>
      </c>
      <c r="L12" s="318" t="s">
        <v>1862</v>
      </c>
      <c r="M12" s="335"/>
      <c r="N12" s="319"/>
      <c r="O12" s="319"/>
      <c r="P12" s="319"/>
      <c r="Q12" s="319"/>
      <c r="R12" s="319"/>
      <c r="S12" s="334"/>
    </row>
    <row r="13" spans="1:19" ht="22.5" customHeight="1">
      <c r="A13" s="317">
        <v>5</v>
      </c>
      <c r="B13" s="318" t="s">
        <v>1863</v>
      </c>
      <c r="C13" s="319"/>
      <c r="D13" s="319"/>
      <c r="E13" s="319"/>
      <c r="F13" s="315"/>
      <c r="G13" s="319"/>
      <c r="H13" s="316"/>
      <c r="I13" s="334"/>
      <c r="K13" s="317">
        <v>5</v>
      </c>
      <c r="L13" s="318" t="s">
        <v>1863</v>
      </c>
      <c r="M13" s="335"/>
      <c r="N13" s="319"/>
      <c r="O13" s="319"/>
      <c r="P13" s="319"/>
      <c r="Q13" s="319"/>
      <c r="R13" s="319"/>
      <c r="S13" s="334"/>
    </row>
    <row r="14" spans="1:19" ht="22.5" customHeight="1">
      <c r="A14" s="317">
        <v>6</v>
      </c>
      <c r="B14" s="318" t="s">
        <v>1864</v>
      </c>
      <c r="C14" s="319"/>
      <c r="D14" s="319"/>
      <c r="E14" s="319"/>
      <c r="F14" s="315"/>
      <c r="G14" s="319"/>
      <c r="H14" s="316"/>
      <c r="I14" s="334"/>
      <c r="K14" s="317">
        <v>6</v>
      </c>
      <c r="L14" s="318" t="s">
        <v>1864</v>
      </c>
      <c r="M14" s="335"/>
      <c r="N14" s="319"/>
      <c r="O14" s="319"/>
      <c r="P14" s="319"/>
      <c r="Q14" s="319"/>
      <c r="R14" s="319"/>
      <c r="S14" s="334"/>
    </row>
    <row r="15" spans="1:19" ht="22.5" customHeight="1">
      <c r="A15" s="317">
        <v>7</v>
      </c>
      <c r="B15" s="318" t="s">
        <v>1865</v>
      </c>
      <c r="C15" s="319"/>
      <c r="D15" s="319"/>
      <c r="E15" s="319"/>
      <c r="F15" s="315"/>
      <c r="G15" s="319"/>
      <c r="H15" s="316"/>
      <c r="I15" s="334"/>
      <c r="K15" s="317">
        <v>7</v>
      </c>
      <c r="L15" s="318" t="s">
        <v>1865</v>
      </c>
      <c r="M15" s="335"/>
      <c r="N15" s="319"/>
      <c r="O15" s="319"/>
      <c r="P15" s="319"/>
      <c r="Q15" s="319"/>
      <c r="R15" s="319"/>
      <c r="S15" s="334"/>
    </row>
    <row r="16" spans="1:19" ht="22.5" customHeight="1">
      <c r="A16" s="317">
        <v>8</v>
      </c>
      <c r="B16" s="318" t="s">
        <v>1866</v>
      </c>
      <c r="C16" s="319"/>
      <c r="D16" s="319"/>
      <c r="E16" s="319"/>
      <c r="F16" s="315"/>
      <c r="G16" s="319"/>
      <c r="H16" s="316"/>
      <c r="I16" s="334"/>
      <c r="K16" s="317">
        <v>8</v>
      </c>
      <c r="L16" s="318" t="s">
        <v>1866</v>
      </c>
      <c r="M16" s="335"/>
      <c r="N16" s="319"/>
      <c r="O16" s="319"/>
      <c r="P16" s="319"/>
      <c r="Q16" s="319"/>
      <c r="R16" s="319"/>
      <c r="S16" s="334"/>
    </row>
    <row r="17" spans="1:19" ht="22.5" customHeight="1">
      <c r="A17" s="317">
        <v>9</v>
      </c>
      <c r="B17" s="318" t="s">
        <v>1867</v>
      </c>
      <c r="C17" s="319"/>
      <c r="D17" s="319"/>
      <c r="E17" s="319"/>
      <c r="F17" s="315"/>
      <c r="G17" s="319"/>
      <c r="H17" s="319"/>
      <c r="I17" s="334"/>
      <c r="K17" s="317">
        <v>9</v>
      </c>
      <c r="L17" s="318" t="s">
        <v>1867</v>
      </c>
      <c r="M17" s="335"/>
      <c r="N17" s="319"/>
      <c r="O17" s="319"/>
      <c r="P17" s="319"/>
      <c r="Q17" s="319"/>
      <c r="R17" s="319"/>
      <c r="S17" s="334"/>
    </row>
    <row r="18" spans="1:19" ht="22.5" customHeight="1">
      <c r="A18" s="317">
        <v>10</v>
      </c>
      <c r="B18" s="318" t="s">
        <v>1868</v>
      </c>
      <c r="C18" s="319"/>
      <c r="D18" s="319"/>
      <c r="E18" s="319"/>
      <c r="F18" s="315"/>
      <c r="G18" s="319"/>
      <c r="H18" s="319"/>
      <c r="I18" s="334"/>
      <c r="K18" s="317">
        <v>10</v>
      </c>
      <c r="L18" s="318" t="s">
        <v>1868</v>
      </c>
      <c r="M18" s="335"/>
      <c r="N18" s="319"/>
      <c r="O18" s="319"/>
      <c r="P18" s="319"/>
      <c r="Q18" s="319"/>
      <c r="R18" s="319"/>
      <c r="S18" s="334"/>
    </row>
    <row r="19" spans="1:19" ht="22.5" customHeight="1">
      <c r="A19" s="317">
        <v>11</v>
      </c>
      <c r="B19" s="318" t="s">
        <v>1869</v>
      </c>
      <c r="C19" s="319"/>
      <c r="D19" s="319"/>
      <c r="E19" s="319"/>
      <c r="F19" s="315"/>
      <c r="G19" s="319"/>
      <c r="H19" s="319"/>
      <c r="I19" s="334"/>
      <c r="K19" s="317">
        <v>11</v>
      </c>
      <c r="L19" s="318" t="s">
        <v>1869</v>
      </c>
      <c r="M19" s="335"/>
      <c r="N19" s="319"/>
      <c r="O19" s="319"/>
      <c r="P19" s="319"/>
      <c r="Q19" s="319"/>
      <c r="R19" s="319"/>
      <c r="S19" s="334"/>
    </row>
    <row r="20" spans="1:19" ht="22.5" customHeight="1">
      <c r="A20" s="317">
        <v>12</v>
      </c>
      <c r="B20" s="318" t="s">
        <v>1870</v>
      </c>
      <c r="C20" s="319"/>
      <c r="D20" s="319"/>
      <c r="E20" s="319"/>
      <c r="F20" s="315"/>
      <c r="G20" s="319"/>
      <c r="H20" s="320"/>
      <c r="I20" s="334"/>
      <c r="K20" s="317">
        <v>12</v>
      </c>
      <c r="L20" s="318" t="s">
        <v>1870</v>
      </c>
      <c r="M20" s="335"/>
      <c r="N20" s="319"/>
      <c r="O20" s="319"/>
      <c r="P20" s="319"/>
      <c r="Q20" s="319"/>
      <c r="R20" s="319"/>
      <c r="S20" s="334"/>
    </row>
    <row r="21" spans="1:19" ht="22.5" customHeight="1">
      <c r="A21" s="317">
        <v>13</v>
      </c>
      <c r="B21" s="318" t="s">
        <v>1871</v>
      </c>
      <c r="C21" s="319"/>
      <c r="D21" s="319"/>
      <c r="E21" s="319"/>
      <c r="F21" s="315"/>
      <c r="G21" s="319"/>
      <c r="H21" s="319"/>
      <c r="I21" s="334"/>
      <c r="K21" s="317">
        <v>13</v>
      </c>
      <c r="L21" s="318" t="s">
        <v>1871</v>
      </c>
      <c r="M21" s="335"/>
      <c r="N21" s="319"/>
      <c r="O21" s="319"/>
      <c r="P21" s="319"/>
      <c r="Q21" s="319"/>
      <c r="R21" s="319"/>
      <c r="S21" s="334"/>
    </row>
    <row r="22" spans="1:19" ht="22.5" customHeight="1">
      <c r="A22" s="317">
        <v>14</v>
      </c>
      <c r="B22" s="318" t="s">
        <v>1290</v>
      </c>
      <c r="C22" s="319"/>
      <c r="D22" s="319"/>
      <c r="E22" s="319"/>
      <c r="F22" s="315"/>
      <c r="G22" s="319"/>
      <c r="H22" s="319"/>
      <c r="I22" s="334"/>
      <c r="K22" s="317">
        <v>14</v>
      </c>
      <c r="L22" s="318" t="s">
        <v>1290</v>
      </c>
      <c r="M22" s="335"/>
      <c r="N22" s="319"/>
      <c r="O22" s="319"/>
      <c r="P22" s="319"/>
      <c r="Q22" s="319"/>
      <c r="R22" s="319"/>
      <c r="S22" s="334"/>
    </row>
    <row r="23" spans="1:19" ht="22.5" customHeight="1">
      <c r="A23" s="317">
        <v>15</v>
      </c>
      <c r="B23" s="318" t="s">
        <v>1872</v>
      </c>
      <c r="C23" s="321"/>
      <c r="D23" s="321"/>
      <c r="E23" s="321"/>
      <c r="F23" s="322"/>
      <c r="G23" s="321"/>
      <c r="H23" s="321"/>
      <c r="I23" s="336"/>
      <c r="K23" s="317">
        <v>15</v>
      </c>
      <c r="L23" s="318" t="s">
        <v>1872</v>
      </c>
      <c r="M23" s="337"/>
      <c r="N23" s="321"/>
      <c r="O23" s="321"/>
      <c r="P23" s="321"/>
      <c r="Q23" s="321"/>
      <c r="R23" s="321"/>
      <c r="S23" s="336"/>
    </row>
    <row r="24" spans="1:19" ht="22.5" customHeight="1">
      <c r="A24" s="317">
        <v>16</v>
      </c>
      <c r="B24" s="318" t="s">
        <v>1873</v>
      </c>
      <c r="C24" s="321"/>
      <c r="D24" s="321"/>
      <c r="E24" s="321"/>
      <c r="F24" s="322"/>
      <c r="G24" s="321"/>
      <c r="H24" s="321"/>
      <c r="I24" s="336"/>
      <c r="K24" s="317">
        <v>16</v>
      </c>
      <c r="L24" s="318" t="s">
        <v>1873</v>
      </c>
      <c r="M24" s="337"/>
      <c r="N24" s="321"/>
      <c r="O24" s="321"/>
      <c r="P24" s="321"/>
      <c r="Q24" s="321"/>
      <c r="R24" s="321"/>
      <c r="S24" s="336"/>
    </row>
    <row r="25" spans="1:19" ht="22.5" customHeight="1">
      <c r="A25" s="317">
        <v>17</v>
      </c>
      <c r="B25" s="318" t="s">
        <v>1874</v>
      </c>
      <c r="C25" s="321"/>
      <c r="D25" s="321"/>
      <c r="E25" s="321"/>
      <c r="F25" s="322"/>
      <c r="G25" s="321"/>
      <c r="H25" s="321"/>
      <c r="I25" s="336"/>
      <c r="K25" s="317">
        <v>17</v>
      </c>
      <c r="L25" s="318" t="s">
        <v>1874</v>
      </c>
      <c r="M25" s="337"/>
      <c r="N25" s="321"/>
      <c r="O25" s="321"/>
      <c r="P25" s="321"/>
      <c r="Q25" s="321"/>
      <c r="R25" s="321"/>
      <c r="S25" s="336"/>
    </row>
    <row r="26" spans="1:19" ht="22.5" customHeight="1">
      <c r="A26" s="317">
        <v>18</v>
      </c>
      <c r="B26" s="318" t="s">
        <v>1875</v>
      </c>
      <c r="C26" s="321"/>
      <c r="D26" s="321"/>
      <c r="E26" s="321"/>
      <c r="F26" s="322"/>
      <c r="G26" s="321"/>
      <c r="H26" s="321"/>
      <c r="I26" s="336"/>
      <c r="K26" s="317">
        <v>18</v>
      </c>
      <c r="L26" s="318" t="s">
        <v>1875</v>
      </c>
      <c r="M26" s="337"/>
      <c r="N26" s="321"/>
      <c r="O26" s="321"/>
      <c r="P26" s="321"/>
      <c r="Q26" s="321"/>
      <c r="R26" s="321"/>
      <c r="S26" s="336"/>
    </row>
    <row r="27" spans="1:19" ht="22.5" customHeight="1">
      <c r="A27" s="317">
        <v>19</v>
      </c>
      <c r="B27" s="318"/>
      <c r="C27" s="321"/>
      <c r="D27" s="321"/>
      <c r="E27" s="321"/>
      <c r="F27" s="322"/>
      <c r="G27" s="321"/>
      <c r="H27" s="321"/>
      <c r="I27" s="336"/>
      <c r="K27" s="317">
        <v>19</v>
      </c>
      <c r="L27" s="318"/>
      <c r="M27" s="337"/>
      <c r="N27" s="321"/>
      <c r="O27" s="321"/>
      <c r="P27" s="321"/>
      <c r="Q27" s="321"/>
      <c r="R27" s="321"/>
      <c r="S27" s="336"/>
    </row>
    <row r="28" spans="1:19" ht="22.5" customHeight="1">
      <c r="A28" s="323">
        <v>20</v>
      </c>
      <c r="B28" s="324" t="s">
        <v>1876</v>
      </c>
      <c r="C28" s="325"/>
      <c r="D28" s="325"/>
      <c r="E28" s="325"/>
      <c r="F28" s="325"/>
      <c r="G28" s="325"/>
      <c r="H28" s="325"/>
      <c r="I28" s="338"/>
      <c r="K28" s="323">
        <v>20</v>
      </c>
      <c r="L28" s="324" t="s">
        <v>1876</v>
      </c>
      <c r="M28" s="325"/>
      <c r="N28" s="325"/>
      <c r="O28" s="325"/>
      <c r="P28" s="325"/>
      <c r="Q28" s="325"/>
      <c r="R28" s="325"/>
      <c r="S28" s="338"/>
    </row>
    <row r="30" spans="1:19" ht="7.15" customHeight="1">
      <c r="B30" s="326"/>
      <c r="C30" s="327"/>
      <c r="D30" s="328"/>
      <c r="F30" s="326"/>
      <c r="G30" s="327"/>
      <c r="H30" s="328"/>
      <c r="L30" s="326"/>
      <c r="M30" s="327"/>
      <c r="N30" s="328"/>
      <c r="P30" s="326"/>
      <c r="Q30" s="327"/>
      <c r="R30" s="328"/>
    </row>
    <row r="31" spans="1:19" ht="13.5" customHeight="1">
      <c r="B31" s="2627" t="s">
        <v>1877</v>
      </c>
      <c r="C31" s="329"/>
      <c r="D31" s="2633">
        <f>C31/C32</f>
        <v>0</v>
      </c>
      <c r="F31" s="2629" t="s">
        <v>1878</v>
      </c>
      <c r="G31" s="329"/>
      <c r="H31" s="2635" t="s">
        <v>1879</v>
      </c>
      <c r="L31" s="2627" t="s">
        <v>1877</v>
      </c>
      <c r="M31" s="329"/>
      <c r="N31" s="2635" t="s">
        <v>1879</v>
      </c>
      <c r="P31" s="2629" t="s">
        <v>1878</v>
      </c>
      <c r="Q31" s="329"/>
      <c r="R31" s="2635" t="s">
        <v>1879</v>
      </c>
    </row>
    <row r="32" spans="1:19" ht="13.5" customHeight="1">
      <c r="B32" s="2628"/>
      <c r="C32" s="330">
        <v>2</v>
      </c>
      <c r="D32" s="2634"/>
      <c r="F32" s="2630"/>
      <c r="G32" s="330">
        <v>5</v>
      </c>
      <c r="H32" s="2636"/>
      <c r="L32" s="2628"/>
      <c r="M32" s="330">
        <v>2</v>
      </c>
      <c r="N32" s="2636"/>
      <c r="P32" s="2630"/>
      <c r="Q32" s="330">
        <v>5</v>
      </c>
      <c r="R32" s="2636"/>
    </row>
    <row r="34" spans="2:19" ht="7.15" customHeight="1">
      <c r="B34" s="326"/>
      <c r="C34" s="327"/>
      <c r="D34" s="328"/>
      <c r="F34" s="326"/>
      <c r="G34" s="327"/>
      <c r="H34" s="328"/>
      <c r="L34" s="326"/>
      <c r="M34" s="327"/>
      <c r="N34" s="328"/>
      <c r="P34" s="326"/>
      <c r="Q34" s="327"/>
      <c r="R34" s="328"/>
    </row>
    <row r="35" spans="2:19" ht="13.5" customHeight="1">
      <c r="B35" s="2629" t="s">
        <v>1880</v>
      </c>
      <c r="C35" s="329"/>
      <c r="D35" s="2635" t="s">
        <v>1881</v>
      </c>
      <c r="F35" s="2629" t="s">
        <v>1882</v>
      </c>
      <c r="G35" s="329"/>
      <c r="H35" s="2635" t="s">
        <v>1879</v>
      </c>
      <c r="L35" s="2629" t="s">
        <v>1880</v>
      </c>
      <c r="M35" s="329"/>
      <c r="N35" s="2635" t="s">
        <v>1883</v>
      </c>
      <c r="P35" s="2629" t="s">
        <v>1882</v>
      </c>
      <c r="Q35" s="329"/>
      <c r="R35" s="2635" t="s">
        <v>1879</v>
      </c>
    </row>
    <row r="36" spans="2:19" ht="13.5" customHeight="1">
      <c r="B36" s="2630"/>
      <c r="C36" s="330">
        <v>5</v>
      </c>
      <c r="D36" s="2636"/>
      <c r="F36" s="2630"/>
      <c r="G36" s="330">
        <v>11</v>
      </c>
      <c r="H36" s="2636"/>
      <c r="L36" s="2630"/>
      <c r="M36" s="330">
        <v>5</v>
      </c>
      <c r="N36" s="2636"/>
      <c r="P36" s="2630"/>
      <c r="Q36" s="330">
        <v>11</v>
      </c>
      <c r="R36" s="2636"/>
    </row>
    <row r="38" spans="2:19" ht="3.65" customHeight="1">
      <c r="B38" s="326"/>
      <c r="C38" s="327"/>
      <c r="D38" s="328"/>
      <c r="L38" s="326"/>
      <c r="M38" s="327"/>
      <c r="N38" s="328"/>
    </row>
    <row r="39" spans="2:19" ht="13.5" customHeight="1">
      <c r="B39" s="2629" t="s">
        <v>1884</v>
      </c>
      <c r="C39" s="329"/>
      <c r="D39" s="2635" t="s">
        <v>1885</v>
      </c>
      <c r="L39" s="2629" t="s">
        <v>1884</v>
      </c>
      <c r="M39" s="329"/>
      <c r="N39" s="2635" t="s">
        <v>1879</v>
      </c>
    </row>
    <row r="40" spans="2:19" ht="13.5" customHeight="1">
      <c r="B40" s="2630"/>
      <c r="C40" s="330">
        <v>11</v>
      </c>
      <c r="D40" s="2636"/>
      <c r="L40" s="2630"/>
      <c r="M40" s="330">
        <v>11</v>
      </c>
      <c r="N40" s="2636"/>
    </row>
    <row r="42" spans="2:19" s="309" customFormat="1">
      <c r="B42" s="331" t="s">
        <v>1886</v>
      </c>
      <c r="H42" s="2622" t="s">
        <v>1887</v>
      </c>
      <c r="I42" s="2622"/>
      <c r="L42" s="331" t="s">
        <v>1886</v>
      </c>
      <c r="R42" s="2622" t="s">
        <v>1887</v>
      </c>
      <c r="S42" s="2622"/>
    </row>
    <row r="46" spans="2:19">
      <c r="B46" s="310" t="s">
        <v>1888</v>
      </c>
      <c r="H46" s="2514" t="s">
        <v>1888</v>
      </c>
      <c r="I46" s="2514"/>
      <c r="L46" s="310" t="s">
        <v>1888</v>
      </c>
      <c r="R46" s="2514" t="s">
        <v>1888</v>
      </c>
      <c r="S46" s="2514"/>
    </row>
  </sheetData>
  <mergeCells count="47">
    <mergeCell ref="R7:R8"/>
    <mergeCell ref="R31:R32"/>
    <mergeCell ref="R35:R36"/>
    <mergeCell ref="S7:S8"/>
    <mergeCell ref="O7:O8"/>
    <mergeCell ref="P7:P8"/>
    <mergeCell ref="P31:P32"/>
    <mergeCell ref="P35:P36"/>
    <mergeCell ref="Q7:Q8"/>
    <mergeCell ref="L39:L40"/>
    <mergeCell ref="M7:M8"/>
    <mergeCell ref="N7:N8"/>
    <mergeCell ref="N31:N32"/>
    <mergeCell ref="N35:N36"/>
    <mergeCell ref="N39:N40"/>
    <mergeCell ref="I7:I8"/>
    <mergeCell ref="K7:K8"/>
    <mergeCell ref="L7:L8"/>
    <mergeCell ref="L31:L32"/>
    <mergeCell ref="L35:L36"/>
    <mergeCell ref="F31:F32"/>
    <mergeCell ref="F35:F36"/>
    <mergeCell ref="G7:G8"/>
    <mergeCell ref="H7:H8"/>
    <mergeCell ref="H31:H32"/>
    <mergeCell ref="H35:H36"/>
    <mergeCell ref="H42:I42"/>
    <mergeCell ref="R42:S42"/>
    <mergeCell ref="H46:I46"/>
    <mergeCell ref="R46:S46"/>
    <mergeCell ref="A7:A8"/>
    <mergeCell ref="B7:B8"/>
    <mergeCell ref="B31:B32"/>
    <mergeCell ref="B35:B36"/>
    <mergeCell ref="B39:B40"/>
    <mergeCell ref="C7:C8"/>
    <mergeCell ref="D7:D8"/>
    <mergeCell ref="D31:D32"/>
    <mergeCell ref="D35:D36"/>
    <mergeCell ref="D39:D40"/>
    <mergeCell ref="E7:E8"/>
    <mergeCell ref="F7:F8"/>
    <mergeCell ref="B2:S2"/>
    <mergeCell ref="A6:C6"/>
    <mergeCell ref="G6:I6"/>
    <mergeCell ref="K6:M6"/>
    <mergeCell ref="Q6:S6"/>
  </mergeCells>
  <pageMargins left="0.71" right="0.12" top="0.75" bottom="0.75" header="0.31" footer="0.31"/>
  <pageSetup paperSize="256" scale="80" orientation="landscape"/>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00B0F0"/>
  </sheetPr>
  <dimension ref="A2:P35"/>
  <sheetViews>
    <sheetView workbookViewId="0">
      <selection activeCell="G72" sqref="A1:N115"/>
    </sheetView>
  </sheetViews>
  <sheetFormatPr defaultColWidth="9.26953125" defaultRowHeight="14"/>
  <cols>
    <col min="1" max="7" width="8.7265625" style="158" customWidth="1"/>
    <col min="8" max="8" width="9.26953125" style="158" customWidth="1"/>
    <col min="9" max="14" width="8.7265625" style="158" customWidth="1"/>
    <col min="15" max="15" width="15" style="158" customWidth="1"/>
    <col min="16" max="16384" width="9.26953125" style="158"/>
  </cols>
  <sheetData>
    <row r="2" spans="1:16" ht="23.5">
      <c r="B2" s="2639" t="s">
        <v>1889</v>
      </c>
      <c r="C2" s="2639"/>
      <c r="D2" s="2639"/>
      <c r="E2" s="2639"/>
      <c r="F2" s="2639"/>
      <c r="G2" s="2639"/>
      <c r="H2" s="2639"/>
      <c r="I2" s="2639"/>
      <c r="J2" s="2639"/>
      <c r="K2" s="2639"/>
      <c r="L2" s="2639"/>
      <c r="M2" s="2639"/>
      <c r="N2" s="2639"/>
      <c r="O2" s="173"/>
    </row>
    <row r="3" spans="1:16">
      <c r="I3" s="173"/>
      <c r="J3" s="173"/>
      <c r="K3" s="173"/>
      <c r="L3" s="173"/>
      <c r="M3" s="173"/>
      <c r="N3" s="305" t="s">
        <v>1890</v>
      </c>
      <c r="O3" s="173"/>
    </row>
    <row r="4" spans="1:16">
      <c r="I4" s="173"/>
      <c r="J4" s="173"/>
      <c r="K4" s="173"/>
      <c r="L4" s="173"/>
      <c r="M4" s="173"/>
      <c r="N4" s="305" t="s">
        <v>1891</v>
      </c>
      <c r="O4" s="173"/>
    </row>
    <row r="5" spans="1:16">
      <c r="I5" s="173"/>
      <c r="J5" s="173"/>
      <c r="K5" s="173"/>
      <c r="L5" s="173"/>
      <c r="M5" s="173"/>
      <c r="N5" s="305" t="s">
        <v>1892</v>
      </c>
      <c r="O5" s="173"/>
    </row>
    <row r="7" spans="1:16">
      <c r="A7" s="2646" t="s">
        <v>1893</v>
      </c>
      <c r="B7" s="2648" t="s">
        <v>1894</v>
      </c>
      <c r="C7" s="2649"/>
      <c r="D7" s="2649"/>
      <c r="E7" s="2649"/>
      <c r="F7" s="2649"/>
      <c r="G7" s="2649"/>
      <c r="H7" s="2649"/>
      <c r="I7" s="2649"/>
      <c r="J7" s="2649"/>
      <c r="K7" s="2649"/>
      <c r="L7" s="2649"/>
      <c r="M7" s="2649"/>
      <c r="N7" s="2650"/>
      <c r="O7" s="2646" t="s">
        <v>1895</v>
      </c>
    </row>
    <row r="8" spans="1:16">
      <c r="A8" s="2647"/>
      <c r="B8" s="2651"/>
      <c r="C8" s="2652"/>
      <c r="D8" s="2652"/>
      <c r="E8" s="2652"/>
      <c r="F8" s="2652"/>
      <c r="G8" s="2652"/>
      <c r="H8" s="2652"/>
      <c r="I8" s="2652"/>
      <c r="J8" s="2652"/>
      <c r="K8" s="2652"/>
      <c r="L8" s="2652"/>
      <c r="M8" s="2652"/>
      <c r="N8" s="2653"/>
      <c r="O8" s="2647"/>
    </row>
    <row r="9" spans="1:16" ht="14.25" customHeight="1">
      <c r="A9" s="2644" t="s">
        <v>65</v>
      </c>
      <c r="B9" s="2644" t="s">
        <v>373</v>
      </c>
      <c r="C9" s="2642" t="s">
        <v>374</v>
      </c>
      <c r="D9" s="2642" t="s">
        <v>619</v>
      </c>
      <c r="E9" s="2642" t="s">
        <v>622</v>
      </c>
      <c r="F9" s="2642" t="s">
        <v>78</v>
      </c>
      <c r="G9" s="2642" t="s">
        <v>89</v>
      </c>
      <c r="H9" s="2642" t="s">
        <v>96</v>
      </c>
      <c r="I9" s="2642" t="s">
        <v>1109</v>
      </c>
      <c r="J9" s="2642" t="s">
        <v>620</v>
      </c>
      <c r="K9" s="2642" t="s">
        <v>80</v>
      </c>
      <c r="L9" s="2642" t="s">
        <v>97</v>
      </c>
      <c r="M9" s="2642" t="s">
        <v>100</v>
      </c>
      <c r="N9" s="2644" t="s">
        <v>1896</v>
      </c>
      <c r="O9" s="2644" t="s">
        <v>1897</v>
      </c>
      <c r="P9" s="173"/>
    </row>
    <row r="10" spans="1:16">
      <c r="A10" s="2645"/>
      <c r="B10" s="2645"/>
      <c r="C10" s="2643"/>
      <c r="D10" s="2643"/>
      <c r="E10" s="2643"/>
      <c r="F10" s="2643"/>
      <c r="G10" s="2643"/>
      <c r="H10" s="2643"/>
      <c r="I10" s="2643"/>
      <c r="J10" s="2643"/>
      <c r="K10" s="2643"/>
      <c r="L10" s="2643"/>
      <c r="M10" s="2643"/>
      <c r="N10" s="2645"/>
      <c r="O10" s="2645"/>
      <c r="P10" s="173"/>
    </row>
    <row r="11" spans="1:16">
      <c r="A11" s="299">
        <v>1</v>
      </c>
      <c r="B11" s="300"/>
      <c r="C11" s="300"/>
      <c r="D11" s="300"/>
      <c r="E11" s="300"/>
      <c r="F11" s="300"/>
      <c r="G11" s="300"/>
      <c r="H11" s="300"/>
      <c r="I11" s="300"/>
      <c r="J11" s="300"/>
      <c r="K11" s="300"/>
      <c r="L11" s="300"/>
      <c r="M11" s="300"/>
      <c r="N11" s="300"/>
      <c r="O11" s="306"/>
    </row>
    <row r="12" spans="1:16">
      <c r="A12" s="301">
        <v>2</v>
      </c>
      <c r="B12" s="302"/>
      <c r="C12" s="302"/>
      <c r="D12" s="302"/>
      <c r="E12" s="302"/>
      <c r="F12" s="302"/>
      <c r="G12" s="302"/>
      <c r="H12" s="302"/>
      <c r="I12" s="302"/>
      <c r="J12" s="302"/>
      <c r="K12" s="302"/>
      <c r="L12" s="302"/>
      <c r="M12" s="302"/>
      <c r="N12" s="302"/>
      <c r="O12" s="307"/>
    </row>
    <row r="13" spans="1:16">
      <c r="A13" s="299">
        <v>3</v>
      </c>
      <c r="B13" s="302"/>
      <c r="C13" s="302"/>
      <c r="D13" s="302"/>
      <c r="E13" s="302"/>
      <c r="F13" s="302"/>
      <c r="G13" s="302"/>
      <c r="H13" s="302"/>
      <c r="I13" s="302"/>
      <c r="J13" s="302"/>
      <c r="K13" s="302"/>
      <c r="L13" s="302"/>
      <c r="M13" s="302"/>
      <c r="N13" s="302"/>
      <c r="O13" s="307"/>
    </row>
    <row r="14" spans="1:16">
      <c r="A14" s="301">
        <v>4</v>
      </c>
      <c r="B14" s="302"/>
      <c r="C14" s="302"/>
      <c r="D14" s="302"/>
      <c r="E14" s="302"/>
      <c r="F14" s="302"/>
      <c r="G14" s="302"/>
      <c r="H14" s="302"/>
      <c r="I14" s="302"/>
      <c r="J14" s="302"/>
      <c r="K14" s="302"/>
      <c r="L14" s="302"/>
      <c r="M14" s="302"/>
      <c r="N14" s="302"/>
      <c r="O14" s="307"/>
    </row>
    <row r="15" spans="1:16">
      <c r="A15" s="299">
        <v>5</v>
      </c>
      <c r="B15" s="302"/>
      <c r="C15" s="302"/>
      <c r="D15" s="302"/>
      <c r="E15" s="302"/>
      <c r="F15" s="302"/>
      <c r="G15" s="302"/>
      <c r="H15" s="302"/>
      <c r="I15" s="302"/>
      <c r="J15" s="302"/>
      <c r="K15" s="302"/>
      <c r="L15" s="302"/>
      <c r="M15" s="302"/>
      <c r="N15" s="302"/>
      <c r="O15" s="307"/>
    </row>
    <row r="16" spans="1:16">
      <c r="A16" s="301">
        <v>6</v>
      </c>
      <c r="B16" s="302"/>
      <c r="C16" s="302"/>
      <c r="D16" s="302"/>
      <c r="E16" s="302"/>
      <c r="F16" s="302"/>
      <c r="G16" s="302"/>
      <c r="H16" s="302"/>
      <c r="I16" s="302"/>
      <c r="J16" s="302"/>
      <c r="K16" s="302"/>
      <c r="L16" s="302"/>
      <c r="M16" s="302"/>
      <c r="N16" s="302"/>
      <c r="O16" s="307"/>
    </row>
    <row r="17" spans="1:15">
      <c r="A17" s="299">
        <v>7</v>
      </c>
      <c r="B17" s="302"/>
      <c r="C17" s="302"/>
      <c r="D17" s="302"/>
      <c r="E17" s="302"/>
      <c r="F17" s="302"/>
      <c r="G17" s="302"/>
      <c r="H17" s="302"/>
      <c r="I17" s="302"/>
      <c r="J17" s="302"/>
      <c r="K17" s="302"/>
      <c r="L17" s="302"/>
      <c r="M17" s="302"/>
      <c r="N17" s="302"/>
      <c r="O17" s="307"/>
    </row>
    <row r="18" spans="1:15">
      <c r="A18" s="301">
        <v>8</v>
      </c>
      <c r="B18" s="302"/>
      <c r="C18" s="302"/>
      <c r="D18" s="302"/>
      <c r="E18" s="302"/>
      <c r="F18" s="302"/>
      <c r="G18" s="302"/>
      <c r="H18" s="302"/>
      <c r="I18" s="302"/>
      <c r="J18" s="302"/>
      <c r="K18" s="302"/>
      <c r="L18" s="302"/>
      <c r="M18" s="302"/>
      <c r="N18" s="302"/>
      <c r="O18" s="307"/>
    </row>
    <row r="19" spans="1:15">
      <c r="A19" s="299">
        <v>9</v>
      </c>
      <c r="B19" s="302"/>
      <c r="C19" s="302"/>
      <c r="D19" s="302"/>
      <c r="E19" s="302"/>
      <c r="F19" s="302"/>
      <c r="G19" s="302"/>
      <c r="H19" s="302"/>
      <c r="I19" s="302"/>
      <c r="J19" s="302"/>
      <c r="K19" s="302"/>
      <c r="L19" s="302"/>
      <c r="M19" s="302"/>
      <c r="N19" s="302"/>
      <c r="O19" s="307"/>
    </row>
    <row r="20" spans="1:15">
      <c r="A20" s="301">
        <v>10</v>
      </c>
      <c r="B20" s="302"/>
      <c r="C20" s="302"/>
      <c r="D20" s="302"/>
      <c r="E20" s="302"/>
      <c r="F20" s="302"/>
      <c r="G20" s="302"/>
      <c r="H20" s="302"/>
      <c r="I20" s="302"/>
      <c r="J20" s="302"/>
      <c r="K20" s="302"/>
      <c r="L20" s="302"/>
      <c r="M20" s="302"/>
      <c r="N20" s="302"/>
      <c r="O20" s="307"/>
    </row>
    <row r="21" spans="1:15">
      <c r="A21" s="299">
        <v>11</v>
      </c>
      <c r="B21" s="302"/>
      <c r="C21" s="302"/>
      <c r="D21" s="302"/>
      <c r="E21" s="302"/>
      <c r="F21" s="302"/>
      <c r="G21" s="302"/>
      <c r="H21" s="302"/>
      <c r="I21" s="302"/>
      <c r="J21" s="302"/>
      <c r="K21" s="302"/>
      <c r="L21" s="302"/>
      <c r="M21" s="302"/>
      <c r="N21" s="302"/>
      <c r="O21" s="307"/>
    </row>
    <row r="22" spans="1:15">
      <c r="A22" s="301">
        <v>12</v>
      </c>
      <c r="B22" s="302"/>
      <c r="C22" s="302"/>
      <c r="D22" s="302"/>
      <c r="E22" s="302"/>
      <c r="F22" s="302"/>
      <c r="G22" s="302"/>
      <c r="H22" s="302"/>
      <c r="I22" s="302"/>
      <c r="J22" s="302"/>
      <c r="K22" s="302"/>
      <c r="L22" s="302"/>
      <c r="M22" s="302"/>
      <c r="N22" s="302"/>
      <c r="O22" s="307"/>
    </row>
    <row r="23" spans="1:15">
      <c r="A23" s="299">
        <v>13</v>
      </c>
      <c r="B23" s="302"/>
      <c r="C23" s="302"/>
      <c r="D23" s="302"/>
      <c r="E23" s="302"/>
      <c r="F23" s="302"/>
      <c r="G23" s="302"/>
      <c r="H23" s="302"/>
      <c r="I23" s="302"/>
      <c r="J23" s="302"/>
      <c r="K23" s="302"/>
      <c r="L23" s="302"/>
      <c r="M23" s="302"/>
      <c r="N23" s="302"/>
      <c r="O23" s="307"/>
    </row>
    <row r="24" spans="1:15">
      <c r="A24" s="301">
        <v>14</v>
      </c>
      <c r="B24" s="302"/>
      <c r="C24" s="302"/>
      <c r="D24" s="302"/>
      <c r="E24" s="302"/>
      <c r="F24" s="302"/>
      <c r="G24" s="302"/>
      <c r="H24" s="302"/>
      <c r="I24" s="302"/>
      <c r="J24" s="302"/>
      <c r="K24" s="302"/>
      <c r="L24" s="302"/>
      <c r="M24" s="302"/>
      <c r="N24" s="302"/>
      <c r="O24" s="307"/>
    </row>
    <row r="25" spans="1:15">
      <c r="A25" s="299">
        <v>15</v>
      </c>
      <c r="B25" s="302"/>
      <c r="C25" s="302"/>
      <c r="D25" s="302"/>
      <c r="E25" s="302"/>
      <c r="F25" s="302"/>
      <c r="G25" s="302"/>
      <c r="H25" s="302"/>
      <c r="I25" s="302"/>
      <c r="J25" s="302"/>
      <c r="K25" s="302"/>
      <c r="L25" s="302"/>
      <c r="M25" s="302"/>
      <c r="N25" s="302"/>
      <c r="O25" s="307"/>
    </row>
    <row r="26" spans="1:15">
      <c r="A26" s="301">
        <v>16</v>
      </c>
      <c r="B26" s="302"/>
      <c r="C26" s="302"/>
      <c r="D26" s="302"/>
      <c r="E26" s="302"/>
      <c r="F26" s="302"/>
      <c r="G26" s="302"/>
      <c r="H26" s="302"/>
      <c r="I26" s="302"/>
      <c r="J26" s="302"/>
      <c r="K26" s="302"/>
      <c r="L26" s="302"/>
      <c r="M26" s="302"/>
      <c r="N26" s="302"/>
      <c r="O26" s="307"/>
    </row>
    <row r="27" spans="1:15">
      <c r="A27" s="299">
        <v>17</v>
      </c>
      <c r="B27" s="302"/>
      <c r="C27" s="302"/>
      <c r="D27" s="302"/>
      <c r="E27" s="302"/>
      <c r="F27" s="302"/>
      <c r="G27" s="302"/>
      <c r="H27" s="302"/>
      <c r="I27" s="302"/>
      <c r="J27" s="302"/>
      <c r="K27" s="302"/>
      <c r="L27" s="302"/>
      <c r="M27" s="302"/>
      <c r="N27" s="302"/>
      <c r="O27" s="307"/>
    </row>
    <row r="28" spans="1:15">
      <c r="A28" s="303">
        <v>18</v>
      </c>
      <c r="B28" s="304"/>
      <c r="C28" s="304"/>
      <c r="D28" s="304"/>
      <c r="E28" s="304"/>
      <c r="F28" s="304"/>
      <c r="G28" s="304"/>
      <c r="H28" s="304"/>
      <c r="I28" s="304"/>
      <c r="J28" s="304"/>
      <c r="K28" s="304"/>
      <c r="L28" s="304"/>
      <c r="M28" s="304"/>
      <c r="N28" s="304"/>
      <c r="O28" s="308"/>
    </row>
    <row r="30" spans="1:15">
      <c r="C30" s="2640" t="s">
        <v>1114</v>
      </c>
      <c r="D30" s="2640"/>
      <c r="E30" s="283"/>
      <c r="F30" s="283"/>
      <c r="G30" s="283"/>
      <c r="H30" s="283"/>
      <c r="I30" s="283"/>
      <c r="J30" s="283"/>
      <c r="K30" s="283"/>
      <c r="L30" s="283"/>
      <c r="M30" s="2640" t="s">
        <v>1115</v>
      </c>
      <c r="N30" s="2640"/>
    </row>
    <row r="31" spans="1:15">
      <c r="C31" s="283"/>
      <c r="D31" s="283"/>
      <c r="E31" s="283"/>
      <c r="F31" s="283"/>
      <c r="G31" s="283"/>
      <c r="H31" s="283"/>
      <c r="I31" s="283"/>
      <c r="J31" s="283"/>
      <c r="K31" s="283"/>
      <c r="L31" s="283"/>
      <c r="M31" s="283"/>
      <c r="N31" s="283"/>
    </row>
    <row r="32" spans="1:15">
      <c r="C32" s="283"/>
      <c r="D32" s="283"/>
      <c r="E32" s="283"/>
      <c r="F32" s="283"/>
      <c r="G32" s="283"/>
      <c r="H32" s="283"/>
      <c r="I32" s="283"/>
      <c r="J32" s="283"/>
      <c r="K32" s="283"/>
      <c r="L32" s="283"/>
      <c r="M32" s="283"/>
      <c r="N32" s="283"/>
    </row>
    <row r="33" spans="3:14">
      <c r="C33" s="283"/>
      <c r="D33" s="283"/>
      <c r="E33" s="283"/>
      <c r="F33" s="283"/>
      <c r="G33" s="283"/>
      <c r="H33" s="283"/>
      <c r="I33" s="283"/>
      <c r="J33" s="283"/>
      <c r="K33" s="283"/>
      <c r="L33" s="283"/>
      <c r="M33" s="283"/>
      <c r="N33" s="283"/>
    </row>
    <row r="34" spans="3:14">
      <c r="C34" s="2641" t="s">
        <v>1898</v>
      </c>
      <c r="D34" s="2641"/>
      <c r="E34" s="283"/>
      <c r="F34" s="283"/>
      <c r="G34" s="283"/>
      <c r="H34" s="283"/>
      <c r="I34" s="283"/>
      <c r="J34" s="283"/>
      <c r="K34" s="283"/>
      <c r="L34" s="283"/>
      <c r="M34" s="2641" t="s">
        <v>649</v>
      </c>
      <c r="N34" s="2641"/>
    </row>
    <row r="35" spans="3:14">
      <c r="C35" s="283"/>
      <c r="D35" s="283"/>
      <c r="E35" s="283"/>
      <c r="F35" s="283"/>
      <c r="G35" s="283"/>
      <c r="H35" s="283"/>
      <c r="I35" s="283"/>
      <c r="J35" s="283"/>
      <c r="K35" s="283"/>
      <c r="L35" s="283"/>
      <c r="M35" s="283"/>
      <c r="N35" s="283"/>
    </row>
  </sheetData>
  <mergeCells count="23">
    <mergeCell ref="O7:O8"/>
    <mergeCell ref="O9:O10"/>
    <mergeCell ref="B7:N8"/>
    <mergeCell ref="A7:A8"/>
    <mergeCell ref="A9:A10"/>
    <mergeCell ref="B9:B10"/>
    <mergeCell ref="C9:C10"/>
    <mergeCell ref="D9:D10"/>
    <mergeCell ref="B2:N2"/>
    <mergeCell ref="C30:D30"/>
    <mergeCell ref="M30:N30"/>
    <mergeCell ref="C34:D34"/>
    <mergeCell ref="M34:N34"/>
    <mergeCell ref="E9:E10"/>
    <mergeCell ref="F9:F10"/>
    <mergeCell ref="G9:G10"/>
    <mergeCell ref="H9:H10"/>
    <mergeCell ref="I9:I10"/>
    <mergeCell ref="J9:J10"/>
    <mergeCell ref="K9:K10"/>
    <mergeCell ref="L9:L10"/>
    <mergeCell ref="M9:M10"/>
    <mergeCell ref="N9:N10"/>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F0"/>
  </sheetPr>
  <dimension ref="B2:J44"/>
  <sheetViews>
    <sheetView workbookViewId="0">
      <selection activeCell="G72" sqref="A1:K115"/>
    </sheetView>
  </sheetViews>
  <sheetFormatPr defaultColWidth="9.26953125" defaultRowHeight="12.5"/>
  <cols>
    <col min="1" max="1" width="9.26953125" style="48" customWidth="1"/>
    <col min="2" max="2" width="2.7265625" style="48" customWidth="1"/>
    <col min="3" max="3" width="22.54296875" style="48" customWidth="1"/>
    <col min="4" max="4" width="1.453125" style="48" customWidth="1"/>
    <col min="5" max="5" width="17.7265625" style="48" customWidth="1"/>
    <col min="6" max="6" width="1.453125" style="48" customWidth="1"/>
    <col min="7" max="7" width="2.7265625" style="48" customWidth="1"/>
    <col min="8" max="8" width="22.54296875" style="48" customWidth="1"/>
    <col min="9" max="9" width="1.453125" style="48" customWidth="1"/>
    <col min="10" max="10" width="17.7265625" style="48" customWidth="1"/>
    <col min="11" max="16384" width="9.26953125" style="48"/>
  </cols>
  <sheetData>
    <row r="2" spans="2:10" ht="14.5">
      <c r="B2" s="2654" t="s">
        <v>1899</v>
      </c>
      <c r="C2" s="2655"/>
      <c r="D2" s="288" t="s">
        <v>359</v>
      </c>
      <c r="E2" s="289"/>
      <c r="F2" s="159"/>
      <c r="G2" s="2654" t="s">
        <v>1899</v>
      </c>
      <c r="H2" s="2655"/>
      <c r="I2" s="288" t="s">
        <v>359</v>
      </c>
      <c r="J2" s="289"/>
    </row>
    <row r="3" spans="2:10" ht="14.5">
      <c r="B3" s="2656" t="s">
        <v>1900</v>
      </c>
      <c r="C3" s="2657"/>
      <c r="D3" s="291" t="s">
        <v>359</v>
      </c>
      <c r="E3" s="292"/>
      <c r="F3" s="159"/>
      <c r="G3" s="2656" t="s">
        <v>1900</v>
      </c>
      <c r="H3" s="2657"/>
      <c r="I3" s="291" t="s">
        <v>359</v>
      </c>
      <c r="J3" s="292"/>
    </row>
    <row r="4" spans="2:10" ht="14.5">
      <c r="B4" s="2656" t="s">
        <v>1901</v>
      </c>
      <c r="C4" s="2657"/>
      <c r="D4" s="291" t="s">
        <v>359</v>
      </c>
      <c r="E4" s="292"/>
      <c r="F4" s="159"/>
      <c r="G4" s="2656" t="s">
        <v>1901</v>
      </c>
      <c r="H4" s="2657"/>
      <c r="I4" s="291" t="s">
        <v>359</v>
      </c>
      <c r="J4" s="292"/>
    </row>
    <row r="5" spans="2:10" ht="14.5">
      <c r="B5" s="2656" t="s">
        <v>1902</v>
      </c>
      <c r="C5" s="2657"/>
      <c r="D5" s="293" t="s">
        <v>359</v>
      </c>
      <c r="E5" s="294"/>
      <c r="F5" s="159"/>
      <c r="G5" s="2656" t="s">
        <v>1902</v>
      </c>
      <c r="H5" s="2657"/>
      <c r="I5" s="293" t="s">
        <v>359</v>
      </c>
      <c r="J5" s="294"/>
    </row>
    <row r="6" spans="2:10" ht="14.5">
      <c r="B6" s="2658" t="s">
        <v>1104</v>
      </c>
      <c r="C6" s="2659"/>
      <c r="D6" s="2660" t="s">
        <v>68</v>
      </c>
      <c r="E6" s="2661"/>
      <c r="F6" s="159"/>
      <c r="G6" s="2658" t="s">
        <v>1104</v>
      </c>
      <c r="H6" s="2659"/>
      <c r="I6" s="2660" t="s">
        <v>68</v>
      </c>
      <c r="J6" s="2661"/>
    </row>
    <row r="7" spans="2:10" ht="14.5">
      <c r="B7" s="295">
        <v>1</v>
      </c>
      <c r="C7" s="296"/>
      <c r="D7" s="2662"/>
      <c r="E7" s="2663"/>
      <c r="F7" s="159"/>
      <c r="G7" s="295">
        <v>1</v>
      </c>
      <c r="H7" s="296"/>
      <c r="I7" s="2662"/>
      <c r="J7" s="2663"/>
    </row>
    <row r="8" spans="2:10" ht="14.5">
      <c r="B8" s="295">
        <v>2</v>
      </c>
      <c r="C8" s="290"/>
      <c r="D8" s="2662"/>
      <c r="E8" s="2663"/>
      <c r="F8" s="159"/>
      <c r="G8" s="295">
        <v>2</v>
      </c>
      <c r="H8" s="290"/>
      <c r="I8" s="2662"/>
      <c r="J8" s="2663"/>
    </row>
    <row r="9" spans="2:10" ht="14.5">
      <c r="B9" s="295">
        <v>3</v>
      </c>
      <c r="C9" s="290"/>
      <c r="D9" s="2662"/>
      <c r="E9" s="2663"/>
      <c r="F9" s="159"/>
      <c r="G9" s="295">
        <v>3</v>
      </c>
      <c r="H9" s="290"/>
      <c r="I9" s="2662"/>
      <c r="J9" s="2663"/>
    </row>
    <row r="10" spans="2:10" ht="14.5">
      <c r="B10" s="295">
        <v>4</v>
      </c>
      <c r="C10" s="290"/>
      <c r="D10" s="2662"/>
      <c r="E10" s="2663"/>
      <c r="F10" s="159"/>
      <c r="G10" s="295">
        <v>4</v>
      </c>
      <c r="H10" s="290"/>
      <c r="I10" s="2662"/>
      <c r="J10" s="2663"/>
    </row>
    <row r="11" spans="2:10" ht="14.5">
      <c r="B11" s="297">
        <v>5</v>
      </c>
      <c r="C11" s="298"/>
      <c r="D11" s="2664"/>
      <c r="E11" s="2665"/>
      <c r="F11" s="159"/>
      <c r="G11" s="297">
        <v>5</v>
      </c>
      <c r="H11" s="298"/>
      <c r="I11" s="2664"/>
      <c r="J11" s="2665"/>
    </row>
    <row r="12" spans="2:10" ht="14.5">
      <c r="B12" s="159"/>
      <c r="C12" s="159"/>
      <c r="D12" s="159"/>
      <c r="E12" s="159"/>
      <c r="F12" s="159"/>
      <c r="G12" s="159"/>
      <c r="H12" s="159"/>
      <c r="I12" s="159"/>
      <c r="J12" s="159"/>
    </row>
    <row r="13" spans="2:10" ht="14.5">
      <c r="B13" s="2654" t="s">
        <v>1899</v>
      </c>
      <c r="C13" s="2655"/>
      <c r="D13" s="288" t="s">
        <v>359</v>
      </c>
      <c r="E13" s="289"/>
      <c r="F13" s="159"/>
      <c r="G13" s="2654" t="s">
        <v>1899</v>
      </c>
      <c r="H13" s="2655"/>
      <c r="I13" s="288" t="s">
        <v>359</v>
      </c>
      <c r="J13" s="289"/>
    </row>
    <row r="14" spans="2:10" ht="14.5">
      <c r="B14" s="2656" t="s">
        <v>1900</v>
      </c>
      <c r="C14" s="2657"/>
      <c r="D14" s="291" t="s">
        <v>359</v>
      </c>
      <c r="E14" s="292"/>
      <c r="F14" s="159"/>
      <c r="G14" s="2656" t="s">
        <v>1900</v>
      </c>
      <c r="H14" s="2657"/>
      <c r="I14" s="291" t="s">
        <v>359</v>
      </c>
      <c r="J14" s="292"/>
    </row>
    <row r="15" spans="2:10" ht="14.5">
      <c r="B15" s="2656" t="s">
        <v>1901</v>
      </c>
      <c r="C15" s="2657"/>
      <c r="D15" s="291" t="s">
        <v>359</v>
      </c>
      <c r="E15" s="292"/>
      <c r="F15" s="159"/>
      <c r="G15" s="2656" t="s">
        <v>1901</v>
      </c>
      <c r="H15" s="2657"/>
      <c r="I15" s="291" t="s">
        <v>359</v>
      </c>
      <c r="J15" s="292"/>
    </row>
    <row r="16" spans="2:10" ht="14.5">
      <c r="B16" s="2656" t="s">
        <v>1902</v>
      </c>
      <c r="C16" s="2657"/>
      <c r="D16" s="293" t="s">
        <v>359</v>
      </c>
      <c r="E16" s="294"/>
      <c r="F16" s="159"/>
      <c r="G16" s="2656" t="s">
        <v>1902</v>
      </c>
      <c r="H16" s="2657"/>
      <c r="I16" s="293" t="s">
        <v>359</v>
      </c>
      <c r="J16" s="294"/>
    </row>
    <row r="17" spans="2:10" ht="14.5">
      <c r="B17" s="2658" t="s">
        <v>1104</v>
      </c>
      <c r="C17" s="2659"/>
      <c r="D17" s="2660" t="s">
        <v>68</v>
      </c>
      <c r="E17" s="2661"/>
      <c r="F17" s="159"/>
      <c r="G17" s="2658" t="s">
        <v>1104</v>
      </c>
      <c r="H17" s="2659"/>
      <c r="I17" s="2660" t="s">
        <v>68</v>
      </c>
      <c r="J17" s="2661"/>
    </row>
    <row r="18" spans="2:10" ht="14.5">
      <c r="B18" s="295">
        <v>1</v>
      </c>
      <c r="C18" s="296"/>
      <c r="D18" s="2662"/>
      <c r="E18" s="2663"/>
      <c r="F18" s="159"/>
      <c r="G18" s="295">
        <v>1</v>
      </c>
      <c r="H18" s="296"/>
      <c r="I18" s="2662"/>
      <c r="J18" s="2663"/>
    </row>
    <row r="19" spans="2:10" ht="14.5">
      <c r="B19" s="295">
        <v>2</v>
      </c>
      <c r="C19" s="290"/>
      <c r="D19" s="2662"/>
      <c r="E19" s="2663"/>
      <c r="F19" s="159"/>
      <c r="G19" s="295">
        <v>2</v>
      </c>
      <c r="H19" s="290"/>
      <c r="I19" s="2662"/>
      <c r="J19" s="2663"/>
    </row>
    <row r="20" spans="2:10" ht="14.5">
      <c r="B20" s="295">
        <v>3</v>
      </c>
      <c r="C20" s="290"/>
      <c r="D20" s="2662"/>
      <c r="E20" s="2663"/>
      <c r="F20" s="159"/>
      <c r="G20" s="295">
        <v>3</v>
      </c>
      <c r="H20" s="290"/>
      <c r="I20" s="2662"/>
      <c r="J20" s="2663"/>
    </row>
    <row r="21" spans="2:10" ht="14.5">
      <c r="B21" s="295">
        <v>4</v>
      </c>
      <c r="C21" s="290"/>
      <c r="D21" s="2662"/>
      <c r="E21" s="2663"/>
      <c r="F21" s="159"/>
      <c r="G21" s="295">
        <v>4</v>
      </c>
      <c r="H21" s="290"/>
      <c r="I21" s="2662"/>
      <c r="J21" s="2663"/>
    </row>
    <row r="22" spans="2:10" ht="14.5">
      <c r="B22" s="297">
        <v>5</v>
      </c>
      <c r="C22" s="298"/>
      <c r="D22" s="2664"/>
      <c r="E22" s="2665"/>
      <c r="F22" s="159"/>
      <c r="G22" s="297">
        <v>5</v>
      </c>
      <c r="H22" s="298"/>
      <c r="I22" s="2664"/>
      <c r="J22" s="2665"/>
    </row>
    <row r="23" spans="2:10" ht="14.5">
      <c r="B23" s="159"/>
      <c r="C23" s="159"/>
      <c r="D23" s="159"/>
      <c r="E23" s="159"/>
      <c r="F23" s="159"/>
      <c r="G23" s="159"/>
      <c r="H23" s="159"/>
      <c r="I23" s="159"/>
      <c r="J23" s="159"/>
    </row>
    <row r="24" spans="2:10" ht="14.5">
      <c r="B24" s="2654" t="s">
        <v>1899</v>
      </c>
      <c r="C24" s="2655"/>
      <c r="D24" s="288" t="s">
        <v>359</v>
      </c>
      <c r="E24" s="289"/>
      <c r="F24" s="159"/>
      <c r="G24" s="2654" t="s">
        <v>1899</v>
      </c>
      <c r="H24" s="2655"/>
      <c r="I24" s="288" t="s">
        <v>359</v>
      </c>
      <c r="J24" s="289"/>
    </row>
    <row r="25" spans="2:10" ht="14.5">
      <c r="B25" s="2656" t="s">
        <v>1900</v>
      </c>
      <c r="C25" s="2657"/>
      <c r="D25" s="291" t="s">
        <v>359</v>
      </c>
      <c r="E25" s="292"/>
      <c r="F25" s="159"/>
      <c r="G25" s="2656" t="s">
        <v>1900</v>
      </c>
      <c r="H25" s="2657"/>
      <c r="I25" s="291" t="s">
        <v>359</v>
      </c>
      <c r="J25" s="292"/>
    </row>
    <row r="26" spans="2:10" ht="14.5">
      <c r="B26" s="2656" t="s">
        <v>1901</v>
      </c>
      <c r="C26" s="2657"/>
      <c r="D26" s="291" t="s">
        <v>359</v>
      </c>
      <c r="E26" s="292"/>
      <c r="F26" s="159"/>
      <c r="G26" s="2656" t="s">
        <v>1901</v>
      </c>
      <c r="H26" s="2657"/>
      <c r="I26" s="291" t="s">
        <v>359</v>
      </c>
      <c r="J26" s="292"/>
    </row>
    <row r="27" spans="2:10" ht="14.5">
      <c r="B27" s="2656" t="s">
        <v>1902</v>
      </c>
      <c r="C27" s="2657"/>
      <c r="D27" s="293" t="s">
        <v>359</v>
      </c>
      <c r="E27" s="294"/>
      <c r="F27" s="159"/>
      <c r="G27" s="2656" t="s">
        <v>1902</v>
      </c>
      <c r="H27" s="2657"/>
      <c r="I27" s="293" t="s">
        <v>359</v>
      </c>
      <c r="J27" s="294"/>
    </row>
    <row r="28" spans="2:10" ht="14.5">
      <c r="B28" s="2658" t="s">
        <v>1104</v>
      </c>
      <c r="C28" s="2659"/>
      <c r="D28" s="2660" t="s">
        <v>68</v>
      </c>
      <c r="E28" s="2661"/>
      <c r="F28" s="159"/>
      <c r="G28" s="2658" t="s">
        <v>1104</v>
      </c>
      <c r="H28" s="2659"/>
      <c r="I28" s="2660" t="s">
        <v>68</v>
      </c>
      <c r="J28" s="2661"/>
    </row>
    <row r="29" spans="2:10" ht="14.5">
      <c r="B29" s="295">
        <v>1</v>
      </c>
      <c r="C29" s="296"/>
      <c r="D29" s="2662"/>
      <c r="E29" s="2663"/>
      <c r="F29" s="159"/>
      <c r="G29" s="295">
        <v>1</v>
      </c>
      <c r="H29" s="296"/>
      <c r="I29" s="2662"/>
      <c r="J29" s="2663"/>
    </row>
    <row r="30" spans="2:10" ht="14.5">
      <c r="B30" s="295">
        <v>2</v>
      </c>
      <c r="C30" s="290"/>
      <c r="D30" s="2662"/>
      <c r="E30" s="2663"/>
      <c r="F30" s="159"/>
      <c r="G30" s="295">
        <v>2</v>
      </c>
      <c r="H30" s="290"/>
      <c r="I30" s="2662"/>
      <c r="J30" s="2663"/>
    </row>
    <row r="31" spans="2:10" ht="14.5">
      <c r="B31" s="295">
        <v>3</v>
      </c>
      <c r="C31" s="290"/>
      <c r="D31" s="2662"/>
      <c r="E31" s="2663"/>
      <c r="F31" s="159"/>
      <c r="G31" s="295">
        <v>3</v>
      </c>
      <c r="H31" s="290"/>
      <c r="I31" s="2662"/>
      <c r="J31" s="2663"/>
    </row>
    <row r="32" spans="2:10" ht="14.5">
      <c r="B32" s="295">
        <v>4</v>
      </c>
      <c r="C32" s="290"/>
      <c r="D32" s="2662"/>
      <c r="E32" s="2663"/>
      <c r="F32" s="159"/>
      <c r="G32" s="295">
        <v>4</v>
      </c>
      <c r="H32" s="290"/>
      <c r="I32" s="2662"/>
      <c r="J32" s="2663"/>
    </row>
    <row r="33" spans="2:10" ht="14.5">
      <c r="B33" s="297">
        <v>5</v>
      </c>
      <c r="C33" s="298"/>
      <c r="D33" s="2664"/>
      <c r="E33" s="2665"/>
      <c r="F33" s="159"/>
      <c r="G33" s="297">
        <v>5</v>
      </c>
      <c r="H33" s="298"/>
      <c r="I33" s="2664"/>
      <c r="J33" s="2665"/>
    </row>
    <row r="34" spans="2:10" ht="14.5">
      <c r="B34" s="159"/>
      <c r="C34" s="159"/>
      <c r="D34" s="159"/>
      <c r="E34" s="159"/>
      <c r="F34" s="159"/>
      <c r="G34" s="159"/>
      <c r="H34" s="159"/>
      <c r="I34" s="159"/>
      <c r="J34" s="159"/>
    </row>
    <row r="35" spans="2:10" ht="14.5">
      <c r="B35" s="2654" t="s">
        <v>1899</v>
      </c>
      <c r="C35" s="2655"/>
      <c r="D35" s="288" t="s">
        <v>359</v>
      </c>
      <c r="E35" s="289"/>
      <c r="F35" s="159"/>
      <c r="G35" s="2654" t="s">
        <v>1899</v>
      </c>
      <c r="H35" s="2655"/>
      <c r="I35" s="288" t="s">
        <v>359</v>
      </c>
      <c r="J35" s="289"/>
    </row>
    <row r="36" spans="2:10" ht="14.5">
      <c r="B36" s="2656" t="s">
        <v>1900</v>
      </c>
      <c r="C36" s="2657"/>
      <c r="D36" s="291" t="s">
        <v>359</v>
      </c>
      <c r="E36" s="292"/>
      <c r="F36" s="159"/>
      <c r="G36" s="2656" t="s">
        <v>1900</v>
      </c>
      <c r="H36" s="2657"/>
      <c r="I36" s="291" t="s">
        <v>359</v>
      </c>
      <c r="J36" s="292"/>
    </row>
    <row r="37" spans="2:10" ht="14.5">
      <c r="B37" s="2656" t="s">
        <v>1901</v>
      </c>
      <c r="C37" s="2657"/>
      <c r="D37" s="291" t="s">
        <v>359</v>
      </c>
      <c r="E37" s="292"/>
      <c r="F37" s="159"/>
      <c r="G37" s="2656" t="s">
        <v>1901</v>
      </c>
      <c r="H37" s="2657"/>
      <c r="I37" s="291" t="s">
        <v>359</v>
      </c>
      <c r="J37" s="292"/>
    </row>
    <row r="38" spans="2:10" ht="14.5">
      <c r="B38" s="2656" t="s">
        <v>1902</v>
      </c>
      <c r="C38" s="2657"/>
      <c r="D38" s="293" t="s">
        <v>359</v>
      </c>
      <c r="E38" s="294"/>
      <c r="F38" s="159"/>
      <c r="G38" s="2656" t="s">
        <v>1902</v>
      </c>
      <c r="H38" s="2657"/>
      <c r="I38" s="293" t="s">
        <v>359</v>
      </c>
      <c r="J38" s="294"/>
    </row>
    <row r="39" spans="2:10" ht="14.5">
      <c r="B39" s="2658" t="s">
        <v>1104</v>
      </c>
      <c r="C39" s="2659"/>
      <c r="D39" s="2660" t="s">
        <v>68</v>
      </c>
      <c r="E39" s="2661"/>
      <c r="F39" s="159"/>
      <c r="G39" s="2658" t="s">
        <v>1104</v>
      </c>
      <c r="H39" s="2659"/>
      <c r="I39" s="2660" t="s">
        <v>68</v>
      </c>
      <c r="J39" s="2661"/>
    </row>
    <row r="40" spans="2:10" ht="14.5">
      <c r="B40" s="295">
        <v>1</v>
      </c>
      <c r="C40" s="296"/>
      <c r="D40" s="2662"/>
      <c r="E40" s="2663"/>
      <c r="F40" s="159"/>
      <c r="G40" s="295">
        <v>1</v>
      </c>
      <c r="H40" s="296"/>
      <c r="I40" s="2662"/>
      <c r="J40" s="2663"/>
    </row>
    <row r="41" spans="2:10" ht="14.5">
      <c r="B41" s="295">
        <v>2</v>
      </c>
      <c r="C41" s="290"/>
      <c r="D41" s="2662"/>
      <c r="E41" s="2663"/>
      <c r="F41" s="159"/>
      <c r="G41" s="295">
        <v>2</v>
      </c>
      <c r="H41" s="290"/>
      <c r="I41" s="2662"/>
      <c r="J41" s="2663"/>
    </row>
    <row r="42" spans="2:10" ht="14.5">
      <c r="B42" s="295">
        <v>3</v>
      </c>
      <c r="C42" s="290"/>
      <c r="D42" s="2662"/>
      <c r="E42" s="2663"/>
      <c r="F42" s="159"/>
      <c r="G42" s="295">
        <v>3</v>
      </c>
      <c r="H42" s="290"/>
      <c r="I42" s="2662"/>
      <c r="J42" s="2663"/>
    </row>
    <row r="43" spans="2:10" ht="14.5">
      <c r="B43" s="295">
        <v>4</v>
      </c>
      <c r="C43" s="290"/>
      <c r="D43" s="2662"/>
      <c r="E43" s="2663"/>
      <c r="F43" s="159"/>
      <c r="G43" s="295">
        <v>4</v>
      </c>
      <c r="H43" s="290"/>
      <c r="I43" s="2662"/>
      <c r="J43" s="2663"/>
    </row>
    <row r="44" spans="2:10" ht="14.5">
      <c r="B44" s="297">
        <v>5</v>
      </c>
      <c r="C44" s="298"/>
      <c r="D44" s="2664"/>
      <c r="E44" s="2665"/>
      <c r="F44" s="159"/>
      <c r="G44" s="297">
        <v>5</v>
      </c>
      <c r="H44" s="298"/>
      <c r="I44" s="2664"/>
      <c r="J44" s="2665"/>
    </row>
  </sheetData>
  <mergeCells count="88">
    <mergeCell ref="D42:E42"/>
    <mergeCell ref="I42:J42"/>
    <mergeCell ref="D43:E43"/>
    <mergeCell ref="I43:J43"/>
    <mergeCell ref="D44:E44"/>
    <mergeCell ref="I44:J44"/>
    <mergeCell ref="I39:J39"/>
    <mergeCell ref="D40:E40"/>
    <mergeCell ref="I40:J40"/>
    <mergeCell ref="D41:E41"/>
    <mergeCell ref="I41:J41"/>
    <mergeCell ref="B38:C38"/>
    <mergeCell ref="G38:H38"/>
    <mergeCell ref="B39:C39"/>
    <mergeCell ref="D39:E39"/>
    <mergeCell ref="G39:H39"/>
    <mergeCell ref="B35:C35"/>
    <mergeCell ref="G35:H35"/>
    <mergeCell ref="B36:C36"/>
    <mergeCell ref="G36:H36"/>
    <mergeCell ref="B37:C37"/>
    <mergeCell ref="G37:H37"/>
    <mergeCell ref="D31:E31"/>
    <mergeCell ref="I31:J31"/>
    <mergeCell ref="D32:E32"/>
    <mergeCell ref="I32:J32"/>
    <mergeCell ref="D33:E33"/>
    <mergeCell ref="I33:J33"/>
    <mergeCell ref="I28:J28"/>
    <mergeCell ref="D29:E29"/>
    <mergeCell ref="I29:J29"/>
    <mergeCell ref="D30:E30"/>
    <mergeCell ref="I30:J30"/>
    <mergeCell ref="B27:C27"/>
    <mergeCell ref="G27:H27"/>
    <mergeCell ref="B28:C28"/>
    <mergeCell ref="D28:E28"/>
    <mergeCell ref="G28:H28"/>
    <mergeCell ref="B24:C24"/>
    <mergeCell ref="G24:H24"/>
    <mergeCell ref="B25:C25"/>
    <mergeCell ref="G25:H25"/>
    <mergeCell ref="B26:C26"/>
    <mergeCell ref="G26:H26"/>
    <mergeCell ref="D20:E20"/>
    <mergeCell ref="I20:J20"/>
    <mergeCell ref="D21:E21"/>
    <mergeCell ref="I21:J21"/>
    <mergeCell ref="D22:E22"/>
    <mergeCell ref="I22:J22"/>
    <mergeCell ref="I17:J17"/>
    <mergeCell ref="D18:E18"/>
    <mergeCell ref="I18:J18"/>
    <mergeCell ref="D19:E19"/>
    <mergeCell ref="I19:J19"/>
    <mergeCell ref="B16:C16"/>
    <mergeCell ref="G16:H16"/>
    <mergeCell ref="B17:C17"/>
    <mergeCell ref="D17:E17"/>
    <mergeCell ref="G17:H17"/>
    <mergeCell ref="B13:C13"/>
    <mergeCell ref="G13:H13"/>
    <mergeCell ref="B14:C14"/>
    <mergeCell ref="G14:H14"/>
    <mergeCell ref="B15:C15"/>
    <mergeCell ref="G15:H15"/>
    <mergeCell ref="D9:E9"/>
    <mergeCell ref="I9:J9"/>
    <mergeCell ref="D10:E10"/>
    <mergeCell ref="I10:J10"/>
    <mergeCell ref="D11:E11"/>
    <mergeCell ref="I11:J11"/>
    <mergeCell ref="I6:J6"/>
    <mergeCell ref="D7:E7"/>
    <mergeCell ref="I7:J7"/>
    <mergeCell ref="D8:E8"/>
    <mergeCell ref="I8:J8"/>
    <mergeCell ref="B5:C5"/>
    <mergeCell ref="G5:H5"/>
    <mergeCell ref="B6:C6"/>
    <mergeCell ref="D6:E6"/>
    <mergeCell ref="G6:H6"/>
    <mergeCell ref="B2:C2"/>
    <mergeCell ref="G2:H2"/>
    <mergeCell ref="B3:C3"/>
    <mergeCell ref="G3:H3"/>
    <mergeCell ref="B4:C4"/>
    <mergeCell ref="G4:H4"/>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00B0F0"/>
  </sheetPr>
  <dimension ref="A1:O34"/>
  <sheetViews>
    <sheetView workbookViewId="0">
      <selection activeCell="G72" sqref="A1:O115"/>
    </sheetView>
  </sheetViews>
  <sheetFormatPr defaultColWidth="10" defaultRowHeight="12.5"/>
  <cols>
    <col min="1" max="1" width="6.54296875" customWidth="1"/>
  </cols>
  <sheetData>
    <row r="1" spans="1:15" ht="23.5">
      <c r="A1" s="48"/>
      <c r="B1" s="2639" t="s">
        <v>1903</v>
      </c>
      <c r="C1" s="2639"/>
      <c r="D1" s="2639"/>
      <c r="E1" s="2639"/>
      <c r="F1" s="2639"/>
      <c r="G1" s="2639"/>
      <c r="H1" s="2639"/>
      <c r="I1" s="2639"/>
      <c r="J1" s="2639"/>
      <c r="K1" s="2639"/>
      <c r="L1" s="2639"/>
      <c r="M1" s="2639"/>
      <c r="N1" s="2639"/>
      <c r="O1" s="2639"/>
    </row>
    <row r="2" spans="1:15">
      <c r="A2" s="48"/>
      <c r="B2" s="48"/>
      <c r="C2" s="48"/>
      <c r="D2" s="48"/>
      <c r="E2" s="48"/>
      <c r="F2" s="48"/>
      <c r="G2" s="48"/>
      <c r="H2" s="48"/>
      <c r="I2" s="48"/>
      <c r="J2" s="48"/>
      <c r="K2" s="48"/>
      <c r="L2" s="285" t="s">
        <v>1890</v>
      </c>
      <c r="M2" s="102"/>
      <c r="N2" s="48"/>
      <c r="O2" s="48"/>
    </row>
    <row r="3" spans="1:15" ht="14.5">
      <c r="A3" s="48"/>
      <c r="B3" s="269"/>
      <c r="C3" s="48"/>
      <c r="D3" s="48"/>
      <c r="E3" s="48"/>
      <c r="F3" s="48"/>
      <c r="G3" s="48"/>
      <c r="H3" s="48"/>
      <c r="I3" s="48"/>
      <c r="J3" s="48"/>
      <c r="K3" s="48"/>
      <c r="L3" s="285" t="s">
        <v>1891</v>
      </c>
      <c r="M3" s="102"/>
      <c r="N3" s="48"/>
      <c r="O3" s="48"/>
    </row>
    <row r="4" spans="1:15" ht="18" customHeight="1">
      <c r="A4" s="48"/>
      <c r="B4" s="48"/>
      <c r="C4" s="48"/>
      <c r="D4" s="48"/>
      <c r="E4" s="48"/>
      <c r="F4" s="48"/>
      <c r="G4" s="48"/>
      <c r="H4" s="48"/>
      <c r="I4" s="48"/>
      <c r="J4" s="48"/>
      <c r="K4" s="48"/>
      <c r="L4" s="285" t="s">
        <v>1892</v>
      </c>
      <c r="M4" s="102"/>
      <c r="N4" s="48"/>
      <c r="O4" s="48"/>
    </row>
    <row r="5" spans="1:15" ht="13">
      <c r="A5" s="2666" t="s">
        <v>65</v>
      </c>
      <c r="B5" s="270" t="s">
        <v>374</v>
      </c>
      <c r="C5" s="271" t="s">
        <v>619</v>
      </c>
      <c r="D5" s="271" t="s">
        <v>622</v>
      </c>
      <c r="E5" s="271" t="s">
        <v>78</v>
      </c>
      <c r="F5" s="2669" t="s">
        <v>310</v>
      </c>
      <c r="G5" s="2669" t="s">
        <v>1904</v>
      </c>
      <c r="H5" s="2669" t="s">
        <v>1905</v>
      </c>
      <c r="I5" s="271" t="s">
        <v>100</v>
      </c>
      <c r="J5" s="271" t="s">
        <v>725</v>
      </c>
      <c r="K5" s="271" t="s">
        <v>866</v>
      </c>
      <c r="L5" s="2669" t="s">
        <v>310</v>
      </c>
      <c r="M5" s="2669" t="s">
        <v>1904</v>
      </c>
      <c r="N5" s="2669" t="s">
        <v>1905</v>
      </c>
      <c r="O5" s="2672" t="s">
        <v>1906</v>
      </c>
    </row>
    <row r="6" spans="1:15" ht="13">
      <c r="A6" s="2667"/>
      <c r="B6" s="272" t="s">
        <v>1907</v>
      </c>
      <c r="C6" s="273" t="s">
        <v>1907</v>
      </c>
      <c r="D6" s="273" t="s">
        <v>1907</v>
      </c>
      <c r="E6" s="273" t="s">
        <v>1907</v>
      </c>
      <c r="F6" s="2670"/>
      <c r="G6" s="2670"/>
      <c r="H6" s="2670"/>
      <c r="I6" s="273" t="s">
        <v>1908</v>
      </c>
      <c r="J6" s="273" t="s">
        <v>1909</v>
      </c>
      <c r="K6" s="273" t="s">
        <v>1910</v>
      </c>
      <c r="L6" s="2670"/>
      <c r="M6" s="2670"/>
      <c r="N6" s="2670"/>
      <c r="O6" s="2673"/>
    </row>
    <row r="7" spans="1:15" ht="13">
      <c r="A7" s="2668"/>
      <c r="B7" s="274" t="s">
        <v>74</v>
      </c>
      <c r="C7" s="275" t="s">
        <v>74</v>
      </c>
      <c r="D7" s="275" t="s">
        <v>74</v>
      </c>
      <c r="E7" s="275" t="s">
        <v>74</v>
      </c>
      <c r="F7" s="2671"/>
      <c r="G7" s="2671"/>
      <c r="H7" s="2671"/>
      <c r="I7" s="275" t="s">
        <v>1911</v>
      </c>
      <c r="J7" s="275" t="s">
        <v>1911</v>
      </c>
      <c r="K7" s="275" t="s">
        <v>1911</v>
      </c>
      <c r="L7" s="2671"/>
      <c r="M7" s="2671"/>
      <c r="N7" s="2671"/>
      <c r="O7" s="2674"/>
    </row>
    <row r="8" spans="1:15" ht="14.5">
      <c r="A8" s="276"/>
      <c r="B8" s="228"/>
      <c r="C8" s="228"/>
      <c r="D8" s="228"/>
      <c r="E8" s="228"/>
      <c r="F8" s="228"/>
      <c r="G8" s="228"/>
      <c r="H8" s="228"/>
      <c r="I8" s="228"/>
      <c r="J8" s="228"/>
      <c r="K8" s="228"/>
      <c r="L8" s="228"/>
      <c r="M8" s="228"/>
      <c r="N8" s="228"/>
      <c r="O8" s="245"/>
    </row>
    <row r="9" spans="1:15" ht="14.5">
      <c r="A9" s="277"/>
      <c r="B9" s="231"/>
      <c r="C9" s="231"/>
      <c r="D9" s="231"/>
      <c r="E9" s="231"/>
      <c r="F9" s="231"/>
      <c r="G9" s="231"/>
      <c r="H9" s="231"/>
      <c r="I9" s="231"/>
      <c r="J9" s="231"/>
      <c r="K9" s="231"/>
      <c r="L9" s="231"/>
      <c r="M9" s="286"/>
      <c r="N9" s="231"/>
      <c r="O9" s="246"/>
    </row>
    <row r="10" spans="1:15" ht="14.5">
      <c r="A10" s="277" t="s">
        <v>61</v>
      </c>
      <c r="B10" s="231"/>
      <c r="C10" s="231"/>
      <c r="D10" s="231"/>
      <c r="E10" s="231"/>
      <c r="F10" s="231"/>
      <c r="G10" s="231"/>
      <c r="H10" s="231"/>
      <c r="I10" s="231"/>
      <c r="J10" s="231"/>
      <c r="K10" s="231"/>
      <c r="L10" s="231"/>
      <c r="M10" s="231"/>
      <c r="N10" s="231"/>
      <c r="O10" s="246"/>
    </row>
    <row r="11" spans="1:15" ht="14.5">
      <c r="A11" s="277"/>
      <c r="B11" s="231"/>
      <c r="C11" s="231"/>
      <c r="D11" s="231"/>
      <c r="E11" s="231"/>
      <c r="F11" s="231"/>
      <c r="G11" s="231"/>
      <c r="H11" s="231"/>
      <c r="I11" s="231"/>
      <c r="J11" s="231"/>
      <c r="K11" s="231"/>
      <c r="L11" s="231"/>
      <c r="M11" s="231"/>
      <c r="N11" s="231"/>
      <c r="O11" s="246"/>
    </row>
    <row r="12" spans="1:15" ht="14.5">
      <c r="A12" s="277"/>
      <c r="B12" s="231"/>
      <c r="C12" s="231"/>
      <c r="D12" s="231"/>
      <c r="E12" s="231"/>
      <c r="F12" s="231"/>
      <c r="G12" s="231"/>
      <c r="H12" s="231"/>
      <c r="I12" s="231"/>
      <c r="J12" s="231"/>
      <c r="K12" s="231"/>
      <c r="L12" s="231"/>
      <c r="M12" s="231"/>
      <c r="N12" s="231"/>
      <c r="O12" s="246"/>
    </row>
    <row r="13" spans="1:15" ht="14.5">
      <c r="A13" s="277"/>
      <c r="B13" s="231"/>
      <c r="C13" s="231"/>
      <c r="D13" s="231"/>
      <c r="E13" s="231"/>
      <c r="F13" s="231"/>
      <c r="G13" s="231"/>
      <c r="H13" s="231"/>
      <c r="I13" s="231"/>
      <c r="J13" s="231"/>
      <c r="K13" s="231"/>
      <c r="L13" s="231"/>
      <c r="M13" s="231"/>
      <c r="N13" s="231"/>
      <c r="O13" s="246"/>
    </row>
    <row r="14" spans="1:15" ht="14.5">
      <c r="A14" s="277"/>
      <c r="B14" s="231"/>
      <c r="C14" s="231"/>
      <c r="D14" s="231"/>
      <c r="E14" s="231"/>
      <c r="F14" s="231"/>
      <c r="G14" s="231"/>
      <c r="H14" s="231"/>
      <c r="I14" s="231"/>
      <c r="J14" s="231"/>
      <c r="K14" s="231"/>
      <c r="L14" s="231"/>
      <c r="M14" s="231"/>
      <c r="N14" s="231"/>
      <c r="O14" s="246"/>
    </row>
    <row r="15" spans="1:15" ht="14.5">
      <c r="A15" s="277"/>
      <c r="B15" s="231"/>
      <c r="C15" s="231"/>
      <c r="D15" s="231"/>
      <c r="E15" s="231"/>
      <c r="F15" s="231"/>
      <c r="G15" s="231"/>
      <c r="H15" s="231"/>
      <c r="I15" s="231"/>
      <c r="J15" s="231"/>
      <c r="K15" s="231"/>
      <c r="L15" s="231"/>
      <c r="M15" s="231"/>
      <c r="N15" s="231"/>
      <c r="O15" s="246"/>
    </row>
    <row r="16" spans="1:15" ht="14.5">
      <c r="A16" s="277"/>
      <c r="B16" s="231"/>
      <c r="C16" s="231"/>
      <c r="D16" s="231"/>
      <c r="E16" s="231"/>
      <c r="F16" s="231"/>
      <c r="G16" s="231"/>
      <c r="H16" s="231"/>
      <c r="I16" s="231"/>
      <c r="J16" s="231"/>
      <c r="K16" s="231"/>
      <c r="L16" s="231"/>
      <c r="M16" s="231"/>
      <c r="N16" s="231"/>
      <c r="O16" s="246"/>
    </row>
    <row r="17" spans="1:15" ht="14.5">
      <c r="A17" s="277"/>
      <c r="B17" s="231"/>
      <c r="C17" s="231"/>
      <c r="D17" s="231"/>
      <c r="E17" s="231"/>
      <c r="F17" s="231"/>
      <c r="G17" s="231"/>
      <c r="H17" s="231"/>
      <c r="I17" s="231"/>
      <c r="J17" s="231"/>
      <c r="K17" s="231"/>
      <c r="L17" s="231"/>
      <c r="M17" s="231"/>
      <c r="N17" s="231"/>
      <c r="O17" s="246"/>
    </row>
    <row r="18" spans="1:15" ht="14.5">
      <c r="A18" s="277"/>
      <c r="B18" s="231"/>
      <c r="C18" s="231"/>
      <c r="D18" s="231"/>
      <c r="E18" s="231"/>
      <c r="F18" s="231"/>
      <c r="G18" s="231"/>
      <c r="H18" s="231"/>
      <c r="I18" s="231"/>
      <c r="J18" s="231"/>
      <c r="K18" s="231"/>
      <c r="L18" s="231"/>
      <c r="M18" s="231"/>
      <c r="N18" s="231"/>
      <c r="O18" s="246"/>
    </row>
    <row r="19" spans="1:15" ht="14.5">
      <c r="A19" s="277"/>
      <c r="B19" s="231"/>
      <c r="C19" s="231"/>
      <c r="D19" s="231"/>
      <c r="E19" s="231"/>
      <c r="F19" s="231"/>
      <c r="G19" s="231"/>
      <c r="H19" s="231"/>
      <c r="I19" s="231"/>
      <c r="J19" s="231"/>
      <c r="K19" s="231"/>
      <c r="L19" s="231"/>
      <c r="M19" s="231"/>
      <c r="N19" s="231"/>
      <c r="O19" s="246"/>
    </row>
    <row r="20" spans="1:15" ht="14.5">
      <c r="A20" s="277"/>
      <c r="B20" s="231"/>
      <c r="C20" s="231"/>
      <c r="D20" s="231"/>
      <c r="E20" s="231"/>
      <c r="F20" s="231"/>
      <c r="G20" s="231"/>
      <c r="H20" s="231"/>
      <c r="I20" s="231"/>
      <c r="J20" s="231"/>
      <c r="K20" s="231"/>
      <c r="L20" s="231"/>
      <c r="M20" s="231"/>
      <c r="N20" s="231"/>
      <c r="O20" s="246"/>
    </row>
    <row r="21" spans="1:15" ht="14.5">
      <c r="A21" s="277"/>
      <c r="B21" s="231"/>
      <c r="C21" s="231"/>
      <c r="D21" s="231"/>
      <c r="E21" s="231"/>
      <c r="F21" s="231"/>
      <c r="G21" s="231"/>
      <c r="H21" s="231"/>
      <c r="I21" s="231"/>
      <c r="J21" s="231"/>
      <c r="K21" s="231"/>
      <c r="L21" s="231"/>
      <c r="M21" s="231"/>
      <c r="N21" s="231"/>
      <c r="O21" s="246"/>
    </row>
    <row r="22" spans="1:15" ht="14.5">
      <c r="A22" s="277"/>
      <c r="B22" s="231"/>
      <c r="C22" s="231"/>
      <c r="D22" s="231"/>
      <c r="E22" s="231"/>
      <c r="F22" s="231"/>
      <c r="G22" s="231"/>
      <c r="H22" s="231"/>
      <c r="I22" s="231"/>
      <c r="J22" s="231"/>
      <c r="K22" s="231"/>
      <c r="L22" s="231"/>
      <c r="M22" s="231"/>
      <c r="N22" s="231"/>
      <c r="O22" s="246"/>
    </row>
    <row r="23" spans="1:15" ht="14.5">
      <c r="A23" s="277"/>
      <c r="B23" s="231"/>
      <c r="C23" s="231"/>
      <c r="D23" s="231"/>
      <c r="E23" s="231"/>
      <c r="F23" s="231"/>
      <c r="G23" s="231"/>
      <c r="H23" s="231"/>
      <c r="I23" s="231"/>
      <c r="J23" s="231"/>
      <c r="K23" s="231"/>
      <c r="L23" s="231"/>
      <c r="M23" s="231"/>
      <c r="N23" s="231"/>
      <c r="O23" s="246"/>
    </row>
    <row r="24" spans="1:15" ht="14.5">
      <c r="A24" s="277"/>
      <c r="B24" s="231"/>
      <c r="C24" s="231"/>
      <c r="D24" s="231"/>
      <c r="E24" s="231"/>
      <c r="F24" s="231"/>
      <c r="G24" s="231"/>
      <c r="H24" s="231"/>
      <c r="I24" s="231"/>
      <c r="J24" s="231"/>
      <c r="K24" s="231"/>
      <c r="L24" s="231"/>
      <c r="M24" s="231"/>
      <c r="N24" s="231"/>
      <c r="O24" s="246"/>
    </row>
    <row r="25" spans="1:15" ht="14.5">
      <c r="A25" s="277"/>
      <c r="B25" s="231"/>
      <c r="C25" s="231"/>
      <c r="D25" s="231"/>
      <c r="E25" s="231"/>
      <c r="F25" s="231"/>
      <c r="G25" s="231"/>
      <c r="H25" s="231"/>
      <c r="I25" s="231"/>
      <c r="J25" s="231"/>
      <c r="K25" s="231"/>
      <c r="L25" s="231"/>
      <c r="M25" s="231"/>
      <c r="N25" s="231"/>
      <c r="O25" s="246"/>
    </row>
    <row r="26" spans="1:15" ht="14.5">
      <c r="A26" s="277"/>
      <c r="B26" s="231"/>
      <c r="C26" s="231"/>
      <c r="D26" s="231"/>
      <c r="E26" s="231"/>
      <c r="F26" s="231"/>
      <c r="G26" s="231"/>
      <c r="H26" s="231"/>
      <c r="I26" s="231"/>
      <c r="J26" s="231"/>
      <c r="K26" s="231"/>
      <c r="L26" s="231"/>
      <c r="M26" s="231"/>
      <c r="N26" s="231"/>
      <c r="O26" s="246"/>
    </row>
    <row r="27" spans="1:15" ht="14.5">
      <c r="A27" s="277"/>
      <c r="B27" s="231"/>
      <c r="C27" s="231"/>
      <c r="D27" s="231"/>
      <c r="E27" s="231"/>
      <c r="F27" s="231"/>
      <c r="G27" s="231"/>
      <c r="H27" s="231"/>
      <c r="I27" s="231"/>
      <c r="J27" s="231"/>
      <c r="K27" s="231"/>
      <c r="L27" s="231"/>
      <c r="M27" s="231"/>
      <c r="N27" s="231"/>
      <c r="O27" s="246"/>
    </row>
    <row r="28" spans="1:15" ht="14.5">
      <c r="A28" s="277"/>
      <c r="B28" s="231"/>
      <c r="C28" s="231"/>
      <c r="D28" s="231"/>
      <c r="E28" s="231"/>
      <c r="F28" s="231"/>
      <c r="G28" s="231"/>
      <c r="H28" s="231"/>
      <c r="I28" s="231"/>
      <c r="J28" s="231"/>
      <c r="K28" s="231"/>
      <c r="L28" s="231"/>
      <c r="M28" s="231"/>
      <c r="N28" s="231"/>
      <c r="O28" s="246"/>
    </row>
    <row r="29" spans="1:15" ht="14.5">
      <c r="A29" s="277"/>
      <c r="B29" s="231"/>
      <c r="C29" s="278"/>
      <c r="D29" s="278"/>
      <c r="E29" s="278"/>
      <c r="F29" s="278"/>
      <c r="G29" s="278"/>
      <c r="H29" s="278"/>
      <c r="I29" s="278"/>
      <c r="J29" s="278"/>
      <c r="K29" s="231"/>
      <c r="L29" s="231"/>
      <c r="M29" s="231"/>
      <c r="N29" s="231"/>
      <c r="O29" s="246"/>
    </row>
    <row r="30" spans="1:15" ht="14.5">
      <c r="A30" s="279"/>
      <c r="B30" s="280"/>
      <c r="C30" s="281"/>
      <c r="D30" s="281"/>
      <c r="E30" s="281"/>
      <c r="F30" s="281"/>
      <c r="G30" s="281"/>
      <c r="H30" s="281"/>
      <c r="I30" s="281"/>
      <c r="J30" s="281"/>
      <c r="K30" s="280"/>
      <c r="L30" s="280"/>
      <c r="M30" s="280"/>
      <c r="N30" s="280"/>
      <c r="O30" s="287"/>
    </row>
    <row r="31" spans="1:15" ht="9.65" customHeight="1">
      <c r="A31" s="159"/>
      <c r="B31" s="159"/>
      <c r="C31" s="102"/>
      <c r="D31" s="102"/>
      <c r="E31" s="102"/>
      <c r="F31" s="102"/>
      <c r="G31" s="102"/>
      <c r="H31" s="102"/>
      <c r="I31" s="102"/>
      <c r="J31" s="102"/>
      <c r="K31" s="159"/>
      <c r="L31" s="159"/>
      <c r="M31" s="159"/>
      <c r="N31" s="159"/>
      <c r="O31" s="159"/>
    </row>
    <row r="32" spans="1:15" ht="14.5">
      <c r="A32" s="159"/>
      <c r="B32" s="159"/>
      <c r="C32" s="282" t="s">
        <v>1114</v>
      </c>
      <c r="D32" s="283"/>
      <c r="E32" s="283"/>
      <c r="F32" s="283"/>
      <c r="G32" s="283"/>
      <c r="H32" s="283"/>
      <c r="I32" s="283"/>
      <c r="J32" s="283"/>
      <c r="K32" s="283"/>
      <c r="L32" s="159"/>
      <c r="M32" s="159"/>
      <c r="N32" s="159"/>
      <c r="O32" s="159"/>
    </row>
    <row r="33" spans="1:15" ht="30" customHeight="1">
      <c r="A33" s="159"/>
      <c r="B33" s="159"/>
      <c r="C33" s="284"/>
      <c r="D33" s="283"/>
      <c r="E33" s="283"/>
      <c r="F33" s="283"/>
      <c r="G33" s="283"/>
      <c r="H33" s="283"/>
      <c r="I33" s="283"/>
      <c r="J33" s="283"/>
      <c r="K33" s="283"/>
      <c r="L33" s="159"/>
      <c r="M33" s="159"/>
      <c r="N33" s="159"/>
      <c r="O33" s="159"/>
    </row>
    <row r="34" spans="1:15" ht="14.5">
      <c r="A34" s="159"/>
      <c r="B34" s="159"/>
      <c r="C34" s="284" t="s">
        <v>1912</v>
      </c>
      <c r="D34" s="283"/>
      <c r="E34" s="283"/>
      <c r="F34" s="283"/>
      <c r="G34" s="283"/>
      <c r="H34" s="283"/>
      <c r="I34" s="283"/>
      <c r="J34" s="283"/>
      <c r="K34" s="283"/>
      <c r="L34" s="159"/>
      <c r="M34" s="159"/>
      <c r="N34" s="159"/>
      <c r="O34" s="159"/>
    </row>
  </sheetData>
  <mergeCells count="9">
    <mergeCell ref="B1:O1"/>
    <mergeCell ref="A5:A7"/>
    <mergeCell ref="F5:F7"/>
    <mergeCell ref="G5:G7"/>
    <mergeCell ref="H5:H7"/>
    <mergeCell ref="L5:L7"/>
    <mergeCell ref="M5:M7"/>
    <mergeCell ref="N5:N7"/>
    <mergeCell ref="O5:O7"/>
  </mergeCells>
  <pageMargins left="0.7" right="0.7" top="0.75" bottom="0.75" header="0.3" footer="0.3"/>
  <pageSetup paperSize="9" orientation="portrait"/>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00B0F0"/>
  </sheetPr>
  <dimension ref="A2:O57"/>
  <sheetViews>
    <sheetView workbookViewId="0">
      <selection activeCell="G72" sqref="A1:L115"/>
    </sheetView>
  </sheetViews>
  <sheetFormatPr defaultColWidth="9.26953125" defaultRowHeight="14.5"/>
  <cols>
    <col min="1" max="1" width="28.54296875" style="61" customWidth="1"/>
    <col min="2" max="2" width="8.81640625" style="61" customWidth="1"/>
    <col min="3" max="3" width="11.453125" style="61" customWidth="1"/>
    <col min="4" max="10" width="10.54296875" style="61" customWidth="1"/>
    <col min="11" max="12" width="11.26953125" style="61" customWidth="1"/>
    <col min="13" max="16384" width="9.26953125" style="61"/>
  </cols>
  <sheetData>
    <row r="2" spans="1:12" ht="21">
      <c r="A2" s="2675" t="s">
        <v>1913</v>
      </c>
      <c r="B2" s="2675"/>
      <c r="C2" s="2675"/>
      <c r="D2" s="2675"/>
      <c r="E2" s="2675"/>
      <c r="F2" s="2675"/>
      <c r="G2" s="2675"/>
      <c r="H2" s="2675"/>
      <c r="I2" s="2675"/>
      <c r="J2" s="2675"/>
      <c r="K2" s="2675"/>
      <c r="L2" s="2675"/>
    </row>
    <row r="3" spans="1:12">
      <c r="J3" s="248" t="s">
        <v>1914</v>
      </c>
      <c r="K3" s="248" t="s">
        <v>359</v>
      </c>
    </row>
    <row r="4" spans="1:12">
      <c r="J4" s="248" t="s">
        <v>360</v>
      </c>
      <c r="K4" s="248" t="s">
        <v>359</v>
      </c>
    </row>
    <row r="5" spans="1:12">
      <c r="J5" s="248" t="s">
        <v>1915</v>
      </c>
      <c r="K5" s="248" t="s">
        <v>359</v>
      </c>
    </row>
    <row r="7" spans="1:12">
      <c r="A7" s="2666" t="s">
        <v>1104</v>
      </c>
      <c r="B7" s="2669" t="s">
        <v>1916</v>
      </c>
      <c r="C7" s="250" t="s">
        <v>361</v>
      </c>
      <c r="D7" s="250" t="s">
        <v>361</v>
      </c>
      <c r="E7" s="250" t="s">
        <v>361</v>
      </c>
      <c r="F7" s="250" t="s">
        <v>361</v>
      </c>
      <c r="G7" s="250" t="s">
        <v>361</v>
      </c>
      <c r="H7" s="250" t="s">
        <v>361</v>
      </c>
      <c r="I7" s="250" t="s">
        <v>361</v>
      </c>
      <c r="J7" s="250" t="s">
        <v>361</v>
      </c>
      <c r="K7" s="250" t="s">
        <v>361</v>
      </c>
      <c r="L7" s="265" t="s">
        <v>361</v>
      </c>
    </row>
    <row r="8" spans="1:12">
      <c r="A8" s="2668"/>
      <c r="B8" s="2671"/>
      <c r="C8" s="251"/>
      <c r="D8" s="251"/>
      <c r="E8" s="251"/>
      <c r="F8" s="251"/>
      <c r="G8" s="251"/>
      <c r="H8" s="251"/>
      <c r="I8" s="251"/>
      <c r="J8" s="251"/>
      <c r="K8" s="251"/>
      <c r="L8" s="266"/>
    </row>
    <row r="9" spans="1:12">
      <c r="A9" s="252" t="s">
        <v>1917</v>
      </c>
      <c r="B9" s="253"/>
      <c r="C9" s="254"/>
      <c r="D9" s="254"/>
      <c r="E9" s="254"/>
      <c r="F9" s="254"/>
      <c r="G9" s="254"/>
      <c r="H9" s="254"/>
      <c r="I9" s="254"/>
      <c r="J9" s="254"/>
      <c r="K9" s="254"/>
      <c r="L9" s="267"/>
    </row>
    <row r="10" spans="1:12">
      <c r="A10" s="255" t="s">
        <v>1918</v>
      </c>
      <c r="B10" s="256" t="s">
        <v>74</v>
      </c>
      <c r="C10" s="257" t="s">
        <v>1919</v>
      </c>
      <c r="D10" s="257" t="s">
        <v>1919</v>
      </c>
      <c r="E10" s="257" t="s">
        <v>1919</v>
      </c>
      <c r="F10" s="257" t="s">
        <v>1919</v>
      </c>
      <c r="G10" s="257" t="s">
        <v>1919</v>
      </c>
      <c r="H10" s="257" t="s">
        <v>1919</v>
      </c>
      <c r="I10" s="257" t="s">
        <v>1919</v>
      </c>
      <c r="J10" s="257" t="s">
        <v>1919</v>
      </c>
      <c r="K10" s="257" t="s">
        <v>1919</v>
      </c>
      <c r="L10" s="268" t="s">
        <v>1919</v>
      </c>
    </row>
    <row r="11" spans="1:12">
      <c r="A11" s="255" t="s">
        <v>1920</v>
      </c>
      <c r="B11" s="256" t="s">
        <v>1911</v>
      </c>
      <c r="C11" s="257" t="s">
        <v>1919</v>
      </c>
      <c r="D11" s="257" t="s">
        <v>1919</v>
      </c>
      <c r="E11" s="257" t="s">
        <v>1919</v>
      </c>
      <c r="F11" s="257" t="s">
        <v>1919</v>
      </c>
      <c r="G11" s="257" t="s">
        <v>1919</v>
      </c>
      <c r="H11" s="257" t="s">
        <v>1919</v>
      </c>
      <c r="I11" s="257" t="s">
        <v>1919</v>
      </c>
      <c r="J11" s="257" t="s">
        <v>1919</v>
      </c>
      <c r="K11" s="257" t="s">
        <v>1919</v>
      </c>
      <c r="L11" s="268" t="s">
        <v>1919</v>
      </c>
    </row>
    <row r="12" spans="1:12">
      <c r="A12" s="255" t="s">
        <v>1921</v>
      </c>
      <c r="B12" s="256" t="s">
        <v>1911</v>
      </c>
      <c r="C12" s="257" t="s">
        <v>1919</v>
      </c>
      <c r="D12" s="257" t="s">
        <v>1919</v>
      </c>
      <c r="E12" s="257" t="s">
        <v>1919</v>
      </c>
      <c r="F12" s="257" t="s">
        <v>1919</v>
      </c>
      <c r="G12" s="257" t="s">
        <v>1919</v>
      </c>
      <c r="H12" s="257" t="s">
        <v>1919</v>
      </c>
      <c r="I12" s="257" t="s">
        <v>1919</v>
      </c>
      <c r="J12" s="257" t="s">
        <v>1919</v>
      </c>
      <c r="K12" s="257" t="s">
        <v>1919</v>
      </c>
      <c r="L12" s="268" t="s">
        <v>1919</v>
      </c>
    </row>
    <row r="13" spans="1:12">
      <c r="A13" s="255" t="s">
        <v>1922</v>
      </c>
      <c r="B13" s="256" t="s">
        <v>1911</v>
      </c>
      <c r="C13" s="257" t="s">
        <v>1919</v>
      </c>
      <c r="D13" s="257" t="s">
        <v>1919</v>
      </c>
      <c r="E13" s="257" t="s">
        <v>1919</v>
      </c>
      <c r="F13" s="257" t="s">
        <v>1919</v>
      </c>
      <c r="G13" s="257" t="s">
        <v>1919</v>
      </c>
      <c r="H13" s="257" t="s">
        <v>1919</v>
      </c>
      <c r="I13" s="257" t="s">
        <v>1919</v>
      </c>
      <c r="J13" s="257" t="s">
        <v>1919</v>
      </c>
      <c r="K13" s="257" t="s">
        <v>1919</v>
      </c>
      <c r="L13" s="268" t="s">
        <v>1919</v>
      </c>
    </row>
    <row r="14" spans="1:12">
      <c r="A14" s="255" t="s">
        <v>1923</v>
      </c>
      <c r="B14" s="256" t="s">
        <v>1911</v>
      </c>
      <c r="C14" s="257" t="s">
        <v>1919</v>
      </c>
      <c r="D14" s="257" t="s">
        <v>1919</v>
      </c>
      <c r="E14" s="257" t="s">
        <v>1919</v>
      </c>
      <c r="F14" s="257" t="s">
        <v>1919</v>
      </c>
      <c r="G14" s="257" t="s">
        <v>1919</v>
      </c>
      <c r="H14" s="257" t="s">
        <v>1919</v>
      </c>
      <c r="I14" s="257" t="s">
        <v>1919</v>
      </c>
      <c r="J14" s="257" t="s">
        <v>1919</v>
      </c>
      <c r="K14" s="257" t="s">
        <v>1919</v>
      </c>
      <c r="L14" s="268" t="s">
        <v>1919</v>
      </c>
    </row>
    <row r="15" spans="1:12">
      <c r="A15" s="255" t="s">
        <v>1924</v>
      </c>
      <c r="B15" s="256" t="s">
        <v>1911</v>
      </c>
      <c r="C15" s="257" t="s">
        <v>1919</v>
      </c>
      <c r="D15" s="257" t="s">
        <v>1919</v>
      </c>
      <c r="E15" s="257" t="s">
        <v>1919</v>
      </c>
      <c r="F15" s="257" t="s">
        <v>1919</v>
      </c>
      <c r="G15" s="257" t="s">
        <v>1919</v>
      </c>
      <c r="H15" s="257" t="s">
        <v>1919</v>
      </c>
      <c r="I15" s="257" t="s">
        <v>1919</v>
      </c>
      <c r="J15" s="257" t="s">
        <v>1919</v>
      </c>
      <c r="K15" s="257" t="s">
        <v>1919</v>
      </c>
      <c r="L15" s="268" t="s">
        <v>1919</v>
      </c>
    </row>
    <row r="16" spans="1:12">
      <c r="A16" s="255" t="s">
        <v>1925</v>
      </c>
      <c r="B16" s="256" t="s">
        <v>1911</v>
      </c>
      <c r="C16" s="257" t="s">
        <v>1926</v>
      </c>
      <c r="D16" s="257" t="s">
        <v>1926</v>
      </c>
      <c r="E16" s="257" t="s">
        <v>1926</v>
      </c>
      <c r="F16" s="257" t="s">
        <v>1926</v>
      </c>
      <c r="G16" s="257" t="s">
        <v>1926</v>
      </c>
      <c r="H16" s="257" t="s">
        <v>1926</v>
      </c>
      <c r="I16" s="257" t="s">
        <v>1926</v>
      </c>
      <c r="J16" s="257" t="s">
        <v>1926</v>
      </c>
      <c r="K16" s="257" t="s">
        <v>1926</v>
      </c>
      <c r="L16" s="268" t="s">
        <v>1926</v>
      </c>
    </row>
    <row r="17" spans="1:15">
      <c r="A17" s="258" t="s">
        <v>1927</v>
      </c>
      <c r="B17" s="256" t="s">
        <v>90</v>
      </c>
      <c r="C17" s="257" t="s">
        <v>1928</v>
      </c>
      <c r="D17" s="257" t="s">
        <v>1919</v>
      </c>
      <c r="E17" s="257" t="s">
        <v>1919</v>
      </c>
      <c r="F17" s="257" t="s">
        <v>1919</v>
      </c>
      <c r="G17" s="257" t="s">
        <v>1919</v>
      </c>
      <c r="H17" s="257" t="s">
        <v>1919</v>
      </c>
      <c r="I17" s="257" t="s">
        <v>1919</v>
      </c>
      <c r="J17" s="257" t="s">
        <v>1919</v>
      </c>
      <c r="K17" s="257" t="s">
        <v>1919</v>
      </c>
      <c r="L17" s="268" t="s">
        <v>1919</v>
      </c>
    </row>
    <row r="18" spans="1:15">
      <c r="A18" s="255" t="s">
        <v>40</v>
      </c>
      <c r="B18" s="259"/>
      <c r="C18" s="257" t="s">
        <v>1919</v>
      </c>
      <c r="D18" s="257" t="s">
        <v>1919</v>
      </c>
      <c r="E18" s="257" t="s">
        <v>1919</v>
      </c>
      <c r="F18" s="257" t="s">
        <v>1919</v>
      </c>
      <c r="G18" s="257" t="s">
        <v>1919</v>
      </c>
      <c r="H18" s="257" t="s">
        <v>1919</v>
      </c>
      <c r="I18" s="257" t="s">
        <v>1919</v>
      </c>
      <c r="J18" s="257" t="s">
        <v>1919</v>
      </c>
      <c r="K18" s="257" t="s">
        <v>1919</v>
      </c>
      <c r="L18" s="268" t="s">
        <v>1919</v>
      </c>
    </row>
    <row r="19" spans="1:15">
      <c r="A19" s="255" t="s">
        <v>42</v>
      </c>
      <c r="B19" s="259"/>
      <c r="C19" s="257" t="s">
        <v>1919</v>
      </c>
      <c r="D19" s="257" t="s">
        <v>1919</v>
      </c>
      <c r="E19" s="257" t="s">
        <v>1919</v>
      </c>
      <c r="F19" s="257" t="s">
        <v>1919</v>
      </c>
      <c r="G19" s="257" t="s">
        <v>1919</v>
      </c>
      <c r="H19" s="257" t="s">
        <v>1919</v>
      </c>
      <c r="I19" s="257" t="s">
        <v>1919</v>
      </c>
      <c r="J19" s="257" t="s">
        <v>1919</v>
      </c>
      <c r="K19" s="257" t="s">
        <v>1919</v>
      </c>
      <c r="L19" s="268" t="s">
        <v>1919</v>
      </c>
    </row>
    <row r="20" spans="1:15">
      <c r="A20" s="255"/>
      <c r="B20" s="259"/>
      <c r="C20" s="257" t="s">
        <v>1919</v>
      </c>
      <c r="D20" s="257" t="s">
        <v>1919</v>
      </c>
      <c r="E20" s="257" t="s">
        <v>1919</v>
      </c>
      <c r="F20" s="257" t="s">
        <v>1919</v>
      </c>
      <c r="G20" s="257" t="s">
        <v>1919</v>
      </c>
      <c r="H20" s="257" t="s">
        <v>1919</v>
      </c>
      <c r="I20" s="257" t="s">
        <v>1919</v>
      </c>
      <c r="J20" s="257" t="s">
        <v>1919</v>
      </c>
      <c r="K20" s="257" t="s">
        <v>1919</v>
      </c>
      <c r="L20" s="268" t="s">
        <v>1919</v>
      </c>
      <c r="O20" s="61" t="s">
        <v>61</v>
      </c>
    </row>
    <row r="21" spans="1:15">
      <c r="A21" s="255"/>
      <c r="B21" s="259"/>
      <c r="C21" s="257" t="s">
        <v>1919</v>
      </c>
      <c r="D21" s="257" t="s">
        <v>1919</v>
      </c>
      <c r="E21" s="257" t="s">
        <v>1919</v>
      </c>
      <c r="F21" s="257" t="s">
        <v>1919</v>
      </c>
      <c r="G21" s="257" t="s">
        <v>1919</v>
      </c>
      <c r="H21" s="257" t="s">
        <v>1919</v>
      </c>
      <c r="I21" s="257" t="s">
        <v>1919</v>
      </c>
      <c r="J21" s="257" t="s">
        <v>1919</v>
      </c>
      <c r="K21" s="257" t="s">
        <v>1919</v>
      </c>
      <c r="L21" s="268" t="s">
        <v>1919</v>
      </c>
    </row>
    <row r="22" spans="1:15">
      <c r="A22" s="255" t="s">
        <v>1929</v>
      </c>
      <c r="B22" s="259"/>
      <c r="C22" s="257"/>
      <c r="D22" s="257"/>
      <c r="E22" s="257"/>
      <c r="F22" s="257"/>
      <c r="G22" s="257"/>
      <c r="H22" s="257"/>
      <c r="I22" s="257"/>
      <c r="J22" s="257"/>
      <c r="K22" s="257"/>
      <c r="L22" s="268"/>
    </row>
    <row r="23" spans="1:15">
      <c r="A23" s="260" t="s">
        <v>1930</v>
      </c>
      <c r="B23" s="261"/>
      <c r="C23" s="251"/>
      <c r="D23" s="251"/>
      <c r="E23" s="251"/>
      <c r="F23" s="251"/>
      <c r="G23" s="251"/>
      <c r="H23" s="251"/>
      <c r="I23" s="251"/>
      <c r="J23" s="251"/>
      <c r="K23" s="251"/>
      <c r="L23" s="266"/>
    </row>
    <row r="25" spans="1:15" s="248" customFormat="1">
      <c r="B25" s="2676" t="s">
        <v>1114</v>
      </c>
      <c r="C25" s="2676"/>
      <c r="D25" s="262"/>
      <c r="E25" s="262"/>
      <c r="F25" s="262"/>
      <c r="G25" s="262"/>
      <c r="H25" s="262"/>
      <c r="I25" s="2676" t="s">
        <v>1115</v>
      </c>
      <c r="J25" s="2676"/>
    </row>
    <row r="26" spans="1:15" ht="36.65" customHeight="1">
      <c r="B26" s="263"/>
      <c r="C26" s="263"/>
      <c r="D26" s="263"/>
      <c r="E26" s="263"/>
      <c r="F26" s="263"/>
      <c r="G26" s="263"/>
      <c r="H26" s="263"/>
      <c r="I26" s="263"/>
      <c r="J26" s="263"/>
    </row>
    <row r="27" spans="1:15">
      <c r="B27" s="2677" t="s">
        <v>1931</v>
      </c>
      <c r="C27" s="2677"/>
      <c r="D27" s="263"/>
      <c r="E27" s="263"/>
      <c r="F27" s="263"/>
      <c r="G27" s="263"/>
      <c r="H27" s="263"/>
      <c r="I27" s="2677" t="s">
        <v>1931</v>
      </c>
      <c r="J27" s="2677"/>
    </row>
    <row r="28" spans="1:15">
      <c r="E28" s="264"/>
      <c r="F28" s="264"/>
      <c r="G28" s="264"/>
      <c r="H28" s="264"/>
      <c r="I28" s="264"/>
      <c r="J28" s="264"/>
      <c r="L28" s="264"/>
      <c r="M28" s="264"/>
    </row>
    <row r="29" spans="1:15" ht="21">
      <c r="A29" s="249"/>
      <c r="B29" s="249"/>
      <c r="C29" s="249"/>
      <c r="D29" s="249"/>
      <c r="E29" s="249"/>
    </row>
    <row r="49" spans="2:5">
      <c r="B49" s="264"/>
      <c r="C49" s="264"/>
      <c r="D49" s="264"/>
    </row>
    <row r="53" spans="2:5">
      <c r="B53" s="264"/>
      <c r="C53" s="264"/>
      <c r="D53" s="264"/>
      <c r="E53" s="264"/>
    </row>
    <row r="57" spans="2:5">
      <c r="B57" s="264"/>
      <c r="C57" s="264"/>
      <c r="D57" s="264"/>
      <c r="E57" s="264"/>
    </row>
  </sheetData>
  <mergeCells count="7">
    <mergeCell ref="A2:L2"/>
    <mergeCell ref="B25:C25"/>
    <mergeCell ref="I25:J25"/>
    <mergeCell ref="B27:C27"/>
    <mergeCell ref="I27:J27"/>
    <mergeCell ref="A7:A8"/>
    <mergeCell ref="B7:B8"/>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B0F0"/>
  </sheetPr>
  <dimension ref="A2:L24"/>
  <sheetViews>
    <sheetView workbookViewId="0">
      <selection activeCell="G72" sqref="A1:L115"/>
    </sheetView>
  </sheetViews>
  <sheetFormatPr defaultColWidth="8.7265625" defaultRowHeight="12.5"/>
  <cols>
    <col min="1" max="1" width="24.81640625" customWidth="1"/>
    <col min="2" max="2" width="13.26953125" customWidth="1"/>
    <col min="3" max="3" width="14.26953125" customWidth="1"/>
    <col min="4" max="4" width="10.54296875" customWidth="1"/>
    <col min="5" max="5" width="12.54296875" customWidth="1"/>
    <col min="6" max="6" width="11.26953125" customWidth="1"/>
    <col min="7" max="7" width="11.7265625" customWidth="1"/>
    <col min="8" max="8" width="12" customWidth="1"/>
    <col min="9" max="9" width="11.1796875" customWidth="1"/>
    <col min="10" max="10" width="11.453125" customWidth="1"/>
    <col min="11" max="11" width="11.26953125" customWidth="1"/>
    <col min="12" max="12" width="12.7265625" customWidth="1"/>
  </cols>
  <sheetData>
    <row r="2" spans="1:12" ht="21">
      <c r="A2" s="2678" t="s">
        <v>1913</v>
      </c>
      <c r="B2" s="2678"/>
      <c r="C2" s="2678"/>
      <c r="D2" s="2678"/>
      <c r="E2" s="2678"/>
      <c r="F2" s="2678"/>
      <c r="G2" s="2678"/>
      <c r="H2" s="2678"/>
      <c r="I2" s="2678"/>
      <c r="J2" s="2678"/>
      <c r="K2" s="2678"/>
      <c r="L2" s="2678"/>
    </row>
    <row r="3" spans="1:12" ht="13">
      <c r="A3" s="2679" t="s">
        <v>1932</v>
      </c>
      <c r="B3" s="2679"/>
      <c r="C3" s="2679"/>
      <c r="D3" s="2679"/>
      <c r="E3" s="2679"/>
      <c r="F3" s="2679"/>
      <c r="G3" s="2679"/>
      <c r="H3" s="2679"/>
      <c r="I3" s="2679"/>
      <c r="J3" s="2679"/>
      <c r="K3" s="2679"/>
      <c r="L3" s="2679"/>
    </row>
    <row r="4" spans="1:12" ht="14.5">
      <c r="A4" s="221"/>
      <c r="B4" s="221"/>
      <c r="C4" s="221"/>
      <c r="D4" s="221"/>
      <c r="E4" s="221"/>
      <c r="F4" s="221"/>
      <c r="G4" s="221"/>
      <c r="H4" s="221"/>
      <c r="I4" s="221"/>
      <c r="J4" s="242" t="s">
        <v>1914</v>
      </c>
      <c r="K4" s="242" t="s">
        <v>1933</v>
      </c>
      <c r="L4" s="221"/>
    </row>
    <row r="5" spans="1:12" ht="14.5">
      <c r="A5" s="221"/>
      <c r="B5" s="221"/>
      <c r="C5" s="221"/>
      <c r="D5" s="221"/>
      <c r="E5" s="221"/>
      <c r="F5" s="221"/>
      <c r="G5" s="221"/>
      <c r="H5" s="221"/>
      <c r="I5" s="221"/>
      <c r="J5" s="242"/>
      <c r="K5" s="242"/>
      <c r="L5" s="221"/>
    </row>
    <row r="7" spans="1:12" ht="14.5">
      <c r="A7" s="2681" t="s">
        <v>1104</v>
      </c>
      <c r="B7" s="222" t="s">
        <v>1916</v>
      </c>
      <c r="C7" s="223" t="s">
        <v>361</v>
      </c>
      <c r="D7" s="223" t="s">
        <v>361</v>
      </c>
      <c r="E7" s="223" t="s">
        <v>361</v>
      </c>
      <c r="F7" s="223" t="s">
        <v>361</v>
      </c>
      <c r="G7" s="223" t="s">
        <v>361</v>
      </c>
      <c r="H7" s="223" t="s">
        <v>361</v>
      </c>
      <c r="I7" s="223" t="s">
        <v>361</v>
      </c>
      <c r="J7" s="223" t="s">
        <v>361</v>
      </c>
      <c r="K7" s="223" t="s">
        <v>361</v>
      </c>
      <c r="L7" s="243" t="s">
        <v>361</v>
      </c>
    </row>
    <row r="8" spans="1:12" ht="14.5">
      <c r="A8" s="2682"/>
      <c r="B8" s="224" t="s">
        <v>1934</v>
      </c>
      <c r="C8" s="225"/>
      <c r="D8" s="225"/>
      <c r="E8" s="225"/>
      <c r="F8" s="225"/>
      <c r="G8" s="225"/>
      <c r="H8" s="225"/>
      <c r="I8" s="225"/>
      <c r="J8" s="225"/>
      <c r="K8" s="225"/>
      <c r="L8" s="244"/>
    </row>
    <row r="9" spans="1:12" ht="14.5">
      <c r="A9" s="226" t="s">
        <v>1917</v>
      </c>
      <c r="B9" s="227"/>
      <c r="C9" s="228"/>
      <c r="D9" s="228"/>
      <c r="E9" s="228"/>
      <c r="F9" s="228"/>
      <c r="G9" s="228"/>
      <c r="H9" s="228"/>
      <c r="I9" s="228"/>
      <c r="J9" s="228"/>
      <c r="K9" s="228"/>
      <c r="L9" s="245"/>
    </row>
    <row r="10" spans="1:12" ht="14.5">
      <c r="A10" s="229" t="s">
        <v>865</v>
      </c>
      <c r="B10" s="230" t="s">
        <v>1935</v>
      </c>
      <c r="C10" s="231" t="s">
        <v>1936</v>
      </c>
      <c r="D10" s="231" t="s">
        <v>1936</v>
      </c>
      <c r="E10" s="231" t="s">
        <v>1936</v>
      </c>
      <c r="F10" s="231" t="s">
        <v>1936</v>
      </c>
      <c r="G10" s="231" t="s">
        <v>1936</v>
      </c>
      <c r="H10" s="231" t="s">
        <v>1936</v>
      </c>
      <c r="I10" s="231" t="s">
        <v>1936</v>
      </c>
      <c r="J10" s="231" t="s">
        <v>1936</v>
      </c>
      <c r="K10" s="231" t="s">
        <v>1936</v>
      </c>
      <c r="L10" s="246" t="s">
        <v>1936</v>
      </c>
    </row>
    <row r="11" spans="1:12" ht="14.5">
      <c r="A11" s="229"/>
      <c r="B11" s="230"/>
      <c r="C11" s="232"/>
      <c r="D11" s="232"/>
      <c r="E11" s="232"/>
      <c r="F11" s="232"/>
      <c r="G11" s="232"/>
      <c r="H11" s="232"/>
      <c r="I11" s="232"/>
      <c r="J11" s="232"/>
      <c r="K11" s="232"/>
      <c r="L11" s="247"/>
    </row>
    <row r="12" spans="1:12" ht="14.5">
      <c r="A12" s="229" t="s">
        <v>1929</v>
      </c>
      <c r="B12" s="230"/>
      <c r="C12" s="232"/>
      <c r="D12" s="232"/>
      <c r="E12" s="232"/>
      <c r="F12" s="232"/>
      <c r="G12" s="232"/>
      <c r="H12" s="232"/>
      <c r="I12" s="232"/>
      <c r="J12" s="232"/>
      <c r="K12" s="232"/>
      <c r="L12" s="247"/>
    </row>
    <row r="13" spans="1:12" ht="14.5">
      <c r="A13" s="233" t="s">
        <v>1930</v>
      </c>
      <c r="B13" s="230"/>
      <c r="C13" s="232"/>
      <c r="D13" s="232"/>
      <c r="E13" s="232"/>
      <c r="F13" s="232"/>
      <c r="G13" s="232"/>
      <c r="H13" s="232"/>
      <c r="I13" s="232"/>
      <c r="J13" s="232"/>
      <c r="K13" s="232"/>
      <c r="L13" s="247"/>
    </row>
    <row r="14" spans="1:12" ht="14.5">
      <c r="A14" s="229" t="s">
        <v>1937</v>
      </c>
      <c r="B14" s="230"/>
      <c r="C14" s="232"/>
      <c r="D14" s="232"/>
      <c r="E14" s="232"/>
      <c r="F14" s="232"/>
      <c r="G14" s="232"/>
      <c r="H14" s="232"/>
      <c r="I14" s="232"/>
      <c r="J14" s="232"/>
      <c r="K14" s="232"/>
      <c r="L14" s="247"/>
    </row>
    <row r="15" spans="1:12" ht="14.5">
      <c r="A15" s="234" t="s">
        <v>1938</v>
      </c>
      <c r="B15" s="235"/>
      <c r="C15" s="225"/>
      <c r="D15" s="225"/>
      <c r="E15" s="225"/>
      <c r="F15" s="225"/>
      <c r="G15" s="225"/>
      <c r="H15" s="225"/>
      <c r="I15" s="225"/>
      <c r="J15" s="225"/>
      <c r="K15" s="225"/>
      <c r="L15" s="244"/>
    </row>
    <row r="16" spans="1:12" ht="14.5">
      <c r="A16" s="236"/>
      <c r="B16" s="236"/>
      <c r="C16" s="237"/>
      <c r="D16" s="237"/>
      <c r="E16" s="237"/>
      <c r="F16" s="237"/>
      <c r="G16" s="237"/>
      <c r="H16" s="237"/>
      <c r="I16" s="237"/>
      <c r="J16" s="237"/>
      <c r="K16" s="237"/>
      <c r="L16" s="237"/>
    </row>
    <row r="17" spans="1:12" ht="14.5">
      <c r="A17" s="238" t="s">
        <v>1939</v>
      </c>
    </row>
    <row r="18" spans="1:12" ht="14.5">
      <c r="A18" s="237" t="s">
        <v>1940</v>
      </c>
    </row>
    <row r="19" spans="1:12" ht="14.5">
      <c r="A19" s="239" t="s">
        <v>1941</v>
      </c>
    </row>
    <row r="20" spans="1:12" ht="14.5">
      <c r="A20" s="240" t="s">
        <v>1942</v>
      </c>
    </row>
    <row r="21" spans="1:12" ht="14.5">
      <c r="A21" s="239"/>
    </row>
    <row r="22" spans="1:12" ht="14.5">
      <c r="A22" s="240"/>
      <c r="B22" s="2680"/>
      <c r="C22" s="2680"/>
      <c r="D22" s="241"/>
      <c r="E22" s="241"/>
      <c r="F22" s="241"/>
      <c r="G22" s="241"/>
      <c r="H22" s="241"/>
      <c r="I22" s="2680"/>
      <c r="J22" s="2680"/>
      <c r="K22" s="221"/>
      <c r="L22" s="221"/>
    </row>
    <row r="23" spans="1:12">
      <c r="A23" s="221"/>
      <c r="B23" s="241"/>
      <c r="C23" s="241"/>
      <c r="D23" s="241"/>
      <c r="E23" s="241"/>
      <c r="F23" s="241"/>
      <c r="G23" s="241"/>
      <c r="H23" s="241"/>
      <c r="I23" s="241"/>
      <c r="J23" s="241"/>
      <c r="K23" s="221"/>
      <c r="L23" s="221"/>
    </row>
    <row r="24" spans="1:12">
      <c r="A24" s="221"/>
      <c r="B24" s="2680"/>
      <c r="C24" s="2680"/>
      <c r="D24" s="241"/>
      <c r="E24" s="241"/>
      <c r="F24" s="241"/>
      <c r="G24" s="241"/>
      <c r="H24" s="241"/>
      <c r="I24" s="2680"/>
      <c r="J24" s="2680"/>
      <c r="K24" s="221"/>
      <c r="L24" s="221"/>
    </row>
  </sheetData>
  <mergeCells count="7">
    <mergeCell ref="A2:L2"/>
    <mergeCell ref="A3:L3"/>
    <mergeCell ref="B22:C22"/>
    <mergeCell ref="I22:J22"/>
    <mergeCell ref="B24:C24"/>
    <mergeCell ref="I24:J24"/>
    <mergeCell ref="A7:A8"/>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92D050"/>
  </sheetPr>
  <dimension ref="A3:U64"/>
  <sheetViews>
    <sheetView workbookViewId="0">
      <selection activeCell="G72" sqref="A1:M115"/>
    </sheetView>
  </sheetViews>
  <sheetFormatPr defaultColWidth="9.26953125" defaultRowHeight="13"/>
  <cols>
    <col min="1" max="1" width="8.7265625" style="147" customWidth="1"/>
    <col min="2" max="2" width="1.7265625" style="147" customWidth="1"/>
    <col min="3" max="3" width="17.26953125" style="147" customWidth="1"/>
    <col min="4" max="4" width="11.453125" style="147" customWidth="1"/>
    <col min="5" max="5" width="1.7265625" style="147" customWidth="1"/>
    <col min="6" max="6" width="13.7265625" style="147" customWidth="1"/>
    <col min="7" max="7" width="3.81640625" style="147" customWidth="1"/>
    <col min="8" max="8" width="8.7265625" style="147" customWidth="1"/>
    <col min="9" max="9" width="1.7265625" style="147" customWidth="1"/>
    <col min="10" max="10" width="17.26953125" style="147" customWidth="1"/>
    <col min="11" max="11" width="11.453125" style="147" customWidth="1"/>
    <col min="12" max="12" width="1.7265625" style="147" customWidth="1"/>
    <col min="13" max="13" width="13.7265625" style="147" customWidth="1"/>
    <col min="14" max="14" width="1.7265625" style="147" customWidth="1"/>
    <col min="15" max="15" width="8.7265625" style="147" customWidth="1"/>
    <col min="16" max="16" width="1.7265625" style="147" customWidth="1"/>
    <col min="17" max="17" width="17.26953125" style="147" customWidth="1"/>
    <col min="18" max="18" width="11.453125" style="147" customWidth="1"/>
    <col min="19" max="19" width="1.7265625" style="147" customWidth="1"/>
    <col min="20" max="20" width="13.81640625" style="147" customWidth="1"/>
    <col min="21" max="16384" width="9.26953125" style="147"/>
  </cols>
  <sheetData>
    <row r="3" spans="1:20" ht="23.5">
      <c r="A3" s="2683" t="s">
        <v>1943</v>
      </c>
      <c r="B3" s="2683"/>
      <c r="C3" s="2683"/>
      <c r="D3" s="2683"/>
      <c r="E3" s="2683"/>
      <c r="F3" s="2683"/>
      <c r="H3" s="2683" t="s">
        <v>1943</v>
      </c>
      <c r="I3" s="2683"/>
      <c r="J3" s="2683"/>
      <c r="K3" s="2683"/>
      <c r="L3" s="2683"/>
      <c r="M3" s="2683"/>
      <c r="O3" s="2683" t="s">
        <v>1943</v>
      </c>
      <c r="P3" s="2683"/>
      <c r="Q3" s="2683"/>
      <c r="R3" s="2683"/>
      <c r="S3" s="2683"/>
      <c r="T3" s="2683"/>
    </row>
    <row r="5" spans="1:20">
      <c r="A5" s="147" t="s">
        <v>1944</v>
      </c>
      <c r="H5" s="147" t="s">
        <v>1944</v>
      </c>
      <c r="O5" s="147" t="s">
        <v>1944</v>
      </c>
    </row>
    <row r="6" spans="1:20">
      <c r="A6" s="147" t="s">
        <v>1945</v>
      </c>
      <c r="H6" s="147" t="s">
        <v>1945</v>
      </c>
      <c r="O6" s="147" t="s">
        <v>1945</v>
      </c>
    </row>
    <row r="7" spans="1:20">
      <c r="A7" s="147" t="s">
        <v>1946</v>
      </c>
      <c r="H7" s="147" t="s">
        <v>1946</v>
      </c>
      <c r="O7" s="147" t="s">
        <v>1946</v>
      </c>
    </row>
    <row r="8" spans="1:20">
      <c r="A8" s="179"/>
      <c r="B8" s="179"/>
      <c r="C8" s="179"/>
      <c r="D8" s="179"/>
      <c r="E8" s="179"/>
      <c r="F8" s="179"/>
      <c r="H8" s="179"/>
      <c r="I8" s="179"/>
      <c r="J8" s="179"/>
      <c r="K8" s="179"/>
      <c r="L8" s="179"/>
      <c r="M8" s="179"/>
      <c r="O8" s="179"/>
      <c r="P8" s="179"/>
      <c r="Q8" s="179"/>
      <c r="R8" s="179"/>
      <c r="S8" s="179"/>
      <c r="T8" s="179"/>
    </row>
    <row r="9" spans="1:20" ht="22.15" customHeight="1">
      <c r="A9" s="185" t="s">
        <v>398</v>
      </c>
      <c r="B9" s="186" t="s">
        <v>359</v>
      </c>
      <c r="C9" s="212"/>
      <c r="D9" s="188" t="s">
        <v>1914</v>
      </c>
      <c r="E9" s="187" t="s">
        <v>359</v>
      </c>
      <c r="F9" s="189"/>
      <c r="H9" s="185" t="s">
        <v>398</v>
      </c>
      <c r="I9" s="186" t="s">
        <v>359</v>
      </c>
      <c r="J9" s="212"/>
      <c r="K9" s="188" t="s">
        <v>1914</v>
      </c>
      <c r="L9" s="187" t="s">
        <v>359</v>
      </c>
      <c r="M9" s="189"/>
      <c r="O9" s="185" t="s">
        <v>398</v>
      </c>
      <c r="P9" s="186" t="s">
        <v>359</v>
      </c>
      <c r="Q9" s="187" t="s">
        <v>1947</v>
      </c>
      <c r="R9" s="188" t="s">
        <v>1914</v>
      </c>
      <c r="S9" s="187" t="s">
        <v>359</v>
      </c>
      <c r="T9" s="189" t="s">
        <v>1947</v>
      </c>
    </row>
    <row r="10" spans="1:20" ht="22.15" customHeight="1">
      <c r="A10" s="185" t="s">
        <v>1948</v>
      </c>
      <c r="B10" s="186" t="s">
        <v>359</v>
      </c>
      <c r="C10" s="213"/>
      <c r="D10" s="188" t="s">
        <v>1915</v>
      </c>
      <c r="E10" s="187" t="s">
        <v>359</v>
      </c>
      <c r="F10" s="189"/>
      <c r="H10" s="185" t="s">
        <v>1948</v>
      </c>
      <c r="I10" s="186" t="s">
        <v>359</v>
      </c>
      <c r="J10" s="213"/>
      <c r="K10" s="188" t="s">
        <v>1915</v>
      </c>
      <c r="L10" s="187" t="s">
        <v>359</v>
      </c>
      <c r="M10" s="189"/>
      <c r="O10" s="185" t="s">
        <v>1948</v>
      </c>
      <c r="P10" s="186" t="s">
        <v>359</v>
      </c>
      <c r="Q10" s="187" t="s">
        <v>1947</v>
      </c>
      <c r="R10" s="188" t="s">
        <v>1915</v>
      </c>
      <c r="S10" s="187" t="s">
        <v>359</v>
      </c>
      <c r="T10" s="189" t="s">
        <v>1947</v>
      </c>
    </row>
    <row r="11" spans="1:20" ht="22.15" customHeight="1">
      <c r="A11" s="185" t="s">
        <v>1725</v>
      </c>
      <c r="B11" s="191" t="s">
        <v>359</v>
      </c>
      <c r="C11" s="192" t="s">
        <v>1947</v>
      </c>
      <c r="D11" s="193" t="s">
        <v>1949</v>
      </c>
      <c r="E11" s="192" t="s">
        <v>359</v>
      </c>
      <c r="F11" s="214"/>
      <c r="H11" s="190" t="s">
        <v>1725</v>
      </c>
      <c r="I11" s="191" t="s">
        <v>359</v>
      </c>
      <c r="J11" s="192" t="s">
        <v>1947</v>
      </c>
      <c r="K11" s="193" t="s">
        <v>1949</v>
      </c>
      <c r="L11" s="192" t="s">
        <v>359</v>
      </c>
      <c r="M11" s="214"/>
      <c r="O11" s="190" t="s">
        <v>1725</v>
      </c>
      <c r="P11" s="191" t="s">
        <v>359</v>
      </c>
      <c r="Q11" s="192" t="s">
        <v>1947</v>
      </c>
      <c r="R11" s="193" t="s">
        <v>1949</v>
      </c>
      <c r="S11" s="192" t="s">
        <v>359</v>
      </c>
      <c r="T11" s="194" t="s">
        <v>1947</v>
      </c>
    </row>
    <row r="12" spans="1:20" ht="25.15" customHeight="1">
      <c r="A12" s="215" t="s">
        <v>594</v>
      </c>
      <c r="B12" s="195"/>
      <c r="D12" s="2684">
        <f>'LAP TAMBAHAN '!D296</f>
        <v>0</v>
      </c>
      <c r="E12" s="2684"/>
      <c r="F12" s="2685"/>
      <c r="G12" s="196"/>
      <c r="H12" s="216" t="s">
        <v>594</v>
      </c>
      <c r="I12" s="210"/>
      <c r="J12" s="210"/>
      <c r="K12" s="2684">
        <f>'LAP TAMBAHAN '!E296</f>
        <v>0</v>
      </c>
      <c r="L12" s="2684"/>
      <c r="M12" s="2685"/>
      <c r="N12" s="196"/>
      <c r="O12" s="216" t="s">
        <v>594</v>
      </c>
      <c r="P12" s="210"/>
      <c r="Q12" s="210"/>
      <c r="R12" s="2686"/>
      <c r="S12" s="2686"/>
      <c r="T12" s="2687"/>
    </row>
    <row r="13" spans="1:20" ht="25.15" customHeight="1">
      <c r="A13" s="2688" t="s">
        <v>1950</v>
      </c>
      <c r="B13" s="2688"/>
      <c r="C13" s="2689"/>
      <c r="D13" s="2690"/>
      <c r="E13" s="2691"/>
      <c r="F13" s="2692"/>
      <c r="G13" s="196"/>
      <c r="H13" s="2688" t="s">
        <v>1950</v>
      </c>
      <c r="I13" s="2688"/>
      <c r="J13" s="2689"/>
      <c r="K13" s="2690"/>
      <c r="L13" s="2691"/>
      <c r="M13" s="2692"/>
      <c r="N13" s="196"/>
      <c r="O13" s="2688" t="s">
        <v>1950</v>
      </c>
      <c r="P13" s="2688"/>
      <c r="Q13" s="2689"/>
      <c r="R13" s="2693"/>
      <c r="S13" s="2694"/>
      <c r="T13" s="2695"/>
    </row>
    <row r="14" spans="1:20" ht="25.15" customHeight="1">
      <c r="A14" s="2694" t="s">
        <v>1951</v>
      </c>
      <c r="B14" s="2694"/>
      <c r="C14" s="2696"/>
      <c r="D14" s="2690"/>
      <c r="E14" s="2691"/>
      <c r="F14" s="2692"/>
      <c r="G14" s="196"/>
      <c r="H14" s="2694" t="s">
        <v>1951</v>
      </c>
      <c r="I14" s="2694"/>
      <c r="J14" s="2696"/>
      <c r="K14" s="2690"/>
      <c r="L14" s="2691"/>
      <c r="M14" s="2692"/>
      <c r="N14" s="196"/>
      <c r="O14" s="2694" t="s">
        <v>1951</v>
      </c>
      <c r="P14" s="2694"/>
      <c r="Q14" s="2696"/>
      <c r="R14" s="2693"/>
      <c r="S14" s="2694"/>
      <c r="T14" s="2695"/>
    </row>
    <row r="15" spans="1:20" ht="25.15" customHeight="1">
      <c r="A15" s="2697" t="s">
        <v>1952</v>
      </c>
      <c r="B15" s="2697"/>
      <c r="C15" s="2697"/>
      <c r="D15" s="2697"/>
      <c r="E15" s="2697"/>
      <c r="F15" s="2698"/>
      <c r="G15" s="196"/>
      <c r="H15" s="2697" t="s">
        <v>1952</v>
      </c>
      <c r="I15" s="2697"/>
      <c r="J15" s="2697"/>
      <c r="K15" s="2697"/>
      <c r="L15" s="2697"/>
      <c r="M15" s="2698"/>
      <c r="N15" s="196"/>
      <c r="O15" s="2697" t="s">
        <v>1952</v>
      </c>
      <c r="P15" s="2697"/>
      <c r="Q15" s="2697"/>
      <c r="R15" s="2697"/>
      <c r="S15" s="2697"/>
      <c r="T15" s="2698"/>
    </row>
    <row r="16" spans="1:20" ht="25.15" customHeight="1">
      <c r="A16" s="2697" t="s">
        <v>1953</v>
      </c>
      <c r="B16" s="2697"/>
      <c r="C16" s="2697"/>
      <c r="D16" s="2690"/>
      <c r="E16" s="2691"/>
      <c r="F16" s="2692"/>
      <c r="G16" s="196"/>
      <c r="H16" s="151" t="s">
        <v>1953</v>
      </c>
      <c r="I16" s="149"/>
      <c r="J16" s="149"/>
      <c r="K16" s="2690"/>
      <c r="L16" s="2691"/>
      <c r="M16" s="2692"/>
      <c r="N16" s="196"/>
      <c r="O16" s="2696" t="s">
        <v>1953</v>
      </c>
      <c r="P16" s="2697"/>
      <c r="Q16" s="2697"/>
      <c r="R16" s="2693"/>
      <c r="S16" s="2694"/>
      <c r="T16" s="2695"/>
    </row>
    <row r="17" spans="1:21" ht="25.15" customHeight="1">
      <c r="A17" s="2697" t="s">
        <v>1954</v>
      </c>
      <c r="B17" s="2697"/>
      <c r="C17" s="2697"/>
      <c r="D17" s="2690"/>
      <c r="E17" s="2691"/>
      <c r="F17" s="2692"/>
      <c r="G17" s="196"/>
      <c r="H17" s="151" t="s">
        <v>1954</v>
      </c>
      <c r="I17" s="149"/>
      <c r="J17" s="149"/>
      <c r="K17" s="2690"/>
      <c r="L17" s="2691"/>
      <c r="M17" s="2692"/>
      <c r="N17" s="196"/>
      <c r="O17" s="2696" t="s">
        <v>1954</v>
      </c>
      <c r="P17" s="2697"/>
      <c r="Q17" s="2697"/>
      <c r="R17" s="2693"/>
      <c r="S17" s="2694"/>
      <c r="T17" s="2695"/>
    </row>
    <row r="18" spans="1:21" ht="25.15" customHeight="1">
      <c r="A18" s="2699" t="s">
        <v>599</v>
      </c>
      <c r="B18" s="2694"/>
      <c r="C18" s="2696"/>
      <c r="D18" s="2700">
        <f>D12</f>
        <v>0</v>
      </c>
      <c r="E18" s="2691"/>
      <c r="F18" s="2692"/>
      <c r="G18" s="196"/>
      <c r="H18" s="2699" t="s">
        <v>599</v>
      </c>
      <c r="I18" s="2694"/>
      <c r="J18" s="2696"/>
      <c r="K18" s="2690"/>
      <c r="L18" s="2691"/>
      <c r="M18" s="2692"/>
      <c r="N18" s="196"/>
      <c r="O18" s="2699" t="s">
        <v>599</v>
      </c>
      <c r="P18" s="2694"/>
      <c r="Q18" s="2696"/>
      <c r="R18" s="2693"/>
      <c r="S18" s="2694"/>
      <c r="T18" s="2695"/>
    </row>
    <row r="19" spans="1:21" ht="25.15" customHeight="1">
      <c r="A19" s="2693" t="s">
        <v>1955</v>
      </c>
      <c r="B19" s="2694"/>
      <c r="C19" s="2696"/>
      <c r="D19" s="2690"/>
      <c r="E19" s="2691"/>
      <c r="F19" s="2692"/>
      <c r="G19" s="196"/>
      <c r="H19" s="2693" t="s">
        <v>1955</v>
      </c>
      <c r="I19" s="2694"/>
      <c r="J19" s="2696"/>
      <c r="K19" s="2690"/>
      <c r="L19" s="2691"/>
      <c r="M19" s="2692"/>
      <c r="N19" s="196"/>
      <c r="O19" s="2693" t="s">
        <v>1955</v>
      </c>
      <c r="P19" s="2694"/>
      <c r="Q19" s="2696"/>
      <c r="R19" s="2693"/>
      <c r="S19" s="2694"/>
      <c r="T19" s="2695"/>
    </row>
    <row r="20" spans="1:21" ht="25.15" customHeight="1">
      <c r="A20" s="2697" t="s">
        <v>1956</v>
      </c>
      <c r="B20" s="2697"/>
      <c r="C20" s="2697"/>
      <c r="D20" s="2690"/>
      <c r="E20" s="2691"/>
      <c r="F20" s="2692"/>
      <c r="G20" s="196"/>
      <c r="H20" s="2697" t="s">
        <v>1956</v>
      </c>
      <c r="I20" s="2697"/>
      <c r="J20" s="2697"/>
      <c r="K20" s="2690"/>
      <c r="L20" s="2691"/>
      <c r="M20" s="2692"/>
      <c r="N20" s="196"/>
      <c r="O20" s="2697" t="s">
        <v>1956</v>
      </c>
      <c r="P20" s="2697"/>
      <c r="Q20" s="2697"/>
      <c r="R20" s="2693"/>
      <c r="S20" s="2694"/>
      <c r="T20" s="2695"/>
    </row>
    <row r="21" spans="1:21" ht="25.15" customHeight="1">
      <c r="A21" s="2697" t="s">
        <v>1957</v>
      </c>
      <c r="B21" s="2697"/>
      <c r="C21" s="2697"/>
      <c r="D21" s="2690"/>
      <c r="E21" s="2691"/>
      <c r="F21" s="2692"/>
      <c r="G21" s="196"/>
      <c r="H21" s="2697" t="s">
        <v>1957</v>
      </c>
      <c r="I21" s="2697"/>
      <c r="J21" s="2697"/>
      <c r="K21" s="2690"/>
      <c r="L21" s="2691"/>
      <c r="M21" s="2692"/>
      <c r="N21" s="196"/>
      <c r="O21" s="2697" t="s">
        <v>1957</v>
      </c>
      <c r="P21" s="2697"/>
      <c r="Q21" s="2697"/>
      <c r="R21" s="2693"/>
      <c r="S21" s="2694"/>
      <c r="T21" s="2695"/>
    </row>
    <row r="22" spans="1:21" ht="25.15" customHeight="1">
      <c r="A22" s="2701" t="s">
        <v>1958</v>
      </c>
      <c r="B22" s="2702"/>
      <c r="C22" s="2703"/>
      <c r="D22" s="2690"/>
      <c r="E22" s="2691"/>
      <c r="F22" s="2692"/>
      <c r="G22" s="196"/>
      <c r="H22" s="2699" t="s">
        <v>1958</v>
      </c>
      <c r="I22" s="2694"/>
      <c r="J22" s="2696"/>
      <c r="K22" s="2690"/>
      <c r="L22" s="2691"/>
      <c r="M22" s="2692"/>
      <c r="N22" s="196"/>
      <c r="O22" s="2699" t="s">
        <v>1958</v>
      </c>
      <c r="P22" s="2694"/>
      <c r="Q22" s="2696"/>
      <c r="R22" s="2693"/>
      <c r="S22" s="2694"/>
      <c r="T22" s="2695"/>
    </row>
    <row r="23" spans="1:21" ht="25.15" customHeight="1">
      <c r="A23" s="2693" t="s">
        <v>1959</v>
      </c>
      <c r="B23" s="2694"/>
      <c r="C23" s="2696"/>
      <c r="D23" s="2690"/>
      <c r="E23" s="2691"/>
      <c r="F23" s="2692"/>
      <c r="G23" s="196"/>
      <c r="H23" s="2699" t="s">
        <v>1959</v>
      </c>
      <c r="I23" s="2694"/>
      <c r="J23" s="2696"/>
      <c r="K23" s="2690"/>
      <c r="L23" s="2691"/>
      <c r="M23" s="2692"/>
      <c r="N23" s="196"/>
      <c r="O23" s="2699" t="s">
        <v>1959</v>
      </c>
      <c r="P23" s="2694"/>
      <c r="Q23" s="2696"/>
      <c r="R23" s="2693"/>
      <c r="S23" s="2694"/>
      <c r="T23" s="2695"/>
    </row>
    <row r="24" spans="1:21" ht="25.15" customHeight="1">
      <c r="A24" s="2693" t="s">
        <v>1960</v>
      </c>
      <c r="B24" s="2694"/>
      <c r="C24" s="2696"/>
      <c r="D24" s="2690"/>
      <c r="E24" s="2691"/>
      <c r="F24" s="2692"/>
      <c r="G24" s="196"/>
      <c r="H24" s="2699" t="s">
        <v>1960</v>
      </c>
      <c r="I24" s="2694"/>
      <c r="J24" s="2696"/>
      <c r="K24" s="2690"/>
      <c r="L24" s="2691"/>
      <c r="M24" s="2692"/>
      <c r="N24" s="196"/>
      <c r="O24" s="2699" t="s">
        <v>1960</v>
      </c>
      <c r="P24" s="2694"/>
      <c r="Q24" s="2696"/>
      <c r="R24" s="2693"/>
      <c r="S24" s="2694"/>
      <c r="T24" s="2695"/>
      <c r="U24" s="211"/>
    </row>
    <row r="25" spans="1:21" ht="25.15" customHeight="1">
      <c r="A25" s="2704" t="s">
        <v>1961</v>
      </c>
      <c r="B25" s="2705"/>
      <c r="C25" s="2706"/>
      <c r="D25" s="2707">
        <f>D18</f>
        <v>0</v>
      </c>
      <c r="E25" s="2708"/>
      <c r="F25" s="2709"/>
      <c r="H25" s="2704" t="s">
        <v>1961</v>
      </c>
      <c r="I25" s="2705"/>
      <c r="J25" s="2706"/>
      <c r="K25" s="2710"/>
      <c r="L25" s="2708"/>
      <c r="M25" s="2709"/>
      <c r="N25" s="196"/>
      <c r="O25" s="2705" t="s">
        <v>1961</v>
      </c>
      <c r="P25" s="2705"/>
      <c r="Q25" s="2706"/>
      <c r="R25" s="2711"/>
      <c r="S25" s="2712"/>
      <c r="T25" s="2713"/>
    </row>
    <row r="26" spans="1:21" ht="22.15" customHeight="1">
      <c r="A26" s="211" t="s">
        <v>1962</v>
      </c>
      <c r="D26" s="2714"/>
      <c r="E26" s="2715"/>
      <c r="F26" s="2716"/>
      <c r="H26" s="211" t="s">
        <v>1962</v>
      </c>
      <c r="K26" s="2714"/>
      <c r="L26" s="2715"/>
      <c r="M26" s="2716"/>
      <c r="O26" s="211" t="s">
        <v>1962</v>
      </c>
      <c r="R26" s="2717"/>
      <c r="S26" s="2718"/>
      <c r="T26" s="2719"/>
    </row>
    <row r="27" spans="1:21" ht="22.15" hidden="1" customHeight="1">
      <c r="A27" s="211"/>
      <c r="D27" s="152"/>
      <c r="F27" s="218"/>
      <c r="H27" s="211"/>
      <c r="K27" s="152"/>
      <c r="M27" s="218"/>
      <c r="O27" s="211"/>
      <c r="R27" s="2720"/>
      <c r="S27" s="2721"/>
      <c r="T27" s="2722"/>
    </row>
    <row r="28" spans="1:21" ht="22.15" customHeight="1">
      <c r="A28" s="219" t="s">
        <v>1963</v>
      </c>
      <c r="B28" s="179"/>
      <c r="C28" s="220"/>
      <c r="D28" s="2723"/>
      <c r="E28" s="2724"/>
      <c r="F28" s="2725"/>
      <c r="H28" s="219" t="s">
        <v>1963</v>
      </c>
      <c r="I28" s="179"/>
      <c r="J28" s="220"/>
      <c r="K28" s="2723"/>
      <c r="L28" s="2724"/>
      <c r="M28" s="2725"/>
      <c r="O28" s="219" t="s">
        <v>1963</v>
      </c>
      <c r="P28" s="179"/>
      <c r="Q28" s="220"/>
      <c r="R28" s="2726"/>
      <c r="S28" s="2727"/>
      <c r="T28" s="2728"/>
    </row>
    <row r="30" spans="1:21">
      <c r="A30" s="2729" t="s">
        <v>1964</v>
      </c>
      <c r="B30" s="2729"/>
      <c r="C30" s="2729"/>
      <c r="D30" s="2729" t="s">
        <v>1965</v>
      </c>
      <c r="E30" s="2729"/>
      <c r="F30" s="2729"/>
      <c r="H30" s="2729" t="s">
        <v>1964</v>
      </c>
      <c r="I30" s="2729"/>
      <c r="J30" s="2729"/>
      <c r="K30" s="2729" t="s">
        <v>1965</v>
      </c>
      <c r="L30" s="2729"/>
      <c r="M30" s="2729"/>
      <c r="O30" s="2729" t="s">
        <v>1964</v>
      </c>
      <c r="P30" s="2729"/>
      <c r="Q30" s="2729"/>
      <c r="R30" s="2729" t="s">
        <v>1965</v>
      </c>
      <c r="S30" s="2729"/>
      <c r="T30" s="2729"/>
    </row>
    <row r="33" spans="1:20">
      <c r="A33" s="2729" t="s">
        <v>1966</v>
      </c>
      <c r="B33" s="2729"/>
      <c r="C33" s="2729"/>
      <c r="D33" s="2729" t="s">
        <v>1116</v>
      </c>
      <c r="E33" s="2729"/>
      <c r="F33" s="2729"/>
      <c r="H33" s="2729" t="s">
        <v>1966</v>
      </c>
      <c r="I33" s="2729"/>
      <c r="J33" s="2729"/>
      <c r="K33" s="2729" t="s">
        <v>1116</v>
      </c>
      <c r="L33" s="2729"/>
      <c r="M33" s="2729"/>
      <c r="O33" s="2729" t="s">
        <v>1966</v>
      </c>
      <c r="P33" s="2729"/>
      <c r="Q33" s="2729"/>
      <c r="R33" s="2729" t="s">
        <v>1116</v>
      </c>
      <c r="S33" s="2729"/>
      <c r="T33" s="2729"/>
    </row>
    <row r="34" spans="1:20" hidden="1"/>
    <row r="36" spans="1:20" ht="22.15" customHeight="1"/>
    <row r="37" spans="1:20" ht="12.75" customHeight="1"/>
    <row r="38" spans="1:20" ht="12.75" customHeight="1"/>
    <row r="39" spans="1:20" ht="12.75" customHeight="1">
      <c r="D39" s="2729"/>
      <c r="E39" s="2729"/>
      <c r="F39" s="2729"/>
      <c r="H39" s="2729"/>
      <c r="I39" s="2729"/>
      <c r="J39" s="2729"/>
      <c r="K39" s="2729"/>
      <c r="L39" s="2729"/>
      <c r="M39" s="2729"/>
    </row>
    <row r="40" spans="1:20" ht="12.75" customHeight="1"/>
    <row r="41" spans="1:20" ht="12.75" customHeight="1"/>
    <row r="42" spans="1:20" ht="22.15" customHeight="1"/>
    <row r="43" spans="1:20" ht="22.15" customHeight="1"/>
    <row r="44" spans="1:20" ht="22.15" customHeight="1"/>
    <row r="45" spans="1:20" ht="22.15" customHeight="1"/>
    <row r="46" spans="1:20" ht="22.15" customHeight="1"/>
    <row r="47" spans="1:20" ht="22.15" customHeight="1"/>
    <row r="48" spans="1:20" ht="22.15" customHeight="1"/>
    <row r="49" ht="22.15" customHeight="1"/>
    <row r="50" ht="22.15" customHeight="1"/>
    <row r="51" ht="22.15" customHeight="1"/>
    <row r="52" ht="22.15" customHeight="1"/>
    <row r="53" ht="22.15" customHeight="1"/>
    <row r="54" ht="22.15" customHeight="1"/>
    <row r="55" ht="22.15" customHeight="1"/>
    <row r="56" ht="22.15" customHeight="1"/>
    <row r="57" ht="12.75" customHeight="1"/>
    <row r="58" ht="12.75" customHeight="1"/>
    <row r="59" ht="12.75" customHeight="1"/>
    <row r="60" ht="12.75" customHeight="1"/>
    <row r="61" ht="12.75" hidden="1" customHeight="1"/>
    <row r="62" ht="12.75" customHeight="1"/>
    <row r="63" ht="12.75" customHeight="1"/>
    <row r="64" ht="12.75" customHeight="1"/>
  </sheetData>
  <mergeCells count="104">
    <mergeCell ref="A33:C33"/>
    <mergeCell ref="D33:F33"/>
    <mergeCell ref="H33:J33"/>
    <mergeCell ref="K33:M33"/>
    <mergeCell ref="O33:Q33"/>
    <mergeCell ref="R33:T33"/>
    <mergeCell ref="D39:F39"/>
    <mergeCell ref="H39:J39"/>
    <mergeCell ref="K39:M39"/>
    <mergeCell ref="D26:F26"/>
    <mergeCell ref="K26:M26"/>
    <mergeCell ref="R26:T26"/>
    <mergeCell ref="R27:T27"/>
    <mergeCell ref="D28:F28"/>
    <mergeCell ref="K28:M28"/>
    <mergeCell ref="R28:T28"/>
    <mergeCell ref="A30:C30"/>
    <mergeCell ref="D30:F30"/>
    <mergeCell ref="H30:J30"/>
    <mergeCell ref="K30:M30"/>
    <mergeCell ref="O30:Q30"/>
    <mergeCell ref="R30:T30"/>
    <mergeCell ref="A24:C24"/>
    <mergeCell ref="D24:F24"/>
    <mergeCell ref="H24:J24"/>
    <mergeCell ref="K24:M24"/>
    <mergeCell ref="O24:Q24"/>
    <mergeCell ref="R24:T24"/>
    <mergeCell ref="A25:C25"/>
    <mergeCell ref="D25:F25"/>
    <mergeCell ref="H25:J25"/>
    <mergeCell ref="K25:M25"/>
    <mergeCell ref="O25:Q25"/>
    <mergeCell ref="R25:T25"/>
    <mergeCell ref="A22:C22"/>
    <mergeCell ref="D22:F22"/>
    <mergeCell ref="H22:J22"/>
    <mergeCell ref="K22:M22"/>
    <mergeCell ref="O22:Q22"/>
    <mergeCell ref="R22:T22"/>
    <mergeCell ref="A23:C23"/>
    <mergeCell ref="D23:F23"/>
    <mergeCell ref="H23:J23"/>
    <mergeCell ref="K23:M23"/>
    <mergeCell ref="O23:Q23"/>
    <mergeCell ref="R23:T23"/>
    <mergeCell ref="A20:C20"/>
    <mergeCell ref="D20:F20"/>
    <mergeCell ref="H20:J20"/>
    <mergeCell ref="K20:M20"/>
    <mergeCell ref="O20:Q20"/>
    <mergeCell ref="R20:T20"/>
    <mergeCell ref="A21:C21"/>
    <mergeCell ref="D21:F21"/>
    <mergeCell ref="H21:J21"/>
    <mergeCell ref="K21:M21"/>
    <mergeCell ref="O21:Q21"/>
    <mergeCell ref="R21:T21"/>
    <mergeCell ref="A18:C18"/>
    <mergeCell ref="D18:F18"/>
    <mergeCell ref="H18:J18"/>
    <mergeCell ref="K18:M18"/>
    <mergeCell ref="O18:Q18"/>
    <mergeCell ref="R18:T18"/>
    <mergeCell ref="A19:C19"/>
    <mergeCell ref="D19:F19"/>
    <mergeCell ref="H19:J19"/>
    <mergeCell ref="K19:M19"/>
    <mergeCell ref="O19:Q19"/>
    <mergeCell ref="R19:T19"/>
    <mergeCell ref="A16:C16"/>
    <mergeCell ref="D16:F16"/>
    <mergeCell ref="K16:M16"/>
    <mergeCell ref="O16:Q16"/>
    <mergeCell ref="R16:T16"/>
    <mergeCell ref="A17:C17"/>
    <mergeCell ref="D17:F17"/>
    <mergeCell ref="K17:M17"/>
    <mergeCell ref="O17:Q17"/>
    <mergeCell ref="R17:T17"/>
    <mergeCell ref="A14:C14"/>
    <mergeCell ref="D14:F14"/>
    <mergeCell ref="H14:J14"/>
    <mergeCell ref="K14:M14"/>
    <mergeCell ref="O14:Q14"/>
    <mergeCell ref="R14:T14"/>
    <mergeCell ref="A15:C15"/>
    <mergeCell ref="D15:F15"/>
    <mergeCell ref="H15:J15"/>
    <mergeCell ref="K15:M15"/>
    <mergeCell ref="O15:Q15"/>
    <mergeCell ref="R15:T15"/>
    <mergeCell ref="A3:F3"/>
    <mergeCell ref="H3:M3"/>
    <mergeCell ref="O3:T3"/>
    <mergeCell ref="D12:F12"/>
    <mergeCell ref="K12:M12"/>
    <mergeCell ref="R12:T12"/>
    <mergeCell ref="A13:C13"/>
    <mergeCell ref="D13:F13"/>
    <mergeCell ref="H13:J13"/>
    <mergeCell ref="K13:M13"/>
    <mergeCell ref="O13:Q13"/>
    <mergeCell ref="R13:T13"/>
  </mergeCells>
  <pageMargins left="0.75" right="0.12" top="0.59" bottom="0.31" header="0.2" footer="0.2"/>
  <pageSetup paperSize="5" scale="87" orientation="landscape"/>
  <headerFooter alignWithMargins="0"/>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92D050"/>
  </sheetPr>
  <dimension ref="A3:U67"/>
  <sheetViews>
    <sheetView workbookViewId="0">
      <selection activeCell="G72" sqref="A1:M115"/>
    </sheetView>
  </sheetViews>
  <sheetFormatPr defaultColWidth="9.26953125" defaultRowHeight="13"/>
  <cols>
    <col min="1" max="1" width="8.7265625" style="147" customWidth="1"/>
    <col min="2" max="2" width="1.7265625" style="147" customWidth="1"/>
    <col min="3" max="3" width="17.26953125" style="147" customWidth="1"/>
    <col min="4" max="4" width="11.453125" style="147" customWidth="1"/>
    <col min="5" max="5" width="1.7265625" style="147" customWidth="1"/>
    <col min="6" max="6" width="13.7265625" style="147" customWidth="1"/>
    <col min="7" max="7" width="3.81640625" style="147" customWidth="1"/>
    <col min="8" max="8" width="8.7265625" style="147" customWidth="1"/>
    <col min="9" max="9" width="1.7265625" style="147" customWidth="1"/>
    <col min="10" max="10" width="17.26953125" style="147" customWidth="1"/>
    <col min="11" max="11" width="11.453125" style="147" customWidth="1"/>
    <col min="12" max="12" width="1.7265625" style="147" customWidth="1"/>
    <col min="13" max="13" width="13.7265625" style="147" customWidth="1"/>
    <col min="14" max="14" width="1.7265625" style="147" customWidth="1"/>
    <col min="15" max="15" width="8.7265625" style="147" customWidth="1"/>
    <col min="16" max="16" width="1.7265625" style="147" customWidth="1"/>
    <col min="17" max="17" width="17.26953125" style="147" customWidth="1"/>
    <col min="18" max="18" width="11.453125" style="147" customWidth="1"/>
    <col min="19" max="19" width="1.7265625" style="147" customWidth="1"/>
    <col min="20" max="20" width="13.81640625" style="147" customWidth="1"/>
    <col min="21" max="16384" width="9.26953125" style="147"/>
  </cols>
  <sheetData>
    <row r="3" spans="1:20" ht="23.5">
      <c r="A3" s="2683" t="s">
        <v>1943</v>
      </c>
      <c r="B3" s="2683"/>
      <c r="C3" s="2683"/>
      <c r="D3" s="2683"/>
      <c r="E3" s="2683"/>
      <c r="F3" s="2683"/>
      <c r="H3" s="2683" t="s">
        <v>1943</v>
      </c>
      <c r="I3" s="2683"/>
      <c r="J3" s="2683"/>
      <c r="K3" s="2683"/>
      <c r="L3" s="2683"/>
      <c r="M3" s="2683"/>
      <c r="O3" s="2683" t="s">
        <v>1943</v>
      </c>
      <c r="P3" s="2683"/>
      <c r="Q3" s="2683"/>
      <c r="R3" s="2683"/>
      <c r="S3" s="2683"/>
      <c r="T3" s="2683"/>
    </row>
    <row r="5" spans="1:20">
      <c r="A5" s="147" t="s">
        <v>1944</v>
      </c>
      <c r="H5" s="147" t="s">
        <v>1944</v>
      </c>
      <c r="O5" s="147" t="s">
        <v>1944</v>
      </c>
    </row>
    <row r="6" spans="1:20">
      <c r="A6" s="147" t="s">
        <v>1945</v>
      </c>
      <c r="H6" s="147" t="s">
        <v>1945</v>
      </c>
      <c r="O6" s="147" t="s">
        <v>1945</v>
      </c>
    </row>
    <row r="7" spans="1:20">
      <c r="A7" s="147" t="s">
        <v>1946</v>
      </c>
      <c r="H7" s="147" t="s">
        <v>1946</v>
      </c>
      <c r="O7" s="147" t="s">
        <v>1946</v>
      </c>
    </row>
    <row r="8" spans="1:20">
      <c r="A8" s="179"/>
      <c r="B8" s="179"/>
      <c r="C8" s="179"/>
      <c r="D8" s="179"/>
      <c r="E8" s="179"/>
      <c r="F8" s="179"/>
      <c r="H8" s="179"/>
      <c r="I8" s="179"/>
      <c r="J8" s="179"/>
      <c r="K8" s="179"/>
      <c r="L8" s="179"/>
      <c r="M8" s="179"/>
      <c r="O8" s="179"/>
      <c r="P8" s="179"/>
      <c r="Q8" s="179"/>
      <c r="R8" s="179"/>
      <c r="S8" s="179"/>
      <c r="T8" s="179"/>
    </row>
    <row r="9" spans="1:20" ht="22.15" customHeight="1">
      <c r="A9" s="180" t="s">
        <v>398</v>
      </c>
      <c r="B9" s="181" t="s">
        <v>359</v>
      </c>
      <c r="C9" s="182" t="s">
        <v>1947</v>
      </c>
      <c r="D9" s="183" t="s">
        <v>1914</v>
      </c>
      <c r="E9" s="182" t="s">
        <v>359</v>
      </c>
      <c r="F9" s="184" t="s">
        <v>1947</v>
      </c>
      <c r="H9" s="180" t="s">
        <v>398</v>
      </c>
      <c r="I9" s="181" t="s">
        <v>359</v>
      </c>
      <c r="J9" s="182" t="s">
        <v>1947</v>
      </c>
      <c r="K9" s="183" t="s">
        <v>1914</v>
      </c>
      <c r="L9" s="182" t="s">
        <v>359</v>
      </c>
      <c r="M9" s="184" t="s">
        <v>1947</v>
      </c>
      <c r="O9" s="180" t="s">
        <v>398</v>
      </c>
      <c r="P9" s="181" t="s">
        <v>359</v>
      </c>
      <c r="Q9" s="182" t="s">
        <v>1947</v>
      </c>
      <c r="R9" s="183" t="s">
        <v>1914</v>
      </c>
      <c r="S9" s="182" t="s">
        <v>359</v>
      </c>
      <c r="T9" s="184" t="s">
        <v>1947</v>
      </c>
    </row>
    <row r="10" spans="1:20" ht="22.15" customHeight="1">
      <c r="A10" s="185" t="s">
        <v>1948</v>
      </c>
      <c r="B10" s="186" t="s">
        <v>359</v>
      </c>
      <c r="C10" s="187" t="s">
        <v>1947</v>
      </c>
      <c r="D10" s="188" t="s">
        <v>1915</v>
      </c>
      <c r="E10" s="187" t="s">
        <v>359</v>
      </c>
      <c r="F10" s="189" t="s">
        <v>1947</v>
      </c>
      <c r="H10" s="185" t="s">
        <v>1948</v>
      </c>
      <c r="I10" s="186" t="s">
        <v>359</v>
      </c>
      <c r="J10" s="187" t="s">
        <v>1947</v>
      </c>
      <c r="K10" s="188" t="s">
        <v>1915</v>
      </c>
      <c r="L10" s="187" t="s">
        <v>359</v>
      </c>
      <c r="M10" s="189" t="s">
        <v>1947</v>
      </c>
      <c r="O10" s="185" t="s">
        <v>1948</v>
      </c>
      <c r="P10" s="186" t="s">
        <v>359</v>
      </c>
      <c r="Q10" s="187" t="s">
        <v>1947</v>
      </c>
      <c r="R10" s="188" t="s">
        <v>1915</v>
      </c>
      <c r="S10" s="187" t="s">
        <v>359</v>
      </c>
      <c r="T10" s="189" t="s">
        <v>1947</v>
      </c>
    </row>
    <row r="11" spans="1:20" ht="22.15" customHeight="1">
      <c r="A11" s="190" t="s">
        <v>1725</v>
      </c>
      <c r="B11" s="191" t="s">
        <v>359</v>
      </c>
      <c r="C11" s="192" t="s">
        <v>1947</v>
      </c>
      <c r="D11" s="193" t="s">
        <v>1949</v>
      </c>
      <c r="E11" s="192" t="s">
        <v>359</v>
      </c>
      <c r="F11" s="194" t="s">
        <v>1947</v>
      </c>
      <c r="H11" s="190" t="s">
        <v>1725</v>
      </c>
      <c r="I11" s="191" t="s">
        <v>359</v>
      </c>
      <c r="J11" s="192" t="s">
        <v>1947</v>
      </c>
      <c r="K11" s="193" t="s">
        <v>1949</v>
      </c>
      <c r="L11" s="192" t="s">
        <v>359</v>
      </c>
      <c r="M11" s="194" t="s">
        <v>1947</v>
      </c>
      <c r="O11" s="190" t="s">
        <v>1725</v>
      </c>
      <c r="P11" s="191" t="s">
        <v>359</v>
      </c>
      <c r="Q11" s="192" t="s">
        <v>1947</v>
      </c>
      <c r="R11" s="193" t="s">
        <v>1949</v>
      </c>
      <c r="S11" s="192" t="s">
        <v>359</v>
      </c>
      <c r="T11" s="194" t="s">
        <v>1947</v>
      </c>
    </row>
    <row r="12" spans="1:20" ht="25.15" customHeight="1">
      <c r="A12" s="113" t="s">
        <v>594</v>
      </c>
      <c r="B12" s="195"/>
      <c r="D12" s="2730"/>
      <c r="E12" s="2730"/>
      <c r="F12" s="2731"/>
      <c r="G12" s="196"/>
      <c r="H12" s="113" t="s">
        <v>594</v>
      </c>
      <c r="I12" s="113"/>
      <c r="J12" s="113"/>
      <c r="K12" s="2730"/>
      <c r="L12" s="2730"/>
      <c r="M12" s="2731"/>
      <c r="N12" s="196"/>
      <c r="O12" s="113" t="s">
        <v>594</v>
      </c>
      <c r="P12" s="113"/>
      <c r="Q12" s="113"/>
      <c r="R12" s="2686"/>
      <c r="S12" s="2686"/>
      <c r="T12" s="2687"/>
    </row>
    <row r="13" spans="1:20" ht="25.15" customHeight="1">
      <c r="A13" s="113" t="s">
        <v>1967</v>
      </c>
      <c r="B13" s="113"/>
      <c r="C13" s="113"/>
      <c r="D13" s="2690"/>
      <c r="E13" s="2691"/>
      <c r="F13" s="2692"/>
      <c r="G13" s="196"/>
      <c r="H13" s="113" t="s">
        <v>1967</v>
      </c>
      <c r="I13" s="113"/>
      <c r="J13" s="113"/>
      <c r="K13" s="2690"/>
      <c r="L13" s="2691"/>
      <c r="M13" s="2692"/>
      <c r="N13" s="196"/>
      <c r="O13" s="113" t="s">
        <v>1967</v>
      </c>
      <c r="P13" s="113"/>
      <c r="Q13" s="113"/>
      <c r="R13" s="2693"/>
      <c r="S13" s="2694"/>
      <c r="T13" s="2695"/>
    </row>
    <row r="14" spans="1:20" ht="25.15" customHeight="1">
      <c r="A14" s="113" t="s">
        <v>1968</v>
      </c>
      <c r="B14" s="113"/>
      <c r="C14" s="113"/>
      <c r="D14" s="2690"/>
      <c r="E14" s="2691"/>
      <c r="F14" s="2692"/>
      <c r="G14" s="196"/>
      <c r="H14" s="113" t="s">
        <v>1968</v>
      </c>
      <c r="I14" s="113"/>
      <c r="J14" s="113"/>
      <c r="K14" s="2690"/>
      <c r="L14" s="2691"/>
      <c r="M14" s="2692"/>
      <c r="N14" s="196"/>
      <c r="O14" s="113" t="s">
        <v>1968</v>
      </c>
      <c r="P14" s="113"/>
      <c r="Q14" s="113"/>
      <c r="R14" s="2693"/>
      <c r="S14" s="2694"/>
      <c r="T14" s="2695"/>
    </row>
    <row r="15" spans="1:20" ht="25.15" customHeight="1">
      <c r="A15" s="113" t="s">
        <v>1952</v>
      </c>
      <c r="B15" s="113"/>
      <c r="C15" s="113"/>
      <c r="D15" s="2697"/>
      <c r="E15" s="2697"/>
      <c r="F15" s="2698"/>
      <c r="G15" s="196"/>
      <c r="H15" s="113" t="s">
        <v>1952</v>
      </c>
      <c r="I15" s="113"/>
      <c r="J15" s="113"/>
      <c r="K15" s="2697"/>
      <c r="L15" s="2697"/>
      <c r="M15" s="2698"/>
      <c r="N15" s="196"/>
      <c r="O15" s="113" t="s">
        <v>1952</v>
      </c>
      <c r="P15" s="113"/>
      <c r="Q15" s="113"/>
      <c r="R15" s="2697"/>
      <c r="S15" s="2697"/>
      <c r="T15" s="2698"/>
    </row>
    <row r="16" spans="1:20" ht="25.15" customHeight="1">
      <c r="A16" s="113" t="s">
        <v>1953</v>
      </c>
      <c r="B16" s="113"/>
      <c r="C16" s="113"/>
      <c r="D16" s="2690"/>
      <c r="E16" s="2691"/>
      <c r="F16" s="2692"/>
      <c r="G16" s="196"/>
      <c r="H16" s="113" t="s">
        <v>1953</v>
      </c>
      <c r="I16" s="113"/>
      <c r="J16" s="113"/>
      <c r="K16" s="2690"/>
      <c r="L16" s="2691"/>
      <c r="M16" s="2692"/>
      <c r="N16" s="196"/>
      <c r="O16" s="113" t="s">
        <v>1953</v>
      </c>
      <c r="P16" s="113"/>
      <c r="Q16" s="113"/>
      <c r="R16" s="2693"/>
      <c r="S16" s="2694"/>
      <c r="T16" s="2695"/>
    </row>
    <row r="17" spans="1:21" ht="25.15" customHeight="1">
      <c r="A17" s="113" t="s">
        <v>1954</v>
      </c>
      <c r="B17" s="199"/>
      <c r="C17" s="113"/>
      <c r="D17" s="2690"/>
      <c r="E17" s="2691"/>
      <c r="F17" s="2692"/>
      <c r="G17" s="196"/>
      <c r="H17" s="113" t="s">
        <v>1954</v>
      </c>
      <c r="I17" s="199"/>
      <c r="J17" s="113"/>
      <c r="K17" s="2690"/>
      <c r="L17" s="2691"/>
      <c r="M17" s="2692"/>
      <c r="N17" s="196"/>
      <c r="O17" s="113" t="s">
        <v>1954</v>
      </c>
      <c r="P17" s="199"/>
      <c r="Q17" s="113"/>
      <c r="R17" s="2693"/>
      <c r="S17" s="2694"/>
      <c r="T17" s="2695"/>
    </row>
    <row r="18" spans="1:21" ht="25.15" hidden="1" customHeight="1">
      <c r="A18" s="115" t="s">
        <v>1957</v>
      </c>
      <c r="B18" s="200"/>
      <c r="C18" s="201"/>
      <c r="D18" s="2690"/>
      <c r="E18" s="2691"/>
      <c r="F18" s="2692"/>
      <c r="G18" s="196"/>
      <c r="H18" s="115" t="s">
        <v>1957</v>
      </c>
      <c r="I18" s="200"/>
      <c r="J18" s="201"/>
      <c r="K18" s="2690"/>
      <c r="L18" s="2691"/>
      <c r="M18" s="2692"/>
      <c r="N18" s="196"/>
      <c r="O18" s="115" t="s">
        <v>1957</v>
      </c>
      <c r="P18" s="200"/>
      <c r="Q18" s="201"/>
      <c r="R18" s="2693"/>
      <c r="S18" s="2694"/>
      <c r="T18" s="2695"/>
    </row>
    <row r="19" spans="1:21" ht="25.15" customHeight="1">
      <c r="A19" s="113" t="s">
        <v>599</v>
      </c>
      <c r="B19" s="202"/>
      <c r="C19" s="199"/>
      <c r="D19" s="2690"/>
      <c r="E19" s="2691"/>
      <c r="F19" s="2692"/>
      <c r="G19" s="196"/>
      <c r="H19" s="113" t="s">
        <v>599</v>
      </c>
      <c r="I19" s="202"/>
      <c r="J19" s="199"/>
      <c r="K19" s="2690"/>
      <c r="L19" s="2691"/>
      <c r="M19" s="2692"/>
      <c r="N19" s="196"/>
      <c r="O19" s="113" t="s">
        <v>599</v>
      </c>
      <c r="P19" s="202"/>
      <c r="Q19" s="199"/>
      <c r="R19" s="2693"/>
      <c r="S19" s="2694"/>
      <c r="T19" s="2695"/>
    </row>
    <row r="20" spans="1:21" ht="25.15" customHeight="1">
      <c r="A20" s="113" t="s">
        <v>1955</v>
      </c>
      <c r="B20" s="115"/>
      <c r="C20" s="201"/>
      <c r="D20" s="2691"/>
      <c r="E20" s="2691"/>
      <c r="F20" s="2692"/>
      <c r="G20" s="196"/>
      <c r="H20" s="113" t="s">
        <v>1955</v>
      </c>
      <c r="I20" s="115"/>
      <c r="J20" s="201"/>
      <c r="K20" s="2691"/>
      <c r="L20" s="2691"/>
      <c r="M20" s="2692"/>
      <c r="N20" s="196"/>
      <c r="O20" s="113" t="s">
        <v>1955</v>
      </c>
      <c r="P20" s="115"/>
      <c r="Q20" s="201"/>
      <c r="R20" s="2694"/>
      <c r="S20" s="2694"/>
      <c r="T20" s="2695"/>
    </row>
    <row r="21" spans="1:21" ht="25.15" customHeight="1">
      <c r="A21" s="113" t="s">
        <v>1956</v>
      </c>
      <c r="B21" s="113"/>
      <c r="C21" s="202"/>
      <c r="D21" s="2690"/>
      <c r="E21" s="2691"/>
      <c r="F21" s="2692"/>
      <c r="G21" s="196"/>
      <c r="H21" s="113" t="s">
        <v>1956</v>
      </c>
      <c r="I21" s="113"/>
      <c r="J21" s="202"/>
      <c r="K21" s="2690"/>
      <c r="L21" s="2691"/>
      <c r="M21" s="2692"/>
      <c r="N21" s="196"/>
      <c r="O21" s="113" t="s">
        <v>1956</v>
      </c>
      <c r="P21" s="113"/>
      <c r="Q21" s="202"/>
      <c r="R21" s="2693"/>
      <c r="S21" s="2694"/>
      <c r="T21" s="2695"/>
    </row>
    <row r="22" spans="1:21" ht="25.15" customHeight="1">
      <c r="A22" s="113" t="s">
        <v>1969</v>
      </c>
      <c r="B22" s="113"/>
      <c r="C22" s="113"/>
      <c r="D22" s="2690"/>
      <c r="E22" s="2691"/>
      <c r="F22" s="2692"/>
      <c r="G22" s="196"/>
      <c r="H22" s="113" t="s">
        <v>1970</v>
      </c>
      <c r="I22" s="113"/>
      <c r="J22" s="113"/>
      <c r="K22" s="2690"/>
      <c r="L22" s="2691"/>
      <c r="M22" s="2692"/>
      <c r="N22" s="196"/>
      <c r="O22" s="113" t="s">
        <v>1970</v>
      </c>
      <c r="P22" s="113"/>
      <c r="Q22" s="113"/>
      <c r="R22" s="2693"/>
      <c r="S22" s="2694"/>
      <c r="T22" s="2695"/>
    </row>
    <row r="23" spans="1:21" ht="25.15" customHeight="1">
      <c r="A23" s="113" t="s">
        <v>1958</v>
      </c>
      <c r="B23" s="113"/>
      <c r="C23" s="113"/>
      <c r="D23" s="2690"/>
      <c r="E23" s="2691"/>
      <c r="F23" s="2692"/>
      <c r="G23" s="196"/>
      <c r="H23" s="113" t="s">
        <v>1971</v>
      </c>
      <c r="I23" s="113"/>
      <c r="J23" s="113"/>
      <c r="K23" s="2690"/>
      <c r="L23" s="2691"/>
      <c r="M23" s="2692"/>
      <c r="N23" s="196"/>
      <c r="O23" s="113" t="s">
        <v>1971</v>
      </c>
      <c r="P23" s="113"/>
      <c r="Q23" s="113"/>
      <c r="R23" s="2693"/>
      <c r="S23" s="2694"/>
      <c r="T23" s="2695"/>
    </row>
    <row r="24" spans="1:21" ht="25.15" customHeight="1">
      <c r="A24" s="113" t="s">
        <v>1972</v>
      </c>
      <c r="B24" s="113"/>
      <c r="C24" s="113"/>
      <c r="D24" s="2690"/>
      <c r="E24" s="2691"/>
      <c r="F24" s="2692"/>
      <c r="G24" s="196"/>
      <c r="H24" s="113" t="s">
        <v>1960</v>
      </c>
      <c r="I24" s="113"/>
      <c r="J24" s="113"/>
      <c r="K24" s="2690"/>
      <c r="L24" s="2691"/>
      <c r="M24" s="2692"/>
      <c r="N24" s="196"/>
      <c r="O24" s="113" t="s">
        <v>1960</v>
      </c>
      <c r="P24" s="113"/>
      <c r="Q24" s="113"/>
      <c r="R24" s="2690"/>
      <c r="S24" s="2691"/>
      <c r="T24" s="2692"/>
    </row>
    <row r="25" spans="1:21" ht="25.15" customHeight="1">
      <c r="A25" s="113" t="s">
        <v>1973</v>
      </c>
      <c r="B25" s="113"/>
      <c r="C25" s="113"/>
      <c r="D25" s="153"/>
      <c r="E25" s="150"/>
      <c r="F25" s="197"/>
      <c r="G25" s="196"/>
      <c r="H25" s="113" t="s">
        <v>1974</v>
      </c>
      <c r="I25" s="113"/>
      <c r="J25" s="113"/>
      <c r="K25" s="153"/>
      <c r="L25" s="150"/>
      <c r="M25" s="197"/>
      <c r="N25" s="196"/>
      <c r="O25" s="113" t="s">
        <v>1974</v>
      </c>
      <c r="P25" s="113"/>
      <c r="Q25" s="113"/>
      <c r="R25" s="153"/>
      <c r="S25" s="150"/>
      <c r="T25" s="197"/>
    </row>
    <row r="26" spans="1:21" ht="25.15" hidden="1" customHeight="1">
      <c r="A26" s="113" t="s">
        <v>1975</v>
      </c>
      <c r="B26" s="113"/>
      <c r="C26" s="113"/>
      <c r="D26" s="2690"/>
      <c r="E26" s="2691"/>
      <c r="F26" s="2692"/>
      <c r="G26" s="196"/>
      <c r="H26" s="113" t="s">
        <v>1975</v>
      </c>
      <c r="I26" s="113"/>
      <c r="J26" s="113"/>
      <c r="K26" s="2690"/>
      <c r="L26" s="2691"/>
      <c r="M26" s="2692"/>
      <c r="N26" s="196"/>
      <c r="O26" s="113" t="s">
        <v>1975</v>
      </c>
      <c r="P26" s="113"/>
      <c r="Q26" s="113"/>
      <c r="R26" s="2690"/>
      <c r="S26" s="2691"/>
      <c r="T26" s="2692"/>
    </row>
    <row r="27" spans="1:21" ht="25.15" hidden="1" customHeight="1">
      <c r="A27" s="113" t="s">
        <v>1976</v>
      </c>
      <c r="B27" s="113"/>
      <c r="C27" s="113"/>
      <c r="D27" s="2690"/>
      <c r="E27" s="2691"/>
      <c r="F27" s="2692"/>
      <c r="G27" s="196"/>
      <c r="H27" s="113" t="s">
        <v>1976</v>
      </c>
      <c r="I27" s="113"/>
      <c r="J27" s="113"/>
      <c r="K27" s="2690"/>
      <c r="L27" s="2691"/>
      <c r="M27" s="2692"/>
      <c r="N27" s="196"/>
      <c r="O27" s="113" t="s">
        <v>1976</v>
      </c>
      <c r="P27" s="113"/>
      <c r="Q27" s="113"/>
      <c r="R27" s="2693"/>
      <c r="S27" s="2694"/>
      <c r="T27" s="2695"/>
      <c r="U27" s="211"/>
    </row>
    <row r="28" spans="1:21" s="148" customFormat="1" ht="25.15" customHeight="1">
      <c r="A28" s="2732" t="s">
        <v>1961</v>
      </c>
      <c r="B28" s="2733"/>
      <c r="C28" s="2734"/>
      <c r="D28" s="2710"/>
      <c r="E28" s="2708"/>
      <c r="F28" s="2709"/>
      <c r="H28" s="2732" t="s">
        <v>1961</v>
      </c>
      <c r="I28" s="2733"/>
      <c r="J28" s="2734"/>
      <c r="K28" s="2710"/>
      <c r="L28" s="2708"/>
      <c r="M28" s="2709"/>
      <c r="N28" s="209"/>
      <c r="O28" s="2732" t="s">
        <v>1961</v>
      </c>
      <c r="P28" s="2733"/>
      <c r="Q28" s="2734"/>
      <c r="R28" s="2710"/>
      <c r="S28" s="2708"/>
      <c r="T28" s="2709"/>
    </row>
    <row r="29" spans="1:21" ht="22.15" customHeight="1">
      <c r="A29" s="203" t="s">
        <v>1962</v>
      </c>
      <c r="B29" s="204"/>
      <c r="C29" s="204"/>
      <c r="D29" s="2735"/>
      <c r="E29" s="2736"/>
      <c r="F29" s="2737"/>
      <c r="H29" s="203" t="s">
        <v>1962</v>
      </c>
      <c r="I29" s="204"/>
      <c r="J29" s="204"/>
      <c r="K29" s="2735"/>
      <c r="L29" s="2736"/>
      <c r="M29" s="2737"/>
      <c r="O29" s="203" t="s">
        <v>1962</v>
      </c>
      <c r="P29" s="204"/>
      <c r="Q29" s="204"/>
      <c r="R29" s="2738"/>
      <c r="S29" s="2739"/>
      <c r="T29" s="2740"/>
    </row>
    <row r="30" spans="1:21" ht="22.15" hidden="1" customHeight="1">
      <c r="A30" s="113"/>
      <c r="B30" s="157"/>
      <c r="C30" s="157"/>
      <c r="D30" s="156"/>
      <c r="E30" s="157"/>
      <c r="F30" s="205"/>
      <c r="H30" s="113"/>
      <c r="I30" s="157"/>
      <c r="J30" s="157"/>
      <c r="K30" s="156"/>
      <c r="L30" s="157"/>
      <c r="M30" s="205"/>
      <c r="O30" s="113"/>
      <c r="P30" s="157"/>
      <c r="Q30" s="157"/>
      <c r="R30" s="2693"/>
      <c r="S30" s="2694"/>
      <c r="T30" s="2695"/>
    </row>
    <row r="31" spans="1:21" ht="22.15" customHeight="1">
      <c r="A31" s="206" t="s">
        <v>1963</v>
      </c>
      <c r="B31" s="207"/>
      <c r="C31" s="208"/>
      <c r="D31" s="2741"/>
      <c r="E31" s="2742"/>
      <c r="F31" s="2743"/>
      <c r="H31" s="206" t="s">
        <v>1963</v>
      </c>
      <c r="I31" s="207"/>
      <c r="J31" s="208"/>
      <c r="K31" s="2741"/>
      <c r="L31" s="2742"/>
      <c r="M31" s="2743"/>
      <c r="O31" s="206" t="s">
        <v>1963</v>
      </c>
      <c r="P31" s="207"/>
      <c r="Q31" s="208"/>
      <c r="R31" s="2744"/>
      <c r="S31" s="2745"/>
      <c r="T31" s="2746"/>
    </row>
    <row r="33" spans="1:20">
      <c r="A33" s="2729" t="s">
        <v>1964</v>
      </c>
      <c r="B33" s="2729"/>
      <c r="C33" s="2729"/>
      <c r="D33" s="2729" t="s">
        <v>1965</v>
      </c>
      <c r="E33" s="2729"/>
      <c r="F33" s="2729"/>
      <c r="H33" s="2729" t="s">
        <v>1964</v>
      </c>
      <c r="I33" s="2729"/>
      <c r="J33" s="2729"/>
      <c r="K33" s="2729" t="s">
        <v>1965</v>
      </c>
      <c r="L33" s="2729"/>
      <c r="M33" s="2729"/>
      <c r="O33" s="2729" t="s">
        <v>1964</v>
      </c>
      <c r="P33" s="2729"/>
      <c r="Q33" s="2729"/>
      <c r="R33" s="2729" t="s">
        <v>1965</v>
      </c>
      <c r="S33" s="2729"/>
      <c r="T33" s="2729"/>
    </row>
    <row r="36" spans="1:20">
      <c r="A36" s="2729" t="s">
        <v>1966</v>
      </c>
      <c r="B36" s="2729"/>
      <c r="C36" s="2729"/>
      <c r="D36" s="2729" t="s">
        <v>1116</v>
      </c>
      <c r="E36" s="2729"/>
      <c r="F36" s="2729"/>
      <c r="H36" s="2729" t="s">
        <v>1966</v>
      </c>
      <c r="I36" s="2729"/>
      <c r="J36" s="2729"/>
      <c r="K36" s="2729" t="s">
        <v>1116</v>
      </c>
      <c r="L36" s="2729"/>
      <c r="M36" s="2729"/>
      <c r="O36" s="2729" t="s">
        <v>1966</v>
      </c>
      <c r="P36" s="2729"/>
      <c r="Q36" s="2729"/>
      <c r="R36" s="2729" t="s">
        <v>1116</v>
      </c>
      <c r="S36" s="2729"/>
      <c r="T36" s="2729"/>
    </row>
    <row r="37" spans="1:20" hidden="1"/>
    <row r="39" spans="1:20" ht="22.15" customHeight="1"/>
    <row r="40" spans="1:20" ht="12.75" customHeight="1"/>
    <row r="41" spans="1:20" ht="12.75" customHeight="1"/>
    <row r="42" spans="1:20" ht="12.75" customHeight="1">
      <c r="D42" s="2729"/>
      <c r="E42" s="2729"/>
      <c r="F42" s="2729"/>
      <c r="H42" s="2729"/>
      <c r="I42" s="2729"/>
      <c r="J42" s="2729"/>
      <c r="K42" s="2729"/>
      <c r="L42" s="2729"/>
      <c r="M42" s="2729"/>
    </row>
    <row r="43" spans="1:20" ht="12.75" customHeight="1"/>
    <row r="44" spans="1:20" ht="12.75" customHeight="1"/>
    <row r="45" spans="1:20" ht="22.15" customHeight="1"/>
    <row r="46" spans="1:20" ht="22.15" customHeight="1"/>
    <row r="47" spans="1:20" ht="22.15" customHeight="1"/>
    <row r="48" spans="1:20" ht="22.15" customHeight="1"/>
    <row r="49" ht="22.15" customHeight="1"/>
    <row r="50" ht="22.15" customHeight="1"/>
    <row r="51" ht="22.15" customHeight="1"/>
    <row r="52" ht="22.15" customHeight="1"/>
    <row r="53" ht="22.15" customHeight="1"/>
    <row r="54" ht="22.15" customHeight="1"/>
    <row r="55" ht="22.15" customHeight="1"/>
    <row r="56" ht="22.15" customHeight="1"/>
    <row r="57" ht="22.15" customHeight="1"/>
    <row r="58" ht="22.15" customHeight="1"/>
    <row r="59" ht="22.15" customHeight="1"/>
    <row r="60" ht="12.75" customHeight="1"/>
    <row r="61" ht="12.75" customHeight="1"/>
    <row r="62" ht="12.75" customHeight="1"/>
    <row r="63" ht="12.75" customHeight="1"/>
    <row r="64" ht="12.75" hidden="1" customHeight="1"/>
    <row r="65" ht="12.75" customHeight="1"/>
    <row r="66" ht="12.75" customHeight="1"/>
    <row r="67" ht="12.75" customHeight="1"/>
  </sheetData>
  <mergeCells count="76">
    <mergeCell ref="R36:T36"/>
    <mergeCell ref="D42:F42"/>
    <mergeCell ref="H42:J42"/>
    <mergeCell ref="K42:M42"/>
    <mergeCell ref="A36:C36"/>
    <mergeCell ref="D36:F36"/>
    <mergeCell ref="H36:J36"/>
    <mergeCell ref="K36:M36"/>
    <mergeCell ref="O36:Q36"/>
    <mergeCell ref="D31:F31"/>
    <mergeCell ref="K31:M31"/>
    <mergeCell ref="R31:T31"/>
    <mergeCell ref="A33:C33"/>
    <mergeCell ref="D33:F33"/>
    <mergeCell ref="H33:J33"/>
    <mergeCell ref="K33:M33"/>
    <mergeCell ref="O33:Q33"/>
    <mergeCell ref="R33:T33"/>
    <mergeCell ref="R28:T28"/>
    <mergeCell ref="D29:F29"/>
    <mergeCell ref="K29:M29"/>
    <mergeCell ref="R29:T29"/>
    <mergeCell ref="R30:T30"/>
    <mergeCell ref="A28:C28"/>
    <mergeCell ref="D28:F28"/>
    <mergeCell ref="H28:J28"/>
    <mergeCell ref="K28:M28"/>
    <mergeCell ref="O28:Q28"/>
    <mergeCell ref="D26:F26"/>
    <mergeCell ref="K26:M26"/>
    <mergeCell ref="R26:T26"/>
    <mergeCell ref="D27:F27"/>
    <mergeCell ref="K27:M27"/>
    <mergeCell ref="R27:T27"/>
    <mergeCell ref="D23:F23"/>
    <mergeCell ref="K23:M23"/>
    <mergeCell ref="R23:T23"/>
    <mergeCell ref="D24:F24"/>
    <mergeCell ref="K24:M24"/>
    <mergeCell ref="R24:T24"/>
    <mergeCell ref="D21:F21"/>
    <mergeCell ref="K21:M21"/>
    <mergeCell ref="R21:T21"/>
    <mergeCell ref="D22:F22"/>
    <mergeCell ref="K22:M22"/>
    <mergeCell ref="R22:T22"/>
    <mergeCell ref="D19:F19"/>
    <mergeCell ref="K19:M19"/>
    <mergeCell ref="R19:T19"/>
    <mergeCell ref="D20:F20"/>
    <mergeCell ref="K20:M20"/>
    <mergeCell ref="R20:T20"/>
    <mergeCell ref="D17:F17"/>
    <mergeCell ref="K17:M17"/>
    <mergeCell ref="R17:T17"/>
    <mergeCell ref="D18:F18"/>
    <mergeCell ref="K18:M18"/>
    <mergeCell ref="R18:T18"/>
    <mergeCell ref="D15:F15"/>
    <mergeCell ref="K15:M15"/>
    <mergeCell ref="R15:T15"/>
    <mergeCell ref="D16:F16"/>
    <mergeCell ref="K16:M16"/>
    <mergeCell ref="R16:T16"/>
    <mergeCell ref="D13:F13"/>
    <mergeCell ref="K13:M13"/>
    <mergeCell ref="R13:T13"/>
    <mergeCell ref="D14:F14"/>
    <mergeCell ref="K14:M14"/>
    <mergeCell ref="R14:T14"/>
    <mergeCell ref="A3:F3"/>
    <mergeCell ref="H3:M3"/>
    <mergeCell ref="O3:T3"/>
    <mergeCell ref="D12:F12"/>
    <mergeCell ref="K12:M12"/>
    <mergeCell ref="R12:T12"/>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92D050"/>
  </sheetPr>
  <dimension ref="A3:U67"/>
  <sheetViews>
    <sheetView workbookViewId="0">
      <selection activeCell="G72" sqref="A1:M115"/>
    </sheetView>
  </sheetViews>
  <sheetFormatPr defaultColWidth="9.26953125" defaultRowHeight="13"/>
  <cols>
    <col min="1" max="1" width="8.7265625" style="147" customWidth="1"/>
    <col min="2" max="2" width="1.7265625" style="147" customWidth="1"/>
    <col min="3" max="3" width="17.26953125" style="147" customWidth="1"/>
    <col min="4" max="4" width="11.453125" style="147" customWidth="1"/>
    <col min="5" max="5" width="1.7265625" style="147" customWidth="1"/>
    <col min="6" max="6" width="13.7265625" style="147" customWidth="1"/>
    <col min="7" max="7" width="3.81640625" style="147" customWidth="1"/>
    <col min="8" max="8" width="8.7265625" style="147" customWidth="1"/>
    <col min="9" max="9" width="1.7265625" style="147" customWidth="1"/>
    <col min="10" max="10" width="17.26953125" style="147" customWidth="1"/>
    <col min="11" max="11" width="11.453125" style="147" customWidth="1"/>
    <col min="12" max="12" width="1.7265625" style="147" customWidth="1"/>
    <col min="13" max="13" width="13.7265625" style="147" customWidth="1"/>
    <col min="14" max="14" width="1.7265625" style="147" customWidth="1"/>
    <col min="15" max="15" width="8.7265625" style="147" customWidth="1"/>
    <col min="16" max="16" width="1.7265625" style="147" customWidth="1"/>
    <col min="17" max="17" width="17.26953125" style="147" customWidth="1"/>
    <col min="18" max="18" width="11.453125" style="147" customWidth="1"/>
    <col min="19" max="19" width="1.7265625" style="147" customWidth="1"/>
    <col min="20" max="20" width="13.81640625" style="147" customWidth="1"/>
    <col min="21" max="16384" width="9.26953125" style="147"/>
  </cols>
  <sheetData>
    <row r="3" spans="1:20" ht="23.5">
      <c r="A3" s="2683" t="s">
        <v>1943</v>
      </c>
      <c r="B3" s="2683"/>
      <c r="C3" s="2683"/>
      <c r="D3" s="2683"/>
      <c r="E3" s="2683"/>
      <c r="F3" s="2683"/>
      <c r="H3" s="2683" t="s">
        <v>1943</v>
      </c>
      <c r="I3" s="2683"/>
      <c r="J3" s="2683"/>
      <c r="K3" s="2683"/>
      <c r="L3" s="2683"/>
      <c r="M3" s="2683"/>
      <c r="O3" s="2683" t="s">
        <v>1943</v>
      </c>
      <c r="P3" s="2683"/>
      <c r="Q3" s="2683"/>
      <c r="R3" s="2683"/>
      <c r="S3" s="2683"/>
      <c r="T3" s="2683"/>
    </row>
    <row r="5" spans="1:20">
      <c r="A5" s="147" t="s">
        <v>1944</v>
      </c>
      <c r="H5" s="147" t="s">
        <v>1944</v>
      </c>
      <c r="O5" s="147" t="s">
        <v>1944</v>
      </c>
    </row>
    <row r="6" spans="1:20">
      <c r="A6" s="147" t="s">
        <v>1945</v>
      </c>
      <c r="H6" s="147" t="s">
        <v>1945</v>
      </c>
      <c r="O6" s="147" t="s">
        <v>1945</v>
      </c>
    </row>
    <row r="7" spans="1:20">
      <c r="A7" s="147" t="s">
        <v>1946</v>
      </c>
      <c r="H7" s="147" t="s">
        <v>1946</v>
      </c>
      <c r="O7" s="147" t="s">
        <v>1946</v>
      </c>
    </row>
    <row r="8" spans="1:20">
      <c r="A8" s="179"/>
      <c r="B8" s="179"/>
      <c r="C8" s="179"/>
      <c r="D8" s="179"/>
      <c r="E8" s="179"/>
      <c r="F8" s="179"/>
      <c r="H8" s="179"/>
      <c r="I8" s="179"/>
      <c r="J8" s="179"/>
      <c r="K8" s="179"/>
      <c r="L8" s="179"/>
      <c r="M8" s="179"/>
      <c r="O8" s="179"/>
      <c r="P8" s="179"/>
      <c r="Q8" s="179"/>
      <c r="R8" s="179"/>
      <c r="S8" s="179"/>
      <c r="T8" s="179"/>
    </row>
    <row r="9" spans="1:20" ht="22.15" customHeight="1">
      <c r="A9" s="180" t="s">
        <v>398</v>
      </c>
      <c r="B9" s="181" t="s">
        <v>359</v>
      </c>
      <c r="C9" s="182" t="s">
        <v>1947</v>
      </c>
      <c r="D9" s="183" t="s">
        <v>1914</v>
      </c>
      <c r="E9" s="182" t="s">
        <v>359</v>
      </c>
      <c r="F9" s="184" t="s">
        <v>1947</v>
      </c>
      <c r="H9" s="180" t="s">
        <v>398</v>
      </c>
      <c r="I9" s="181" t="s">
        <v>359</v>
      </c>
      <c r="J9" s="182" t="s">
        <v>1947</v>
      </c>
      <c r="K9" s="183" t="s">
        <v>1914</v>
      </c>
      <c r="L9" s="182" t="s">
        <v>359</v>
      </c>
      <c r="M9" s="184" t="s">
        <v>1947</v>
      </c>
      <c r="O9" s="180" t="s">
        <v>398</v>
      </c>
      <c r="P9" s="181" t="s">
        <v>359</v>
      </c>
      <c r="Q9" s="182" t="s">
        <v>1947</v>
      </c>
      <c r="R9" s="183" t="s">
        <v>1914</v>
      </c>
      <c r="S9" s="182" t="s">
        <v>359</v>
      </c>
      <c r="T9" s="184" t="s">
        <v>1947</v>
      </c>
    </row>
    <row r="10" spans="1:20" ht="22.15" customHeight="1">
      <c r="A10" s="185" t="s">
        <v>1948</v>
      </c>
      <c r="B10" s="186" t="s">
        <v>359</v>
      </c>
      <c r="C10" s="187" t="s">
        <v>1947</v>
      </c>
      <c r="D10" s="188" t="s">
        <v>1915</v>
      </c>
      <c r="E10" s="187" t="s">
        <v>359</v>
      </c>
      <c r="F10" s="189" t="s">
        <v>1947</v>
      </c>
      <c r="H10" s="185" t="s">
        <v>1948</v>
      </c>
      <c r="I10" s="186" t="s">
        <v>359</v>
      </c>
      <c r="J10" s="187" t="s">
        <v>1947</v>
      </c>
      <c r="K10" s="188" t="s">
        <v>1915</v>
      </c>
      <c r="L10" s="187" t="s">
        <v>359</v>
      </c>
      <c r="M10" s="189" t="s">
        <v>1947</v>
      </c>
      <c r="O10" s="185" t="s">
        <v>1948</v>
      </c>
      <c r="P10" s="186" t="s">
        <v>359</v>
      </c>
      <c r="Q10" s="187" t="s">
        <v>1947</v>
      </c>
      <c r="R10" s="188" t="s">
        <v>1915</v>
      </c>
      <c r="S10" s="187" t="s">
        <v>359</v>
      </c>
      <c r="T10" s="189" t="s">
        <v>1947</v>
      </c>
    </row>
    <row r="11" spans="1:20" ht="22.15" customHeight="1">
      <c r="A11" s="190" t="s">
        <v>1725</v>
      </c>
      <c r="B11" s="191" t="s">
        <v>359</v>
      </c>
      <c r="C11" s="192" t="s">
        <v>1947</v>
      </c>
      <c r="D11" s="193" t="s">
        <v>1949</v>
      </c>
      <c r="E11" s="192" t="s">
        <v>359</v>
      </c>
      <c r="F11" s="194" t="s">
        <v>1947</v>
      </c>
      <c r="H11" s="190" t="s">
        <v>1725</v>
      </c>
      <c r="I11" s="191" t="s">
        <v>359</v>
      </c>
      <c r="J11" s="192" t="s">
        <v>1947</v>
      </c>
      <c r="K11" s="193" t="s">
        <v>1949</v>
      </c>
      <c r="L11" s="192" t="s">
        <v>359</v>
      </c>
      <c r="M11" s="194" t="s">
        <v>1947</v>
      </c>
      <c r="O11" s="190" t="s">
        <v>1725</v>
      </c>
      <c r="P11" s="191" t="s">
        <v>359</v>
      </c>
      <c r="Q11" s="192" t="s">
        <v>1947</v>
      </c>
      <c r="R11" s="193" t="s">
        <v>1949</v>
      </c>
      <c r="S11" s="192" t="s">
        <v>359</v>
      </c>
      <c r="T11" s="194" t="s">
        <v>1947</v>
      </c>
    </row>
    <row r="12" spans="1:20" ht="25.15" customHeight="1">
      <c r="A12" s="113" t="s">
        <v>594</v>
      </c>
      <c r="B12" s="195"/>
      <c r="D12" s="2730"/>
      <c r="E12" s="2730"/>
      <c r="F12" s="2731"/>
      <c r="G12" s="196"/>
      <c r="H12" s="113" t="s">
        <v>594</v>
      </c>
      <c r="I12" s="113"/>
      <c r="J12" s="113"/>
      <c r="K12" s="2730"/>
      <c r="L12" s="2730"/>
      <c r="M12" s="2731"/>
      <c r="N12" s="196"/>
      <c r="O12" s="113" t="s">
        <v>594</v>
      </c>
      <c r="P12" s="113"/>
      <c r="Q12" s="113"/>
      <c r="R12" s="2686"/>
      <c r="S12" s="2686"/>
      <c r="T12" s="2687"/>
    </row>
    <row r="13" spans="1:20" ht="25.15" customHeight="1">
      <c r="A13" s="113" t="s">
        <v>1967</v>
      </c>
      <c r="B13" s="113"/>
      <c r="C13" s="113"/>
      <c r="D13" s="2690"/>
      <c r="E13" s="2691"/>
      <c r="F13" s="2692"/>
      <c r="G13" s="196"/>
      <c r="H13" s="113" t="s">
        <v>1967</v>
      </c>
      <c r="I13" s="113"/>
      <c r="J13" s="113"/>
      <c r="K13" s="2690"/>
      <c r="L13" s="2691"/>
      <c r="M13" s="2692"/>
      <c r="N13" s="196"/>
      <c r="O13" s="113" t="s">
        <v>1967</v>
      </c>
      <c r="P13" s="113"/>
      <c r="Q13" s="113"/>
      <c r="R13" s="2693"/>
      <c r="S13" s="2694"/>
      <c r="T13" s="2695"/>
    </row>
    <row r="14" spans="1:20" ht="25.15" customHeight="1">
      <c r="A14" s="113" t="s">
        <v>1968</v>
      </c>
      <c r="B14" s="113"/>
      <c r="C14" s="113"/>
      <c r="D14" s="2690"/>
      <c r="E14" s="2691"/>
      <c r="F14" s="2692"/>
      <c r="G14" s="196"/>
      <c r="H14" s="113" t="s">
        <v>1968</v>
      </c>
      <c r="I14" s="113"/>
      <c r="J14" s="113"/>
      <c r="K14" s="2690"/>
      <c r="L14" s="2691"/>
      <c r="M14" s="2692"/>
      <c r="N14" s="196"/>
      <c r="O14" s="113" t="s">
        <v>1968</v>
      </c>
      <c r="P14" s="113"/>
      <c r="Q14" s="113"/>
      <c r="R14" s="2693"/>
      <c r="S14" s="2694"/>
      <c r="T14" s="2695"/>
    </row>
    <row r="15" spans="1:20" ht="25.15" customHeight="1">
      <c r="A15" s="113" t="s">
        <v>1952</v>
      </c>
      <c r="B15" s="113"/>
      <c r="C15" s="113"/>
      <c r="D15" s="2697"/>
      <c r="E15" s="2697"/>
      <c r="F15" s="2698"/>
      <c r="G15" s="196"/>
      <c r="H15" s="113" t="s">
        <v>1952</v>
      </c>
      <c r="I15" s="113"/>
      <c r="J15" s="113"/>
      <c r="K15" s="2697"/>
      <c r="L15" s="2697"/>
      <c r="M15" s="2698"/>
      <c r="N15" s="196"/>
      <c r="O15" s="113" t="s">
        <v>1952</v>
      </c>
      <c r="P15" s="113"/>
      <c r="Q15" s="113"/>
      <c r="R15" s="2697"/>
      <c r="S15" s="2697"/>
      <c r="T15" s="2698"/>
    </row>
    <row r="16" spans="1:20" ht="25.15" customHeight="1">
      <c r="A16" s="113" t="s">
        <v>1953</v>
      </c>
      <c r="B16" s="113"/>
      <c r="C16" s="113"/>
      <c r="D16" s="2690"/>
      <c r="E16" s="2691"/>
      <c r="F16" s="2692"/>
      <c r="G16" s="196"/>
      <c r="H16" s="113" t="s">
        <v>1953</v>
      </c>
      <c r="I16" s="113"/>
      <c r="J16" s="113"/>
      <c r="K16" s="2690"/>
      <c r="L16" s="2691"/>
      <c r="M16" s="2692"/>
      <c r="N16" s="196"/>
      <c r="O16" s="113" t="s">
        <v>1953</v>
      </c>
      <c r="P16" s="113"/>
      <c r="Q16" s="113"/>
      <c r="R16" s="2693"/>
      <c r="S16" s="2694"/>
      <c r="T16" s="2695"/>
    </row>
    <row r="17" spans="1:21" ht="25.15" customHeight="1">
      <c r="A17" s="113" t="s">
        <v>1954</v>
      </c>
      <c r="B17" s="199"/>
      <c r="C17" s="113"/>
      <c r="D17" s="2690"/>
      <c r="E17" s="2691"/>
      <c r="F17" s="2692"/>
      <c r="G17" s="196"/>
      <c r="H17" s="113" t="s">
        <v>1954</v>
      </c>
      <c r="I17" s="199"/>
      <c r="J17" s="113"/>
      <c r="K17" s="2690"/>
      <c r="L17" s="2691"/>
      <c r="M17" s="2692"/>
      <c r="N17" s="196"/>
      <c r="O17" s="113" t="s">
        <v>1954</v>
      </c>
      <c r="P17" s="199"/>
      <c r="Q17" s="113"/>
      <c r="R17" s="2693"/>
      <c r="S17" s="2694"/>
      <c r="T17" s="2695"/>
    </row>
    <row r="18" spans="1:21" ht="25.15" hidden="1" customHeight="1">
      <c r="A18" s="115" t="s">
        <v>1957</v>
      </c>
      <c r="B18" s="200"/>
      <c r="C18" s="201"/>
      <c r="D18" s="2690"/>
      <c r="E18" s="2691"/>
      <c r="F18" s="2692"/>
      <c r="G18" s="196"/>
      <c r="H18" s="115" t="s">
        <v>1957</v>
      </c>
      <c r="I18" s="200"/>
      <c r="J18" s="201"/>
      <c r="K18" s="2690"/>
      <c r="L18" s="2691"/>
      <c r="M18" s="2692"/>
      <c r="N18" s="196"/>
      <c r="O18" s="115" t="s">
        <v>1957</v>
      </c>
      <c r="P18" s="200"/>
      <c r="Q18" s="201"/>
      <c r="R18" s="2693"/>
      <c r="S18" s="2694"/>
      <c r="T18" s="2695"/>
    </row>
    <row r="19" spans="1:21" ht="25.15" customHeight="1">
      <c r="A19" s="113" t="s">
        <v>599</v>
      </c>
      <c r="B19" s="202"/>
      <c r="C19" s="199"/>
      <c r="D19" s="2690"/>
      <c r="E19" s="2691"/>
      <c r="F19" s="2692"/>
      <c r="G19" s="196"/>
      <c r="H19" s="113" t="s">
        <v>599</v>
      </c>
      <c r="I19" s="202"/>
      <c r="J19" s="199"/>
      <c r="K19" s="2690"/>
      <c r="L19" s="2691"/>
      <c r="M19" s="2692"/>
      <c r="N19" s="196"/>
      <c r="O19" s="113" t="s">
        <v>599</v>
      </c>
      <c r="P19" s="202"/>
      <c r="Q19" s="199"/>
      <c r="R19" s="2693"/>
      <c r="S19" s="2694"/>
      <c r="T19" s="2695"/>
    </row>
    <row r="20" spans="1:21" ht="25.15" customHeight="1">
      <c r="A20" s="113" t="s">
        <v>1955</v>
      </c>
      <c r="B20" s="115"/>
      <c r="C20" s="201"/>
      <c r="D20" s="2691"/>
      <c r="E20" s="2691"/>
      <c r="F20" s="2692"/>
      <c r="G20" s="196"/>
      <c r="H20" s="113" t="s">
        <v>1955</v>
      </c>
      <c r="I20" s="115"/>
      <c r="J20" s="201"/>
      <c r="K20" s="2691"/>
      <c r="L20" s="2691"/>
      <c r="M20" s="2692"/>
      <c r="N20" s="196"/>
      <c r="O20" s="113" t="s">
        <v>1955</v>
      </c>
      <c r="P20" s="115"/>
      <c r="Q20" s="201"/>
      <c r="R20" s="2694"/>
      <c r="S20" s="2694"/>
      <c r="T20" s="2695"/>
    </row>
    <row r="21" spans="1:21" ht="25.15" customHeight="1">
      <c r="A21" s="113" t="s">
        <v>1956</v>
      </c>
      <c r="B21" s="113"/>
      <c r="C21" s="202"/>
      <c r="D21" s="2690"/>
      <c r="E21" s="2691"/>
      <c r="F21" s="2692"/>
      <c r="G21" s="196"/>
      <c r="H21" s="113" t="s">
        <v>1956</v>
      </c>
      <c r="I21" s="113"/>
      <c r="J21" s="202"/>
      <c r="K21" s="2690"/>
      <c r="L21" s="2691"/>
      <c r="M21" s="2692"/>
      <c r="N21" s="196"/>
      <c r="O21" s="113" t="s">
        <v>1956</v>
      </c>
      <c r="P21" s="113"/>
      <c r="Q21" s="202"/>
      <c r="R21" s="2693"/>
      <c r="S21" s="2694"/>
      <c r="T21" s="2695"/>
    </row>
    <row r="22" spans="1:21" ht="25.15" customHeight="1">
      <c r="A22" s="113" t="s">
        <v>1969</v>
      </c>
      <c r="B22" s="113"/>
      <c r="C22" s="113"/>
      <c r="D22" s="2690"/>
      <c r="E22" s="2691"/>
      <c r="F22" s="2692"/>
      <c r="G22" s="196"/>
      <c r="H22" s="113" t="s">
        <v>1970</v>
      </c>
      <c r="I22" s="113"/>
      <c r="J22" s="113"/>
      <c r="K22" s="2690"/>
      <c r="L22" s="2691"/>
      <c r="M22" s="2692"/>
      <c r="N22" s="196"/>
      <c r="O22" s="113" t="s">
        <v>1970</v>
      </c>
      <c r="P22" s="113"/>
      <c r="Q22" s="113"/>
      <c r="R22" s="2693"/>
      <c r="S22" s="2694"/>
      <c r="T22" s="2695"/>
    </row>
    <row r="23" spans="1:21" ht="25.15" customHeight="1">
      <c r="A23" s="113" t="s">
        <v>1958</v>
      </c>
      <c r="B23" s="113"/>
      <c r="C23" s="113"/>
      <c r="D23" s="2690"/>
      <c r="E23" s="2691"/>
      <c r="F23" s="2692"/>
      <c r="G23" s="196"/>
      <c r="H23" s="113" t="s">
        <v>1971</v>
      </c>
      <c r="I23" s="113"/>
      <c r="J23" s="113"/>
      <c r="K23" s="2690"/>
      <c r="L23" s="2691"/>
      <c r="M23" s="2692"/>
      <c r="N23" s="196"/>
      <c r="O23" s="113" t="s">
        <v>1971</v>
      </c>
      <c r="P23" s="113"/>
      <c r="Q23" s="113"/>
      <c r="R23" s="2693"/>
      <c r="S23" s="2694"/>
      <c r="T23" s="2695"/>
    </row>
    <row r="24" spans="1:21" ht="25.15" customHeight="1">
      <c r="A24" s="113" t="s">
        <v>1972</v>
      </c>
      <c r="B24" s="113"/>
      <c r="C24" s="113"/>
      <c r="D24" s="2690"/>
      <c r="E24" s="2691"/>
      <c r="F24" s="2692"/>
      <c r="G24" s="196"/>
      <c r="H24" s="113" t="s">
        <v>1960</v>
      </c>
      <c r="I24" s="113"/>
      <c r="J24" s="113"/>
      <c r="K24" s="2690"/>
      <c r="L24" s="2691"/>
      <c r="M24" s="2692"/>
      <c r="N24" s="196"/>
      <c r="O24" s="113" t="s">
        <v>1960</v>
      </c>
      <c r="P24" s="113"/>
      <c r="Q24" s="113"/>
      <c r="R24" s="2690"/>
      <c r="S24" s="2691"/>
      <c r="T24" s="2692"/>
    </row>
    <row r="25" spans="1:21" ht="25.15" customHeight="1">
      <c r="A25" s="113" t="s">
        <v>1973</v>
      </c>
      <c r="B25" s="113"/>
      <c r="C25" s="113"/>
      <c r="D25" s="153"/>
      <c r="E25" s="150"/>
      <c r="F25" s="197"/>
      <c r="G25" s="196"/>
      <c r="H25" s="113" t="s">
        <v>1974</v>
      </c>
      <c r="I25" s="113"/>
      <c r="J25" s="113"/>
      <c r="K25" s="153"/>
      <c r="L25" s="150"/>
      <c r="M25" s="197"/>
      <c r="N25" s="196"/>
      <c r="O25" s="113" t="s">
        <v>1974</v>
      </c>
      <c r="P25" s="113"/>
      <c r="Q25" s="113"/>
      <c r="R25" s="153"/>
      <c r="S25" s="150"/>
      <c r="T25" s="197"/>
    </row>
    <row r="26" spans="1:21" ht="25.15" hidden="1" customHeight="1">
      <c r="A26" s="113" t="s">
        <v>1975</v>
      </c>
      <c r="B26" s="113"/>
      <c r="C26" s="113"/>
      <c r="D26" s="2690"/>
      <c r="E26" s="2691"/>
      <c r="F26" s="2692"/>
      <c r="G26" s="196"/>
      <c r="H26" s="113" t="s">
        <v>1975</v>
      </c>
      <c r="I26" s="113"/>
      <c r="J26" s="113"/>
      <c r="K26" s="2690"/>
      <c r="L26" s="2691"/>
      <c r="M26" s="2692"/>
      <c r="N26" s="196"/>
      <c r="O26" s="113" t="s">
        <v>1975</v>
      </c>
      <c r="P26" s="113"/>
      <c r="Q26" s="113"/>
      <c r="R26" s="2690"/>
      <c r="S26" s="2691"/>
      <c r="T26" s="2692"/>
    </row>
    <row r="27" spans="1:21" ht="25.15" hidden="1" customHeight="1">
      <c r="A27" s="113" t="s">
        <v>1976</v>
      </c>
      <c r="B27" s="113"/>
      <c r="C27" s="113"/>
      <c r="D27" s="2690"/>
      <c r="E27" s="2691"/>
      <c r="F27" s="2692"/>
      <c r="G27" s="196"/>
      <c r="H27" s="113" t="s">
        <v>1976</v>
      </c>
      <c r="I27" s="113"/>
      <c r="J27" s="113"/>
      <c r="K27" s="2690"/>
      <c r="L27" s="2691"/>
      <c r="M27" s="2692"/>
      <c r="N27" s="196"/>
      <c r="O27" s="113" t="s">
        <v>1976</v>
      </c>
      <c r="P27" s="113"/>
      <c r="Q27" s="113"/>
      <c r="R27" s="2693"/>
      <c r="S27" s="2694"/>
      <c r="T27" s="2695"/>
      <c r="U27" s="211"/>
    </row>
    <row r="28" spans="1:21" s="148" customFormat="1" ht="25.15" customHeight="1">
      <c r="A28" s="2732" t="s">
        <v>1961</v>
      </c>
      <c r="B28" s="2733"/>
      <c r="C28" s="2734"/>
      <c r="D28" s="2710"/>
      <c r="E28" s="2708"/>
      <c r="F28" s="2709"/>
      <c r="H28" s="2732" t="s">
        <v>1961</v>
      </c>
      <c r="I28" s="2733"/>
      <c r="J28" s="2734"/>
      <c r="K28" s="2710"/>
      <c r="L28" s="2708"/>
      <c r="M28" s="2709"/>
      <c r="N28" s="209"/>
      <c r="O28" s="2732" t="s">
        <v>1961</v>
      </c>
      <c r="P28" s="2733"/>
      <c r="Q28" s="2734"/>
      <c r="R28" s="2710"/>
      <c r="S28" s="2708"/>
      <c r="T28" s="2709"/>
    </row>
    <row r="29" spans="1:21" ht="22.15" customHeight="1">
      <c r="A29" s="203" t="s">
        <v>1962</v>
      </c>
      <c r="B29" s="204"/>
      <c r="C29" s="204"/>
      <c r="D29" s="2735"/>
      <c r="E29" s="2736"/>
      <c r="F29" s="2737"/>
      <c r="H29" s="203" t="s">
        <v>1962</v>
      </c>
      <c r="I29" s="204"/>
      <c r="J29" s="204"/>
      <c r="K29" s="2735"/>
      <c r="L29" s="2736"/>
      <c r="M29" s="2737"/>
      <c r="O29" s="203" t="s">
        <v>1962</v>
      </c>
      <c r="P29" s="204"/>
      <c r="Q29" s="204"/>
      <c r="R29" s="2738"/>
      <c r="S29" s="2739"/>
      <c r="T29" s="2740"/>
    </row>
    <row r="30" spans="1:21" ht="22.15" hidden="1" customHeight="1">
      <c r="A30" s="113"/>
      <c r="B30" s="157"/>
      <c r="C30" s="157"/>
      <c r="D30" s="156"/>
      <c r="E30" s="157"/>
      <c r="F30" s="205"/>
      <c r="H30" s="113"/>
      <c r="I30" s="157"/>
      <c r="J30" s="157"/>
      <c r="K30" s="156"/>
      <c r="L30" s="157"/>
      <c r="M30" s="205"/>
      <c r="O30" s="113"/>
      <c r="P30" s="157"/>
      <c r="Q30" s="157"/>
      <c r="R30" s="2693"/>
      <c r="S30" s="2694"/>
      <c r="T30" s="2695"/>
    </row>
    <row r="31" spans="1:21" ht="22.15" customHeight="1">
      <c r="A31" s="206" t="s">
        <v>1963</v>
      </c>
      <c r="B31" s="207"/>
      <c r="C31" s="208"/>
      <c r="D31" s="2741"/>
      <c r="E31" s="2742"/>
      <c r="F31" s="2743"/>
      <c r="H31" s="206" t="s">
        <v>1963</v>
      </c>
      <c r="I31" s="207"/>
      <c r="J31" s="208"/>
      <c r="K31" s="2741"/>
      <c r="L31" s="2742"/>
      <c r="M31" s="2743"/>
      <c r="O31" s="206" t="s">
        <v>1963</v>
      </c>
      <c r="P31" s="207"/>
      <c r="Q31" s="208"/>
      <c r="R31" s="2744"/>
      <c r="S31" s="2745"/>
      <c r="T31" s="2746"/>
    </row>
    <row r="33" spans="1:20">
      <c r="A33" s="2729" t="s">
        <v>1964</v>
      </c>
      <c r="B33" s="2729"/>
      <c r="C33" s="2729"/>
      <c r="D33" s="2729" t="s">
        <v>1965</v>
      </c>
      <c r="E33" s="2729"/>
      <c r="F33" s="2729"/>
      <c r="H33" s="2729" t="s">
        <v>1964</v>
      </c>
      <c r="I33" s="2729"/>
      <c r="J33" s="2729"/>
      <c r="K33" s="2729" t="s">
        <v>1965</v>
      </c>
      <c r="L33" s="2729"/>
      <c r="M33" s="2729"/>
      <c r="O33" s="2729" t="s">
        <v>1964</v>
      </c>
      <c r="P33" s="2729"/>
      <c r="Q33" s="2729"/>
      <c r="R33" s="2729" t="s">
        <v>1965</v>
      </c>
      <c r="S33" s="2729"/>
      <c r="T33" s="2729"/>
    </row>
    <row r="36" spans="1:20">
      <c r="A36" s="2729" t="s">
        <v>1966</v>
      </c>
      <c r="B36" s="2729"/>
      <c r="C36" s="2729"/>
      <c r="D36" s="2729" t="s">
        <v>1116</v>
      </c>
      <c r="E36" s="2729"/>
      <c r="F36" s="2729"/>
      <c r="H36" s="2729" t="s">
        <v>1966</v>
      </c>
      <c r="I36" s="2729"/>
      <c r="J36" s="2729"/>
      <c r="K36" s="2729" t="s">
        <v>1116</v>
      </c>
      <c r="L36" s="2729"/>
      <c r="M36" s="2729"/>
      <c r="O36" s="2729" t="s">
        <v>1966</v>
      </c>
      <c r="P36" s="2729"/>
      <c r="Q36" s="2729"/>
      <c r="R36" s="2729" t="s">
        <v>1116</v>
      </c>
      <c r="S36" s="2729"/>
      <c r="T36" s="2729"/>
    </row>
    <row r="37" spans="1:20" hidden="1"/>
    <row r="39" spans="1:20" ht="22.15" customHeight="1"/>
    <row r="40" spans="1:20" ht="12.75" customHeight="1"/>
    <row r="41" spans="1:20" ht="12.75" customHeight="1"/>
    <row r="42" spans="1:20" ht="12.75" customHeight="1">
      <c r="D42" s="2729"/>
      <c r="E42" s="2729"/>
      <c r="F42" s="2729"/>
      <c r="H42" s="2729"/>
      <c r="I42" s="2729"/>
      <c r="J42" s="2729"/>
      <c r="K42" s="2729"/>
      <c r="L42" s="2729"/>
      <c r="M42" s="2729"/>
    </row>
    <row r="43" spans="1:20" ht="12.75" customHeight="1"/>
    <row r="44" spans="1:20" ht="12.75" customHeight="1"/>
    <row r="45" spans="1:20" ht="22.15" customHeight="1"/>
    <row r="46" spans="1:20" ht="22.15" customHeight="1"/>
    <row r="47" spans="1:20" ht="22.15" customHeight="1"/>
    <row r="48" spans="1:20" ht="22.15" customHeight="1"/>
    <row r="49" ht="22.15" customHeight="1"/>
    <row r="50" ht="22.15" customHeight="1"/>
    <row r="51" ht="22.15" customHeight="1"/>
    <row r="52" ht="22.15" customHeight="1"/>
    <row r="53" ht="22.15" customHeight="1"/>
    <row r="54" ht="22.15" customHeight="1"/>
    <row r="55" ht="22.15" customHeight="1"/>
    <row r="56" ht="22.15" customHeight="1"/>
    <row r="57" ht="22.15" customHeight="1"/>
    <row r="58" ht="22.15" customHeight="1"/>
    <row r="59" ht="22.15" customHeight="1"/>
    <row r="60" ht="12.75" customHeight="1"/>
    <row r="61" ht="12.75" customHeight="1"/>
    <row r="62" ht="12.75" customHeight="1"/>
    <row r="63" ht="12.75" customHeight="1"/>
    <row r="64" ht="12.75" hidden="1" customHeight="1"/>
    <row r="65" ht="12.75" customHeight="1"/>
    <row r="66" ht="12.75" customHeight="1"/>
    <row r="67" ht="12.75" customHeight="1"/>
  </sheetData>
  <mergeCells count="76">
    <mergeCell ref="R36:T36"/>
    <mergeCell ref="D42:F42"/>
    <mergeCell ref="H42:J42"/>
    <mergeCell ref="K42:M42"/>
    <mergeCell ref="A36:C36"/>
    <mergeCell ref="D36:F36"/>
    <mergeCell ref="H36:J36"/>
    <mergeCell ref="K36:M36"/>
    <mergeCell ref="O36:Q36"/>
    <mergeCell ref="D31:F31"/>
    <mergeCell ref="K31:M31"/>
    <mergeCell ref="R31:T31"/>
    <mergeCell ref="A33:C33"/>
    <mergeCell ref="D33:F33"/>
    <mergeCell ref="H33:J33"/>
    <mergeCell ref="K33:M33"/>
    <mergeCell ref="O33:Q33"/>
    <mergeCell ref="R33:T33"/>
    <mergeCell ref="R28:T28"/>
    <mergeCell ref="D29:F29"/>
    <mergeCell ref="K29:M29"/>
    <mergeCell ref="R29:T29"/>
    <mergeCell ref="R30:T30"/>
    <mergeCell ref="A28:C28"/>
    <mergeCell ref="D28:F28"/>
    <mergeCell ref="H28:J28"/>
    <mergeCell ref="K28:M28"/>
    <mergeCell ref="O28:Q28"/>
    <mergeCell ref="D26:F26"/>
    <mergeCell ref="K26:M26"/>
    <mergeCell ref="R26:T26"/>
    <mergeCell ref="D27:F27"/>
    <mergeCell ref="K27:M27"/>
    <mergeCell ref="R27:T27"/>
    <mergeCell ref="D23:F23"/>
    <mergeCell ref="K23:M23"/>
    <mergeCell ref="R23:T23"/>
    <mergeCell ref="D24:F24"/>
    <mergeCell ref="K24:M24"/>
    <mergeCell ref="R24:T24"/>
    <mergeCell ref="D21:F21"/>
    <mergeCell ref="K21:M21"/>
    <mergeCell ref="R21:T21"/>
    <mergeCell ref="D22:F22"/>
    <mergeCell ref="K22:M22"/>
    <mergeCell ref="R22:T22"/>
    <mergeCell ref="D19:F19"/>
    <mergeCell ref="K19:M19"/>
    <mergeCell ref="R19:T19"/>
    <mergeCell ref="D20:F20"/>
    <mergeCell ref="K20:M20"/>
    <mergeCell ref="R20:T20"/>
    <mergeCell ref="D17:F17"/>
    <mergeCell ref="K17:M17"/>
    <mergeCell ref="R17:T17"/>
    <mergeCell ref="D18:F18"/>
    <mergeCell ref="K18:M18"/>
    <mergeCell ref="R18:T18"/>
    <mergeCell ref="D15:F15"/>
    <mergeCell ref="K15:M15"/>
    <mergeCell ref="R15:T15"/>
    <mergeCell ref="D16:F16"/>
    <mergeCell ref="K16:M16"/>
    <mergeCell ref="R16:T16"/>
    <mergeCell ref="D13:F13"/>
    <mergeCell ref="K13:M13"/>
    <mergeCell ref="R13:T13"/>
    <mergeCell ref="D14:F14"/>
    <mergeCell ref="K14:M14"/>
    <mergeCell ref="R14:T14"/>
    <mergeCell ref="A3:F3"/>
    <mergeCell ref="H3:M3"/>
    <mergeCell ref="O3:T3"/>
    <mergeCell ref="D12:F12"/>
    <mergeCell ref="K12:M12"/>
    <mergeCell ref="R12:T12"/>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92D050"/>
  </sheetPr>
  <dimension ref="A1:IV77"/>
  <sheetViews>
    <sheetView workbookViewId="0">
      <selection activeCell="G72" sqref="A1:L115"/>
    </sheetView>
  </sheetViews>
  <sheetFormatPr defaultColWidth="9.26953125" defaultRowHeight="14"/>
  <cols>
    <col min="1" max="1" width="23.7265625" style="158" customWidth="1"/>
    <col min="2" max="7" width="12.54296875" style="158" customWidth="1"/>
    <col min="8" max="9" width="9.26953125" style="158" customWidth="1"/>
    <col min="10" max="10" width="12" style="158" customWidth="1"/>
    <col min="11" max="14" width="8.7265625" style="158" customWidth="1"/>
    <col min="15" max="16384" width="9.26953125" style="158"/>
  </cols>
  <sheetData>
    <row r="1" spans="1:13" ht="21" customHeight="1"/>
    <row r="2" spans="1:13" ht="24" customHeight="1">
      <c r="A2" s="159"/>
      <c r="B2" s="2747" t="s">
        <v>1977</v>
      </c>
      <c r="C2" s="2747"/>
      <c r="D2" s="2747"/>
      <c r="E2" s="2747"/>
      <c r="F2" s="2747"/>
      <c r="G2" s="2747"/>
      <c r="H2" s="160"/>
      <c r="I2" s="160"/>
      <c r="J2" s="160"/>
      <c r="K2" s="160"/>
      <c r="L2" s="160"/>
      <c r="M2" s="173"/>
    </row>
    <row r="3" spans="1:13" ht="7.5" customHeight="1">
      <c r="A3" s="159"/>
      <c r="B3" s="159"/>
      <c r="C3" s="159"/>
      <c r="D3" s="159"/>
      <c r="E3" s="159"/>
      <c r="F3" s="159"/>
      <c r="G3" s="159"/>
      <c r="H3" s="159"/>
      <c r="I3" s="159"/>
      <c r="J3" s="159"/>
      <c r="K3" s="102"/>
      <c r="L3" s="159"/>
    </row>
    <row r="4" spans="1:13" ht="14.5">
      <c r="A4" s="159"/>
      <c r="B4" s="159"/>
      <c r="C4" s="159"/>
      <c r="D4" s="159"/>
      <c r="E4" s="159"/>
      <c r="F4" s="159"/>
      <c r="G4" s="159"/>
      <c r="H4" s="161" t="s">
        <v>1978</v>
      </c>
      <c r="I4" s="159"/>
      <c r="J4" s="159"/>
      <c r="K4" s="102"/>
      <c r="L4" s="159"/>
    </row>
    <row r="5" spans="1:13" ht="14.5">
      <c r="A5" s="159"/>
      <c r="B5" s="159"/>
      <c r="C5" s="159"/>
      <c r="D5" s="159"/>
      <c r="E5" s="159"/>
      <c r="F5" s="159"/>
      <c r="G5" s="159"/>
      <c r="H5" s="161" t="s">
        <v>1979</v>
      </c>
      <c r="I5" s="159"/>
      <c r="J5" s="159"/>
      <c r="K5" s="159"/>
      <c r="L5" s="159"/>
    </row>
    <row r="6" spans="1:13" ht="14.5">
      <c r="A6" s="159"/>
      <c r="B6" s="159"/>
      <c r="C6" s="159"/>
      <c r="D6" s="159"/>
      <c r="E6" s="159"/>
      <c r="F6" s="159"/>
      <c r="G6" s="159"/>
      <c r="H6" s="161" t="s">
        <v>1980</v>
      </c>
      <c r="I6" s="159"/>
      <c r="J6" s="159"/>
      <c r="K6" s="159"/>
      <c r="L6" s="159"/>
    </row>
    <row r="7" spans="1:13" ht="8.5" customHeight="1">
      <c r="A7" s="159"/>
      <c r="B7" s="159"/>
      <c r="C7" s="159"/>
      <c r="D7" s="159"/>
      <c r="E7" s="159"/>
      <c r="F7" s="159"/>
      <c r="G7" s="159"/>
      <c r="H7" s="161"/>
      <c r="I7" s="159"/>
      <c r="J7" s="159"/>
      <c r="K7" s="159"/>
      <c r="L7" s="159"/>
    </row>
    <row r="8" spans="1:13" ht="14.5">
      <c r="A8" s="2666" t="s">
        <v>416</v>
      </c>
      <c r="B8" s="2751" t="s">
        <v>1981</v>
      </c>
      <c r="C8" s="2751" t="s">
        <v>468</v>
      </c>
      <c r="D8" s="2751" t="s">
        <v>310</v>
      </c>
      <c r="E8" s="2751" t="s">
        <v>1982</v>
      </c>
      <c r="F8" s="2751" t="s">
        <v>1983</v>
      </c>
      <c r="G8" s="2751" t="s">
        <v>1984</v>
      </c>
      <c r="H8" s="2669" t="s">
        <v>1985</v>
      </c>
      <c r="I8" s="2669" t="s">
        <v>1187</v>
      </c>
      <c r="J8" s="2672" t="s">
        <v>1986</v>
      </c>
      <c r="K8" s="159"/>
      <c r="L8" s="159"/>
    </row>
    <row r="9" spans="1:13" ht="14.5">
      <c r="A9" s="2668"/>
      <c r="B9" s="2752"/>
      <c r="C9" s="2752"/>
      <c r="D9" s="2752"/>
      <c r="E9" s="2752"/>
      <c r="F9" s="2752"/>
      <c r="G9" s="2752"/>
      <c r="H9" s="2671"/>
      <c r="I9" s="2671"/>
      <c r="J9" s="2674"/>
      <c r="K9" s="159"/>
      <c r="L9" s="159"/>
    </row>
    <row r="10" spans="1:13" ht="14.15" customHeight="1">
      <c r="A10" s="113" t="s">
        <v>815</v>
      </c>
      <c r="B10" s="162"/>
      <c r="C10" s="162"/>
      <c r="D10" s="162"/>
      <c r="E10" s="162"/>
      <c r="F10" s="162"/>
      <c r="G10" s="162"/>
      <c r="H10" s="162"/>
      <c r="I10" s="165"/>
      <c r="J10" s="174"/>
      <c r="K10" s="102"/>
      <c r="L10" s="102"/>
    </row>
    <row r="11" spans="1:13" ht="14.15" customHeight="1">
      <c r="A11" s="113" t="s">
        <v>381</v>
      </c>
      <c r="B11" s="163"/>
      <c r="C11" s="163"/>
      <c r="D11" s="162"/>
      <c r="E11" s="163"/>
      <c r="F11" s="162"/>
      <c r="G11" s="163"/>
      <c r="H11" s="162"/>
      <c r="I11" s="164"/>
      <c r="J11" s="175"/>
      <c r="K11" s="102"/>
      <c r="L11" s="102"/>
    </row>
    <row r="12" spans="1:13" ht="14.15" customHeight="1">
      <c r="A12" s="113" t="s">
        <v>153</v>
      </c>
      <c r="B12" s="163"/>
      <c r="C12" s="163"/>
      <c r="D12" s="162"/>
      <c r="E12" s="163"/>
      <c r="F12" s="162"/>
      <c r="G12" s="163"/>
      <c r="H12" s="162"/>
      <c r="I12" s="164"/>
      <c r="J12" s="175"/>
      <c r="K12" s="159"/>
      <c r="L12" s="159"/>
    </row>
    <row r="13" spans="1:13" ht="14.15" customHeight="1">
      <c r="A13" s="113" t="s">
        <v>1987</v>
      </c>
      <c r="B13" s="163"/>
      <c r="C13" s="163"/>
      <c r="D13" s="162"/>
      <c r="E13" s="163"/>
      <c r="F13" s="162"/>
      <c r="G13" s="163"/>
      <c r="H13" s="162"/>
      <c r="I13" s="164"/>
      <c r="J13" s="175"/>
      <c r="K13" s="159"/>
      <c r="L13" s="159"/>
    </row>
    <row r="14" spans="1:13" ht="14.15" customHeight="1">
      <c r="A14" s="113" t="s">
        <v>778</v>
      </c>
      <c r="B14" s="163"/>
      <c r="C14" s="163"/>
      <c r="D14" s="162"/>
      <c r="E14" s="163"/>
      <c r="F14" s="162"/>
      <c r="G14" s="163"/>
      <c r="H14" s="162"/>
      <c r="I14" s="164"/>
      <c r="J14" s="175"/>
      <c r="K14" s="159"/>
      <c r="L14" s="159"/>
    </row>
    <row r="15" spans="1:13" ht="14.15" customHeight="1">
      <c r="A15" s="113" t="s">
        <v>892</v>
      </c>
      <c r="B15" s="163"/>
      <c r="C15" s="163"/>
      <c r="D15" s="162"/>
      <c r="E15" s="163"/>
      <c r="F15" s="162"/>
      <c r="G15" s="163"/>
      <c r="H15" s="162"/>
      <c r="I15" s="164"/>
      <c r="J15" s="175"/>
      <c r="K15" s="159"/>
      <c r="L15" s="159"/>
    </row>
    <row r="16" spans="1:13" ht="14.15" customHeight="1">
      <c r="A16" s="113" t="s">
        <v>157</v>
      </c>
      <c r="B16" s="163"/>
      <c r="C16" s="163"/>
      <c r="D16" s="162"/>
      <c r="E16" s="163"/>
      <c r="F16" s="162"/>
      <c r="G16" s="163"/>
      <c r="H16" s="162"/>
      <c r="I16" s="164"/>
      <c r="J16" s="175"/>
      <c r="K16" s="159"/>
      <c r="L16" s="159"/>
    </row>
    <row r="17" spans="1:256" ht="14.15" customHeight="1">
      <c r="A17" s="113" t="s">
        <v>156</v>
      </c>
      <c r="B17" s="163"/>
      <c r="C17" s="163"/>
      <c r="D17" s="162"/>
      <c r="E17" s="163"/>
      <c r="F17" s="162"/>
      <c r="G17" s="163"/>
      <c r="H17" s="162"/>
      <c r="I17" s="164"/>
      <c r="J17" s="175"/>
      <c r="K17" s="159"/>
      <c r="L17" s="159"/>
    </row>
    <row r="18" spans="1:256" ht="14.15" customHeight="1">
      <c r="A18" s="113" t="s">
        <v>907</v>
      </c>
      <c r="B18" s="163"/>
      <c r="C18" s="163"/>
      <c r="D18" s="162"/>
      <c r="E18" s="163"/>
      <c r="F18" s="162"/>
      <c r="G18" s="163"/>
      <c r="H18" s="162"/>
      <c r="I18" s="164"/>
      <c r="J18" s="175"/>
      <c r="K18" s="159"/>
      <c r="L18" s="49"/>
      <c r="M18" s="48"/>
      <c r="N18" s="48"/>
      <c r="O18" s="48"/>
      <c r="P18" s="48"/>
      <c r="Q18" s="48"/>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c r="AP18" s="48"/>
      <c r="AQ18" s="48"/>
      <c r="AR18" s="48"/>
      <c r="AS18" s="48"/>
      <c r="AT18" s="48"/>
      <c r="AU18" s="48"/>
      <c r="AV18" s="48"/>
      <c r="AW18" s="48"/>
      <c r="AX18" s="48"/>
      <c r="AY18" s="48"/>
      <c r="AZ18" s="48"/>
      <c r="BA18" s="48"/>
      <c r="BB18" s="48"/>
      <c r="BC18" s="48"/>
      <c r="BD18" s="48"/>
      <c r="BE18" s="48"/>
      <c r="BF18" s="48"/>
      <c r="BG18" s="48"/>
      <c r="BH18" s="48"/>
      <c r="BI18" s="48"/>
      <c r="BJ18" s="48"/>
      <c r="BK18" s="48"/>
      <c r="BL18" s="48"/>
      <c r="BM18" s="48"/>
      <c r="BN18" s="48"/>
      <c r="BO18" s="48"/>
      <c r="BP18" s="48"/>
      <c r="BQ18" s="48"/>
      <c r="BR18" s="48"/>
      <c r="BS18" s="48"/>
      <c r="BT18" s="48"/>
      <c r="BU18" s="48"/>
      <c r="BV18" s="48"/>
      <c r="BW18" s="48"/>
      <c r="BX18" s="48"/>
      <c r="BY18" s="48"/>
      <c r="BZ18" s="48"/>
      <c r="CA18" s="48"/>
      <c r="CB18" s="48"/>
      <c r="CC18" s="48"/>
      <c r="CD18" s="48"/>
      <c r="CE18" s="48"/>
      <c r="CF18" s="48"/>
      <c r="CG18" s="48"/>
      <c r="CH18" s="48"/>
      <c r="CI18" s="48"/>
      <c r="CJ18" s="48"/>
      <c r="CK18" s="48"/>
      <c r="CL18" s="48"/>
      <c r="CM18" s="48"/>
      <c r="CN18" s="48"/>
      <c r="CO18" s="48"/>
      <c r="CP18" s="48"/>
      <c r="CQ18" s="48"/>
      <c r="CR18" s="48"/>
      <c r="CS18" s="48"/>
      <c r="CT18" s="48"/>
      <c r="CU18" s="48"/>
      <c r="CV18" s="48"/>
      <c r="CW18" s="48"/>
      <c r="CX18" s="48"/>
      <c r="CY18" s="48"/>
      <c r="CZ18" s="48"/>
      <c r="DA18" s="48"/>
      <c r="DB18" s="48"/>
      <c r="DC18" s="48"/>
      <c r="DD18" s="48"/>
      <c r="DE18" s="48"/>
      <c r="DF18" s="48"/>
      <c r="DG18" s="48"/>
      <c r="DH18" s="48"/>
      <c r="DI18" s="48"/>
      <c r="DJ18" s="48"/>
      <c r="DK18" s="48"/>
      <c r="DL18" s="48"/>
      <c r="DM18" s="48"/>
      <c r="DN18" s="48"/>
      <c r="DO18" s="48"/>
      <c r="DP18" s="48"/>
      <c r="DQ18" s="48"/>
      <c r="DR18" s="48"/>
      <c r="DS18" s="48"/>
      <c r="DT18" s="48"/>
      <c r="DU18" s="48"/>
      <c r="DV18" s="48"/>
      <c r="DW18" s="48"/>
      <c r="DX18" s="48"/>
      <c r="DY18" s="48"/>
      <c r="DZ18" s="48"/>
      <c r="EA18" s="48"/>
      <c r="EB18" s="48"/>
      <c r="EC18" s="48"/>
      <c r="ED18" s="48"/>
      <c r="EE18" s="48"/>
      <c r="EF18" s="48"/>
      <c r="EG18" s="48"/>
      <c r="EH18" s="48"/>
      <c r="EI18" s="48"/>
      <c r="EJ18" s="48"/>
      <c r="EK18" s="48"/>
      <c r="EL18" s="48"/>
      <c r="EM18" s="48"/>
      <c r="EN18" s="48"/>
      <c r="EO18" s="48"/>
      <c r="EP18" s="48"/>
      <c r="EQ18" s="48"/>
      <c r="ER18" s="48"/>
      <c r="ES18" s="48"/>
      <c r="ET18" s="48"/>
      <c r="EU18" s="48"/>
      <c r="EV18" s="48"/>
      <c r="EW18" s="48"/>
      <c r="EX18" s="48"/>
      <c r="EY18" s="48"/>
      <c r="EZ18" s="48"/>
      <c r="FA18" s="48"/>
      <c r="FB18" s="48"/>
      <c r="FC18" s="48"/>
      <c r="FD18" s="48"/>
      <c r="FE18" s="48"/>
      <c r="FF18" s="48"/>
      <c r="FG18" s="48"/>
      <c r="FH18" s="48"/>
      <c r="FI18" s="48"/>
      <c r="FJ18" s="48"/>
      <c r="FK18" s="48"/>
      <c r="FL18" s="48"/>
      <c r="FM18" s="48"/>
      <c r="FN18" s="48"/>
      <c r="FO18" s="48"/>
      <c r="FP18" s="48"/>
      <c r="FQ18" s="48"/>
      <c r="FR18" s="48"/>
      <c r="FS18" s="48"/>
      <c r="FT18" s="48"/>
      <c r="FU18" s="48"/>
      <c r="FV18" s="48"/>
      <c r="FW18" s="48"/>
      <c r="FX18" s="48"/>
      <c r="FY18" s="48"/>
      <c r="FZ18" s="48"/>
      <c r="GA18" s="48"/>
      <c r="GB18" s="48"/>
      <c r="GC18" s="48"/>
      <c r="GD18" s="48"/>
      <c r="GE18" s="48"/>
      <c r="GF18" s="48"/>
      <c r="GG18" s="48"/>
      <c r="GH18" s="48"/>
      <c r="GI18" s="48"/>
      <c r="GJ18" s="48"/>
      <c r="GK18" s="48"/>
      <c r="GL18" s="48"/>
      <c r="GM18" s="48"/>
      <c r="GN18" s="48"/>
      <c r="GO18" s="48"/>
      <c r="GP18" s="48"/>
      <c r="GQ18" s="48"/>
      <c r="GR18" s="48"/>
      <c r="GS18" s="48"/>
      <c r="GT18" s="48"/>
      <c r="GU18" s="48"/>
      <c r="GV18" s="48"/>
      <c r="GW18" s="48"/>
      <c r="GX18" s="48"/>
      <c r="GY18" s="48"/>
      <c r="GZ18" s="48"/>
      <c r="HA18" s="48"/>
      <c r="HB18" s="48"/>
      <c r="HC18" s="48"/>
      <c r="HD18" s="48"/>
      <c r="HE18" s="48"/>
      <c r="HF18" s="48"/>
      <c r="HG18" s="48"/>
      <c r="HH18" s="48"/>
      <c r="HI18" s="48"/>
      <c r="HJ18" s="48"/>
      <c r="HK18" s="48"/>
      <c r="HL18" s="48"/>
      <c r="HM18" s="48"/>
      <c r="HN18" s="48"/>
      <c r="HO18" s="48"/>
      <c r="HP18" s="48"/>
      <c r="HQ18" s="48"/>
      <c r="HR18" s="48"/>
      <c r="HS18" s="48"/>
      <c r="HT18" s="48"/>
      <c r="HU18" s="48"/>
      <c r="HV18" s="48"/>
      <c r="HW18" s="48"/>
      <c r="HX18" s="48"/>
      <c r="HY18" s="48"/>
      <c r="HZ18" s="48"/>
      <c r="IA18" s="48"/>
      <c r="IB18" s="48"/>
      <c r="IC18" s="48"/>
      <c r="ID18" s="48"/>
      <c r="IE18" s="48"/>
      <c r="IF18" s="48"/>
      <c r="IG18" s="48"/>
      <c r="IH18" s="48"/>
      <c r="II18" s="48"/>
      <c r="IJ18" s="48"/>
      <c r="IK18" s="48"/>
      <c r="IL18" s="48"/>
      <c r="IM18" s="48"/>
      <c r="IN18" s="48"/>
      <c r="IO18" s="48"/>
      <c r="IP18" s="48"/>
      <c r="IQ18" s="48"/>
      <c r="IR18" s="48"/>
      <c r="IS18" s="48"/>
      <c r="IT18" s="48"/>
      <c r="IU18" s="48"/>
      <c r="IV18" s="48"/>
    </row>
    <row r="19" spans="1:256" ht="14.15" customHeight="1">
      <c r="A19" s="113" t="s">
        <v>1988</v>
      </c>
      <c r="B19" s="164"/>
      <c r="C19" s="164"/>
      <c r="D19" s="165"/>
      <c r="E19" s="164"/>
      <c r="F19" s="164"/>
      <c r="G19" s="164"/>
      <c r="H19" s="164"/>
      <c r="I19" s="164"/>
      <c r="J19" s="175"/>
      <c r="K19" s="159"/>
      <c r="L19" s="49"/>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c r="AP19" s="48"/>
      <c r="AQ19" s="48"/>
      <c r="AR19" s="48"/>
      <c r="AS19" s="48"/>
      <c r="AT19" s="48"/>
      <c r="AU19" s="48"/>
      <c r="AV19" s="48"/>
      <c r="AW19" s="48"/>
      <c r="AX19" s="48"/>
      <c r="AY19" s="48"/>
      <c r="AZ19" s="48"/>
      <c r="BA19" s="48"/>
      <c r="BB19" s="48"/>
      <c r="BC19" s="48"/>
      <c r="BD19" s="48"/>
      <c r="BE19" s="48"/>
      <c r="BF19" s="48"/>
      <c r="BG19" s="48"/>
      <c r="BH19" s="48"/>
      <c r="BI19" s="48"/>
      <c r="BJ19" s="48"/>
      <c r="BK19" s="48"/>
      <c r="BL19" s="48"/>
      <c r="BM19" s="48"/>
      <c r="BN19" s="48"/>
      <c r="BO19" s="48"/>
      <c r="BP19" s="48"/>
      <c r="BQ19" s="48"/>
      <c r="BR19" s="48"/>
      <c r="BS19" s="48"/>
      <c r="BT19" s="48"/>
      <c r="BU19" s="48"/>
      <c r="BV19" s="48"/>
      <c r="BW19" s="48"/>
      <c r="BX19" s="48"/>
      <c r="BY19" s="48"/>
      <c r="BZ19" s="48"/>
      <c r="CA19" s="48"/>
      <c r="CB19" s="48"/>
      <c r="CC19" s="48"/>
      <c r="CD19" s="48"/>
      <c r="CE19" s="48"/>
      <c r="CF19" s="48"/>
      <c r="CG19" s="48"/>
      <c r="CH19" s="48"/>
      <c r="CI19" s="48"/>
      <c r="CJ19" s="48"/>
      <c r="CK19" s="48"/>
      <c r="CL19" s="48"/>
      <c r="CM19" s="48"/>
      <c r="CN19" s="48"/>
      <c r="CO19" s="48"/>
      <c r="CP19" s="48"/>
      <c r="CQ19" s="48"/>
      <c r="CR19" s="48"/>
      <c r="CS19" s="48"/>
      <c r="CT19" s="48"/>
      <c r="CU19" s="48"/>
      <c r="CV19" s="48"/>
      <c r="CW19" s="48"/>
      <c r="CX19" s="48"/>
      <c r="CY19" s="48"/>
      <c r="CZ19" s="48"/>
      <c r="DA19" s="48"/>
      <c r="DB19" s="48"/>
      <c r="DC19" s="48"/>
      <c r="DD19" s="48"/>
      <c r="DE19" s="48"/>
      <c r="DF19" s="48"/>
      <c r="DG19" s="48"/>
      <c r="DH19" s="48"/>
      <c r="DI19" s="48"/>
      <c r="DJ19" s="48"/>
      <c r="DK19" s="48"/>
      <c r="DL19" s="48"/>
      <c r="DM19" s="48"/>
      <c r="DN19" s="48"/>
      <c r="DO19" s="48"/>
      <c r="DP19" s="48"/>
      <c r="DQ19" s="48"/>
      <c r="DR19" s="48"/>
      <c r="DS19" s="48"/>
      <c r="DT19" s="48"/>
      <c r="DU19" s="48"/>
      <c r="DV19" s="48"/>
      <c r="DW19" s="48"/>
      <c r="DX19" s="48"/>
      <c r="DY19" s="48"/>
      <c r="DZ19" s="48"/>
      <c r="EA19" s="48"/>
      <c r="EB19" s="48"/>
      <c r="EC19" s="48"/>
      <c r="ED19" s="48"/>
      <c r="EE19" s="48"/>
      <c r="EF19" s="48"/>
      <c r="EG19" s="48"/>
      <c r="EH19" s="48"/>
      <c r="EI19" s="48"/>
      <c r="EJ19" s="48"/>
      <c r="EK19" s="48"/>
      <c r="EL19" s="48"/>
      <c r="EM19" s="48"/>
      <c r="EN19" s="48"/>
      <c r="EO19" s="48"/>
      <c r="EP19" s="48"/>
      <c r="EQ19" s="48"/>
      <c r="ER19" s="48"/>
      <c r="ES19" s="48"/>
      <c r="ET19" s="48"/>
      <c r="EU19" s="48"/>
      <c r="EV19" s="48"/>
      <c r="EW19" s="48"/>
      <c r="EX19" s="48"/>
      <c r="EY19" s="48"/>
      <c r="EZ19" s="48"/>
      <c r="FA19" s="48"/>
      <c r="FB19" s="48"/>
      <c r="FC19" s="48"/>
      <c r="FD19" s="48"/>
      <c r="FE19" s="48"/>
      <c r="FF19" s="48"/>
      <c r="FG19" s="48"/>
      <c r="FH19" s="48"/>
      <c r="FI19" s="48"/>
      <c r="FJ19" s="48"/>
      <c r="FK19" s="48"/>
      <c r="FL19" s="48"/>
      <c r="FM19" s="48"/>
      <c r="FN19" s="48"/>
      <c r="FO19" s="48"/>
      <c r="FP19" s="48"/>
      <c r="FQ19" s="48"/>
      <c r="FR19" s="48"/>
      <c r="FS19" s="48"/>
      <c r="FT19" s="48"/>
      <c r="FU19" s="48"/>
      <c r="FV19" s="48"/>
      <c r="FW19" s="48"/>
      <c r="FX19" s="48"/>
      <c r="FY19" s="48"/>
      <c r="FZ19" s="48"/>
      <c r="GA19" s="48"/>
      <c r="GB19" s="48"/>
      <c r="GC19" s="48"/>
      <c r="GD19" s="48"/>
      <c r="GE19" s="48"/>
      <c r="GF19" s="48"/>
      <c r="GG19" s="48"/>
      <c r="GH19" s="48"/>
      <c r="GI19" s="48"/>
      <c r="GJ19" s="48"/>
      <c r="GK19" s="48"/>
      <c r="GL19" s="48"/>
      <c r="GM19" s="48"/>
      <c r="GN19" s="48"/>
      <c r="GO19" s="48"/>
      <c r="GP19" s="48"/>
      <c r="GQ19" s="48"/>
      <c r="GR19" s="48"/>
      <c r="GS19" s="48"/>
      <c r="GT19" s="48"/>
      <c r="GU19" s="48"/>
      <c r="GV19" s="48"/>
      <c r="GW19" s="48"/>
      <c r="GX19" s="48"/>
      <c r="GY19" s="48"/>
      <c r="GZ19" s="48"/>
      <c r="HA19" s="48"/>
      <c r="HB19" s="48"/>
      <c r="HC19" s="48"/>
      <c r="HD19" s="48"/>
      <c r="HE19" s="48"/>
      <c r="HF19" s="48"/>
      <c r="HG19" s="48"/>
      <c r="HH19" s="48"/>
      <c r="HI19" s="48"/>
      <c r="HJ19" s="48"/>
      <c r="HK19" s="48"/>
      <c r="HL19" s="48"/>
      <c r="HM19" s="48"/>
      <c r="HN19" s="48"/>
      <c r="HO19" s="48"/>
      <c r="HP19" s="48"/>
      <c r="HQ19" s="48"/>
      <c r="HR19" s="48"/>
      <c r="HS19" s="48"/>
      <c r="HT19" s="48"/>
      <c r="HU19" s="48"/>
      <c r="HV19" s="48"/>
      <c r="HW19" s="48"/>
      <c r="HX19" s="48"/>
      <c r="HY19" s="48"/>
      <c r="HZ19" s="48"/>
      <c r="IA19" s="48"/>
      <c r="IB19" s="48"/>
      <c r="IC19" s="48"/>
      <c r="ID19" s="48"/>
      <c r="IE19" s="48"/>
      <c r="IF19" s="48"/>
      <c r="IG19" s="48"/>
      <c r="IH19" s="48"/>
      <c r="II19" s="48"/>
      <c r="IJ19" s="48"/>
      <c r="IK19" s="48"/>
      <c r="IL19" s="48"/>
      <c r="IM19" s="48"/>
      <c r="IN19" s="48"/>
      <c r="IO19" s="48"/>
      <c r="IP19" s="48"/>
      <c r="IQ19" s="48"/>
      <c r="IR19" s="48"/>
      <c r="IS19" s="48"/>
      <c r="IT19" s="48"/>
      <c r="IU19" s="48"/>
      <c r="IV19" s="48"/>
    </row>
    <row r="20" spans="1:256" ht="14.15" customHeight="1">
      <c r="A20" s="113" t="s">
        <v>168</v>
      </c>
      <c r="B20" s="164"/>
      <c r="C20" s="164"/>
      <c r="D20" s="165"/>
      <c r="E20" s="164"/>
      <c r="F20" s="164"/>
      <c r="G20" s="164"/>
      <c r="H20" s="164"/>
      <c r="I20" s="164"/>
      <c r="J20" s="175"/>
      <c r="K20" s="159"/>
      <c r="L20" s="49"/>
      <c r="M20" s="48"/>
      <c r="N20" s="48"/>
      <c r="O20" s="48"/>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c r="AP20" s="48"/>
      <c r="AQ20" s="48"/>
      <c r="AR20" s="48"/>
      <c r="AS20" s="48"/>
      <c r="AT20" s="48"/>
      <c r="AU20" s="48"/>
      <c r="AV20" s="48"/>
      <c r="AW20" s="48"/>
      <c r="AX20" s="48"/>
      <c r="AY20" s="48"/>
      <c r="AZ20" s="48"/>
      <c r="BA20" s="48"/>
      <c r="BB20" s="48"/>
      <c r="BC20" s="48"/>
      <c r="BD20" s="48"/>
      <c r="BE20" s="48"/>
      <c r="BF20" s="48"/>
      <c r="BG20" s="48"/>
      <c r="BH20" s="48"/>
      <c r="BI20" s="48"/>
      <c r="BJ20" s="48"/>
      <c r="BK20" s="48"/>
      <c r="BL20" s="48"/>
      <c r="BM20" s="48"/>
      <c r="BN20" s="48"/>
      <c r="BO20" s="48"/>
      <c r="BP20" s="48"/>
      <c r="BQ20" s="48"/>
      <c r="BR20" s="48"/>
      <c r="BS20" s="48"/>
      <c r="BT20" s="48"/>
      <c r="BU20" s="48"/>
      <c r="BV20" s="48"/>
      <c r="BW20" s="48"/>
      <c r="BX20" s="48"/>
      <c r="BY20" s="48"/>
      <c r="BZ20" s="48"/>
      <c r="CA20" s="48"/>
      <c r="CB20" s="48"/>
      <c r="CC20" s="48"/>
      <c r="CD20" s="48"/>
      <c r="CE20" s="48"/>
      <c r="CF20" s="48"/>
      <c r="CG20" s="48"/>
      <c r="CH20" s="48"/>
      <c r="CI20" s="48"/>
      <c r="CJ20" s="48"/>
      <c r="CK20" s="48"/>
      <c r="CL20" s="48"/>
      <c r="CM20" s="48"/>
      <c r="CN20" s="48"/>
      <c r="CO20" s="48"/>
      <c r="CP20" s="48"/>
      <c r="CQ20" s="48"/>
      <c r="CR20" s="48"/>
      <c r="CS20" s="48"/>
      <c r="CT20" s="48"/>
      <c r="CU20" s="48"/>
      <c r="CV20" s="48"/>
      <c r="CW20" s="48"/>
      <c r="CX20" s="48"/>
      <c r="CY20" s="48"/>
      <c r="CZ20" s="48"/>
      <c r="DA20" s="48"/>
      <c r="DB20" s="48"/>
      <c r="DC20" s="48"/>
      <c r="DD20" s="48"/>
      <c r="DE20" s="48"/>
      <c r="DF20" s="48"/>
      <c r="DG20" s="48"/>
      <c r="DH20" s="48"/>
      <c r="DI20" s="48"/>
      <c r="DJ20" s="48"/>
      <c r="DK20" s="48"/>
      <c r="DL20" s="48"/>
      <c r="DM20" s="48"/>
      <c r="DN20" s="48"/>
      <c r="DO20" s="48"/>
      <c r="DP20" s="48"/>
      <c r="DQ20" s="48"/>
      <c r="DR20" s="48"/>
      <c r="DS20" s="48"/>
      <c r="DT20" s="48"/>
      <c r="DU20" s="48"/>
      <c r="DV20" s="48"/>
      <c r="DW20" s="48"/>
      <c r="DX20" s="48"/>
      <c r="DY20" s="48"/>
      <c r="DZ20" s="48"/>
      <c r="EA20" s="48"/>
      <c r="EB20" s="48"/>
      <c r="EC20" s="48"/>
      <c r="ED20" s="48"/>
      <c r="EE20" s="48"/>
      <c r="EF20" s="48"/>
      <c r="EG20" s="48"/>
      <c r="EH20" s="48"/>
      <c r="EI20" s="48"/>
      <c r="EJ20" s="48"/>
      <c r="EK20" s="48"/>
      <c r="EL20" s="48"/>
      <c r="EM20" s="48"/>
      <c r="EN20" s="48"/>
      <c r="EO20" s="48"/>
      <c r="EP20" s="48"/>
      <c r="EQ20" s="48"/>
      <c r="ER20" s="48"/>
      <c r="ES20" s="48"/>
      <c r="ET20" s="48"/>
      <c r="EU20" s="48"/>
      <c r="EV20" s="48"/>
      <c r="EW20" s="48"/>
      <c r="EX20" s="48"/>
      <c r="EY20" s="48"/>
      <c r="EZ20" s="48"/>
      <c r="FA20" s="48"/>
      <c r="FB20" s="48"/>
      <c r="FC20" s="48"/>
      <c r="FD20" s="48"/>
      <c r="FE20" s="48"/>
      <c r="FF20" s="48"/>
      <c r="FG20" s="48"/>
      <c r="FH20" s="48"/>
      <c r="FI20" s="48"/>
      <c r="FJ20" s="48"/>
      <c r="FK20" s="48"/>
      <c r="FL20" s="48"/>
      <c r="FM20" s="48"/>
      <c r="FN20" s="48"/>
      <c r="FO20" s="48"/>
      <c r="FP20" s="48"/>
      <c r="FQ20" s="48"/>
      <c r="FR20" s="48"/>
      <c r="FS20" s="48"/>
      <c r="FT20" s="48"/>
      <c r="FU20" s="48"/>
      <c r="FV20" s="48"/>
      <c r="FW20" s="48"/>
      <c r="FX20" s="48"/>
      <c r="FY20" s="48"/>
      <c r="FZ20" s="48"/>
      <c r="GA20" s="48"/>
      <c r="GB20" s="48"/>
      <c r="GC20" s="48"/>
      <c r="GD20" s="48"/>
      <c r="GE20" s="48"/>
      <c r="GF20" s="48"/>
      <c r="GG20" s="48"/>
      <c r="GH20" s="48"/>
      <c r="GI20" s="48"/>
      <c r="GJ20" s="48"/>
      <c r="GK20" s="48"/>
      <c r="GL20" s="48"/>
      <c r="GM20" s="48"/>
      <c r="GN20" s="48"/>
      <c r="GO20" s="48"/>
      <c r="GP20" s="48"/>
      <c r="GQ20" s="48"/>
      <c r="GR20" s="48"/>
      <c r="GS20" s="48"/>
      <c r="GT20" s="48"/>
      <c r="GU20" s="48"/>
      <c r="GV20" s="48"/>
      <c r="GW20" s="48"/>
      <c r="GX20" s="48"/>
      <c r="GY20" s="48"/>
      <c r="GZ20" s="48"/>
      <c r="HA20" s="48"/>
      <c r="HB20" s="48"/>
      <c r="HC20" s="48"/>
      <c r="HD20" s="48"/>
      <c r="HE20" s="48"/>
      <c r="HF20" s="48"/>
      <c r="HG20" s="48"/>
      <c r="HH20" s="48"/>
      <c r="HI20" s="48"/>
      <c r="HJ20" s="48"/>
      <c r="HK20" s="48"/>
      <c r="HL20" s="48"/>
      <c r="HM20" s="48"/>
      <c r="HN20" s="48"/>
      <c r="HO20" s="48"/>
      <c r="HP20" s="48"/>
      <c r="HQ20" s="48"/>
      <c r="HR20" s="48"/>
      <c r="HS20" s="48"/>
      <c r="HT20" s="48"/>
      <c r="HU20" s="48"/>
      <c r="HV20" s="48"/>
      <c r="HW20" s="48"/>
      <c r="HX20" s="48"/>
      <c r="HY20" s="48"/>
      <c r="HZ20" s="48"/>
      <c r="IA20" s="48"/>
      <c r="IB20" s="48"/>
      <c r="IC20" s="48"/>
      <c r="ID20" s="48"/>
      <c r="IE20" s="48"/>
      <c r="IF20" s="48"/>
      <c r="IG20" s="48"/>
      <c r="IH20" s="48"/>
      <c r="II20" s="48"/>
      <c r="IJ20" s="48"/>
      <c r="IK20" s="48"/>
      <c r="IL20" s="48"/>
      <c r="IM20" s="48"/>
      <c r="IN20" s="48"/>
      <c r="IO20" s="48"/>
      <c r="IP20" s="48"/>
      <c r="IQ20" s="48"/>
      <c r="IR20" s="48"/>
      <c r="IS20" s="48"/>
      <c r="IT20" s="48"/>
      <c r="IU20" s="48"/>
      <c r="IV20" s="48"/>
    </row>
    <row r="21" spans="1:256" ht="14.15" customHeight="1">
      <c r="A21" s="113" t="s">
        <v>1989</v>
      </c>
      <c r="B21" s="164"/>
      <c r="C21" s="164"/>
      <c r="D21" s="165"/>
      <c r="E21" s="164"/>
      <c r="F21" s="164"/>
      <c r="G21" s="164"/>
      <c r="H21" s="164"/>
      <c r="I21" s="164"/>
      <c r="J21" s="175"/>
      <c r="K21" s="159"/>
      <c r="L21" s="49"/>
      <c r="M21" s="48"/>
      <c r="N21" s="48"/>
      <c r="O21" s="48"/>
      <c r="P21" s="48"/>
      <c r="Q21" s="48"/>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c r="AP21" s="48"/>
      <c r="AQ21" s="48"/>
      <c r="AR21" s="48"/>
      <c r="AS21" s="48"/>
      <c r="AT21" s="48"/>
      <c r="AU21" s="48"/>
      <c r="AV21" s="48"/>
      <c r="AW21" s="48"/>
      <c r="AX21" s="48"/>
      <c r="AY21" s="48"/>
      <c r="AZ21" s="48"/>
      <c r="BA21" s="48"/>
      <c r="BB21" s="48"/>
      <c r="BC21" s="48"/>
      <c r="BD21" s="48"/>
      <c r="BE21" s="48"/>
      <c r="BF21" s="48"/>
      <c r="BG21" s="48"/>
      <c r="BH21" s="48"/>
      <c r="BI21" s="48"/>
      <c r="BJ21" s="48"/>
      <c r="BK21" s="48"/>
      <c r="BL21" s="48"/>
      <c r="BM21" s="48"/>
      <c r="BN21" s="48"/>
      <c r="BO21" s="48"/>
      <c r="BP21" s="48"/>
      <c r="BQ21" s="48"/>
      <c r="BR21" s="48"/>
      <c r="BS21" s="48"/>
      <c r="BT21" s="48"/>
      <c r="BU21" s="48"/>
      <c r="BV21" s="48"/>
      <c r="BW21" s="48"/>
      <c r="BX21" s="48"/>
      <c r="BY21" s="48"/>
      <c r="BZ21" s="48"/>
      <c r="CA21" s="48"/>
      <c r="CB21" s="48"/>
      <c r="CC21" s="48"/>
      <c r="CD21" s="48"/>
      <c r="CE21" s="48"/>
      <c r="CF21" s="48"/>
      <c r="CG21" s="48"/>
      <c r="CH21" s="48"/>
      <c r="CI21" s="48"/>
      <c r="CJ21" s="48"/>
      <c r="CK21" s="48"/>
      <c r="CL21" s="48"/>
      <c r="CM21" s="48"/>
      <c r="CN21" s="48"/>
      <c r="CO21" s="48"/>
      <c r="CP21" s="48"/>
      <c r="CQ21" s="48"/>
      <c r="CR21" s="48"/>
      <c r="CS21" s="48"/>
      <c r="CT21" s="48"/>
      <c r="CU21" s="48"/>
      <c r="CV21" s="48"/>
      <c r="CW21" s="48"/>
      <c r="CX21" s="48"/>
      <c r="CY21" s="48"/>
      <c r="CZ21" s="48"/>
      <c r="DA21" s="48"/>
      <c r="DB21" s="48"/>
      <c r="DC21" s="48"/>
      <c r="DD21" s="48"/>
      <c r="DE21" s="48"/>
      <c r="DF21" s="48"/>
      <c r="DG21" s="48"/>
      <c r="DH21" s="48"/>
      <c r="DI21" s="48"/>
      <c r="DJ21" s="48"/>
      <c r="DK21" s="48"/>
      <c r="DL21" s="48"/>
      <c r="DM21" s="48"/>
      <c r="DN21" s="48"/>
      <c r="DO21" s="48"/>
      <c r="DP21" s="48"/>
      <c r="DQ21" s="48"/>
      <c r="DR21" s="48"/>
      <c r="DS21" s="48"/>
      <c r="DT21" s="48"/>
      <c r="DU21" s="48"/>
      <c r="DV21" s="48"/>
      <c r="DW21" s="48"/>
      <c r="DX21" s="48"/>
      <c r="DY21" s="48"/>
      <c r="DZ21" s="48"/>
      <c r="EA21" s="48"/>
      <c r="EB21" s="48"/>
      <c r="EC21" s="48"/>
      <c r="ED21" s="48"/>
      <c r="EE21" s="48"/>
      <c r="EF21" s="48"/>
      <c r="EG21" s="48"/>
      <c r="EH21" s="48"/>
      <c r="EI21" s="48"/>
      <c r="EJ21" s="48"/>
      <c r="EK21" s="48"/>
      <c r="EL21" s="48"/>
      <c r="EM21" s="48"/>
      <c r="EN21" s="48"/>
      <c r="EO21" s="48"/>
      <c r="EP21" s="48"/>
      <c r="EQ21" s="48"/>
      <c r="ER21" s="48"/>
      <c r="ES21" s="48"/>
      <c r="ET21" s="48"/>
      <c r="EU21" s="48"/>
      <c r="EV21" s="48"/>
      <c r="EW21" s="48"/>
      <c r="EX21" s="48"/>
      <c r="EY21" s="48"/>
      <c r="EZ21" s="48"/>
      <c r="FA21" s="48"/>
      <c r="FB21" s="48"/>
      <c r="FC21" s="48"/>
      <c r="FD21" s="48"/>
      <c r="FE21" s="48"/>
      <c r="FF21" s="48"/>
      <c r="FG21" s="48"/>
      <c r="FH21" s="48"/>
      <c r="FI21" s="48"/>
      <c r="FJ21" s="48"/>
      <c r="FK21" s="48"/>
      <c r="FL21" s="48"/>
      <c r="FM21" s="48"/>
      <c r="FN21" s="48"/>
      <c r="FO21" s="48"/>
      <c r="FP21" s="48"/>
      <c r="FQ21" s="48"/>
      <c r="FR21" s="48"/>
      <c r="FS21" s="48"/>
      <c r="FT21" s="48"/>
      <c r="FU21" s="48"/>
      <c r="FV21" s="48"/>
      <c r="FW21" s="48"/>
      <c r="FX21" s="48"/>
      <c r="FY21" s="48"/>
      <c r="FZ21" s="48"/>
      <c r="GA21" s="48"/>
      <c r="GB21" s="48"/>
      <c r="GC21" s="48"/>
      <c r="GD21" s="48"/>
      <c r="GE21" s="48"/>
      <c r="GF21" s="48"/>
      <c r="GG21" s="48"/>
      <c r="GH21" s="48"/>
      <c r="GI21" s="48"/>
      <c r="GJ21" s="48"/>
      <c r="GK21" s="48"/>
      <c r="GL21" s="48"/>
      <c r="GM21" s="48"/>
      <c r="GN21" s="48"/>
      <c r="GO21" s="48"/>
      <c r="GP21" s="48"/>
      <c r="GQ21" s="48"/>
      <c r="GR21" s="48"/>
      <c r="GS21" s="48"/>
      <c r="GT21" s="48"/>
      <c r="GU21" s="48"/>
      <c r="GV21" s="48"/>
      <c r="GW21" s="48"/>
      <c r="GX21" s="48"/>
      <c r="GY21" s="48"/>
      <c r="GZ21" s="48"/>
      <c r="HA21" s="48"/>
      <c r="HB21" s="48"/>
      <c r="HC21" s="48"/>
      <c r="HD21" s="48"/>
      <c r="HE21" s="48"/>
      <c r="HF21" s="48"/>
      <c r="HG21" s="48"/>
      <c r="HH21" s="48"/>
      <c r="HI21" s="48"/>
      <c r="HJ21" s="48"/>
      <c r="HK21" s="48"/>
      <c r="HL21" s="48"/>
      <c r="HM21" s="48"/>
      <c r="HN21" s="48"/>
      <c r="HO21" s="48"/>
      <c r="HP21" s="48"/>
      <c r="HQ21" s="48"/>
      <c r="HR21" s="48"/>
      <c r="HS21" s="48"/>
      <c r="HT21" s="48"/>
      <c r="HU21" s="48"/>
      <c r="HV21" s="48"/>
      <c r="HW21" s="48"/>
      <c r="HX21" s="48"/>
      <c r="HY21" s="48"/>
      <c r="HZ21" s="48"/>
      <c r="IA21" s="48"/>
      <c r="IB21" s="48"/>
      <c r="IC21" s="48"/>
      <c r="ID21" s="48"/>
      <c r="IE21" s="48"/>
      <c r="IF21" s="48"/>
      <c r="IG21" s="48"/>
      <c r="IH21" s="48"/>
      <c r="II21" s="48"/>
      <c r="IJ21" s="48"/>
      <c r="IK21" s="48"/>
      <c r="IL21" s="48"/>
      <c r="IM21" s="48"/>
      <c r="IN21" s="48"/>
      <c r="IO21" s="48"/>
      <c r="IP21" s="48"/>
      <c r="IQ21" s="48"/>
      <c r="IR21" s="48"/>
      <c r="IS21" s="48"/>
      <c r="IT21" s="48"/>
      <c r="IU21" s="48"/>
      <c r="IV21" s="48"/>
    </row>
    <row r="22" spans="1:256" ht="14.15" customHeight="1">
      <c r="A22" s="113" t="s">
        <v>1990</v>
      </c>
      <c r="B22" s="164"/>
      <c r="C22" s="164"/>
      <c r="D22" s="165"/>
      <c r="E22" s="164"/>
      <c r="F22" s="164"/>
      <c r="G22" s="164"/>
      <c r="H22" s="164"/>
      <c r="I22" s="164"/>
      <c r="J22" s="175"/>
      <c r="K22" s="159"/>
      <c r="L22" s="49"/>
      <c r="M22" s="48"/>
      <c r="N22" s="48"/>
      <c r="O22" s="48"/>
      <c r="P22" s="48"/>
      <c r="Q22" s="48"/>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c r="AP22" s="48"/>
      <c r="AQ22" s="48"/>
      <c r="AR22" s="48"/>
      <c r="AS22" s="48"/>
      <c r="AT22" s="48"/>
      <c r="AU22" s="48"/>
      <c r="AV22" s="48"/>
      <c r="AW22" s="48"/>
      <c r="AX22" s="48"/>
      <c r="AY22" s="48"/>
      <c r="AZ22" s="48"/>
      <c r="BA22" s="48"/>
      <c r="BB22" s="48"/>
      <c r="BC22" s="48"/>
      <c r="BD22" s="48"/>
      <c r="BE22" s="48"/>
      <c r="BF22" s="48"/>
      <c r="BG22" s="48"/>
      <c r="BH22" s="48"/>
      <c r="BI22" s="48"/>
      <c r="BJ22" s="48"/>
      <c r="BK22" s="48"/>
      <c r="BL22" s="48"/>
      <c r="BM22" s="48"/>
      <c r="BN22" s="48"/>
      <c r="BO22" s="48"/>
      <c r="BP22" s="48"/>
      <c r="BQ22" s="48"/>
      <c r="BR22" s="48"/>
      <c r="BS22" s="48"/>
      <c r="BT22" s="48"/>
      <c r="BU22" s="48"/>
      <c r="BV22" s="48"/>
      <c r="BW22" s="48"/>
      <c r="BX22" s="48"/>
      <c r="BY22" s="48"/>
      <c r="BZ22" s="48"/>
      <c r="CA22" s="48"/>
      <c r="CB22" s="48"/>
      <c r="CC22" s="48"/>
      <c r="CD22" s="48"/>
      <c r="CE22" s="48"/>
      <c r="CF22" s="48"/>
      <c r="CG22" s="48"/>
      <c r="CH22" s="48"/>
      <c r="CI22" s="48"/>
      <c r="CJ22" s="48"/>
      <c r="CK22" s="48"/>
      <c r="CL22" s="48"/>
      <c r="CM22" s="48"/>
      <c r="CN22" s="48"/>
      <c r="CO22" s="48"/>
      <c r="CP22" s="48"/>
      <c r="CQ22" s="48"/>
      <c r="CR22" s="48"/>
      <c r="CS22" s="48"/>
      <c r="CT22" s="48"/>
      <c r="CU22" s="48"/>
      <c r="CV22" s="48"/>
      <c r="CW22" s="48"/>
      <c r="CX22" s="48"/>
      <c r="CY22" s="48"/>
      <c r="CZ22" s="48"/>
      <c r="DA22" s="48"/>
      <c r="DB22" s="48"/>
      <c r="DC22" s="48"/>
      <c r="DD22" s="48"/>
      <c r="DE22" s="48"/>
      <c r="DF22" s="48"/>
      <c r="DG22" s="48"/>
      <c r="DH22" s="48"/>
      <c r="DI22" s="48"/>
      <c r="DJ22" s="48"/>
      <c r="DK22" s="48"/>
      <c r="DL22" s="48"/>
      <c r="DM22" s="48"/>
      <c r="DN22" s="48"/>
      <c r="DO22" s="48"/>
      <c r="DP22" s="48"/>
      <c r="DQ22" s="48"/>
      <c r="DR22" s="48"/>
      <c r="DS22" s="48"/>
      <c r="DT22" s="48"/>
      <c r="DU22" s="48"/>
      <c r="DV22" s="48"/>
      <c r="DW22" s="48"/>
      <c r="DX22" s="48"/>
      <c r="DY22" s="48"/>
      <c r="DZ22" s="48"/>
      <c r="EA22" s="48"/>
      <c r="EB22" s="48"/>
      <c r="EC22" s="48"/>
      <c r="ED22" s="48"/>
      <c r="EE22" s="48"/>
      <c r="EF22" s="48"/>
      <c r="EG22" s="48"/>
      <c r="EH22" s="48"/>
      <c r="EI22" s="48"/>
      <c r="EJ22" s="48"/>
      <c r="EK22" s="48"/>
      <c r="EL22" s="48"/>
      <c r="EM22" s="48"/>
      <c r="EN22" s="48"/>
      <c r="EO22" s="48"/>
      <c r="EP22" s="48"/>
      <c r="EQ22" s="48"/>
      <c r="ER22" s="48"/>
      <c r="ES22" s="48"/>
      <c r="ET22" s="48"/>
      <c r="EU22" s="48"/>
      <c r="EV22" s="48"/>
      <c r="EW22" s="48"/>
      <c r="EX22" s="48"/>
      <c r="EY22" s="48"/>
      <c r="EZ22" s="48"/>
      <c r="FA22" s="48"/>
      <c r="FB22" s="48"/>
      <c r="FC22" s="48"/>
      <c r="FD22" s="48"/>
      <c r="FE22" s="48"/>
      <c r="FF22" s="48"/>
      <c r="FG22" s="48"/>
      <c r="FH22" s="48"/>
      <c r="FI22" s="48"/>
      <c r="FJ22" s="48"/>
      <c r="FK22" s="48"/>
      <c r="FL22" s="48"/>
      <c r="FM22" s="48"/>
      <c r="FN22" s="48"/>
      <c r="FO22" s="48"/>
      <c r="FP22" s="48"/>
      <c r="FQ22" s="48"/>
      <c r="FR22" s="48"/>
      <c r="FS22" s="48"/>
      <c r="FT22" s="48"/>
      <c r="FU22" s="48"/>
      <c r="FV22" s="48"/>
      <c r="FW22" s="48"/>
      <c r="FX22" s="48"/>
      <c r="FY22" s="48"/>
      <c r="FZ22" s="48"/>
      <c r="GA22" s="48"/>
      <c r="GB22" s="48"/>
      <c r="GC22" s="48"/>
      <c r="GD22" s="48"/>
      <c r="GE22" s="48"/>
      <c r="GF22" s="48"/>
      <c r="GG22" s="48"/>
      <c r="GH22" s="48"/>
      <c r="GI22" s="48"/>
      <c r="GJ22" s="48"/>
      <c r="GK22" s="48"/>
      <c r="GL22" s="48"/>
      <c r="GM22" s="48"/>
      <c r="GN22" s="48"/>
      <c r="GO22" s="48"/>
      <c r="GP22" s="48"/>
      <c r="GQ22" s="48"/>
      <c r="GR22" s="48"/>
      <c r="GS22" s="48"/>
      <c r="GT22" s="48"/>
      <c r="GU22" s="48"/>
      <c r="GV22" s="48"/>
      <c r="GW22" s="48"/>
      <c r="GX22" s="48"/>
      <c r="GY22" s="48"/>
      <c r="GZ22" s="48"/>
      <c r="HA22" s="48"/>
      <c r="HB22" s="48"/>
      <c r="HC22" s="48"/>
      <c r="HD22" s="48"/>
      <c r="HE22" s="48"/>
      <c r="HF22" s="48"/>
      <c r="HG22" s="48"/>
      <c r="HH22" s="48"/>
      <c r="HI22" s="48"/>
      <c r="HJ22" s="48"/>
      <c r="HK22" s="48"/>
      <c r="HL22" s="48"/>
      <c r="HM22" s="48"/>
      <c r="HN22" s="48"/>
      <c r="HO22" s="48"/>
      <c r="HP22" s="48"/>
      <c r="HQ22" s="48"/>
      <c r="HR22" s="48"/>
      <c r="HS22" s="48"/>
      <c r="HT22" s="48"/>
      <c r="HU22" s="48"/>
      <c r="HV22" s="48"/>
      <c r="HW22" s="48"/>
      <c r="HX22" s="48"/>
      <c r="HY22" s="48"/>
      <c r="HZ22" s="48"/>
      <c r="IA22" s="48"/>
      <c r="IB22" s="48"/>
      <c r="IC22" s="48"/>
      <c r="ID22" s="48"/>
      <c r="IE22" s="48"/>
      <c r="IF22" s="48"/>
      <c r="IG22" s="48"/>
      <c r="IH22" s="48"/>
      <c r="II22" s="48"/>
      <c r="IJ22" s="48"/>
      <c r="IK22" s="48"/>
      <c r="IL22" s="48"/>
      <c r="IM22" s="48"/>
      <c r="IN22" s="48"/>
      <c r="IO22" s="48"/>
      <c r="IP22" s="48"/>
      <c r="IQ22" s="48"/>
      <c r="IR22" s="48"/>
      <c r="IS22" s="48"/>
      <c r="IT22" s="48"/>
      <c r="IU22" s="48"/>
      <c r="IV22" s="48"/>
    </row>
    <row r="23" spans="1:256" ht="14.15" customHeight="1">
      <c r="A23" s="113" t="s">
        <v>1991</v>
      </c>
      <c r="B23" s="166"/>
      <c r="C23" s="166"/>
      <c r="D23" s="165"/>
      <c r="E23" s="166"/>
      <c r="F23" s="166"/>
      <c r="G23" s="166"/>
      <c r="H23" s="166"/>
      <c r="I23" s="166"/>
      <c r="J23" s="176"/>
      <c r="K23" s="159"/>
      <c r="L23" s="49"/>
      <c r="M23" s="48"/>
      <c r="N23" s="48"/>
      <c r="O23" s="48"/>
      <c r="P23" s="48"/>
      <c r="Q23" s="48"/>
      <c r="R23" s="48"/>
      <c r="S23" s="48"/>
      <c r="T23" s="48"/>
      <c r="U23" s="48"/>
      <c r="V23" s="48"/>
      <c r="W23" s="48"/>
      <c r="X23" s="48"/>
      <c r="Y23" s="48"/>
      <c r="Z23" s="48"/>
      <c r="AA23" s="48"/>
      <c r="AB23" s="48"/>
      <c r="AC23" s="48"/>
      <c r="AD23" s="48"/>
      <c r="AE23" s="48"/>
      <c r="AF23" s="48"/>
      <c r="AG23" s="48"/>
      <c r="AH23" s="48"/>
      <c r="AI23" s="48"/>
      <c r="AJ23" s="48"/>
      <c r="AK23" s="48"/>
      <c r="AL23" s="48"/>
      <c r="AM23" s="48"/>
      <c r="AN23" s="48"/>
      <c r="AO23" s="48"/>
      <c r="AP23" s="48"/>
      <c r="AQ23" s="48"/>
      <c r="AR23" s="48"/>
      <c r="AS23" s="48"/>
      <c r="AT23" s="48"/>
      <c r="AU23" s="48"/>
      <c r="AV23" s="48"/>
      <c r="AW23" s="48"/>
      <c r="AX23" s="48"/>
      <c r="AY23" s="48"/>
      <c r="AZ23" s="48"/>
      <c r="BA23" s="48"/>
      <c r="BB23" s="48"/>
      <c r="BC23" s="48"/>
      <c r="BD23" s="48"/>
      <c r="BE23" s="48"/>
      <c r="BF23" s="48"/>
      <c r="BG23" s="48"/>
      <c r="BH23" s="48"/>
      <c r="BI23" s="48"/>
      <c r="BJ23" s="48"/>
      <c r="BK23" s="48"/>
      <c r="BL23" s="48"/>
      <c r="BM23" s="48"/>
      <c r="BN23" s="48"/>
      <c r="BO23" s="48"/>
      <c r="BP23" s="48"/>
      <c r="BQ23" s="48"/>
      <c r="BR23" s="48"/>
      <c r="BS23" s="48"/>
      <c r="BT23" s="48"/>
      <c r="BU23" s="48"/>
      <c r="BV23" s="48"/>
      <c r="BW23" s="48"/>
      <c r="BX23" s="48"/>
      <c r="BY23" s="48"/>
      <c r="BZ23" s="48"/>
      <c r="CA23" s="48"/>
      <c r="CB23" s="48"/>
      <c r="CC23" s="48"/>
      <c r="CD23" s="48"/>
      <c r="CE23" s="48"/>
      <c r="CF23" s="48"/>
      <c r="CG23" s="48"/>
      <c r="CH23" s="48"/>
      <c r="CI23" s="48"/>
      <c r="CJ23" s="48"/>
      <c r="CK23" s="48"/>
      <c r="CL23" s="48"/>
      <c r="CM23" s="48"/>
      <c r="CN23" s="48"/>
      <c r="CO23" s="48"/>
      <c r="CP23" s="48"/>
      <c r="CQ23" s="48"/>
      <c r="CR23" s="48"/>
      <c r="CS23" s="48"/>
      <c r="CT23" s="48"/>
      <c r="CU23" s="48"/>
      <c r="CV23" s="48"/>
      <c r="CW23" s="48"/>
      <c r="CX23" s="48"/>
      <c r="CY23" s="48"/>
      <c r="CZ23" s="48"/>
      <c r="DA23" s="48"/>
      <c r="DB23" s="48"/>
      <c r="DC23" s="48"/>
      <c r="DD23" s="48"/>
      <c r="DE23" s="48"/>
      <c r="DF23" s="48"/>
      <c r="DG23" s="48"/>
      <c r="DH23" s="48"/>
      <c r="DI23" s="48"/>
      <c r="DJ23" s="48"/>
      <c r="DK23" s="48"/>
      <c r="DL23" s="48"/>
      <c r="DM23" s="48"/>
      <c r="DN23" s="48"/>
      <c r="DO23" s="48"/>
      <c r="DP23" s="48"/>
      <c r="DQ23" s="48"/>
      <c r="DR23" s="48"/>
      <c r="DS23" s="48"/>
      <c r="DT23" s="48"/>
      <c r="DU23" s="48"/>
      <c r="DV23" s="48"/>
      <c r="DW23" s="48"/>
      <c r="DX23" s="48"/>
      <c r="DY23" s="48"/>
      <c r="DZ23" s="48"/>
      <c r="EA23" s="48"/>
      <c r="EB23" s="48"/>
      <c r="EC23" s="48"/>
      <c r="ED23" s="48"/>
      <c r="EE23" s="48"/>
      <c r="EF23" s="48"/>
      <c r="EG23" s="48"/>
      <c r="EH23" s="48"/>
      <c r="EI23" s="48"/>
      <c r="EJ23" s="48"/>
      <c r="EK23" s="48"/>
      <c r="EL23" s="48"/>
      <c r="EM23" s="48"/>
      <c r="EN23" s="48"/>
      <c r="EO23" s="48"/>
      <c r="EP23" s="48"/>
      <c r="EQ23" s="48"/>
      <c r="ER23" s="48"/>
      <c r="ES23" s="48"/>
      <c r="ET23" s="48"/>
      <c r="EU23" s="48"/>
      <c r="EV23" s="48"/>
      <c r="EW23" s="48"/>
      <c r="EX23" s="48"/>
      <c r="EY23" s="48"/>
      <c r="EZ23" s="48"/>
      <c r="FA23" s="48"/>
      <c r="FB23" s="48"/>
      <c r="FC23" s="48"/>
      <c r="FD23" s="48"/>
      <c r="FE23" s="48"/>
      <c r="FF23" s="48"/>
      <c r="FG23" s="48"/>
      <c r="FH23" s="48"/>
      <c r="FI23" s="48"/>
      <c r="FJ23" s="48"/>
      <c r="FK23" s="48"/>
      <c r="FL23" s="48"/>
      <c r="FM23" s="48"/>
      <c r="FN23" s="48"/>
      <c r="FO23" s="48"/>
      <c r="FP23" s="48"/>
      <c r="FQ23" s="48"/>
      <c r="FR23" s="48"/>
      <c r="FS23" s="48"/>
      <c r="FT23" s="48"/>
      <c r="FU23" s="48"/>
      <c r="FV23" s="48"/>
      <c r="FW23" s="48"/>
      <c r="FX23" s="48"/>
      <c r="FY23" s="48"/>
      <c r="FZ23" s="48"/>
      <c r="GA23" s="48"/>
      <c r="GB23" s="48"/>
      <c r="GC23" s="48"/>
      <c r="GD23" s="48"/>
      <c r="GE23" s="48"/>
      <c r="GF23" s="48"/>
      <c r="GG23" s="48"/>
      <c r="GH23" s="48"/>
      <c r="GI23" s="48"/>
      <c r="GJ23" s="48"/>
      <c r="GK23" s="48"/>
      <c r="GL23" s="48"/>
      <c r="GM23" s="48"/>
      <c r="GN23" s="48"/>
      <c r="GO23" s="48"/>
      <c r="GP23" s="48"/>
      <c r="GQ23" s="48"/>
      <c r="GR23" s="48"/>
      <c r="GS23" s="48"/>
      <c r="GT23" s="48"/>
      <c r="GU23" s="48"/>
      <c r="GV23" s="48"/>
      <c r="GW23" s="48"/>
      <c r="GX23" s="48"/>
      <c r="GY23" s="48"/>
      <c r="GZ23" s="48"/>
      <c r="HA23" s="48"/>
      <c r="HB23" s="48"/>
      <c r="HC23" s="48"/>
      <c r="HD23" s="48"/>
      <c r="HE23" s="48"/>
      <c r="HF23" s="48"/>
      <c r="HG23" s="48"/>
      <c r="HH23" s="48"/>
      <c r="HI23" s="48"/>
      <c r="HJ23" s="48"/>
      <c r="HK23" s="48"/>
      <c r="HL23" s="48"/>
      <c r="HM23" s="48"/>
      <c r="HN23" s="48"/>
      <c r="HO23" s="48"/>
      <c r="HP23" s="48"/>
      <c r="HQ23" s="48"/>
      <c r="HR23" s="48"/>
      <c r="HS23" s="48"/>
      <c r="HT23" s="48"/>
      <c r="HU23" s="48"/>
      <c r="HV23" s="48"/>
      <c r="HW23" s="48"/>
      <c r="HX23" s="48"/>
      <c r="HY23" s="48"/>
      <c r="HZ23" s="48"/>
      <c r="IA23" s="48"/>
      <c r="IB23" s="48"/>
      <c r="IC23" s="48"/>
      <c r="ID23" s="48"/>
      <c r="IE23" s="48"/>
      <c r="IF23" s="48"/>
      <c r="IG23" s="48"/>
      <c r="IH23" s="48"/>
      <c r="II23" s="48"/>
      <c r="IJ23" s="48"/>
      <c r="IK23" s="48"/>
      <c r="IL23" s="48"/>
      <c r="IM23" s="48"/>
      <c r="IN23" s="48"/>
      <c r="IO23" s="48"/>
      <c r="IP23" s="48"/>
      <c r="IQ23" s="48"/>
      <c r="IR23" s="48"/>
      <c r="IS23" s="48"/>
      <c r="IT23" s="48"/>
      <c r="IU23" s="48"/>
      <c r="IV23" s="48"/>
    </row>
    <row r="24" spans="1:256" ht="14.15" customHeight="1">
      <c r="A24" s="113" t="s">
        <v>1992</v>
      </c>
      <c r="B24" s="166"/>
      <c r="C24" s="166"/>
      <c r="D24" s="165"/>
      <c r="E24" s="166"/>
      <c r="F24" s="166"/>
      <c r="G24" s="166"/>
      <c r="H24" s="166"/>
      <c r="I24" s="166"/>
      <c r="J24" s="176"/>
      <c r="K24" s="159"/>
      <c r="L24" s="49"/>
      <c r="M24" s="48"/>
      <c r="N24" s="48"/>
      <c r="O24" s="48"/>
      <c r="P24" s="48"/>
      <c r="Q24" s="48"/>
      <c r="R24" s="48"/>
      <c r="S24" s="48"/>
      <c r="T24" s="48"/>
      <c r="U24" s="48"/>
      <c r="V24" s="48"/>
      <c r="W24" s="48"/>
      <c r="X24" s="48"/>
      <c r="Y24" s="48"/>
      <c r="Z24" s="48"/>
      <c r="AA24" s="48"/>
      <c r="AB24" s="48"/>
      <c r="AC24" s="48"/>
      <c r="AD24" s="48"/>
      <c r="AE24" s="48"/>
      <c r="AF24" s="48"/>
      <c r="AG24" s="48"/>
      <c r="AH24" s="48"/>
      <c r="AI24" s="48"/>
      <c r="AJ24" s="48"/>
      <c r="AK24" s="48"/>
      <c r="AL24" s="48"/>
      <c r="AM24" s="48"/>
      <c r="AN24" s="48"/>
      <c r="AO24" s="48"/>
      <c r="AP24" s="48"/>
      <c r="AQ24" s="48"/>
      <c r="AR24" s="48"/>
      <c r="AS24" s="48"/>
      <c r="AT24" s="48"/>
      <c r="AU24" s="48"/>
      <c r="AV24" s="48"/>
      <c r="AW24" s="48"/>
      <c r="AX24" s="48"/>
      <c r="AY24" s="48"/>
      <c r="AZ24" s="48"/>
      <c r="BA24" s="48"/>
      <c r="BB24" s="48"/>
      <c r="BC24" s="48"/>
      <c r="BD24" s="48"/>
      <c r="BE24" s="48"/>
      <c r="BF24" s="48"/>
      <c r="BG24" s="48"/>
      <c r="BH24" s="48"/>
      <c r="BI24" s="48"/>
      <c r="BJ24" s="48"/>
      <c r="BK24" s="48"/>
      <c r="BL24" s="48"/>
      <c r="BM24" s="48"/>
      <c r="BN24" s="48"/>
      <c r="BO24" s="48"/>
      <c r="BP24" s="48"/>
      <c r="BQ24" s="48"/>
      <c r="BR24" s="48"/>
      <c r="BS24" s="48"/>
      <c r="BT24" s="48"/>
      <c r="BU24" s="48"/>
      <c r="BV24" s="48"/>
      <c r="BW24" s="48"/>
      <c r="BX24" s="48"/>
      <c r="BY24" s="48"/>
      <c r="BZ24" s="48"/>
      <c r="CA24" s="48"/>
      <c r="CB24" s="48"/>
      <c r="CC24" s="48"/>
      <c r="CD24" s="48"/>
      <c r="CE24" s="48"/>
      <c r="CF24" s="48"/>
      <c r="CG24" s="48"/>
      <c r="CH24" s="48"/>
      <c r="CI24" s="48"/>
      <c r="CJ24" s="48"/>
      <c r="CK24" s="48"/>
      <c r="CL24" s="48"/>
      <c r="CM24" s="48"/>
      <c r="CN24" s="48"/>
      <c r="CO24" s="48"/>
      <c r="CP24" s="48"/>
      <c r="CQ24" s="48"/>
      <c r="CR24" s="48"/>
      <c r="CS24" s="48"/>
      <c r="CT24" s="48"/>
      <c r="CU24" s="48"/>
      <c r="CV24" s="48"/>
      <c r="CW24" s="48"/>
      <c r="CX24" s="48"/>
      <c r="CY24" s="48"/>
      <c r="CZ24" s="48"/>
      <c r="DA24" s="48"/>
      <c r="DB24" s="48"/>
      <c r="DC24" s="48"/>
      <c r="DD24" s="48"/>
      <c r="DE24" s="48"/>
      <c r="DF24" s="48"/>
      <c r="DG24" s="48"/>
      <c r="DH24" s="48"/>
      <c r="DI24" s="48"/>
      <c r="DJ24" s="48"/>
      <c r="DK24" s="48"/>
      <c r="DL24" s="48"/>
      <c r="DM24" s="48"/>
      <c r="DN24" s="48"/>
      <c r="DO24" s="48"/>
      <c r="DP24" s="48"/>
      <c r="DQ24" s="48"/>
      <c r="DR24" s="48"/>
      <c r="DS24" s="48"/>
      <c r="DT24" s="48"/>
      <c r="DU24" s="48"/>
      <c r="DV24" s="48"/>
      <c r="DW24" s="48"/>
      <c r="DX24" s="48"/>
      <c r="DY24" s="48"/>
      <c r="DZ24" s="48"/>
      <c r="EA24" s="48"/>
      <c r="EB24" s="48"/>
      <c r="EC24" s="48"/>
      <c r="ED24" s="48"/>
      <c r="EE24" s="48"/>
      <c r="EF24" s="48"/>
      <c r="EG24" s="48"/>
      <c r="EH24" s="48"/>
      <c r="EI24" s="48"/>
      <c r="EJ24" s="48"/>
      <c r="EK24" s="48"/>
      <c r="EL24" s="48"/>
      <c r="EM24" s="48"/>
      <c r="EN24" s="48"/>
      <c r="EO24" s="48"/>
      <c r="EP24" s="48"/>
      <c r="EQ24" s="48"/>
      <c r="ER24" s="48"/>
      <c r="ES24" s="48"/>
      <c r="ET24" s="48"/>
      <c r="EU24" s="48"/>
      <c r="EV24" s="48"/>
      <c r="EW24" s="48"/>
      <c r="EX24" s="48"/>
      <c r="EY24" s="48"/>
      <c r="EZ24" s="48"/>
      <c r="FA24" s="48"/>
      <c r="FB24" s="48"/>
      <c r="FC24" s="48"/>
      <c r="FD24" s="48"/>
      <c r="FE24" s="48"/>
      <c r="FF24" s="48"/>
      <c r="FG24" s="48"/>
      <c r="FH24" s="48"/>
      <c r="FI24" s="48"/>
      <c r="FJ24" s="48"/>
      <c r="FK24" s="48"/>
      <c r="FL24" s="48"/>
      <c r="FM24" s="48"/>
      <c r="FN24" s="48"/>
      <c r="FO24" s="48"/>
      <c r="FP24" s="48"/>
      <c r="FQ24" s="48"/>
      <c r="FR24" s="48"/>
      <c r="FS24" s="48"/>
      <c r="FT24" s="48"/>
      <c r="FU24" s="48"/>
      <c r="FV24" s="48"/>
      <c r="FW24" s="48"/>
      <c r="FX24" s="48"/>
      <c r="FY24" s="48"/>
      <c r="FZ24" s="48"/>
      <c r="GA24" s="48"/>
      <c r="GB24" s="48"/>
      <c r="GC24" s="48"/>
      <c r="GD24" s="48"/>
      <c r="GE24" s="48"/>
      <c r="GF24" s="48"/>
      <c r="GG24" s="48"/>
      <c r="GH24" s="48"/>
      <c r="GI24" s="48"/>
      <c r="GJ24" s="48"/>
      <c r="GK24" s="48"/>
      <c r="GL24" s="48"/>
      <c r="GM24" s="48"/>
      <c r="GN24" s="48"/>
      <c r="GO24" s="48"/>
      <c r="GP24" s="48"/>
      <c r="GQ24" s="48"/>
      <c r="GR24" s="48"/>
      <c r="GS24" s="48"/>
      <c r="GT24" s="48"/>
      <c r="GU24" s="48"/>
      <c r="GV24" s="48"/>
      <c r="GW24" s="48"/>
      <c r="GX24" s="48"/>
      <c r="GY24" s="48"/>
      <c r="GZ24" s="48"/>
      <c r="HA24" s="48"/>
      <c r="HB24" s="48"/>
      <c r="HC24" s="48"/>
      <c r="HD24" s="48"/>
      <c r="HE24" s="48"/>
      <c r="HF24" s="48"/>
      <c r="HG24" s="48"/>
      <c r="HH24" s="48"/>
      <c r="HI24" s="48"/>
      <c r="HJ24" s="48"/>
      <c r="HK24" s="48"/>
      <c r="HL24" s="48"/>
      <c r="HM24" s="48"/>
      <c r="HN24" s="48"/>
      <c r="HO24" s="48"/>
      <c r="HP24" s="48"/>
      <c r="HQ24" s="48"/>
      <c r="HR24" s="48"/>
      <c r="HS24" s="48"/>
      <c r="HT24" s="48"/>
      <c r="HU24" s="48"/>
      <c r="HV24" s="48"/>
      <c r="HW24" s="48"/>
      <c r="HX24" s="48"/>
      <c r="HY24" s="48"/>
      <c r="HZ24" s="48"/>
      <c r="IA24" s="48"/>
      <c r="IB24" s="48"/>
      <c r="IC24" s="48"/>
      <c r="ID24" s="48"/>
      <c r="IE24" s="48"/>
      <c r="IF24" s="48"/>
      <c r="IG24" s="48"/>
      <c r="IH24" s="48"/>
      <c r="II24" s="48"/>
      <c r="IJ24" s="48"/>
      <c r="IK24" s="48"/>
      <c r="IL24" s="48"/>
      <c r="IM24" s="48"/>
      <c r="IN24" s="48"/>
      <c r="IO24" s="48"/>
      <c r="IP24" s="48"/>
      <c r="IQ24" s="48"/>
      <c r="IR24" s="48"/>
      <c r="IS24" s="48"/>
      <c r="IT24" s="48"/>
      <c r="IU24" s="48"/>
      <c r="IV24" s="48"/>
    </row>
    <row r="25" spans="1:256" ht="14.15" customHeight="1">
      <c r="A25" s="113" t="s">
        <v>1993</v>
      </c>
      <c r="B25" s="166"/>
      <c r="C25" s="166"/>
      <c r="D25" s="165"/>
      <c r="E25" s="166"/>
      <c r="F25" s="166"/>
      <c r="G25" s="166"/>
      <c r="H25" s="166"/>
      <c r="I25" s="166"/>
      <c r="J25" s="176"/>
      <c r="K25" s="159"/>
      <c r="L25" s="49"/>
      <c r="M25" s="48"/>
      <c r="N25" s="48"/>
      <c r="O25" s="48"/>
      <c r="P25" s="48"/>
      <c r="Q25" s="48"/>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c r="AP25" s="48"/>
      <c r="AQ25" s="48"/>
      <c r="AR25" s="48"/>
      <c r="AS25" s="48"/>
      <c r="AT25" s="48"/>
      <c r="AU25" s="48"/>
      <c r="AV25" s="48"/>
      <c r="AW25" s="48"/>
      <c r="AX25" s="48"/>
      <c r="AY25" s="48"/>
      <c r="AZ25" s="48"/>
      <c r="BA25" s="48"/>
      <c r="BB25" s="48"/>
      <c r="BC25" s="48"/>
      <c r="BD25" s="48"/>
      <c r="BE25" s="48"/>
      <c r="BF25" s="48"/>
      <c r="BG25" s="48"/>
      <c r="BH25" s="48"/>
      <c r="BI25" s="48"/>
      <c r="BJ25" s="48"/>
      <c r="BK25" s="48"/>
      <c r="BL25" s="48"/>
      <c r="BM25" s="48"/>
      <c r="BN25" s="48"/>
      <c r="BO25" s="48"/>
      <c r="BP25" s="48"/>
      <c r="BQ25" s="48"/>
      <c r="BR25" s="48"/>
      <c r="BS25" s="48"/>
      <c r="BT25" s="48"/>
      <c r="BU25" s="48"/>
      <c r="BV25" s="48"/>
      <c r="BW25" s="48"/>
      <c r="BX25" s="48"/>
      <c r="BY25" s="48"/>
      <c r="BZ25" s="48"/>
      <c r="CA25" s="48"/>
      <c r="CB25" s="48"/>
      <c r="CC25" s="48"/>
      <c r="CD25" s="48"/>
      <c r="CE25" s="48"/>
      <c r="CF25" s="48"/>
      <c r="CG25" s="48"/>
      <c r="CH25" s="48"/>
      <c r="CI25" s="48"/>
      <c r="CJ25" s="48"/>
      <c r="CK25" s="48"/>
      <c r="CL25" s="48"/>
      <c r="CM25" s="48"/>
      <c r="CN25" s="48"/>
      <c r="CO25" s="48"/>
      <c r="CP25" s="48"/>
      <c r="CQ25" s="48"/>
      <c r="CR25" s="48"/>
      <c r="CS25" s="48"/>
      <c r="CT25" s="48"/>
      <c r="CU25" s="48"/>
      <c r="CV25" s="48"/>
      <c r="CW25" s="48"/>
      <c r="CX25" s="48"/>
      <c r="CY25" s="48"/>
      <c r="CZ25" s="48"/>
      <c r="DA25" s="48"/>
      <c r="DB25" s="48"/>
      <c r="DC25" s="48"/>
      <c r="DD25" s="48"/>
      <c r="DE25" s="48"/>
      <c r="DF25" s="48"/>
      <c r="DG25" s="48"/>
      <c r="DH25" s="48"/>
      <c r="DI25" s="48"/>
      <c r="DJ25" s="48"/>
      <c r="DK25" s="48"/>
      <c r="DL25" s="48"/>
      <c r="DM25" s="48"/>
      <c r="DN25" s="48"/>
      <c r="DO25" s="48"/>
      <c r="DP25" s="48"/>
      <c r="DQ25" s="48"/>
      <c r="DR25" s="48"/>
      <c r="DS25" s="48"/>
      <c r="DT25" s="48"/>
      <c r="DU25" s="48"/>
      <c r="DV25" s="48"/>
      <c r="DW25" s="48"/>
      <c r="DX25" s="48"/>
      <c r="DY25" s="48"/>
      <c r="DZ25" s="48"/>
      <c r="EA25" s="48"/>
      <c r="EB25" s="48"/>
      <c r="EC25" s="48"/>
      <c r="ED25" s="48"/>
      <c r="EE25" s="48"/>
      <c r="EF25" s="48"/>
      <c r="EG25" s="48"/>
      <c r="EH25" s="48"/>
      <c r="EI25" s="48"/>
      <c r="EJ25" s="48"/>
      <c r="EK25" s="48"/>
      <c r="EL25" s="48"/>
      <c r="EM25" s="48"/>
      <c r="EN25" s="48"/>
      <c r="EO25" s="48"/>
      <c r="EP25" s="48"/>
      <c r="EQ25" s="48"/>
      <c r="ER25" s="48"/>
      <c r="ES25" s="48"/>
      <c r="ET25" s="48"/>
      <c r="EU25" s="48"/>
      <c r="EV25" s="48"/>
      <c r="EW25" s="48"/>
      <c r="EX25" s="48"/>
      <c r="EY25" s="48"/>
      <c r="EZ25" s="48"/>
      <c r="FA25" s="48"/>
      <c r="FB25" s="48"/>
      <c r="FC25" s="48"/>
      <c r="FD25" s="48"/>
      <c r="FE25" s="48"/>
      <c r="FF25" s="48"/>
      <c r="FG25" s="48"/>
      <c r="FH25" s="48"/>
      <c r="FI25" s="48"/>
      <c r="FJ25" s="48"/>
      <c r="FK25" s="48"/>
      <c r="FL25" s="48"/>
      <c r="FM25" s="48"/>
      <c r="FN25" s="48"/>
      <c r="FO25" s="48"/>
      <c r="FP25" s="48"/>
      <c r="FQ25" s="48"/>
      <c r="FR25" s="48"/>
      <c r="FS25" s="48"/>
      <c r="FT25" s="48"/>
      <c r="FU25" s="48"/>
      <c r="FV25" s="48"/>
      <c r="FW25" s="48"/>
      <c r="FX25" s="48"/>
      <c r="FY25" s="48"/>
      <c r="FZ25" s="48"/>
      <c r="GA25" s="48"/>
      <c r="GB25" s="48"/>
      <c r="GC25" s="48"/>
      <c r="GD25" s="48"/>
      <c r="GE25" s="48"/>
      <c r="GF25" s="48"/>
      <c r="GG25" s="48"/>
      <c r="GH25" s="48"/>
      <c r="GI25" s="48"/>
      <c r="GJ25" s="48"/>
      <c r="GK25" s="48"/>
      <c r="GL25" s="48"/>
      <c r="GM25" s="48"/>
      <c r="GN25" s="48"/>
      <c r="GO25" s="48"/>
      <c r="GP25" s="48"/>
      <c r="GQ25" s="48"/>
      <c r="GR25" s="48"/>
      <c r="GS25" s="48"/>
      <c r="GT25" s="48"/>
      <c r="GU25" s="48"/>
      <c r="GV25" s="48"/>
      <c r="GW25" s="48"/>
      <c r="GX25" s="48"/>
      <c r="GY25" s="48"/>
      <c r="GZ25" s="48"/>
      <c r="HA25" s="48"/>
      <c r="HB25" s="48"/>
      <c r="HC25" s="48"/>
      <c r="HD25" s="48"/>
      <c r="HE25" s="48"/>
      <c r="HF25" s="48"/>
      <c r="HG25" s="48"/>
      <c r="HH25" s="48"/>
      <c r="HI25" s="48"/>
      <c r="HJ25" s="48"/>
      <c r="HK25" s="48"/>
      <c r="HL25" s="48"/>
      <c r="HM25" s="48"/>
      <c r="HN25" s="48"/>
      <c r="HO25" s="48"/>
      <c r="HP25" s="48"/>
      <c r="HQ25" s="48"/>
      <c r="HR25" s="48"/>
      <c r="HS25" s="48"/>
      <c r="HT25" s="48"/>
      <c r="HU25" s="48"/>
      <c r="HV25" s="48"/>
      <c r="HW25" s="48"/>
      <c r="HX25" s="48"/>
      <c r="HY25" s="48"/>
      <c r="HZ25" s="48"/>
      <c r="IA25" s="48"/>
      <c r="IB25" s="48"/>
      <c r="IC25" s="48"/>
      <c r="ID25" s="48"/>
      <c r="IE25" s="48"/>
      <c r="IF25" s="48"/>
      <c r="IG25" s="48"/>
      <c r="IH25" s="48"/>
      <c r="II25" s="48"/>
      <c r="IJ25" s="48"/>
      <c r="IK25" s="48"/>
      <c r="IL25" s="48"/>
      <c r="IM25" s="48"/>
      <c r="IN25" s="48"/>
      <c r="IO25" s="48"/>
      <c r="IP25" s="48"/>
      <c r="IQ25" s="48"/>
      <c r="IR25" s="48"/>
      <c r="IS25" s="48"/>
      <c r="IT25" s="48"/>
      <c r="IU25" s="48"/>
      <c r="IV25" s="48"/>
    </row>
    <row r="26" spans="1:256" ht="14.15" customHeight="1">
      <c r="A26" s="113" t="s">
        <v>1994</v>
      </c>
      <c r="B26" s="166"/>
      <c r="C26" s="166"/>
      <c r="D26" s="165"/>
      <c r="E26" s="166"/>
      <c r="F26" s="166"/>
      <c r="G26" s="166"/>
      <c r="H26" s="166"/>
      <c r="I26" s="166"/>
      <c r="J26" s="176"/>
      <c r="K26" s="159"/>
      <c r="L26" s="49"/>
      <c r="M26" s="48"/>
      <c r="N26" s="48"/>
      <c r="O26" s="48"/>
      <c r="P26" s="48"/>
      <c r="Q26" s="48"/>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c r="AP26" s="48"/>
      <c r="AQ26" s="48"/>
      <c r="AR26" s="48"/>
      <c r="AS26" s="48"/>
      <c r="AT26" s="48"/>
      <c r="AU26" s="48"/>
      <c r="AV26" s="48"/>
      <c r="AW26" s="48"/>
      <c r="AX26" s="48"/>
      <c r="AY26" s="48"/>
      <c r="AZ26" s="48"/>
      <c r="BA26" s="48"/>
      <c r="BB26" s="48"/>
      <c r="BC26" s="48"/>
      <c r="BD26" s="48"/>
      <c r="BE26" s="48"/>
      <c r="BF26" s="48"/>
      <c r="BG26" s="48"/>
      <c r="BH26" s="48"/>
      <c r="BI26" s="48"/>
      <c r="BJ26" s="48"/>
      <c r="BK26" s="48"/>
      <c r="BL26" s="48"/>
      <c r="BM26" s="48"/>
      <c r="BN26" s="48"/>
      <c r="BO26" s="48"/>
      <c r="BP26" s="48"/>
      <c r="BQ26" s="48"/>
      <c r="BR26" s="48"/>
      <c r="BS26" s="48"/>
      <c r="BT26" s="48"/>
      <c r="BU26" s="48"/>
      <c r="BV26" s="48"/>
      <c r="BW26" s="48"/>
      <c r="BX26" s="48"/>
      <c r="BY26" s="48"/>
      <c r="BZ26" s="48"/>
      <c r="CA26" s="48"/>
      <c r="CB26" s="48"/>
      <c r="CC26" s="48"/>
      <c r="CD26" s="48"/>
      <c r="CE26" s="48"/>
      <c r="CF26" s="48"/>
      <c r="CG26" s="48"/>
      <c r="CH26" s="48"/>
      <c r="CI26" s="48"/>
      <c r="CJ26" s="48"/>
      <c r="CK26" s="48"/>
      <c r="CL26" s="48"/>
      <c r="CM26" s="48"/>
      <c r="CN26" s="48"/>
      <c r="CO26" s="48"/>
      <c r="CP26" s="48"/>
      <c r="CQ26" s="48"/>
      <c r="CR26" s="48"/>
      <c r="CS26" s="48"/>
      <c r="CT26" s="48"/>
      <c r="CU26" s="48"/>
      <c r="CV26" s="48"/>
      <c r="CW26" s="48"/>
      <c r="CX26" s="48"/>
      <c r="CY26" s="48"/>
      <c r="CZ26" s="48"/>
      <c r="DA26" s="48"/>
      <c r="DB26" s="48"/>
      <c r="DC26" s="48"/>
      <c r="DD26" s="48"/>
      <c r="DE26" s="48"/>
      <c r="DF26" s="48"/>
      <c r="DG26" s="48"/>
      <c r="DH26" s="48"/>
      <c r="DI26" s="48"/>
      <c r="DJ26" s="48"/>
      <c r="DK26" s="48"/>
      <c r="DL26" s="48"/>
      <c r="DM26" s="48"/>
      <c r="DN26" s="48"/>
      <c r="DO26" s="48"/>
      <c r="DP26" s="48"/>
      <c r="DQ26" s="48"/>
      <c r="DR26" s="48"/>
      <c r="DS26" s="48"/>
      <c r="DT26" s="48"/>
      <c r="DU26" s="48"/>
      <c r="DV26" s="48"/>
      <c r="DW26" s="48"/>
      <c r="DX26" s="48"/>
      <c r="DY26" s="48"/>
      <c r="DZ26" s="48"/>
      <c r="EA26" s="48"/>
      <c r="EB26" s="48"/>
      <c r="EC26" s="48"/>
      <c r="ED26" s="48"/>
      <c r="EE26" s="48"/>
      <c r="EF26" s="48"/>
      <c r="EG26" s="48"/>
      <c r="EH26" s="48"/>
      <c r="EI26" s="48"/>
      <c r="EJ26" s="48"/>
      <c r="EK26" s="48"/>
      <c r="EL26" s="48"/>
      <c r="EM26" s="48"/>
      <c r="EN26" s="48"/>
      <c r="EO26" s="48"/>
      <c r="EP26" s="48"/>
      <c r="EQ26" s="48"/>
      <c r="ER26" s="48"/>
      <c r="ES26" s="48"/>
      <c r="ET26" s="48"/>
      <c r="EU26" s="48"/>
      <c r="EV26" s="48"/>
      <c r="EW26" s="48"/>
      <c r="EX26" s="48"/>
      <c r="EY26" s="48"/>
      <c r="EZ26" s="48"/>
      <c r="FA26" s="48"/>
      <c r="FB26" s="48"/>
      <c r="FC26" s="48"/>
      <c r="FD26" s="48"/>
      <c r="FE26" s="48"/>
      <c r="FF26" s="48"/>
      <c r="FG26" s="48"/>
      <c r="FH26" s="48"/>
      <c r="FI26" s="48"/>
      <c r="FJ26" s="48"/>
      <c r="FK26" s="48"/>
      <c r="FL26" s="48"/>
      <c r="FM26" s="48"/>
      <c r="FN26" s="48"/>
      <c r="FO26" s="48"/>
      <c r="FP26" s="48"/>
      <c r="FQ26" s="48"/>
      <c r="FR26" s="48"/>
      <c r="FS26" s="48"/>
      <c r="FT26" s="48"/>
      <c r="FU26" s="48"/>
      <c r="FV26" s="48"/>
      <c r="FW26" s="48"/>
      <c r="FX26" s="48"/>
      <c r="FY26" s="48"/>
      <c r="FZ26" s="48"/>
      <c r="GA26" s="48"/>
      <c r="GB26" s="48"/>
      <c r="GC26" s="48"/>
      <c r="GD26" s="48"/>
      <c r="GE26" s="48"/>
      <c r="GF26" s="48"/>
      <c r="GG26" s="48"/>
      <c r="GH26" s="48"/>
      <c r="GI26" s="48"/>
      <c r="GJ26" s="48"/>
      <c r="GK26" s="48"/>
      <c r="GL26" s="48"/>
      <c r="GM26" s="48"/>
      <c r="GN26" s="48"/>
      <c r="GO26" s="48"/>
      <c r="GP26" s="48"/>
      <c r="GQ26" s="48"/>
      <c r="GR26" s="48"/>
      <c r="GS26" s="48"/>
      <c r="GT26" s="48"/>
      <c r="GU26" s="48"/>
      <c r="GV26" s="48"/>
      <c r="GW26" s="48"/>
      <c r="GX26" s="48"/>
      <c r="GY26" s="48"/>
      <c r="GZ26" s="48"/>
      <c r="HA26" s="48"/>
      <c r="HB26" s="48"/>
      <c r="HC26" s="48"/>
      <c r="HD26" s="48"/>
      <c r="HE26" s="48"/>
      <c r="HF26" s="48"/>
      <c r="HG26" s="48"/>
      <c r="HH26" s="48"/>
      <c r="HI26" s="48"/>
      <c r="HJ26" s="48"/>
      <c r="HK26" s="48"/>
      <c r="HL26" s="48"/>
      <c r="HM26" s="48"/>
      <c r="HN26" s="48"/>
      <c r="HO26" s="48"/>
      <c r="HP26" s="48"/>
      <c r="HQ26" s="48"/>
      <c r="HR26" s="48"/>
      <c r="HS26" s="48"/>
      <c r="HT26" s="48"/>
      <c r="HU26" s="48"/>
      <c r="HV26" s="48"/>
      <c r="HW26" s="48"/>
      <c r="HX26" s="48"/>
      <c r="HY26" s="48"/>
      <c r="HZ26" s="48"/>
      <c r="IA26" s="48"/>
      <c r="IB26" s="48"/>
      <c r="IC26" s="48"/>
      <c r="ID26" s="48"/>
      <c r="IE26" s="48"/>
      <c r="IF26" s="48"/>
      <c r="IG26" s="48"/>
      <c r="IH26" s="48"/>
      <c r="II26" s="48"/>
      <c r="IJ26" s="48"/>
      <c r="IK26" s="48"/>
      <c r="IL26" s="48"/>
      <c r="IM26" s="48"/>
      <c r="IN26" s="48"/>
      <c r="IO26" s="48"/>
      <c r="IP26" s="48"/>
      <c r="IQ26" s="48"/>
      <c r="IR26" s="48"/>
      <c r="IS26" s="48"/>
      <c r="IT26" s="48"/>
      <c r="IU26" s="48"/>
      <c r="IV26" s="48"/>
    </row>
    <row r="27" spans="1:256" ht="14.15" customHeight="1">
      <c r="A27" s="113" t="s">
        <v>1995</v>
      </c>
      <c r="B27" s="166"/>
      <c r="C27" s="166"/>
      <c r="D27" s="165"/>
      <c r="E27" s="166"/>
      <c r="F27" s="166"/>
      <c r="G27" s="166"/>
      <c r="H27" s="166"/>
      <c r="I27" s="166"/>
      <c r="J27" s="176"/>
      <c r="K27" s="159"/>
      <c r="L27" s="49"/>
      <c r="M27" s="48"/>
      <c r="N27" s="48"/>
      <c r="O27" s="48"/>
      <c r="P27" s="48"/>
      <c r="Q27" s="48"/>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c r="AP27" s="48"/>
      <c r="AQ27" s="48"/>
      <c r="AR27" s="48"/>
      <c r="AS27" s="48"/>
      <c r="AT27" s="48"/>
      <c r="AU27" s="48"/>
      <c r="AV27" s="48"/>
      <c r="AW27" s="48"/>
      <c r="AX27" s="48"/>
      <c r="AY27" s="48"/>
      <c r="AZ27" s="48"/>
      <c r="BA27" s="48"/>
      <c r="BB27" s="48"/>
      <c r="BC27" s="48"/>
      <c r="BD27" s="48"/>
      <c r="BE27" s="48"/>
      <c r="BF27" s="48"/>
      <c r="BG27" s="48"/>
      <c r="BH27" s="48"/>
      <c r="BI27" s="48"/>
      <c r="BJ27" s="48"/>
      <c r="BK27" s="48"/>
      <c r="BL27" s="48"/>
      <c r="BM27" s="48"/>
      <c r="BN27" s="48"/>
      <c r="BO27" s="48"/>
      <c r="BP27" s="48"/>
      <c r="BQ27" s="48"/>
      <c r="BR27" s="48"/>
      <c r="BS27" s="48"/>
      <c r="BT27" s="48"/>
      <c r="BU27" s="48"/>
      <c r="BV27" s="48"/>
      <c r="BW27" s="48"/>
      <c r="BX27" s="48"/>
      <c r="BY27" s="48"/>
      <c r="BZ27" s="48"/>
      <c r="CA27" s="48"/>
      <c r="CB27" s="48"/>
      <c r="CC27" s="48"/>
      <c r="CD27" s="48"/>
      <c r="CE27" s="48"/>
      <c r="CF27" s="48"/>
      <c r="CG27" s="48"/>
      <c r="CH27" s="48"/>
      <c r="CI27" s="48"/>
      <c r="CJ27" s="48"/>
      <c r="CK27" s="48"/>
      <c r="CL27" s="48"/>
      <c r="CM27" s="48"/>
      <c r="CN27" s="48"/>
      <c r="CO27" s="48"/>
      <c r="CP27" s="48"/>
      <c r="CQ27" s="48"/>
      <c r="CR27" s="48"/>
      <c r="CS27" s="48"/>
      <c r="CT27" s="48"/>
      <c r="CU27" s="48"/>
      <c r="CV27" s="48"/>
      <c r="CW27" s="48"/>
      <c r="CX27" s="48"/>
      <c r="CY27" s="48"/>
      <c r="CZ27" s="48"/>
      <c r="DA27" s="48"/>
      <c r="DB27" s="48"/>
      <c r="DC27" s="48"/>
      <c r="DD27" s="48"/>
      <c r="DE27" s="48"/>
      <c r="DF27" s="48"/>
      <c r="DG27" s="48"/>
      <c r="DH27" s="48"/>
      <c r="DI27" s="48"/>
      <c r="DJ27" s="48"/>
      <c r="DK27" s="48"/>
      <c r="DL27" s="48"/>
      <c r="DM27" s="48"/>
      <c r="DN27" s="48"/>
      <c r="DO27" s="48"/>
      <c r="DP27" s="48"/>
      <c r="DQ27" s="48"/>
      <c r="DR27" s="48"/>
      <c r="DS27" s="48"/>
      <c r="DT27" s="48"/>
      <c r="DU27" s="48"/>
      <c r="DV27" s="48"/>
      <c r="DW27" s="48"/>
      <c r="DX27" s="48"/>
      <c r="DY27" s="48"/>
      <c r="DZ27" s="48"/>
      <c r="EA27" s="48"/>
      <c r="EB27" s="48"/>
      <c r="EC27" s="48"/>
      <c r="ED27" s="48"/>
      <c r="EE27" s="48"/>
      <c r="EF27" s="48"/>
      <c r="EG27" s="48"/>
      <c r="EH27" s="48"/>
      <c r="EI27" s="48"/>
      <c r="EJ27" s="48"/>
      <c r="EK27" s="48"/>
      <c r="EL27" s="48"/>
      <c r="EM27" s="48"/>
      <c r="EN27" s="48"/>
      <c r="EO27" s="48"/>
      <c r="EP27" s="48"/>
      <c r="EQ27" s="48"/>
      <c r="ER27" s="48"/>
      <c r="ES27" s="48"/>
      <c r="ET27" s="48"/>
      <c r="EU27" s="48"/>
      <c r="EV27" s="48"/>
      <c r="EW27" s="48"/>
      <c r="EX27" s="48"/>
      <c r="EY27" s="48"/>
      <c r="EZ27" s="48"/>
      <c r="FA27" s="48"/>
      <c r="FB27" s="48"/>
      <c r="FC27" s="48"/>
      <c r="FD27" s="48"/>
      <c r="FE27" s="48"/>
      <c r="FF27" s="48"/>
      <c r="FG27" s="48"/>
      <c r="FH27" s="48"/>
      <c r="FI27" s="48"/>
      <c r="FJ27" s="48"/>
      <c r="FK27" s="48"/>
      <c r="FL27" s="48"/>
      <c r="FM27" s="48"/>
      <c r="FN27" s="48"/>
      <c r="FO27" s="48"/>
      <c r="FP27" s="48"/>
      <c r="FQ27" s="48"/>
      <c r="FR27" s="48"/>
      <c r="FS27" s="48"/>
      <c r="FT27" s="48"/>
      <c r="FU27" s="48"/>
      <c r="FV27" s="48"/>
      <c r="FW27" s="48"/>
      <c r="FX27" s="48"/>
      <c r="FY27" s="48"/>
      <c r="FZ27" s="48"/>
      <c r="GA27" s="48"/>
      <c r="GB27" s="48"/>
      <c r="GC27" s="48"/>
      <c r="GD27" s="48"/>
      <c r="GE27" s="48"/>
      <c r="GF27" s="48"/>
      <c r="GG27" s="48"/>
      <c r="GH27" s="48"/>
      <c r="GI27" s="48"/>
      <c r="GJ27" s="48"/>
      <c r="GK27" s="48"/>
      <c r="GL27" s="48"/>
      <c r="GM27" s="48"/>
      <c r="GN27" s="48"/>
      <c r="GO27" s="48"/>
      <c r="GP27" s="48"/>
      <c r="GQ27" s="48"/>
      <c r="GR27" s="48"/>
      <c r="GS27" s="48"/>
      <c r="GT27" s="48"/>
      <c r="GU27" s="48"/>
      <c r="GV27" s="48"/>
      <c r="GW27" s="48"/>
      <c r="GX27" s="48"/>
      <c r="GY27" s="48"/>
      <c r="GZ27" s="48"/>
      <c r="HA27" s="48"/>
      <c r="HB27" s="48"/>
      <c r="HC27" s="48"/>
      <c r="HD27" s="48"/>
      <c r="HE27" s="48"/>
      <c r="HF27" s="48"/>
      <c r="HG27" s="48"/>
      <c r="HH27" s="48"/>
      <c r="HI27" s="48"/>
      <c r="HJ27" s="48"/>
      <c r="HK27" s="48"/>
      <c r="HL27" s="48"/>
      <c r="HM27" s="48"/>
      <c r="HN27" s="48"/>
      <c r="HO27" s="48"/>
      <c r="HP27" s="48"/>
      <c r="HQ27" s="48"/>
      <c r="HR27" s="48"/>
      <c r="HS27" s="48"/>
      <c r="HT27" s="48"/>
      <c r="HU27" s="48"/>
      <c r="HV27" s="48"/>
      <c r="HW27" s="48"/>
      <c r="HX27" s="48"/>
      <c r="HY27" s="48"/>
      <c r="HZ27" s="48"/>
      <c r="IA27" s="48"/>
      <c r="IB27" s="48"/>
      <c r="IC27" s="48"/>
      <c r="ID27" s="48"/>
      <c r="IE27" s="48"/>
      <c r="IF27" s="48"/>
      <c r="IG27" s="48"/>
      <c r="IH27" s="48"/>
      <c r="II27" s="48"/>
      <c r="IJ27" s="48"/>
      <c r="IK27" s="48"/>
      <c r="IL27" s="48"/>
      <c r="IM27" s="48"/>
      <c r="IN27" s="48"/>
      <c r="IO27" s="48"/>
      <c r="IP27" s="48"/>
      <c r="IQ27" s="48"/>
      <c r="IR27" s="48"/>
      <c r="IS27" s="48"/>
      <c r="IT27" s="48"/>
      <c r="IU27" s="48"/>
      <c r="IV27" s="48"/>
    </row>
    <row r="28" spans="1:256" ht="14.15" customHeight="1">
      <c r="A28" s="113" t="s">
        <v>1111</v>
      </c>
      <c r="B28" s="166"/>
      <c r="C28" s="166"/>
      <c r="D28" s="165"/>
      <c r="E28" s="166"/>
      <c r="F28" s="166"/>
      <c r="G28" s="166"/>
      <c r="H28" s="166"/>
      <c r="I28" s="166"/>
      <c r="J28" s="176"/>
      <c r="K28" s="159"/>
      <c r="L28" s="159"/>
    </row>
    <row r="29" spans="1:256" ht="14.15" customHeight="1">
      <c r="A29" s="113" t="s">
        <v>165</v>
      </c>
      <c r="B29" s="166"/>
      <c r="C29" s="166"/>
      <c r="D29" s="165"/>
      <c r="E29" s="166"/>
      <c r="F29" s="166"/>
      <c r="G29" s="166"/>
      <c r="H29" s="166"/>
      <c r="I29" s="166"/>
      <c r="J29" s="176"/>
      <c r="K29" s="159"/>
      <c r="L29" s="49"/>
      <c r="M29" s="48"/>
      <c r="N29" s="48"/>
      <c r="O29" s="48"/>
      <c r="P29" s="48"/>
      <c r="Q29" s="48"/>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c r="AP29" s="48"/>
      <c r="AQ29" s="48"/>
      <c r="AR29" s="48"/>
      <c r="AS29" s="48"/>
      <c r="AT29" s="48"/>
      <c r="AU29" s="48"/>
      <c r="AV29" s="48"/>
      <c r="AW29" s="48"/>
      <c r="AX29" s="48"/>
      <c r="AY29" s="48"/>
      <c r="AZ29" s="48"/>
      <c r="BA29" s="48"/>
      <c r="BB29" s="48"/>
      <c r="BC29" s="48"/>
      <c r="BD29" s="48"/>
      <c r="BE29" s="48"/>
      <c r="BF29" s="48"/>
      <c r="BG29" s="48"/>
      <c r="BH29" s="48"/>
      <c r="BI29" s="48"/>
      <c r="BJ29" s="48"/>
      <c r="BK29" s="48"/>
      <c r="BL29" s="48"/>
      <c r="BM29" s="48"/>
      <c r="BN29" s="48"/>
      <c r="BO29" s="48"/>
      <c r="BP29" s="48"/>
      <c r="BQ29" s="48"/>
      <c r="BR29" s="48"/>
      <c r="BS29" s="48"/>
      <c r="BT29" s="48"/>
      <c r="BU29" s="48"/>
      <c r="BV29" s="48"/>
      <c r="BW29" s="48"/>
      <c r="BX29" s="48"/>
      <c r="BY29" s="48"/>
      <c r="BZ29" s="48"/>
      <c r="CA29" s="48"/>
      <c r="CB29" s="48"/>
      <c r="CC29" s="48"/>
      <c r="CD29" s="48"/>
      <c r="CE29" s="48"/>
      <c r="CF29" s="48"/>
      <c r="CG29" s="48"/>
      <c r="CH29" s="48"/>
      <c r="CI29" s="48"/>
      <c r="CJ29" s="48"/>
      <c r="CK29" s="48"/>
      <c r="CL29" s="48"/>
      <c r="CM29" s="48"/>
      <c r="CN29" s="48"/>
      <c r="CO29" s="48"/>
      <c r="CP29" s="48"/>
      <c r="CQ29" s="48"/>
      <c r="CR29" s="48"/>
      <c r="CS29" s="48"/>
      <c r="CT29" s="48"/>
      <c r="CU29" s="48"/>
      <c r="CV29" s="48"/>
      <c r="CW29" s="48"/>
      <c r="CX29" s="48"/>
      <c r="CY29" s="48"/>
      <c r="CZ29" s="48"/>
      <c r="DA29" s="48"/>
      <c r="DB29" s="48"/>
      <c r="DC29" s="48"/>
      <c r="DD29" s="48"/>
      <c r="DE29" s="48"/>
      <c r="DF29" s="48"/>
      <c r="DG29" s="48"/>
      <c r="DH29" s="48"/>
      <c r="DI29" s="48"/>
      <c r="DJ29" s="48"/>
      <c r="DK29" s="48"/>
      <c r="DL29" s="48"/>
      <c r="DM29" s="48"/>
      <c r="DN29" s="48"/>
      <c r="DO29" s="48"/>
      <c r="DP29" s="48"/>
      <c r="DQ29" s="48"/>
      <c r="DR29" s="48"/>
      <c r="DS29" s="48"/>
      <c r="DT29" s="48"/>
      <c r="DU29" s="48"/>
      <c r="DV29" s="48"/>
      <c r="DW29" s="48"/>
      <c r="DX29" s="48"/>
      <c r="DY29" s="48"/>
      <c r="DZ29" s="48"/>
      <c r="EA29" s="48"/>
      <c r="EB29" s="48"/>
      <c r="EC29" s="48"/>
      <c r="ED29" s="48"/>
      <c r="EE29" s="48"/>
      <c r="EF29" s="48"/>
      <c r="EG29" s="48"/>
      <c r="EH29" s="48"/>
      <c r="EI29" s="48"/>
      <c r="EJ29" s="48"/>
      <c r="EK29" s="48"/>
      <c r="EL29" s="48"/>
      <c r="EM29" s="48"/>
      <c r="EN29" s="48"/>
      <c r="EO29" s="48"/>
      <c r="EP29" s="48"/>
      <c r="EQ29" s="48"/>
      <c r="ER29" s="48"/>
      <c r="ES29" s="48"/>
      <c r="ET29" s="48"/>
      <c r="EU29" s="48"/>
      <c r="EV29" s="48"/>
      <c r="EW29" s="48"/>
      <c r="EX29" s="48"/>
      <c r="EY29" s="48"/>
      <c r="EZ29" s="48"/>
      <c r="FA29" s="48"/>
      <c r="FB29" s="48"/>
      <c r="FC29" s="48"/>
      <c r="FD29" s="48"/>
      <c r="FE29" s="48"/>
      <c r="FF29" s="48"/>
      <c r="FG29" s="48"/>
      <c r="FH29" s="48"/>
      <c r="FI29" s="48"/>
      <c r="FJ29" s="48"/>
      <c r="FK29" s="48"/>
      <c r="FL29" s="48"/>
      <c r="FM29" s="48"/>
      <c r="FN29" s="48"/>
      <c r="FO29" s="48"/>
      <c r="FP29" s="48"/>
      <c r="FQ29" s="48"/>
      <c r="FR29" s="48"/>
      <c r="FS29" s="48"/>
      <c r="FT29" s="48"/>
      <c r="FU29" s="48"/>
      <c r="FV29" s="48"/>
      <c r="FW29" s="48"/>
      <c r="FX29" s="48"/>
      <c r="FY29" s="48"/>
      <c r="FZ29" s="48"/>
      <c r="GA29" s="48"/>
      <c r="GB29" s="48"/>
      <c r="GC29" s="48"/>
      <c r="GD29" s="48"/>
      <c r="GE29" s="48"/>
      <c r="GF29" s="48"/>
      <c r="GG29" s="48"/>
      <c r="GH29" s="48"/>
      <c r="GI29" s="48"/>
      <c r="GJ29" s="48"/>
      <c r="GK29" s="48"/>
      <c r="GL29" s="48"/>
      <c r="GM29" s="48"/>
      <c r="GN29" s="48"/>
      <c r="GO29" s="48"/>
      <c r="GP29" s="48"/>
      <c r="GQ29" s="48"/>
      <c r="GR29" s="48"/>
      <c r="GS29" s="48"/>
      <c r="GT29" s="48"/>
      <c r="GU29" s="48"/>
      <c r="GV29" s="48"/>
      <c r="GW29" s="48"/>
      <c r="GX29" s="48"/>
      <c r="GY29" s="48"/>
      <c r="GZ29" s="48"/>
      <c r="HA29" s="48"/>
      <c r="HB29" s="48"/>
      <c r="HC29" s="48"/>
      <c r="HD29" s="48"/>
      <c r="HE29" s="48"/>
      <c r="HF29" s="48"/>
      <c r="HG29" s="48"/>
      <c r="HH29" s="48"/>
      <c r="HI29" s="48"/>
      <c r="HJ29" s="48"/>
      <c r="HK29" s="48"/>
      <c r="HL29" s="48"/>
      <c r="HM29" s="48"/>
      <c r="HN29" s="48"/>
      <c r="HO29" s="48"/>
      <c r="HP29" s="48"/>
      <c r="HQ29" s="48"/>
      <c r="HR29" s="48"/>
      <c r="HS29" s="48"/>
      <c r="HT29" s="48"/>
      <c r="HU29" s="48"/>
      <c r="HV29" s="48"/>
      <c r="HW29" s="48"/>
      <c r="HX29" s="48"/>
      <c r="HY29" s="48"/>
      <c r="HZ29" s="48"/>
      <c r="IA29" s="48"/>
      <c r="IB29" s="48"/>
      <c r="IC29" s="48"/>
      <c r="ID29" s="48"/>
      <c r="IE29" s="48"/>
      <c r="IF29" s="48"/>
      <c r="IG29" s="48"/>
      <c r="IH29" s="48"/>
      <c r="II29" s="48"/>
      <c r="IJ29" s="48"/>
      <c r="IK29" s="48"/>
      <c r="IL29" s="48"/>
      <c r="IM29" s="48"/>
      <c r="IN29" s="48"/>
      <c r="IO29" s="48"/>
      <c r="IP29" s="48"/>
      <c r="IQ29" s="48"/>
      <c r="IR29" s="48"/>
      <c r="IS29" s="48"/>
      <c r="IT29" s="48"/>
      <c r="IU29" s="48"/>
      <c r="IV29" s="48"/>
    </row>
    <row r="30" spans="1:256" ht="14.15" customHeight="1">
      <c r="A30" s="113" t="s">
        <v>171</v>
      </c>
      <c r="B30" s="166"/>
      <c r="C30" s="166"/>
      <c r="D30" s="165"/>
      <c r="E30" s="166"/>
      <c r="F30" s="166"/>
      <c r="G30" s="166"/>
      <c r="H30" s="166"/>
      <c r="I30" s="166"/>
      <c r="J30" s="176"/>
      <c r="K30" s="159"/>
      <c r="L30" s="49"/>
      <c r="M30" s="48"/>
      <c r="N30" s="48"/>
      <c r="O30" s="48"/>
      <c r="P30" s="48"/>
      <c r="Q30" s="48"/>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c r="AP30" s="48"/>
      <c r="AQ30" s="48"/>
      <c r="AR30" s="48"/>
      <c r="AS30" s="48"/>
      <c r="AT30" s="48"/>
      <c r="AU30" s="48"/>
      <c r="AV30" s="48"/>
      <c r="AW30" s="48"/>
      <c r="AX30" s="48"/>
      <c r="AY30" s="48"/>
      <c r="AZ30" s="48"/>
      <c r="BA30" s="48"/>
      <c r="BB30" s="48"/>
      <c r="BC30" s="48"/>
      <c r="BD30" s="48"/>
      <c r="BE30" s="48"/>
      <c r="BF30" s="48"/>
      <c r="BG30" s="48"/>
      <c r="BH30" s="48"/>
      <c r="BI30" s="48"/>
      <c r="BJ30" s="48"/>
      <c r="BK30" s="48"/>
      <c r="BL30" s="48"/>
      <c r="BM30" s="48"/>
      <c r="BN30" s="48"/>
      <c r="BO30" s="48"/>
      <c r="BP30" s="48"/>
      <c r="BQ30" s="48"/>
      <c r="BR30" s="48"/>
      <c r="BS30" s="48"/>
      <c r="BT30" s="48"/>
      <c r="BU30" s="48"/>
      <c r="BV30" s="48"/>
      <c r="BW30" s="48"/>
      <c r="BX30" s="48"/>
      <c r="BY30" s="48"/>
      <c r="BZ30" s="48"/>
      <c r="CA30" s="48"/>
      <c r="CB30" s="48"/>
      <c r="CC30" s="48"/>
      <c r="CD30" s="48"/>
      <c r="CE30" s="48"/>
      <c r="CF30" s="48"/>
      <c r="CG30" s="48"/>
      <c r="CH30" s="48"/>
      <c r="CI30" s="48"/>
      <c r="CJ30" s="48"/>
      <c r="CK30" s="48"/>
      <c r="CL30" s="48"/>
      <c r="CM30" s="48"/>
      <c r="CN30" s="48"/>
      <c r="CO30" s="48"/>
      <c r="CP30" s="48"/>
      <c r="CQ30" s="48"/>
      <c r="CR30" s="48"/>
      <c r="CS30" s="48"/>
      <c r="CT30" s="48"/>
      <c r="CU30" s="48"/>
      <c r="CV30" s="48"/>
      <c r="CW30" s="48"/>
      <c r="CX30" s="48"/>
      <c r="CY30" s="48"/>
      <c r="CZ30" s="48"/>
      <c r="DA30" s="48"/>
      <c r="DB30" s="48"/>
      <c r="DC30" s="48"/>
      <c r="DD30" s="48"/>
      <c r="DE30" s="48"/>
      <c r="DF30" s="48"/>
      <c r="DG30" s="48"/>
      <c r="DH30" s="48"/>
      <c r="DI30" s="48"/>
      <c r="DJ30" s="48"/>
      <c r="DK30" s="48"/>
      <c r="DL30" s="48"/>
      <c r="DM30" s="48"/>
      <c r="DN30" s="48"/>
      <c r="DO30" s="48"/>
      <c r="DP30" s="48"/>
      <c r="DQ30" s="48"/>
      <c r="DR30" s="48"/>
      <c r="DS30" s="48"/>
      <c r="DT30" s="48"/>
      <c r="DU30" s="48"/>
      <c r="DV30" s="48"/>
      <c r="DW30" s="48"/>
      <c r="DX30" s="48"/>
      <c r="DY30" s="48"/>
      <c r="DZ30" s="48"/>
      <c r="EA30" s="48"/>
      <c r="EB30" s="48"/>
      <c r="EC30" s="48"/>
      <c r="ED30" s="48"/>
      <c r="EE30" s="48"/>
      <c r="EF30" s="48"/>
      <c r="EG30" s="48"/>
      <c r="EH30" s="48"/>
      <c r="EI30" s="48"/>
      <c r="EJ30" s="48"/>
      <c r="EK30" s="48"/>
      <c r="EL30" s="48"/>
      <c r="EM30" s="48"/>
      <c r="EN30" s="48"/>
      <c r="EO30" s="48"/>
      <c r="EP30" s="48"/>
      <c r="EQ30" s="48"/>
      <c r="ER30" s="48"/>
      <c r="ES30" s="48"/>
      <c r="ET30" s="48"/>
      <c r="EU30" s="48"/>
      <c r="EV30" s="48"/>
      <c r="EW30" s="48"/>
      <c r="EX30" s="48"/>
      <c r="EY30" s="48"/>
      <c r="EZ30" s="48"/>
      <c r="FA30" s="48"/>
      <c r="FB30" s="48"/>
      <c r="FC30" s="48"/>
      <c r="FD30" s="48"/>
      <c r="FE30" s="48"/>
      <c r="FF30" s="48"/>
      <c r="FG30" s="48"/>
      <c r="FH30" s="48"/>
      <c r="FI30" s="48"/>
      <c r="FJ30" s="48"/>
      <c r="FK30" s="48"/>
      <c r="FL30" s="48"/>
      <c r="FM30" s="48"/>
      <c r="FN30" s="48"/>
      <c r="FO30" s="48"/>
      <c r="FP30" s="48"/>
      <c r="FQ30" s="48"/>
      <c r="FR30" s="48"/>
      <c r="FS30" s="48"/>
      <c r="FT30" s="48"/>
      <c r="FU30" s="48"/>
      <c r="FV30" s="48"/>
      <c r="FW30" s="48"/>
      <c r="FX30" s="48"/>
      <c r="FY30" s="48"/>
      <c r="FZ30" s="48"/>
      <c r="GA30" s="48"/>
      <c r="GB30" s="48"/>
      <c r="GC30" s="48"/>
      <c r="GD30" s="48"/>
      <c r="GE30" s="48"/>
      <c r="GF30" s="48"/>
      <c r="GG30" s="48"/>
      <c r="GH30" s="48"/>
      <c r="GI30" s="48"/>
      <c r="GJ30" s="48"/>
      <c r="GK30" s="48"/>
      <c r="GL30" s="48"/>
      <c r="GM30" s="48"/>
      <c r="GN30" s="48"/>
      <c r="GO30" s="48"/>
      <c r="GP30" s="48"/>
      <c r="GQ30" s="48"/>
      <c r="GR30" s="48"/>
      <c r="GS30" s="48"/>
      <c r="GT30" s="48"/>
      <c r="GU30" s="48"/>
      <c r="GV30" s="48"/>
      <c r="GW30" s="48"/>
      <c r="GX30" s="48"/>
      <c r="GY30" s="48"/>
      <c r="GZ30" s="48"/>
      <c r="HA30" s="48"/>
      <c r="HB30" s="48"/>
      <c r="HC30" s="48"/>
      <c r="HD30" s="48"/>
      <c r="HE30" s="48"/>
      <c r="HF30" s="48"/>
      <c r="HG30" s="48"/>
      <c r="HH30" s="48"/>
      <c r="HI30" s="48"/>
      <c r="HJ30" s="48"/>
      <c r="HK30" s="48"/>
      <c r="HL30" s="48"/>
      <c r="HM30" s="48"/>
      <c r="HN30" s="48"/>
      <c r="HO30" s="48"/>
      <c r="HP30" s="48"/>
      <c r="HQ30" s="48"/>
      <c r="HR30" s="48"/>
      <c r="HS30" s="48"/>
      <c r="HT30" s="48"/>
      <c r="HU30" s="48"/>
      <c r="HV30" s="48"/>
      <c r="HW30" s="48"/>
      <c r="HX30" s="48"/>
      <c r="HY30" s="48"/>
      <c r="HZ30" s="48"/>
      <c r="IA30" s="48"/>
      <c r="IB30" s="48"/>
      <c r="IC30" s="48"/>
      <c r="ID30" s="48"/>
      <c r="IE30" s="48"/>
      <c r="IF30" s="48"/>
      <c r="IG30" s="48"/>
      <c r="IH30" s="48"/>
      <c r="II30" s="48"/>
      <c r="IJ30" s="48"/>
      <c r="IK30" s="48"/>
      <c r="IL30" s="48"/>
      <c r="IM30" s="48"/>
      <c r="IN30" s="48"/>
      <c r="IO30" s="48"/>
      <c r="IP30" s="48"/>
      <c r="IQ30" s="48"/>
      <c r="IR30" s="48"/>
      <c r="IS30" s="48"/>
      <c r="IT30" s="48"/>
      <c r="IU30" s="48"/>
      <c r="IV30" s="48"/>
    </row>
    <row r="31" spans="1:256" ht="14.15" customHeight="1">
      <c r="A31" s="113" t="s">
        <v>1996</v>
      </c>
      <c r="B31" s="166"/>
      <c r="C31" s="166"/>
      <c r="D31" s="165"/>
      <c r="E31" s="166"/>
      <c r="F31" s="166"/>
      <c r="G31" s="166"/>
      <c r="H31" s="166"/>
      <c r="I31" s="166"/>
      <c r="J31" s="176"/>
      <c r="K31" s="159"/>
      <c r="L31" s="49"/>
      <c r="M31" s="48"/>
      <c r="N31" s="48"/>
      <c r="O31" s="48"/>
      <c r="P31" s="48"/>
      <c r="Q31" s="48"/>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c r="AP31" s="48"/>
      <c r="AQ31" s="48"/>
      <c r="AR31" s="48"/>
      <c r="AS31" s="48"/>
      <c r="AT31" s="48"/>
      <c r="AU31" s="48"/>
      <c r="AV31" s="48"/>
      <c r="AW31" s="48"/>
      <c r="AX31" s="48"/>
      <c r="AY31" s="48"/>
      <c r="AZ31" s="48"/>
      <c r="BA31" s="48"/>
      <c r="BB31" s="48"/>
      <c r="BC31" s="48"/>
      <c r="BD31" s="48"/>
      <c r="BE31" s="48"/>
      <c r="BF31" s="48"/>
      <c r="BG31" s="48"/>
      <c r="BH31" s="48"/>
      <c r="BI31" s="48"/>
      <c r="BJ31" s="48"/>
      <c r="BK31" s="48"/>
      <c r="BL31" s="48"/>
      <c r="BM31" s="48"/>
      <c r="BN31" s="48"/>
      <c r="BO31" s="48"/>
      <c r="BP31" s="48"/>
      <c r="BQ31" s="48"/>
      <c r="BR31" s="48"/>
      <c r="BS31" s="48"/>
      <c r="BT31" s="48"/>
      <c r="BU31" s="48"/>
      <c r="BV31" s="48"/>
      <c r="BW31" s="48"/>
      <c r="BX31" s="48"/>
      <c r="BY31" s="48"/>
      <c r="BZ31" s="48"/>
      <c r="CA31" s="48"/>
      <c r="CB31" s="48"/>
      <c r="CC31" s="48"/>
      <c r="CD31" s="48"/>
      <c r="CE31" s="48"/>
      <c r="CF31" s="48"/>
      <c r="CG31" s="48"/>
      <c r="CH31" s="48"/>
      <c r="CI31" s="48"/>
      <c r="CJ31" s="48"/>
      <c r="CK31" s="48"/>
      <c r="CL31" s="48"/>
      <c r="CM31" s="48"/>
      <c r="CN31" s="48"/>
      <c r="CO31" s="48"/>
      <c r="CP31" s="48"/>
      <c r="CQ31" s="48"/>
      <c r="CR31" s="48"/>
      <c r="CS31" s="48"/>
      <c r="CT31" s="48"/>
      <c r="CU31" s="48"/>
      <c r="CV31" s="48"/>
      <c r="CW31" s="48"/>
      <c r="CX31" s="48"/>
      <c r="CY31" s="48"/>
      <c r="CZ31" s="48"/>
      <c r="DA31" s="48"/>
      <c r="DB31" s="48"/>
      <c r="DC31" s="48"/>
      <c r="DD31" s="48"/>
      <c r="DE31" s="48"/>
      <c r="DF31" s="48"/>
      <c r="DG31" s="48"/>
      <c r="DH31" s="48"/>
      <c r="DI31" s="48"/>
      <c r="DJ31" s="48"/>
      <c r="DK31" s="48"/>
      <c r="DL31" s="48"/>
      <c r="DM31" s="48"/>
      <c r="DN31" s="48"/>
      <c r="DO31" s="48"/>
      <c r="DP31" s="48"/>
      <c r="DQ31" s="48"/>
      <c r="DR31" s="48"/>
      <c r="DS31" s="48"/>
      <c r="DT31" s="48"/>
      <c r="DU31" s="48"/>
      <c r="DV31" s="48"/>
      <c r="DW31" s="48"/>
      <c r="DX31" s="48"/>
      <c r="DY31" s="48"/>
      <c r="DZ31" s="48"/>
      <c r="EA31" s="48"/>
      <c r="EB31" s="48"/>
      <c r="EC31" s="48"/>
      <c r="ED31" s="48"/>
      <c r="EE31" s="48"/>
      <c r="EF31" s="48"/>
      <c r="EG31" s="48"/>
      <c r="EH31" s="48"/>
      <c r="EI31" s="48"/>
      <c r="EJ31" s="48"/>
      <c r="EK31" s="48"/>
      <c r="EL31" s="48"/>
      <c r="EM31" s="48"/>
      <c r="EN31" s="48"/>
      <c r="EO31" s="48"/>
      <c r="EP31" s="48"/>
      <c r="EQ31" s="48"/>
      <c r="ER31" s="48"/>
      <c r="ES31" s="48"/>
      <c r="ET31" s="48"/>
      <c r="EU31" s="48"/>
      <c r="EV31" s="48"/>
      <c r="EW31" s="48"/>
      <c r="EX31" s="48"/>
      <c r="EY31" s="48"/>
      <c r="EZ31" s="48"/>
      <c r="FA31" s="48"/>
      <c r="FB31" s="48"/>
      <c r="FC31" s="48"/>
      <c r="FD31" s="48"/>
      <c r="FE31" s="48"/>
      <c r="FF31" s="48"/>
      <c r="FG31" s="48"/>
      <c r="FH31" s="48"/>
      <c r="FI31" s="48"/>
      <c r="FJ31" s="48"/>
      <c r="FK31" s="48"/>
      <c r="FL31" s="48"/>
      <c r="FM31" s="48"/>
      <c r="FN31" s="48"/>
      <c r="FO31" s="48"/>
      <c r="FP31" s="48"/>
      <c r="FQ31" s="48"/>
      <c r="FR31" s="48"/>
      <c r="FS31" s="48"/>
      <c r="FT31" s="48"/>
      <c r="FU31" s="48"/>
      <c r="FV31" s="48"/>
      <c r="FW31" s="48"/>
      <c r="FX31" s="48"/>
      <c r="FY31" s="48"/>
      <c r="FZ31" s="48"/>
      <c r="GA31" s="48"/>
      <c r="GB31" s="48"/>
      <c r="GC31" s="48"/>
      <c r="GD31" s="48"/>
      <c r="GE31" s="48"/>
      <c r="GF31" s="48"/>
      <c r="GG31" s="48"/>
      <c r="GH31" s="48"/>
      <c r="GI31" s="48"/>
      <c r="GJ31" s="48"/>
      <c r="GK31" s="48"/>
      <c r="GL31" s="48"/>
      <c r="GM31" s="48"/>
      <c r="GN31" s="48"/>
      <c r="GO31" s="48"/>
      <c r="GP31" s="48"/>
      <c r="GQ31" s="48"/>
      <c r="GR31" s="48"/>
      <c r="GS31" s="48"/>
      <c r="GT31" s="48"/>
      <c r="GU31" s="48"/>
      <c r="GV31" s="48"/>
      <c r="GW31" s="48"/>
      <c r="GX31" s="48"/>
      <c r="GY31" s="48"/>
      <c r="GZ31" s="48"/>
      <c r="HA31" s="48"/>
      <c r="HB31" s="48"/>
      <c r="HC31" s="48"/>
      <c r="HD31" s="48"/>
      <c r="HE31" s="48"/>
      <c r="HF31" s="48"/>
      <c r="HG31" s="48"/>
      <c r="HH31" s="48"/>
      <c r="HI31" s="48"/>
      <c r="HJ31" s="48"/>
      <c r="HK31" s="48"/>
      <c r="HL31" s="48"/>
      <c r="HM31" s="48"/>
      <c r="HN31" s="48"/>
      <c r="HO31" s="48"/>
      <c r="HP31" s="48"/>
      <c r="HQ31" s="48"/>
      <c r="HR31" s="48"/>
      <c r="HS31" s="48"/>
      <c r="HT31" s="48"/>
      <c r="HU31" s="48"/>
      <c r="HV31" s="48"/>
      <c r="HW31" s="48"/>
      <c r="HX31" s="48"/>
      <c r="HY31" s="48"/>
      <c r="HZ31" s="48"/>
      <c r="IA31" s="48"/>
      <c r="IB31" s="48"/>
      <c r="IC31" s="48"/>
      <c r="ID31" s="48"/>
      <c r="IE31" s="48"/>
      <c r="IF31" s="48"/>
      <c r="IG31" s="48"/>
      <c r="IH31" s="48"/>
      <c r="II31" s="48"/>
      <c r="IJ31" s="48"/>
      <c r="IK31" s="48"/>
      <c r="IL31" s="48"/>
      <c r="IM31" s="48"/>
      <c r="IN31" s="48"/>
      <c r="IO31" s="48"/>
      <c r="IP31" s="48"/>
      <c r="IQ31" s="48"/>
      <c r="IR31" s="48"/>
      <c r="IS31" s="48"/>
      <c r="IT31" s="48"/>
      <c r="IU31" s="48"/>
      <c r="IV31" s="48"/>
    </row>
    <row r="32" spans="1:256" ht="14.15" customHeight="1">
      <c r="A32" s="113" t="s">
        <v>172</v>
      </c>
      <c r="B32" s="166"/>
      <c r="C32" s="166"/>
      <c r="D32" s="165"/>
      <c r="E32" s="166"/>
      <c r="F32" s="166"/>
      <c r="G32" s="166"/>
      <c r="H32" s="166"/>
      <c r="I32" s="166"/>
      <c r="J32" s="176"/>
      <c r="K32" s="159"/>
      <c r="L32" s="49"/>
      <c r="M32" s="48"/>
      <c r="N32" s="48"/>
      <c r="O32" s="48"/>
      <c r="P32" s="48"/>
      <c r="Q32" s="48"/>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c r="AP32" s="48"/>
      <c r="AQ32" s="48"/>
      <c r="AR32" s="48"/>
      <c r="AS32" s="48"/>
      <c r="AT32" s="48"/>
      <c r="AU32" s="48"/>
      <c r="AV32" s="48"/>
      <c r="AW32" s="48"/>
      <c r="AX32" s="48"/>
      <c r="AY32" s="48"/>
      <c r="AZ32" s="48"/>
      <c r="BA32" s="48"/>
      <c r="BB32" s="48"/>
      <c r="BC32" s="48"/>
      <c r="BD32" s="48"/>
      <c r="BE32" s="48"/>
      <c r="BF32" s="48"/>
      <c r="BG32" s="48"/>
      <c r="BH32" s="48"/>
      <c r="BI32" s="48"/>
      <c r="BJ32" s="48"/>
      <c r="BK32" s="48"/>
      <c r="BL32" s="48"/>
      <c r="BM32" s="48"/>
      <c r="BN32" s="48"/>
      <c r="BO32" s="48"/>
      <c r="BP32" s="48"/>
      <c r="BQ32" s="48"/>
      <c r="BR32" s="48"/>
      <c r="BS32" s="48"/>
      <c r="BT32" s="48"/>
      <c r="BU32" s="48"/>
      <c r="BV32" s="48"/>
      <c r="BW32" s="48"/>
      <c r="BX32" s="48"/>
      <c r="BY32" s="48"/>
      <c r="BZ32" s="48"/>
      <c r="CA32" s="48"/>
      <c r="CB32" s="48"/>
      <c r="CC32" s="48"/>
      <c r="CD32" s="48"/>
      <c r="CE32" s="48"/>
      <c r="CF32" s="48"/>
      <c r="CG32" s="48"/>
      <c r="CH32" s="48"/>
      <c r="CI32" s="48"/>
      <c r="CJ32" s="48"/>
      <c r="CK32" s="48"/>
      <c r="CL32" s="48"/>
      <c r="CM32" s="48"/>
      <c r="CN32" s="48"/>
      <c r="CO32" s="48"/>
      <c r="CP32" s="48"/>
      <c r="CQ32" s="48"/>
      <c r="CR32" s="48"/>
      <c r="CS32" s="48"/>
      <c r="CT32" s="48"/>
      <c r="CU32" s="48"/>
      <c r="CV32" s="48"/>
      <c r="CW32" s="48"/>
      <c r="CX32" s="48"/>
      <c r="CY32" s="48"/>
      <c r="CZ32" s="48"/>
      <c r="DA32" s="48"/>
      <c r="DB32" s="48"/>
      <c r="DC32" s="48"/>
      <c r="DD32" s="48"/>
      <c r="DE32" s="48"/>
      <c r="DF32" s="48"/>
      <c r="DG32" s="48"/>
      <c r="DH32" s="48"/>
      <c r="DI32" s="48"/>
      <c r="DJ32" s="48"/>
      <c r="DK32" s="48"/>
      <c r="DL32" s="48"/>
      <c r="DM32" s="48"/>
      <c r="DN32" s="48"/>
      <c r="DO32" s="48"/>
      <c r="DP32" s="48"/>
      <c r="DQ32" s="48"/>
      <c r="DR32" s="48"/>
      <c r="DS32" s="48"/>
      <c r="DT32" s="48"/>
      <c r="DU32" s="48"/>
      <c r="DV32" s="48"/>
      <c r="DW32" s="48"/>
      <c r="DX32" s="48"/>
      <c r="DY32" s="48"/>
      <c r="DZ32" s="48"/>
      <c r="EA32" s="48"/>
      <c r="EB32" s="48"/>
      <c r="EC32" s="48"/>
      <c r="ED32" s="48"/>
      <c r="EE32" s="48"/>
      <c r="EF32" s="48"/>
      <c r="EG32" s="48"/>
      <c r="EH32" s="48"/>
      <c r="EI32" s="48"/>
      <c r="EJ32" s="48"/>
      <c r="EK32" s="48"/>
      <c r="EL32" s="48"/>
      <c r="EM32" s="48"/>
      <c r="EN32" s="48"/>
      <c r="EO32" s="48"/>
      <c r="EP32" s="48"/>
      <c r="EQ32" s="48"/>
      <c r="ER32" s="48"/>
      <c r="ES32" s="48"/>
      <c r="ET32" s="48"/>
      <c r="EU32" s="48"/>
      <c r="EV32" s="48"/>
      <c r="EW32" s="48"/>
      <c r="EX32" s="48"/>
      <c r="EY32" s="48"/>
      <c r="EZ32" s="48"/>
      <c r="FA32" s="48"/>
      <c r="FB32" s="48"/>
      <c r="FC32" s="48"/>
      <c r="FD32" s="48"/>
      <c r="FE32" s="48"/>
      <c r="FF32" s="48"/>
      <c r="FG32" s="48"/>
      <c r="FH32" s="48"/>
      <c r="FI32" s="48"/>
      <c r="FJ32" s="48"/>
      <c r="FK32" s="48"/>
      <c r="FL32" s="48"/>
      <c r="FM32" s="48"/>
      <c r="FN32" s="48"/>
      <c r="FO32" s="48"/>
      <c r="FP32" s="48"/>
      <c r="FQ32" s="48"/>
      <c r="FR32" s="48"/>
      <c r="FS32" s="48"/>
      <c r="FT32" s="48"/>
      <c r="FU32" s="48"/>
      <c r="FV32" s="48"/>
      <c r="FW32" s="48"/>
      <c r="FX32" s="48"/>
      <c r="FY32" s="48"/>
      <c r="FZ32" s="48"/>
      <c r="GA32" s="48"/>
      <c r="GB32" s="48"/>
      <c r="GC32" s="48"/>
      <c r="GD32" s="48"/>
      <c r="GE32" s="48"/>
      <c r="GF32" s="48"/>
      <c r="GG32" s="48"/>
      <c r="GH32" s="48"/>
      <c r="GI32" s="48"/>
      <c r="GJ32" s="48"/>
      <c r="GK32" s="48"/>
      <c r="GL32" s="48"/>
      <c r="GM32" s="48"/>
      <c r="GN32" s="48"/>
      <c r="GO32" s="48"/>
      <c r="GP32" s="48"/>
      <c r="GQ32" s="48"/>
      <c r="GR32" s="48"/>
      <c r="GS32" s="48"/>
      <c r="GT32" s="48"/>
      <c r="GU32" s="48"/>
      <c r="GV32" s="48"/>
      <c r="GW32" s="48"/>
      <c r="GX32" s="48"/>
      <c r="GY32" s="48"/>
      <c r="GZ32" s="48"/>
      <c r="HA32" s="48"/>
      <c r="HB32" s="48"/>
      <c r="HC32" s="48"/>
      <c r="HD32" s="48"/>
      <c r="HE32" s="48"/>
      <c r="HF32" s="48"/>
      <c r="HG32" s="48"/>
      <c r="HH32" s="48"/>
      <c r="HI32" s="48"/>
      <c r="HJ32" s="48"/>
      <c r="HK32" s="48"/>
      <c r="HL32" s="48"/>
      <c r="HM32" s="48"/>
      <c r="HN32" s="48"/>
      <c r="HO32" s="48"/>
      <c r="HP32" s="48"/>
      <c r="HQ32" s="48"/>
      <c r="HR32" s="48"/>
      <c r="HS32" s="48"/>
      <c r="HT32" s="48"/>
      <c r="HU32" s="48"/>
      <c r="HV32" s="48"/>
      <c r="HW32" s="48"/>
      <c r="HX32" s="48"/>
      <c r="HY32" s="48"/>
      <c r="HZ32" s="48"/>
      <c r="IA32" s="48"/>
      <c r="IB32" s="48"/>
      <c r="IC32" s="48"/>
      <c r="ID32" s="48"/>
      <c r="IE32" s="48"/>
      <c r="IF32" s="48"/>
      <c r="IG32" s="48"/>
      <c r="IH32" s="48"/>
      <c r="II32" s="48"/>
      <c r="IJ32" s="48"/>
      <c r="IK32" s="48"/>
      <c r="IL32" s="48"/>
      <c r="IM32" s="48"/>
      <c r="IN32" s="48"/>
      <c r="IO32" s="48"/>
      <c r="IP32" s="48"/>
      <c r="IQ32" s="48"/>
      <c r="IR32" s="48"/>
      <c r="IS32" s="48"/>
      <c r="IT32" s="48"/>
      <c r="IU32" s="48"/>
      <c r="IV32" s="48"/>
    </row>
    <row r="33" spans="1:256" ht="14.15" customHeight="1">
      <c r="A33" s="113" t="s">
        <v>170</v>
      </c>
      <c r="B33" s="166"/>
      <c r="C33" s="166"/>
      <c r="D33" s="164"/>
      <c r="E33" s="166"/>
      <c r="F33" s="166"/>
      <c r="G33" s="166"/>
      <c r="H33" s="166"/>
      <c r="I33" s="166"/>
      <c r="J33" s="176"/>
      <c r="K33" s="159"/>
      <c r="L33" s="49"/>
      <c r="M33" s="48"/>
      <c r="N33" s="48"/>
      <c r="O33" s="48"/>
      <c r="P33" s="48"/>
      <c r="Q33" s="48"/>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c r="AP33" s="48"/>
      <c r="AQ33" s="48"/>
      <c r="AR33" s="48"/>
      <c r="AS33" s="48"/>
      <c r="AT33" s="48"/>
      <c r="AU33" s="48"/>
      <c r="AV33" s="48"/>
      <c r="AW33" s="48"/>
      <c r="AX33" s="48"/>
      <c r="AY33" s="48"/>
      <c r="AZ33" s="48"/>
      <c r="BA33" s="48"/>
      <c r="BB33" s="48"/>
      <c r="BC33" s="48"/>
      <c r="BD33" s="48"/>
      <c r="BE33" s="48"/>
      <c r="BF33" s="48"/>
      <c r="BG33" s="48"/>
      <c r="BH33" s="48"/>
      <c r="BI33" s="48"/>
      <c r="BJ33" s="48"/>
      <c r="BK33" s="48"/>
      <c r="BL33" s="48"/>
      <c r="BM33" s="48"/>
      <c r="BN33" s="48"/>
      <c r="BO33" s="48"/>
      <c r="BP33" s="48"/>
      <c r="BQ33" s="48"/>
      <c r="BR33" s="48"/>
      <c r="BS33" s="48"/>
      <c r="BT33" s="48"/>
      <c r="BU33" s="48"/>
      <c r="BV33" s="48"/>
      <c r="BW33" s="48"/>
      <c r="BX33" s="48"/>
      <c r="BY33" s="48"/>
      <c r="BZ33" s="48"/>
      <c r="CA33" s="48"/>
      <c r="CB33" s="48"/>
      <c r="CC33" s="48"/>
      <c r="CD33" s="48"/>
      <c r="CE33" s="48"/>
      <c r="CF33" s="48"/>
      <c r="CG33" s="48"/>
      <c r="CH33" s="48"/>
      <c r="CI33" s="48"/>
      <c r="CJ33" s="48"/>
      <c r="CK33" s="48"/>
      <c r="CL33" s="48"/>
      <c r="CM33" s="48"/>
      <c r="CN33" s="48"/>
      <c r="CO33" s="48"/>
      <c r="CP33" s="48"/>
      <c r="CQ33" s="48"/>
      <c r="CR33" s="48"/>
      <c r="CS33" s="48"/>
      <c r="CT33" s="48"/>
      <c r="CU33" s="48"/>
      <c r="CV33" s="48"/>
      <c r="CW33" s="48"/>
      <c r="CX33" s="48"/>
      <c r="CY33" s="48"/>
      <c r="CZ33" s="48"/>
      <c r="DA33" s="48"/>
      <c r="DB33" s="48"/>
      <c r="DC33" s="48"/>
      <c r="DD33" s="48"/>
      <c r="DE33" s="48"/>
      <c r="DF33" s="48"/>
      <c r="DG33" s="48"/>
      <c r="DH33" s="48"/>
      <c r="DI33" s="48"/>
      <c r="DJ33" s="48"/>
      <c r="DK33" s="48"/>
      <c r="DL33" s="48"/>
      <c r="DM33" s="48"/>
      <c r="DN33" s="48"/>
      <c r="DO33" s="48"/>
      <c r="DP33" s="48"/>
      <c r="DQ33" s="48"/>
      <c r="DR33" s="48"/>
      <c r="DS33" s="48"/>
      <c r="DT33" s="48"/>
      <c r="DU33" s="48"/>
      <c r="DV33" s="48"/>
      <c r="DW33" s="48"/>
      <c r="DX33" s="48"/>
      <c r="DY33" s="48"/>
      <c r="DZ33" s="48"/>
      <c r="EA33" s="48"/>
      <c r="EB33" s="48"/>
      <c r="EC33" s="48"/>
      <c r="ED33" s="48"/>
      <c r="EE33" s="48"/>
      <c r="EF33" s="48"/>
      <c r="EG33" s="48"/>
      <c r="EH33" s="48"/>
      <c r="EI33" s="48"/>
      <c r="EJ33" s="48"/>
      <c r="EK33" s="48"/>
      <c r="EL33" s="48"/>
      <c r="EM33" s="48"/>
      <c r="EN33" s="48"/>
      <c r="EO33" s="48"/>
      <c r="EP33" s="48"/>
      <c r="EQ33" s="48"/>
      <c r="ER33" s="48"/>
      <c r="ES33" s="48"/>
      <c r="ET33" s="48"/>
      <c r="EU33" s="48"/>
      <c r="EV33" s="48"/>
      <c r="EW33" s="48"/>
      <c r="EX33" s="48"/>
      <c r="EY33" s="48"/>
      <c r="EZ33" s="48"/>
      <c r="FA33" s="48"/>
      <c r="FB33" s="48"/>
      <c r="FC33" s="48"/>
      <c r="FD33" s="48"/>
      <c r="FE33" s="48"/>
      <c r="FF33" s="48"/>
      <c r="FG33" s="48"/>
      <c r="FH33" s="48"/>
      <c r="FI33" s="48"/>
      <c r="FJ33" s="48"/>
      <c r="FK33" s="48"/>
      <c r="FL33" s="48"/>
      <c r="FM33" s="48"/>
      <c r="FN33" s="48"/>
      <c r="FO33" s="48"/>
      <c r="FP33" s="48"/>
      <c r="FQ33" s="48"/>
      <c r="FR33" s="48"/>
      <c r="FS33" s="48"/>
      <c r="FT33" s="48"/>
      <c r="FU33" s="48"/>
      <c r="FV33" s="48"/>
      <c r="FW33" s="48"/>
      <c r="FX33" s="48"/>
      <c r="FY33" s="48"/>
      <c r="FZ33" s="48"/>
      <c r="GA33" s="48"/>
      <c r="GB33" s="48"/>
      <c r="GC33" s="48"/>
      <c r="GD33" s="48"/>
      <c r="GE33" s="48"/>
      <c r="GF33" s="48"/>
      <c r="GG33" s="48"/>
      <c r="GH33" s="48"/>
      <c r="GI33" s="48"/>
      <c r="GJ33" s="48"/>
      <c r="GK33" s="48"/>
      <c r="GL33" s="48"/>
      <c r="GM33" s="48"/>
      <c r="GN33" s="48"/>
      <c r="GO33" s="48"/>
      <c r="GP33" s="48"/>
      <c r="GQ33" s="48"/>
      <c r="GR33" s="48"/>
      <c r="GS33" s="48"/>
      <c r="GT33" s="48"/>
      <c r="GU33" s="48"/>
      <c r="GV33" s="48"/>
      <c r="GW33" s="48"/>
      <c r="GX33" s="48"/>
      <c r="GY33" s="48"/>
      <c r="GZ33" s="48"/>
      <c r="HA33" s="48"/>
      <c r="HB33" s="48"/>
      <c r="HC33" s="48"/>
      <c r="HD33" s="48"/>
      <c r="HE33" s="48"/>
      <c r="HF33" s="48"/>
      <c r="HG33" s="48"/>
      <c r="HH33" s="48"/>
      <c r="HI33" s="48"/>
      <c r="HJ33" s="48"/>
      <c r="HK33" s="48"/>
      <c r="HL33" s="48"/>
      <c r="HM33" s="48"/>
      <c r="HN33" s="48"/>
      <c r="HO33" s="48"/>
      <c r="HP33" s="48"/>
      <c r="HQ33" s="48"/>
      <c r="HR33" s="48"/>
      <c r="HS33" s="48"/>
      <c r="HT33" s="48"/>
      <c r="HU33" s="48"/>
      <c r="HV33" s="48"/>
      <c r="HW33" s="48"/>
      <c r="HX33" s="48"/>
      <c r="HY33" s="48"/>
      <c r="HZ33" s="48"/>
      <c r="IA33" s="48"/>
      <c r="IB33" s="48"/>
      <c r="IC33" s="48"/>
      <c r="ID33" s="48"/>
      <c r="IE33" s="48"/>
      <c r="IF33" s="48"/>
      <c r="IG33" s="48"/>
      <c r="IH33" s="48"/>
      <c r="II33" s="48"/>
      <c r="IJ33" s="48"/>
      <c r="IK33" s="48"/>
      <c r="IL33" s="48"/>
      <c r="IM33" s="48"/>
      <c r="IN33" s="48"/>
      <c r="IO33" s="48"/>
      <c r="IP33" s="48"/>
      <c r="IQ33" s="48"/>
      <c r="IR33" s="48"/>
      <c r="IS33" s="48"/>
      <c r="IT33" s="48"/>
      <c r="IU33" s="48"/>
      <c r="IV33" s="48"/>
    </row>
    <row r="34" spans="1:256" ht="14.15" customHeight="1">
      <c r="A34" s="113" t="s">
        <v>1997</v>
      </c>
      <c r="B34" s="166"/>
      <c r="C34" s="166"/>
      <c r="D34" s="164"/>
      <c r="E34" s="166"/>
      <c r="F34" s="166"/>
      <c r="G34" s="166"/>
      <c r="H34" s="166"/>
      <c r="I34" s="166"/>
      <c r="J34" s="176"/>
      <c r="K34" s="159"/>
      <c r="L34" s="49"/>
      <c r="M34" s="48"/>
      <c r="N34" s="48"/>
      <c r="O34" s="48"/>
      <c r="P34" s="48"/>
      <c r="Q34" s="48"/>
      <c r="R34" s="48"/>
      <c r="S34" s="48"/>
      <c r="T34" s="48"/>
      <c r="U34" s="48"/>
      <c r="V34" s="48"/>
      <c r="W34" s="48"/>
      <c r="X34" s="48"/>
      <c r="Y34" s="48"/>
      <c r="Z34" s="48"/>
      <c r="AA34" s="48"/>
      <c r="AB34" s="48"/>
      <c r="AC34" s="48"/>
      <c r="AD34" s="48"/>
      <c r="AE34" s="48"/>
      <c r="AF34" s="48"/>
      <c r="AG34" s="48"/>
      <c r="AH34" s="48"/>
      <c r="AI34" s="48"/>
      <c r="AJ34" s="48"/>
      <c r="AK34" s="48"/>
      <c r="AL34" s="48"/>
      <c r="AM34" s="48"/>
      <c r="AN34" s="48"/>
      <c r="AO34" s="48"/>
      <c r="AP34" s="48"/>
      <c r="AQ34" s="48"/>
      <c r="AR34" s="48"/>
      <c r="AS34" s="48"/>
      <c r="AT34" s="48"/>
      <c r="AU34" s="48"/>
      <c r="AV34" s="48"/>
      <c r="AW34" s="48"/>
      <c r="AX34" s="48"/>
      <c r="AY34" s="48"/>
      <c r="AZ34" s="48"/>
      <c r="BA34" s="48"/>
      <c r="BB34" s="48"/>
      <c r="BC34" s="48"/>
      <c r="BD34" s="48"/>
      <c r="BE34" s="48"/>
      <c r="BF34" s="48"/>
      <c r="BG34" s="48"/>
      <c r="BH34" s="48"/>
      <c r="BI34" s="48"/>
      <c r="BJ34" s="48"/>
      <c r="BK34" s="48"/>
      <c r="BL34" s="48"/>
      <c r="BM34" s="48"/>
      <c r="BN34" s="48"/>
      <c r="BO34" s="48"/>
      <c r="BP34" s="48"/>
      <c r="BQ34" s="48"/>
      <c r="BR34" s="48"/>
      <c r="BS34" s="48"/>
      <c r="BT34" s="48"/>
      <c r="BU34" s="48"/>
      <c r="BV34" s="48"/>
      <c r="BW34" s="48"/>
      <c r="BX34" s="48"/>
      <c r="BY34" s="48"/>
      <c r="BZ34" s="48"/>
      <c r="CA34" s="48"/>
      <c r="CB34" s="48"/>
      <c r="CC34" s="48"/>
      <c r="CD34" s="48"/>
      <c r="CE34" s="48"/>
      <c r="CF34" s="48"/>
      <c r="CG34" s="48"/>
      <c r="CH34" s="48"/>
      <c r="CI34" s="48"/>
      <c r="CJ34" s="48"/>
      <c r="CK34" s="48"/>
      <c r="CL34" s="48"/>
      <c r="CM34" s="48"/>
      <c r="CN34" s="48"/>
      <c r="CO34" s="48"/>
      <c r="CP34" s="48"/>
      <c r="CQ34" s="48"/>
      <c r="CR34" s="48"/>
      <c r="CS34" s="48"/>
      <c r="CT34" s="48"/>
      <c r="CU34" s="48"/>
      <c r="CV34" s="48"/>
      <c r="CW34" s="48"/>
      <c r="CX34" s="48"/>
      <c r="CY34" s="48"/>
      <c r="CZ34" s="48"/>
      <c r="DA34" s="48"/>
      <c r="DB34" s="48"/>
      <c r="DC34" s="48"/>
      <c r="DD34" s="48"/>
      <c r="DE34" s="48"/>
      <c r="DF34" s="48"/>
      <c r="DG34" s="48"/>
      <c r="DH34" s="48"/>
      <c r="DI34" s="48"/>
      <c r="DJ34" s="48"/>
      <c r="DK34" s="48"/>
      <c r="DL34" s="48"/>
      <c r="DM34" s="48"/>
      <c r="DN34" s="48"/>
      <c r="DO34" s="48"/>
      <c r="DP34" s="48"/>
      <c r="DQ34" s="48"/>
      <c r="DR34" s="48"/>
      <c r="DS34" s="48"/>
      <c r="DT34" s="48"/>
      <c r="DU34" s="48"/>
      <c r="DV34" s="48"/>
      <c r="DW34" s="48"/>
      <c r="DX34" s="48"/>
      <c r="DY34" s="48"/>
      <c r="DZ34" s="48"/>
      <c r="EA34" s="48"/>
      <c r="EB34" s="48"/>
      <c r="EC34" s="48"/>
      <c r="ED34" s="48"/>
      <c r="EE34" s="48"/>
      <c r="EF34" s="48"/>
      <c r="EG34" s="48"/>
      <c r="EH34" s="48"/>
      <c r="EI34" s="48"/>
      <c r="EJ34" s="48"/>
      <c r="EK34" s="48"/>
      <c r="EL34" s="48"/>
      <c r="EM34" s="48"/>
      <c r="EN34" s="48"/>
      <c r="EO34" s="48"/>
      <c r="EP34" s="48"/>
      <c r="EQ34" s="48"/>
      <c r="ER34" s="48"/>
      <c r="ES34" s="48"/>
      <c r="ET34" s="48"/>
      <c r="EU34" s="48"/>
      <c r="EV34" s="48"/>
      <c r="EW34" s="48"/>
      <c r="EX34" s="48"/>
      <c r="EY34" s="48"/>
      <c r="EZ34" s="48"/>
      <c r="FA34" s="48"/>
      <c r="FB34" s="48"/>
      <c r="FC34" s="48"/>
      <c r="FD34" s="48"/>
      <c r="FE34" s="48"/>
      <c r="FF34" s="48"/>
      <c r="FG34" s="48"/>
      <c r="FH34" s="48"/>
      <c r="FI34" s="48"/>
      <c r="FJ34" s="48"/>
      <c r="FK34" s="48"/>
      <c r="FL34" s="48"/>
      <c r="FM34" s="48"/>
      <c r="FN34" s="48"/>
      <c r="FO34" s="48"/>
      <c r="FP34" s="48"/>
      <c r="FQ34" s="48"/>
      <c r="FR34" s="48"/>
      <c r="FS34" s="48"/>
      <c r="FT34" s="48"/>
      <c r="FU34" s="48"/>
      <c r="FV34" s="48"/>
      <c r="FW34" s="48"/>
      <c r="FX34" s="48"/>
      <c r="FY34" s="48"/>
      <c r="FZ34" s="48"/>
      <c r="GA34" s="48"/>
      <c r="GB34" s="48"/>
      <c r="GC34" s="48"/>
      <c r="GD34" s="48"/>
      <c r="GE34" s="48"/>
      <c r="GF34" s="48"/>
      <c r="GG34" s="48"/>
      <c r="GH34" s="48"/>
      <c r="GI34" s="48"/>
      <c r="GJ34" s="48"/>
      <c r="GK34" s="48"/>
      <c r="GL34" s="48"/>
      <c r="GM34" s="48"/>
      <c r="GN34" s="48"/>
      <c r="GO34" s="48"/>
      <c r="GP34" s="48"/>
      <c r="GQ34" s="48"/>
      <c r="GR34" s="48"/>
      <c r="GS34" s="48"/>
      <c r="GT34" s="48"/>
      <c r="GU34" s="48"/>
      <c r="GV34" s="48"/>
      <c r="GW34" s="48"/>
      <c r="GX34" s="48"/>
      <c r="GY34" s="48"/>
      <c r="GZ34" s="48"/>
      <c r="HA34" s="48"/>
      <c r="HB34" s="48"/>
      <c r="HC34" s="48"/>
      <c r="HD34" s="48"/>
      <c r="HE34" s="48"/>
      <c r="HF34" s="48"/>
      <c r="HG34" s="48"/>
      <c r="HH34" s="48"/>
      <c r="HI34" s="48"/>
      <c r="HJ34" s="48"/>
      <c r="HK34" s="48"/>
      <c r="HL34" s="48"/>
      <c r="HM34" s="48"/>
      <c r="HN34" s="48"/>
      <c r="HO34" s="48"/>
      <c r="HP34" s="48"/>
      <c r="HQ34" s="48"/>
      <c r="HR34" s="48"/>
      <c r="HS34" s="48"/>
      <c r="HT34" s="48"/>
      <c r="HU34" s="48"/>
      <c r="HV34" s="48"/>
      <c r="HW34" s="48"/>
      <c r="HX34" s="48"/>
      <c r="HY34" s="48"/>
      <c r="HZ34" s="48"/>
      <c r="IA34" s="48"/>
      <c r="IB34" s="48"/>
      <c r="IC34" s="48"/>
      <c r="ID34" s="48"/>
      <c r="IE34" s="48"/>
      <c r="IF34" s="48"/>
      <c r="IG34" s="48"/>
      <c r="IH34" s="48"/>
      <c r="II34" s="48"/>
      <c r="IJ34" s="48"/>
      <c r="IK34" s="48"/>
      <c r="IL34" s="48"/>
      <c r="IM34" s="48"/>
      <c r="IN34" s="48"/>
      <c r="IO34" s="48"/>
      <c r="IP34" s="48"/>
      <c r="IQ34" s="48"/>
      <c r="IR34" s="48"/>
      <c r="IS34" s="48"/>
      <c r="IT34" s="48"/>
      <c r="IU34" s="48"/>
      <c r="IV34" s="48"/>
    </row>
    <row r="35" spans="1:256" ht="14.15" customHeight="1">
      <c r="A35" s="113" t="s">
        <v>1998</v>
      </c>
      <c r="B35" s="166"/>
      <c r="C35" s="166"/>
      <c r="D35" s="167"/>
      <c r="E35" s="166"/>
      <c r="F35" s="166"/>
      <c r="G35" s="166"/>
      <c r="H35" s="166"/>
      <c r="I35" s="166"/>
      <c r="J35" s="176"/>
      <c r="K35" s="159"/>
      <c r="L35" s="49"/>
      <c r="M35" s="48"/>
      <c r="N35" s="48"/>
      <c r="O35" s="48"/>
      <c r="P35" s="48"/>
      <c r="Q35" s="48"/>
      <c r="R35" s="48"/>
      <c r="S35" s="48"/>
      <c r="T35" s="48"/>
      <c r="U35" s="48"/>
      <c r="V35" s="48"/>
      <c r="W35" s="48"/>
      <c r="X35" s="48"/>
      <c r="Y35" s="48"/>
      <c r="Z35" s="48"/>
      <c r="AA35" s="48"/>
      <c r="AB35" s="48"/>
      <c r="AC35" s="48"/>
      <c r="AD35" s="48"/>
      <c r="AE35" s="48"/>
      <c r="AF35" s="48"/>
      <c r="AG35" s="48"/>
      <c r="AH35" s="48"/>
      <c r="AI35" s="48"/>
      <c r="AJ35" s="48"/>
      <c r="AK35" s="48"/>
      <c r="AL35" s="48"/>
      <c r="AM35" s="48"/>
      <c r="AN35" s="48"/>
      <c r="AO35" s="48"/>
      <c r="AP35" s="48"/>
      <c r="AQ35" s="48"/>
      <c r="AR35" s="48"/>
      <c r="AS35" s="48"/>
      <c r="AT35" s="48"/>
      <c r="AU35" s="48"/>
      <c r="AV35" s="48"/>
      <c r="AW35" s="48"/>
      <c r="AX35" s="48"/>
      <c r="AY35" s="48"/>
      <c r="AZ35" s="48"/>
      <c r="BA35" s="48"/>
      <c r="BB35" s="48"/>
      <c r="BC35" s="48"/>
      <c r="BD35" s="48"/>
      <c r="BE35" s="48"/>
      <c r="BF35" s="48"/>
      <c r="BG35" s="48"/>
      <c r="BH35" s="48"/>
      <c r="BI35" s="48"/>
      <c r="BJ35" s="48"/>
      <c r="BK35" s="48"/>
      <c r="BL35" s="48"/>
      <c r="BM35" s="48"/>
      <c r="BN35" s="48"/>
      <c r="BO35" s="48"/>
      <c r="BP35" s="48"/>
      <c r="BQ35" s="48"/>
      <c r="BR35" s="48"/>
      <c r="BS35" s="48"/>
      <c r="BT35" s="48"/>
      <c r="BU35" s="48"/>
      <c r="BV35" s="48"/>
      <c r="BW35" s="48"/>
      <c r="BX35" s="48"/>
      <c r="BY35" s="48"/>
      <c r="BZ35" s="48"/>
      <c r="CA35" s="48"/>
      <c r="CB35" s="48"/>
      <c r="CC35" s="48"/>
      <c r="CD35" s="48"/>
      <c r="CE35" s="48"/>
      <c r="CF35" s="48"/>
      <c r="CG35" s="48"/>
      <c r="CH35" s="48"/>
      <c r="CI35" s="48"/>
      <c r="CJ35" s="48"/>
      <c r="CK35" s="48"/>
      <c r="CL35" s="48"/>
      <c r="CM35" s="48"/>
      <c r="CN35" s="48"/>
      <c r="CO35" s="48"/>
      <c r="CP35" s="48"/>
      <c r="CQ35" s="48"/>
      <c r="CR35" s="48"/>
      <c r="CS35" s="48"/>
      <c r="CT35" s="48"/>
      <c r="CU35" s="48"/>
      <c r="CV35" s="48"/>
      <c r="CW35" s="48"/>
      <c r="CX35" s="48"/>
      <c r="CY35" s="48"/>
      <c r="CZ35" s="48"/>
      <c r="DA35" s="48"/>
      <c r="DB35" s="48"/>
      <c r="DC35" s="48"/>
      <c r="DD35" s="48"/>
      <c r="DE35" s="48"/>
      <c r="DF35" s="48"/>
      <c r="DG35" s="48"/>
      <c r="DH35" s="48"/>
      <c r="DI35" s="48"/>
      <c r="DJ35" s="48"/>
      <c r="DK35" s="48"/>
      <c r="DL35" s="48"/>
      <c r="DM35" s="48"/>
      <c r="DN35" s="48"/>
      <c r="DO35" s="48"/>
      <c r="DP35" s="48"/>
      <c r="DQ35" s="48"/>
      <c r="DR35" s="48"/>
      <c r="DS35" s="48"/>
      <c r="DT35" s="48"/>
      <c r="DU35" s="48"/>
      <c r="DV35" s="48"/>
      <c r="DW35" s="48"/>
      <c r="DX35" s="48"/>
      <c r="DY35" s="48"/>
      <c r="DZ35" s="48"/>
      <c r="EA35" s="48"/>
      <c r="EB35" s="48"/>
      <c r="EC35" s="48"/>
      <c r="ED35" s="48"/>
      <c r="EE35" s="48"/>
      <c r="EF35" s="48"/>
      <c r="EG35" s="48"/>
      <c r="EH35" s="48"/>
      <c r="EI35" s="48"/>
      <c r="EJ35" s="48"/>
      <c r="EK35" s="48"/>
      <c r="EL35" s="48"/>
      <c r="EM35" s="48"/>
      <c r="EN35" s="48"/>
      <c r="EO35" s="48"/>
      <c r="EP35" s="48"/>
      <c r="EQ35" s="48"/>
      <c r="ER35" s="48"/>
      <c r="ES35" s="48"/>
      <c r="ET35" s="48"/>
      <c r="EU35" s="48"/>
      <c r="EV35" s="48"/>
      <c r="EW35" s="48"/>
      <c r="EX35" s="48"/>
      <c r="EY35" s="48"/>
      <c r="EZ35" s="48"/>
      <c r="FA35" s="48"/>
      <c r="FB35" s="48"/>
      <c r="FC35" s="48"/>
      <c r="FD35" s="48"/>
      <c r="FE35" s="48"/>
      <c r="FF35" s="48"/>
      <c r="FG35" s="48"/>
      <c r="FH35" s="48"/>
      <c r="FI35" s="48"/>
      <c r="FJ35" s="48"/>
      <c r="FK35" s="48"/>
      <c r="FL35" s="48"/>
      <c r="FM35" s="48"/>
      <c r="FN35" s="48"/>
      <c r="FO35" s="48"/>
      <c r="FP35" s="48"/>
      <c r="FQ35" s="48"/>
      <c r="FR35" s="48"/>
      <c r="FS35" s="48"/>
      <c r="FT35" s="48"/>
      <c r="FU35" s="48"/>
      <c r="FV35" s="48"/>
      <c r="FW35" s="48"/>
      <c r="FX35" s="48"/>
      <c r="FY35" s="48"/>
      <c r="FZ35" s="48"/>
      <c r="GA35" s="48"/>
      <c r="GB35" s="48"/>
      <c r="GC35" s="48"/>
      <c r="GD35" s="48"/>
      <c r="GE35" s="48"/>
      <c r="GF35" s="48"/>
      <c r="GG35" s="48"/>
      <c r="GH35" s="48"/>
      <c r="GI35" s="48"/>
      <c r="GJ35" s="48"/>
      <c r="GK35" s="48"/>
      <c r="GL35" s="48"/>
      <c r="GM35" s="48"/>
      <c r="GN35" s="48"/>
      <c r="GO35" s="48"/>
      <c r="GP35" s="48"/>
      <c r="GQ35" s="48"/>
      <c r="GR35" s="48"/>
      <c r="GS35" s="48"/>
      <c r="GT35" s="48"/>
      <c r="GU35" s="48"/>
      <c r="GV35" s="48"/>
      <c r="GW35" s="48"/>
      <c r="GX35" s="48"/>
      <c r="GY35" s="48"/>
      <c r="GZ35" s="48"/>
      <c r="HA35" s="48"/>
      <c r="HB35" s="48"/>
      <c r="HC35" s="48"/>
      <c r="HD35" s="48"/>
      <c r="HE35" s="48"/>
      <c r="HF35" s="48"/>
      <c r="HG35" s="48"/>
      <c r="HH35" s="48"/>
      <c r="HI35" s="48"/>
      <c r="HJ35" s="48"/>
      <c r="HK35" s="48"/>
      <c r="HL35" s="48"/>
      <c r="HM35" s="48"/>
      <c r="HN35" s="48"/>
      <c r="HO35" s="48"/>
      <c r="HP35" s="48"/>
      <c r="HQ35" s="48"/>
      <c r="HR35" s="48"/>
      <c r="HS35" s="48"/>
      <c r="HT35" s="48"/>
      <c r="HU35" s="48"/>
      <c r="HV35" s="48"/>
      <c r="HW35" s="48"/>
      <c r="HX35" s="48"/>
      <c r="HY35" s="48"/>
      <c r="HZ35" s="48"/>
      <c r="IA35" s="48"/>
      <c r="IB35" s="48"/>
      <c r="IC35" s="48"/>
      <c r="ID35" s="48"/>
      <c r="IE35" s="48"/>
      <c r="IF35" s="48"/>
      <c r="IG35" s="48"/>
      <c r="IH35" s="48"/>
      <c r="II35" s="48"/>
      <c r="IJ35" s="48"/>
      <c r="IK35" s="48"/>
      <c r="IL35" s="48"/>
      <c r="IM35" s="48"/>
      <c r="IN35" s="48"/>
      <c r="IO35" s="48"/>
      <c r="IP35" s="48"/>
      <c r="IQ35" s="48"/>
      <c r="IR35" s="48"/>
      <c r="IS35" s="48"/>
      <c r="IT35" s="48"/>
      <c r="IU35" s="48"/>
      <c r="IV35" s="48"/>
    </row>
    <row r="36" spans="1:256" ht="14.15" customHeight="1">
      <c r="A36" s="168"/>
      <c r="B36" s="169"/>
      <c r="C36" s="170"/>
      <c r="D36" s="170"/>
      <c r="E36" s="170"/>
      <c r="F36" s="170"/>
      <c r="G36" s="170"/>
      <c r="H36" s="170"/>
      <c r="I36" s="170"/>
      <c r="J36" s="177"/>
    </row>
    <row r="37" spans="1:256" ht="9" customHeight="1">
      <c r="A37" s="171"/>
      <c r="B37" s="171"/>
      <c r="C37" s="171"/>
      <c r="D37" s="171"/>
      <c r="E37" s="171"/>
      <c r="F37" s="171"/>
      <c r="G37" s="171"/>
      <c r="H37" s="171"/>
      <c r="I37" s="171"/>
      <c r="J37" s="171"/>
      <c r="K37" s="171"/>
      <c r="L37" s="171"/>
      <c r="M37" s="171"/>
    </row>
    <row r="38" spans="1:256" ht="14.15" customHeight="1">
      <c r="A38" s="171"/>
      <c r="B38" s="2748" t="s">
        <v>1999</v>
      </c>
      <c r="C38" s="2748"/>
      <c r="D38" s="171"/>
      <c r="E38" s="171"/>
      <c r="F38" s="171"/>
      <c r="G38" s="171"/>
      <c r="H38" s="2748" t="s">
        <v>1887</v>
      </c>
      <c r="I38" s="2748"/>
      <c r="J38" s="2748"/>
      <c r="K38" s="171"/>
      <c r="L38" s="171"/>
      <c r="M38" s="171"/>
    </row>
    <row r="39" spans="1:256" ht="14.15" customHeight="1"/>
    <row r="40" spans="1:256" ht="6.75" customHeight="1">
      <c r="B40" s="172"/>
      <c r="C40" s="172"/>
      <c r="D40" s="172"/>
      <c r="E40" s="172"/>
      <c r="F40" s="172"/>
      <c r="G40" s="172"/>
      <c r="H40" s="172"/>
      <c r="I40" s="172"/>
      <c r="J40" s="172"/>
      <c r="K40" s="172"/>
      <c r="L40" s="172"/>
      <c r="M40" s="173"/>
    </row>
    <row r="41" spans="1:256" ht="14.15" customHeight="1">
      <c r="B41" s="2749" t="s">
        <v>2000</v>
      </c>
      <c r="C41" s="2749"/>
      <c r="H41" s="158" t="s">
        <v>2001</v>
      </c>
      <c r="J41" s="173"/>
      <c r="K41" s="173"/>
      <c r="M41" s="173"/>
    </row>
    <row r="42" spans="1:256" ht="14.15" customHeight="1">
      <c r="A42" s="159"/>
      <c r="B42" s="159"/>
      <c r="C42" s="159"/>
      <c r="D42" s="159"/>
      <c r="E42" s="159"/>
      <c r="F42" s="159"/>
      <c r="G42" s="159"/>
      <c r="H42" s="159"/>
      <c r="I42" s="159"/>
      <c r="J42" s="159"/>
      <c r="K42" s="173"/>
      <c r="M42" s="173"/>
    </row>
    <row r="43" spans="1:256" ht="14.15" customHeight="1">
      <c r="A43" s="159"/>
      <c r="B43" s="159"/>
      <c r="C43" s="159"/>
      <c r="D43" s="159"/>
      <c r="E43" s="159"/>
      <c r="F43" s="159"/>
      <c r="G43" s="159"/>
      <c r="H43" s="161" t="s">
        <v>1978</v>
      </c>
      <c r="I43" s="159"/>
      <c r="J43" s="159"/>
    </row>
    <row r="44" spans="1:256" ht="14.15" customHeight="1">
      <c r="A44" s="159"/>
      <c r="B44" s="159"/>
      <c r="C44" s="159"/>
      <c r="D44" s="159"/>
      <c r="E44" s="159"/>
      <c r="F44" s="159"/>
      <c r="G44" s="159"/>
      <c r="H44" s="161" t="s">
        <v>1979</v>
      </c>
      <c r="I44" s="159"/>
      <c r="J44" s="159"/>
      <c r="K44" s="171"/>
      <c r="L44" s="171"/>
      <c r="M44" s="171"/>
    </row>
    <row r="45" spans="1:256" ht="14.15" customHeight="1">
      <c r="A45" s="159"/>
      <c r="B45" s="159"/>
      <c r="C45" s="159"/>
      <c r="D45" s="159"/>
      <c r="E45" s="159"/>
      <c r="F45" s="159"/>
      <c r="G45" s="159"/>
      <c r="H45" s="161" t="s">
        <v>1980</v>
      </c>
      <c r="I45" s="159"/>
      <c r="J45" s="159"/>
    </row>
    <row r="46" spans="1:256" ht="14.15" customHeight="1">
      <c r="A46" s="2666" t="s">
        <v>416</v>
      </c>
      <c r="B46" s="2751" t="s">
        <v>1981</v>
      </c>
      <c r="C46" s="2751" t="s">
        <v>468</v>
      </c>
      <c r="D46" s="2751" t="s">
        <v>310</v>
      </c>
      <c r="E46" s="2751" t="s">
        <v>1982</v>
      </c>
      <c r="F46" s="2751" t="s">
        <v>1983</v>
      </c>
      <c r="G46" s="2751" t="s">
        <v>1984</v>
      </c>
      <c r="H46" s="2669" t="s">
        <v>1985</v>
      </c>
      <c r="I46" s="2669" t="s">
        <v>1187</v>
      </c>
      <c r="J46" s="2672" t="s">
        <v>1986</v>
      </c>
    </row>
    <row r="47" spans="1:256" ht="14.15" customHeight="1">
      <c r="A47" s="2668"/>
      <c r="B47" s="2752"/>
      <c r="C47" s="2752"/>
      <c r="D47" s="2752"/>
      <c r="E47" s="2752"/>
      <c r="F47" s="2752"/>
      <c r="G47" s="2752"/>
      <c r="H47" s="2671"/>
      <c r="I47" s="2671"/>
      <c r="J47" s="2674"/>
    </row>
    <row r="48" spans="1:256" ht="14.15" customHeight="1">
      <c r="A48" s="113" t="s">
        <v>815</v>
      </c>
      <c r="B48" s="165"/>
      <c r="C48" s="165"/>
      <c r="D48" s="165"/>
      <c r="E48" s="165"/>
      <c r="F48" s="165"/>
      <c r="G48" s="165"/>
      <c r="H48" s="165"/>
      <c r="I48" s="165"/>
      <c r="J48" s="174"/>
    </row>
    <row r="49" spans="1:13" ht="14.15" customHeight="1">
      <c r="A49" s="113" t="s">
        <v>381</v>
      </c>
      <c r="B49" s="164"/>
      <c r="C49" s="164"/>
      <c r="D49" s="164"/>
      <c r="E49" s="164"/>
      <c r="F49" s="164"/>
      <c r="G49" s="164"/>
      <c r="H49" s="164"/>
      <c r="I49" s="164"/>
      <c r="J49" s="175"/>
    </row>
    <row r="50" spans="1:13" ht="14.15" customHeight="1">
      <c r="A50" s="113" t="s">
        <v>153</v>
      </c>
      <c r="B50" s="164"/>
      <c r="C50" s="164"/>
      <c r="D50" s="164"/>
      <c r="E50" s="164"/>
      <c r="F50" s="164"/>
      <c r="G50" s="164"/>
      <c r="H50" s="164"/>
      <c r="I50" s="164"/>
      <c r="J50" s="175"/>
    </row>
    <row r="51" spans="1:13" ht="14.15" customHeight="1">
      <c r="A51" s="113" t="s">
        <v>1987</v>
      </c>
      <c r="B51" s="164"/>
      <c r="C51" s="164"/>
      <c r="D51" s="164"/>
      <c r="E51" s="164"/>
      <c r="F51" s="164"/>
      <c r="G51" s="164"/>
      <c r="H51" s="164"/>
      <c r="I51" s="164"/>
      <c r="J51" s="175"/>
    </row>
    <row r="52" spans="1:13" ht="14.15" customHeight="1">
      <c r="A52" s="113" t="s">
        <v>778</v>
      </c>
      <c r="B52" s="164"/>
      <c r="C52" s="164"/>
      <c r="D52" s="164"/>
      <c r="E52" s="164"/>
      <c r="F52" s="164"/>
      <c r="G52" s="164"/>
      <c r="H52" s="164"/>
      <c r="I52" s="164"/>
      <c r="J52" s="175"/>
    </row>
    <row r="53" spans="1:13" ht="14.15" customHeight="1">
      <c r="A53" s="113" t="s">
        <v>892</v>
      </c>
      <c r="B53" s="164"/>
      <c r="C53" s="164"/>
      <c r="D53" s="164"/>
      <c r="E53" s="164"/>
      <c r="F53" s="164"/>
      <c r="G53" s="164"/>
      <c r="H53" s="164"/>
      <c r="I53" s="164"/>
      <c r="J53" s="175"/>
    </row>
    <row r="54" spans="1:13" ht="14.15" customHeight="1">
      <c r="A54" s="113" t="s">
        <v>157</v>
      </c>
      <c r="B54" s="164"/>
      <c r="C54" s="164"/>
      <c r="D54" s="164"/>
      <c r="E54" s="164"/>
      <c r="F54" s="164"/>
      <c r="G54" s="164"/>
      <c r="H54" s="164"/>
      <c r="I54" s="164"/>
      <c r="J54" s="175"/>
    </row>
    <row r="55" spans="1:13" ht="14.15" customHeight="1">
      <c r="A55" s="113" t="s">
        <v>156</v>
      </c>
      <c r="B55" s="164"/>
      <c r="C55" s="164"/>
      <c r="D55" s="164"/>
      <c r="E55" s="164"/>
      <c r="F55" s="164"/>
      <c r="G55" s="164"/>
      <c r="H55" s="164"/>
      <c r="I55" s="164"/>
      <c r="J55" s="175"/>
    </row>
    <row r="56" spans="1:13" ht="14.15" customHeight="1">
      <c r="A56" s="113" t="s">
        <v>907</v>
      </c>
      <c r="B56" s="164"/>
      <c r="C56" s="164"/>
      <c r="D56" s="164"/>
      <c r="E56" s="164"/>
      <c r="F56" s="164"/>
      <c r="G56" s="164"/>
      <c r="H56" s="164"/>
      <c r="I56" s="164"/>
      <c r="J56" s="175"/>
    </row>
    <row r="57" spans="1:13" ht="14.15" customHeight="1">
      <c r="A57" s="113" t="s">
        <v>169</v>
      </c>
      <c r="B57" s="164"/>
      <c r="C57" s="164"/>
      <c r="D57" s="164"/>
      <c r="E57" s="164"/>
      <c r="F57" s="164"/>
      <c r="G57" s="164"/>
      <c r="H57" s="164"/>
      <c r="I57" s="164"/>
      <c r="J57" s="175"/>
      <c r="K57" s="171"/>
      <c r="L57" s="171"/>
      <c r="M57" s="171"/>
    </row>
    <row r="58" spans="1:13" ht="14.15" customHeight="1">
      <c r="A58" s="113" t="s">
        <v>168</v>
      </c>
      <c r="B58" s="164"/>
      <c r="C58" s="164"/>
      <c r="D58" s="164"/>
      <c r="E58" s="164"/>
      <c r="F58" s="164"/>
      <c r="G58" s="164"/>
      <c r="H58" s="164"/>
      <c r="I58" s="164"/>
      <c r="J58" s="175"/>
      <c r="K58" s="2750"/>
      <c r="L58" s="2750"/>
    </row>
    <row r="59" spans="1:13" ht="14.15" customHeight="1">
      <c r="A59" s="113" t="s">
        <v>166</v>
      </c>
      <c r="B59" s="164"/>
      <c r="C59" s="164"/>
      <c r="D59" s="164"/>
      <c r="E59" s="164"/>
      <c r="F59" s="164"/>
      <c r="G59" s="164"/>
      <c r="H59" s="164"/>
      <c r="I59" s="164"/>
      <c r="J59" s="175"/>
      <c r="K59" s="173"/>
      <c r="L59" s="173"/>
    </row>
    <row r="60" spans="1:13" ht="14.15" customHeight="1">
      <c r="A60" s="113" t="s">
        <v>2002</v>
      </c>
      <c r="B60" s="164"/>
      <c r="C60" s="164"/>
      <c r="D60" s="164"/>
      <c r="E60" s="164"/>
      <c r="F60" s="164"/>
      <c r="G60" s="164"/>
      <c r="H60" s="164"/>
      <c r="I60" s="164"/>
      <c r="J60" s="175"/>
      <c r="K60" s="173"/>
      <c r="L60" s="173"/>
    </row>
    <row r="61" spans="1:13" ht="14.15" customHeight="1">
      <c r="A61" s="113" t="s">
        <v>1991</v>
      </c>
      <c r="B61" s="166"/>
      <c r="C61" s="166"/>
      <c r="D61" s="166"/>
      <c r="E61" s="166"/>
      <c r="F61" s="166"/>
      <c r="G61" s="166"/>
      <c r="H61" s="166"/>
      <c r="I61" s="166"/>
      <c r="J61" s="176"/>
      <c r="K61" s="171"/>
      <c r="L61" s="171"/>
      <c r="M61" s="171"/>
    </row>
    <row r="62" spans="1:13" ht="14.15" customHeight="1">
      <c r="A62" s="113" t="s">
        <v>2003</v>
      </c>
      <c r="B62" s="166"/>
      <c r="C62" s="166"/>
      <c r="D62" s="166"/>
      <c r="E62" s="166"/>
      <c r="F62" s="166"/>
      <c r="G62" s="166"/>
      <c r="H62" s="166"/>
      <c r="I62" s="166"/>
      <c r="J62" s="176"/>
    </row>
    <row r="63" spans="1:13" ht="14.15" customHeight="1">
      <c r="A63" s="113" t="s">
        <v>1993</v>
      </c>
      <c r="B63" s="166"/>
      <c r="C63" s="166"/>
      <c r="D63" s="166"/>
      <c r="E63" s="166"/>
      <c r="F63" s="166"/>
      <c r="G63" s="166"/>
      <c r="H63" s="166"/>
      <c r="I63" s="166"/>
      <c r="J63" s="176"/>
      <c r="K63" s="2753"/>
      <c r="L63" s="2753"/>
    </row>
    <row r="64" spans="1:13" ht="14.15" customHeight="1">
      <c r="A64" s="113" t="s">
        <v>1994</v>
      </c>
      <c r="B64" s="166"/>
      <c r="C64" s="166"/>
      <c r="D64" s="166"/>
      <c r="E64" s="166"/>
      <c r="F64" s="166"/>
      <c r="G64" s="166"/>
      <c r="H64" s="166"/>
      <c r="I64" s="166"/>
      <c r="J64" s="176"/>
    </row>
    <row r="65" spans="1:10" ht="14.15" customHeight="1">
      <c r="A65" s="113" t="s">
        <v>1995</v>
      </c>
      <c r="B65" s="166"/>
      <c r="C65" s="166"/>
      <c r="D65" s="166"/>
      <c r="E65" s="166"/>
      <c r="F65" s="166"/>
      <c r="G65" s="166"/>
      <c r="H65" s="166"/>
      <c r="I65" s="166"/>
      <c r="J65" s="176"/>
    </row>
    <row r="66" spans="1:10" ht="14.15" customHeight="1">
      <c r="A66" s="113" t="s">
        <v>1111</v>
      </c>
      <c r="B66" s="166"/>
      <c r="C66" s="166"/>
      <c r="D66" s="166"/>
      <c r="E66" s="166"/>
      <c r="F66" s="166"/>
      <c r="G66" s="166"/>
      <c r="H66" s="166"/>
      <c r="I66" s="166"/>
      <c r="J66" s="176"/>
    </row>
    <row r="67" spans="1:10" ht="14.15" customHeight="1">
      <c r="A67" s="113" t="s">
        <v>2004</v>
      </c>
      <c r="B67" s="166"/>
      <c r="C67" s="166"/>
      <c r="D67" s="166"/>
      <c r="E67" s="166"/>
      <c r="F67" s="166"/>
      <c r="G67" s="166"/>
      <c r="H67" s="166"/>
      <c r="I67" s="166"/>
      <c r="J67" s="176"/>
    </row>
    <row r="68" spans="1:10" ht="14.15" customHeight="1">
      <c r="A68" s="113" t="s">
        <v>2005</v>
      </c>
      <c r="B68" s="166"/>
      <c r="C68" s="166"/>
      <c r="D68" s="166"/>
      <c r="E68" s="166"/>
      <c r="F68" s="166"/>
      <c r="G68" s="166"/>
      <c r="H68" s="166"/>
      <c r="I68" s="166"/>
      <c r="J68" s="176"/>
    </row>
    <row r="69" spans="1:10" ht="14.15" customHeight="1">
      <c r="A69" s="113" t="s">
        <v>170</v>
      </c>
      <c r="B69" s="166"/>
      <c r="C69" s="166"/>
      <c r="D69" s="166"/>
      <c r="E69" s="166"/>
      <c r="F69" s="166"/>
      <c r="G69" s="166"/>
      <c r="H69" s="166"/>
      <c r="I69" s="166"/>
      <c r="J69" s="176"/>
    </row>
    <row r="70" spans="1:10" ht="14.15" customHeight="1">
      <c r="A70" s="113" t="s">
        <v>1997</v>
      </c>
      <c r="B70" s="166"/>
      <c r="C70" s="166"/>
      <c r="D70" s="166"/>
      <c r="E70" s="166"/>
      <c r="F70" s="166"/>
      <c r="G70" s="166"/>
      <c r="H70" s="166"/>
      <c r="I70" s="166"/>
      <c r="J70" s="176"/>
    </row>
    <row r="71" spans="1:10" ht="14.15" customHeight="1">
      <c r="A71" s="113"/>
      <c r="B71" s="166"/>
      <c r="C71" s="166"/>
      <c r="D71" s="166"/>
      <c r="E71" s="166"/>
      <c r="F71" s="166"/>
      <c r="G71" s="166"/>
      <c r="H71" s="166"/>
      <c r="I71" s="166"/>
      <c r="J71" s="176"/>
    </row>
    <row r="72" spans="1:10">
      <c r="A72" s="178"/>
      <c r="B72" s="170"/>
      <c r="C72" s="170"/>
      <c r="D72" s="170"/>
      <c r="E72" s="170"/>
      <c r="F72" s="170"/>
      <c r="G72" s="170"/>
      <c r="H72" s="170"/>
      <c r="I72" s="170"/>
      <c r="J72" s="177"/>
    </row>
    <row r="73" spans="1:10">
      <c r="A73" s="171"/>
      <c r="B73" s="171"/>
      <c r="C73" s="171"/>
      <c r="D73" s="171"/>
      <c r="E73" s="171"/>
      <c r="F73" s="171"/>
      <c r="G73" s="171"/>
      <c r="H73" s="171"/>
      <c r="I73" s="171"/>
      <c r="J73" s="171"/>
    </row>
    <row r="74" spans="1:10">
      <c r="A74" s="171"/>
      <c r="B74" s="2748" t="s">
        <v>1999</v>
      </c>
      <c r="C74" s="2748"/>
      <c r="D74" s="171"/>
      <c r="E74" s="171"/>
      <c r="F74" s="171"/>
      <c r="G74" s="171"/>
      <c r="H74" s="2748" t="s">
        <v>1887</v>
      </c>
      <c r="I74" s="2748"/>
      <c r="J74" s="2748"/>
    </row>
    <row r="76" spans="1:10" ht="25">
      <c r="B76" s="172"/>
      <c r="C76" s="172"/>
      <c r="D76" s="172"/>
      <c r="E76" s="172"/>
      <c r="F76" s="172"/>
      <c r="G76" s="172"/>
      <c r="H76" s="172"/>
      <c r="I76" s="172"/>
      <c r="J76" s="172"/>
    </row>
    <row r="77" spans="1:10">
      <c r="B77" s="2749" t="s">
        <v>2006</v>
      </c>
      <c r="C77" s="2749"/>
      <c r="H77" s="2753" t="s">
        <v>2006</v>
      </c>
      <c r="I77" s="2753"/>
      <c r="J77" s="2753"/>
    </row>
  </sheetData>
  <mergeCells count="30">
    <mergeCell ref="I46:I47"/>
    <mergeCell ref="J8:J9"/>
    <mergeCell ref="J46:J47"/>
    <mergeCell ref="A8:A9"/>
    <mergeCell ref="A46:A47"/>
    <mergeCell ref="B8:B9"/>
    <mergeCell ref="B46:B47"/>
    <mergeCell ref="C8:C9"/>
    <mergeCell ref="C46:C47"/>
    <mergeCell ref="K63:L63"/>
    <mergeCell ref="B74:C74"/>
    <mergeCell ref="H74:J74"/>
    <mergeCell ref="B77:C77"/>
    <mergeCell ref="H77:J77"/>
    <mergeCell ref="B2:G2"/>
    <mergeCell ref="B38:C38"/>
    <mergeCell ref="H38:J38"/>
    <mergeCell ref="B41:C41"/>
    <mergeCell ref="K58:L58"/>
    <mergeCell ref="D8:D9"/>
    <mergeCell ref="D46:D47"/>
    <mergeCell ref="E8:E9"/>
    <mergeCell ref="E46:E47"/>
    <mergeCell ref="F8:F9"/>
    <mergeCell ref="F46:F47"/>
    <mergeCell ref="G8:G9"/>
    <mergeCell ref="G46:G47"/>
    <mergeCell ref="H8:H9"/>
    <mergeCell ref="H46:H47"/>
    <mergeCell ref="I8:I9"/>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92D050"/>
  </sheetPr>
  <dimension ref="A3:D71"/>
  <sheetViews>
    <sheetView workbookViewId="0">
      <selection activeCell="G72" sqref="A1:K115"/>
    </sheetView>
  </sheetViews>
  <sheetFormatPr defaultColWidth="9.26953125" defaultRowHeight="13"/>
  <cols>
    <col min="1" max="1" width="21.26953125" style="147" customWidth="1"/>
    <col min="2" max="2" width="1.81640625" style="147" customWidth="1"/>
    <col min="3" max="3" width="57.54296875" style="147" customWidth="1"/>
    <col min="4" max="4" width="14.453125" style="147" customWidth="1"/>
    <col min="5" max="16384" width="9.26953125" style="147"/>
  </cols>
  <sheetData>
    <row r="3" spans="1:4" ht="14.5">
      <c r="A3" s="2754" t="s">
        <v>2007</v>
      </c>
      <c r="B3" s="2754"/>
      <c r="C3" s="2754"/>
      <c r="D3" s="2754"/>
    </row>
    <row r="4" spans="1:4">
      <c r="A4" s="147" t="s">
        <v>2008</v>
      </c>
      <c r="B4" s="148" t="s">
        <v>359</v>
      </c>
    </row>
    <row r="5" spans="1:4">
      <c r="A5" s="147" t="s">
        <v>2009</v>
      </c>
      <c r="B5" s="148" t="s">
        <v>359</v>
      </c>
    </row>
    <row r="6" spans="1:4">
      <c r="A6" s="149"/>
      <c r="B6" s="150"/>
      <c r="C6" s="151"/>
      <c r="D6" s="149"/>
    </row>
    <row r="7" spans="1:4">
      <c r="A7" s="152" t="s">
        <v>2010</v>
      </c>
      <c r="B7" s="153" t="s">
        <v>359</v>
      </c>
      <c r="C7" s="154"/>
      <c r="D7" s="155"/>
    </row>
    <row r="8" spans="1:4">
      <c r="A8" s="156" t="s">
        <v>2011</v>
      </c>
      <c r="B8" s="153" t="s">
        <v>359</v>
      </c>
      <c r="C8" s="151"/>
      <c r="D8" s="149"/>
    </row>
    <row r="9" spans="1:4">
      <c r="A9" s="149" t="s">
        <v>2012</v>
      </c>
      <c r="B9" s="148" t="s">
        <v>359</v>
      </c>
      <c r="C9" s="151"/>
      <c r="D9" s="155"/>
    </row>
    <row r="10" spans="1:4">
      <c r="A10" s="156" t="s">
        <v>2013</v>
      </c>
      <c r="B10" s="153" t="s">
        <v>359</v>
      </c>
      <c r="C10" s="154"/>
      <c r="D10" s="149"/>
    </row>
    <row r="11" spans="1:4">
      <c r="A11" s="149"/>
      <c r="B11" s="157"/>
      <c r="C11" s="151"/>
      <c r="D11" s="149"/>
    </row>
    <row r="13" spans="1:4">
      <c r="A13" s="148" t="s">
        <v>2014</v>
      </c>
      <c r="B13" s="148"/>
      <c r="D13" s="148" t="s">
        <v>2015</v>
      </c>
    </row>
    <row r="16" spans="1:4" hidden="1"/>
    <row r="17" spans="1:4">
      <c r="A17" s="148" t="s">
        <v>2016</v>
      </c>
      <c r="B17" s="148"/>
      <c r="D17" s="148" t="s">
        <v>2017</v>
      </c>
    </row>
    <row r="18" spans="1:4">
      <c r="A18" s="148"/>
      <c r="B18" s="148"/>
      <c r="D18" s="148"/>
    </row>
    <row r="21" spans="1:4" ht="14.5">
      <c r="A21" s="2754" t="s">
        <v>2007</v>
      </c>
      <c r="B21" s="2754"/>
      <c r="C21" s="2754"/>
      <c r="D21" s="2754"/>
    </row>
    <row r="22" spans="1:4">
      <c r="A22" s="147" t="s">
        <v>2008</v>
      </c>
      <c r="B22" s="148" t="s">
        <v>359</v>
      </c>
    </row>
    <row r="23" spans="1:4">
      <c r="A23" s="147" t="s">
        <v>2009</v>
      </c>
      <c r="B23" s="148" t="s">
        <v>359</v>
      </c>
    </row>
    <row r="24" spans="1:4">
      <c r="A24" s="149"/>
      <c r="B24" s="150"/>
      <c r="C24" s="151"/>
      <c r="D24" s="149"/>
    </row>
    <row r="25" spans="1:4">
      <c r="A25" s="152" t="s">
        <v>2010</v>
      </c>
      <c r="B25" s="153" t="s">
        <v>359</v>
      </c>
      <c r="C25" s="154"/>
      <c r="D25" s="155"/>
    </row>
    <row r="26" spans="1:4">
      <c r="A26" s="156" t="s">
        <v>2011</v>
      </c>
      <c r="B26" s="153" t="s">
        <v>359</v>
      </c>
      <c r="C26" s="151"/>
      <c r="D26" s="149"/>
    </row>
    <row r="27" spans="1:4">
      <c r="A27" s="149" t="s">
        <v>2012</v>
      </c>
      <c r="B27" s="148" t="s">
        <v>359</v>
      </c>
      <c r="C27" s="151"/>
      <c r="D27" s="155"/>
    </row>
    <row r="28" spans="1:4">
      <c r="A28" s="156" t="s">
        <v>2013</v>
      </c>
      <c r="B28" s="153" t="s">
        <v>359</v>
      </c>
      <c r="C28" s="154"/>
      <c r="D28" s="149"/>
    </row>
    <row r="29" spans="1:4">
      <c r="A29" s="149"/>
      <c r="B29" s="157"/>
      <c r="C29" s="151"/>
      <c r="D29" s="149"/>
    </row>
    <row r="31" spans="1:4">
      <c r="A31" s="148" t="s">
        <v>2014</v>
      </c>
      <c r="B31" s="148"/>
      <c r="D31" s="148" t="s">
        <v>2015</v>
      </c>
    </row>
    <row r="35" spans="1:4">
      <c r="A35" s="148" t="s">
        <v>2016</v>
      </c>
      <c r="B35" s="148"/>
      <c r="D35" s="148" t="s">
        <v>2017</v>
      </c>
    </row>
    <row r="36" spans="1:4">
      <c r="A36" s="148"/>
      <c r="B36" s="148"/>
      <c r="D36" s="148"/>
    </row>
    <row r="39" spans="1:4" ht="14.5">
      <c r="A39" s="2754" t="s">
        <v>2007</v>
      </c>
      <c r="B39" s="2754"/>
      <c r="C39" s="2754"/>
      <c r="D39" s="2754"/>
    </row>
    <row r="40" spans="1:4">
      <c r="A40" s="147" t="s">
        <v>2008</v>
      </c>
      <c r="B40" s="148" t="s">
        <v>359</v>
      </c>
    </row>
    <row r="41" spans="1:4">
      <c r="A41" s="147" t="s">
        <v>2009</v>
      </c>
      <c r="B41" s="148" t="s">
        <v>359</v>
      </c>
    </row>
    <row r="42" spans="1:4">
      <c r="A42" s="149"/>
      <c r="B42" s="150"/>
      <c r="C42" s="151"/>
      <c r="D42" s="149"/>
    </row>
    <row r="43" spans="1:4">
      <c r="A43" s="152" t="s">
        <v>2010</v>
      </c>
      <c r="B43" s="153" t="s">
        <v>359</v>
      </c>
      <c r="C43" s="154"/>
      <c r="D43" s="155"/>
    </row>
    <row r="44" spans="1:4">
      <c r="A44" s="156" t="s">
        <v>2011</v>
      </c>
      <c r="B44" s="153" t="s">
        <v>359</v>
      </c>
      <c r="C44" s="151"/>
      <c r="D44" s="149"/>
    </row>
    <row r="45" spans="1:4">
      <c r="A45" s="152" t="s">
        <v>2012</v>
      </c>
      <c r="B45" s="153" t="s">
        <v>359</v>
      </c>
      <c r="C45" s="151"/>
      <c r="D45" s="155"/>
    </row>
    <row r="46" spans="1:4">
      <c r="A46" s="156" t="s">
        <v>2013</v>
      </c>
      <c r="B46" s="153" t="s">
        <v>359</v>
      </c>
      <c r="C46" s="154"/>
      <c r="D46" s="149"/>
    </row>
    <row r="47" spans="1:4">
      <c r="A47" s="149"/>
      <c r="B47" s="157"/>
      <c r="C47" s="151"/>
      <c r="D47" s="149"/>
    </row>
    <row r="49" spans="1:4">
      <c r="A49" s="148" t="s">
        <v>2014</v>
      </c>
      <c r="B49" s="148"/>
      <c r="D49" s="148" t="s">
        <v>2015</v>
      </c>
    </row>
    <row r="53" spans="1:4">
      <c r="A53" s="148" t="s">
        <v>2016</v>
      </c>
      <c r="B53" s="148"/>
      <c r="D53" s="148" t="s">
        <v>2017</v>
      </c>
    </row>
    <row r="54" spans="1:4">
      <c r="A54" s="148"/>
      <c r="B54" s="148"/>
      <c r="D54" s="148"/>
    </row>
    <row r="57" spans="1:4" ht="14.5">
      <c r="A57" s="2754" t="s">
        <v>2007</v>
      </c>
      <c r="B57" s="2754"/>
      <c r="C57" s="2754"/>
      <c r="D57" s="2754"/>
    </row>
    <row r="58" spans="1:4">
      <c r="A58" s="147" t="s">
        <v>2008</v>
      </c>
      <c r="B58" s="148" t="s">
        <v>359</v>
      </c>
    </row>
    <row r="59" spans="1:4">
      <c r="A59" s="147" t="s">
        <v>2009</v>
      </c>
      <c r="B59" s="148" t="s">
        <v>359</v>
      </c>
    </row>
    <row r="60" spans="1:4">
      <c r="A60" s="149"/>
      <c r="B60" s="150"/>
      <c r="C60" s="151"/>
      <c r="D60" s="149"/>
    </row>
    <row r="61" spans="1:4">
      <c r="A61" s="152" t="s">
        <v>2010</v>
      </c>
      <c r="B61" s="153" t="s">
        <v>359</v>
      </c>
      <c r="C61" s="154"/>
      <c r="D61" s="155"/>
    </row>
    <row r="62" spans="1:4">
      <c r="A62" s="156" t="s">
        <v>2011</v>
      </c>
      <c r="B62" s="153" t="s">
        <v>359</v>
      </c>
      <c r="C62" s="151"/>
      <c r="D62" s="149"/>
    </row>
    <row r="63" spans="1:4">
      <c r="A63" s="149" t="s">
        <v>2012</v>
      </c>
      <c r="B63" s="148" t="s">
        <v>359</v>
      </c>
      <c r="C63" s="151"/>
      <c r="D63" s="155"/>
    </row>
    <row r="64" spans="1:4">
      <c r="A64" s="149" t="s">
        <v>2013</v>
      </c>
      <c r="B64" s="150" t="s">
        <v>359</v>
      </c>
      <c r="C64" s="154"/>
      <c r="D64" s="149"/>
    </row>
    <row r="65" spans="1:4">
      <c r="A65" s="149"/>
      <c r="B65" s="157"/>
      <c r="C65" s="151"/>
      <c r="D65" s="149"/>
    </row>
    <row r="67" spans="1:4">
      <c r="A67" s="148" t="s">
        <v>2014</v>
      </c>
      <c r="B67" s="148"/>
      <c r="D67" s="148" t="s">
        <v>2015</v>
      </c>
    </row>
    <row r="71" spans="1:4">
      <c r="A71" s="148" t="s">
        <v>2016</v>
      </c>
      <c r="B71" s="148"/>
      <c r="D71" s="148" t="s">
        <v>2017</v>
      </c>
    </row>
  </sheetData>
  <mergeCells count="4">
    <mergeCell ref="A3:D3"/>
    <mergeCell ref="A21:D21"/>
    <mergeCell ref="A39:D39"/>
    <mergeCell ref="A57:D57"/>
  </mergeCells>
  <pageMargins left="0.46" right="0.12" top="0.61" bottom="0.34" header="0.5" footer="0.21"/>
  <pageSetup paperSize="5" fitToWidth="0" fitToHeight="0" orientation="portrait"/>
  <headerFooter alignWithMargins="0"/>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H55"/>
  <sheetViews>
    <sheetView workbookViewId="0">
      <selection activeCell="G72" sqref="A1:K115"/>
    </sheetView>
  </sheetViews>
  <sheetFormatPr defaultColWidth="10" defaultRowHeight="12.5"/>
  <cols>
    <col min="1" max="1" width="5.7265625" customWidth="1"/>
    <col min="2" max="2" width="25.7265625" customWidth="1"/>
    <col min="3" max="3" width="5.7265625" customWidth="1"/>
    <col min="4" max="4" width="35.7265625" customWidth="1"/>
    <col min="5" max="5" width="5.7265625" customWidth="1"/>
    <col min="6" max="6" width="30.7265625" customWidth="1"/>
    <col min="7" max="7" width="5.7265625" customWidth="1"/>
    <col min="8" max="8" width="30.7265625" customWidth="1"/>
  </cols>
  <sheetData>
    <row r="1" spans="1:8">
      <c r="A1" t="s">
        <v>61</v>
      </c>
    </row>
    <row r="2" spans="1:8" ht="27" customHeight="1">
      <c r="C2" s="144" t="s">
        <v>2018</v>
      </c>
    </row>
    <row r="4" spans="1:8" ht="12.4" customHeight="1">
      <c r="A4" s="2759" t="s">
        <v>2019</v>
      </c>
      <c r="B4" s="2755" t="s">
        <v>2020</v>
      </c>
      <c r="C4" s="2755" t="s">
        <v>2019</v>
      </c>
      <c r="D4" s="2755" t="s">
        <v>2020</v>
      </c>
      <c r="E4" s="2755" t="s">
        <v>2019</v>
      </c>
      <c r="F4" s="2755" t="s">
        <v>2020</v>
      </c>
      <c r="G4" s="2755" t="s">
        <v>2019</v>
      </c>
      <c r="H4" s="2757" t="s">
        <v>2021</v>
      </c>
    </row>
    <row r="5" spans="1:8" ht="12.4" customHeight="1">
      <c r="A5" s="2760"/>
      <c r="B5" s="2756"/>
      <c r="C5" s="2756"/>
      <c r="D5" s="2756"/>
      <c r="E5" s="2756"/>
      <c r="F5" s="2756"/>
      <c r="G5" s="2756"/>
      <c r="H5" s="2758"/>
    </row>
    <row r="6" spans="1:8">
      <c r="A6" s="142">
        <v>1</v>
      </c>
      <c r="B6" s="135" t="s">
        <v>1282</v>
      </c>
      <c r="C6" s="134">
        <v>51</v>
      </c>
      <c r="D6" s="124" t="s">
        <v>2022</v>
      </c>
      <c r="E6" s="134">
        <v>101</v>
      </c>
      <c r="F6" s="135" t="s">
        <v>1357</v>
      </c>
      <c r="G6" s="134">
        <v>151</v>
      </c>
      <c r="H6" s="137" t="s">
        <v>2023</v>
      </c>
    </row>
    <row r="7" spans="1:8">
      <c r="A7" s="30">
        <v>2</v>
      </c>
      <c r="B7" s="124" t="s">
        <v>1283</v>
      </c>
      <c r="C7" s="109">
        <v>52</v>
      </c>
      <c r="D7" s="124" t="s">
        <v>2024</v>
      </c>
      <c r="E7" s="109">
        <v>102</v>
      </c>
      <c r="F7" s="124" t="s">
        <v>1358</v>
      </c>
      <c r="G7" s="109">
        <v>152</v>
      </c>
      <c r="H7" s="125" t="s">
        <v>2025</v>
      </c>
    </row>
    <row r="8" spans="1:8">
      <c r="A8" s="30">
        <v>3</v>
      </c>
      <c r="B8" s="124" t="s">
        <v>1284</v>
      </c>
      <c r="C8" s="109">
        <v>53</v>
      </c>
      <c r="D8" s="124" t="s">
        <v>2026</v>
      </c>
      <c r="E8" s="109">
        <v>103</v>
      </c>
      <c r="F8" s="124" t="s">
        <v>1359</v>
      </c>
      <c r="G8" s="109">
        <v>153</v>
      </c>
      <c r="H8" s="125" t="s">
        <v>2027</v>
      </c>
    </row>
    <row r="9" spans="1:8">
      <c r="A9" s="30">
        <v>4</v>
      </c>
      <c r="B9" s="124" t="s">
        <v>1285</v>
      </c>
      <c r="C9" s="109">
        <v>54</v>
      </c>
      <c r="D9" s="124" t="s">
        <v>2028</v>
      </c>
      <c r="E9" s="109">
        <v>104</v>
      </c>
      <c r="F9" s="124" t="s">
        <v>1360</v>
      </c>
      <c r="G9" s="109">
        <v>154</v>
      </c>
      <c r="H9" s="125" t="s">
        <v>1470</v>
      </c>
    </row>
    <row r="10" spans="1:8">
      <c r="A10" s="30">
        <v>5</v>
      </c>
      <c r="B10" s="124" t="s">
        <v>1726</v>
      </c>
      <c r="C10" s="109">
        <v>55</v>
      </c>
      <c r="D10" s="135" t="s">
        <v>2029</v>
      </c>
      <c r="E10" s="109">
        <v>105</v>
      </c>
      <c r="F10" s="124" t="s">
        <v>1361</v>
      </c>
      <c r="G10" s="109">
        <v>155</v>
      </c>
      <c r="H10" s="125" t="s">
        <v>2030</v>
      </c>
    </row>
    <row r="11" spans="1:8">
      <c r="A11" s="30">
        <v>6</v>
      </c>
      <c r="B11" s="124" t="s">
        <v>1287</v>
      </c>
      <c r="C11" s="109">
        <v>56</v>
      </c>
      <c r="D11" s="124" t="s">
        <v>2031</v>
      </c>
      <c r="E11" s="109">
        <v>106</v>
      </c>
      <c r="F11" s="124" t="s">
        <v>1362</v>
      </c>
      <c r="G11" s="109">
        <v>156</v>
      </c>
      <c r="H11" s="125" t="s">
        <v>2032</v>
      </c>
    </row>
    <row r="12" spans="1:8" ht="13">
      <c r="A12" s="30">
        <v>7</v>
      </c>
      <c r="B12" s="124" t="s">
        <v>1294</v>
      </c>
      <c r="C12" s="109">
        <v>57</v>
      </c>
      <c r="D12" s="124" t="s">
        <v>2033</v>
      </c>
      <c r="E12" s="109">
        <v>107</v>
      </c>
      <c r="F12" s="124" t="s">
        <v>1363</v>
      </c>
      <c r="G12" s="109">
        <v>157</v>
      </c>
      <c r="H12" s="125" t="s">
        <v>2034</v>
      </c>
    </row>
    <row r="13" spans="1:8">
      <c r="A13" s="30">
        <v>8</v>
      </c>
      <c r="B13" s="124" t="s">
        <v>1288</v>
      </c>
      <c r="C13" s="109">
        <v>58</v>
      </c>
      <c r="D13" s="124" t="s">
        <v>1324</v>
      </c>
      <c r="E13" s="109">
        <v>108</v>
      </c>
      <c r="F13" s="124" t="s">
        <v>1364</v>
      </c>
      <c r="G13" s="109">
        <v>158</v>
      </c>
      <c r="H13" s="125" t="s">
        <v>2035</v>
      </c>
    </row>
    <row r="14" spans="1:8">
      <c r="A14" s="30">
        <v>9</v>
      </c>
      <c r="B14" s="124" t="s">
        <v>1728</v>
      </c>
      <c r="C14" s="109">
        <v>59</v>
      </c>
      <c r="D14" s="124" t="s">
        <v>2036</v>
      </c>
      <c r="E14" s="109">
        <v>109</v>
      </c>
      <c r="F14" s="124" t="s">
        <v>2037</v>
      </c>
      <c r="G14" s="109">
        <v>159</v>
      </c>
      <c r="H14" s="125" t="s">
        <v>2038</v>
      </c>
    </row>
    <row r="15" spans="1:8">
      <c r="A15" s="30">
        <v>10</v>
      </c>
      <c r="B15" s="124" t="s">
        <v>1729</v>
      </c>
      <c r="C15" s="109">
        <v>60</v>
      </c>
      <c r="D15" s="124" t="s">
        <v>2039</v>
      </c>
      <c r="E15" s="109">
        <v>110</v>
      </c>
      <c r="F15" s="124" t="s">
        <v>2040</v>
      </c>
      <c r="G15" s="109">
        <v>160</v>
      </c>
      <c r="H15" s="125" t="s">
        <v>1475</v>
      </c>
    </row>
    <row r="16" spans="1:8">
      <c r="A16" s="30">
        <v>11</v>
      </c>
      <c r="B16" s="124" t="s">
        <v>1291</v>
      </c>
      <c r="C16" s="109">
        <v>61</v>
      </c>
      <c r="D16" s="124" t="s">
        <v>1327</v>
      </c>
      <c r="E16" s="109">
        <v>111</v>
      </c>
      <c r="F16" s="124" t="s">
        <v>2041</v>
      </c>
      <c r="G16" s="109">
        <v>161</v>
      </c>
      <c r="H16" s="125" t="s">
        <v>2042</v>
      </c>
    </row>
    <row r="17" spans="1:8">
      <c r="A17" s="30">
        <v>12</v>
      </c>
      <c r="B17" s="124" t="s">
        <v>2043</v>
      </c>
      <c r="C17" s="109">
        <v>62</v>
      </c>
      <c r="D17" s="124" t="s">
        <v>2044</v>
      </c>
      <c r="E17" s="109">
        <v>112</v>
      </c>
      <c r="F17" s="124" t="s">
        <v>2045</v>
      </c>
      <c r="G17" s="109">
        <v>162</v>
      </c>
      <c r="H17" s="125" t="s">
        <v>2046</v>
      </c>
    </row>
    <row r="18" spans="1:8">
      <c r="A18" s="30">
        <v>13</v>
      </c>
      <c r="B18" s="124" t="s">
        <v>1866</v>
      </c>
      <c r="C18" s="109">
        <v>63</v>
      </c>
      <c r="D18" s="124" t="s">
        <v>2047</v>
      </c>
      <c r="E18" s="109">
        <v>113</v>
      </c>
      <c r="F18" s="124" t="s">
        <v>2048</v>
      </c>
      <c r="G18" s="109">
        <v>163</v>
      </c>
      <c r="H18" s="125" t="s">
        <v>2049</v>
      </c>
    </row>
    <row r="19" spans="1:8">
      <c r="A19" s="30">
        <v>14</v>
      </c>
      <c r="B19" s="124" t="s">
        <v>1373</v>
      </c>
      <c r="C19" s="109">
        <v>64</v>
      </c>
      <c r="D19" s="124" t="s">
        <v>2050</v>
      </c>
      <c r="E19" s="109">
        <v>114</v>
      </c>
      <c r="F19" s="124" t="s">
        <v>2051</v>
      </c>
      <c r="G19" s="109">
        <v>164</v>
      </c>
      <c r="H19" s="125" t="s">
        <v>2052</v>
      </c>
    </row>
    <row r="20" spans="1:8">
      <c r="A20" s="30">
        <v>15</v>
      </c>
      <c r="B20" s="124" t="s">
        <v>2053</v>
      </c>
      <c r="C20" s="109">
        <v>65</v>
      </c>
      <c r="D20" s="124" t="s">
        <v>1331</v>
      </c>
      <c r="E20" s="109">
        <v>115</v>
      </c>
      <c r="F20" s="124" t="s">
        <v>2054</v>
      </c>
      <c r="G20" s="109">
        <v>165</v>
      </c>
      <c r="H20" s="125" t="s">
        <v>2055</v>
      </c>
    </row>
    <row r="21" spans="1:8">
      <c r="A21" s="30">
        <v>16</v>
      </c>
      <c r="B21" s="124" t="s">
        <v>1296</v>
      </c>
      <c r="C21" s="109">
        <v>66</v>
      </c>
      <c r="D21" s="124" t="s">
        <v>2056</v>
      </c>
      <c r="E21" s="109">
        <v>116</v>
      </c>
      <c r="F21" s="124" t="s">
        <v>2057</v>
      </c>
      <c r="G21" s="109">
        <v>166</v>
      </c>
      <c r="H21" s="125" t="s">
        <v>2058</v>
      </c>
    </row>
    <row r="22" spans="1:8">
      <c r="A22" s="30">
        <v>17</v>
      </c>
      <c r="B22" s="124" t="s">
        <v>1400</v>
      </c>
      <c r="C22" s="109">
        <v>67</v>
      </c>
      <c r="D22" s="124" t="s">
        <v>2059</v>
      </c>
      <c r="E22" s="109">
        <v>117</v>
      </c>
      <c r="F22" s="124" t="s">
        <v>2060</v>
      </c>
      <c r="G22" s="109">
        <v>167</v>
      </c>
      <c r="H22" s="125" t="s">
        <v>2061</v>
      </c>
    </row>
    <row r="23" spans="1:8">
      <c r="A23" s="30">
        <v>18</v>
      </c>
      <c r="B23" s="124" t="s">
        <v>1401</v>
      </c>
      <c r="C23" s="109">
        <v>68</v>
      </c>
      <c r="D23" s="124" t="s">
        <v>1334</v>
      </c>
      <c r="E23" s="109">
        <v>118</v>
      </c>
      <c r="F23" s="124" t="s">
        <v>2062</v>
      </c>
      <c r="G23" s="109">
        <v>168</v>
      </c>
      <c r="H23" s="125" t="s">
        <v>2063</v>
      </c>
    </row>
    <row r="24" spans="1:8">
      <c r="A24" s="30">
        <v>19</v>
      </c>
      <c r="B24" s="124" t="s">
        <v>1402</v>
      </c>
      <c r="C24" s="109">
        <v>69</v>
      </c>
      <c r="D24" s="124" t="s">
        <v>2064</v>
      </c>
      <c r="E24" s="109">
        <v>119</v>
      </c>
      <c r="F24" s="124" t="s">
        <v>2065</v>
      </c>
      <c r="G24" s="109">
        <v>169</v>
      </c>
      <c r="H24" s="125" t="s">
        <v>2066</v>
      </c>
    </row>
    <row r="25" spans="1:8">
      <c r="A25" s="30">
        <v>20</v>
      </c>
      <c r="B25" s="124" t="s">
        <v>1306</v>
      </c>
      <c r="C25" s="109">
        <v>70</v>
      </c>
      <c r="D25" s="124" t="s">
        <v>2067</v>
      </c>
      <c r="E25" s="109">
        <v>120</v>
      </c>
      <c r="F25" s="124" t="s">
        <v>2068</v>
      </c>
      <c r="G25" s="109">
        <v>170</v>
      </c>
      <c r="H25" s="125" t="s">
        <v>2069</v>
      </c>
    </row>
    <row r="26" spans="1:8">
      <c r="A26" s="30">
        <v>21</v>
      </c>
      <c r="B26" s="124" t="s">
        <v>1305</v>
      </c>
      <c r="C26" s="109">
        <v>71</v>
      </c>
      <c r="D26" s="124" t="s">
        <v>2070</v>
      </c>
      <c r="E26" s="109">
        <v>121</v>
      </c>
      <c r="F26" s="124"/>
      <c r="G26" s="109">
        <v>171</v>
      </c>
      <c r="H26" s="125" t="s">
        <v>2071</v>
      </c>
    </row>
    <row r="27" spans="1:8">
      <c r="A27" s="30">
        <v>22</v>
      </c>
      <c r="B27" s="124" t="s">
        <v>1307</v>
      </c>
      <c r="C27" s="109">
        <v>72</v>
      </c>
      <c r="D27" s="124" t="s">
        <v>2072</v>
      </c>
      <c r="E27" s="109">
        <v>122</v>
      </c>
      <c r="F27" s="124"/>
      <c r="G27" s="109">
        <v>172</v>
      </c>
      <c r="H27" s="125" t="s">
        <v>2073</v>
      </c>
    </row>
    <row r="28" spans="1:8">
      <c r="A28" s="30">
        <v>23</v>
      </c>
      <c r="B28" s="124" t="s">
        <v>1308</v>
      </c>
      <c r="C28" s="109">
        <v>73</v>
      </c>
      <c r="D28" s="124" t="s">
        <v>2074</v>
      </c>
      <c r="E28" s="109">
        <v>123</v>
      </c>
      <c r="F28" s="124"/>
      <c r="G28" s="109">
        <v>173</v>
      </c>
      <c r="H28" s="125" t="s">
        <v>1491</v>
      </c>
    </row>
    <row r="29" spans="1:8">
      <c r="A29" s="30">
        <v>24</v>
      </c>
      <c r="B29" s="124" t="s">
        <v>1309</v>
      </c>
      <c r="C29" s="109">
        <v>74</v>
      </c>
      <c r="D29" s="124" t="s">
        <v>2075</v>
      </c>
      <c r="E29" s="109">
        <v>124</v>
      </c>
      <c r="F29" s="124"/>
      <c r="G29" s="109">
        <v>174</v>
      </c>
      <c r="H29" s="125" t="s">
        <v>1489</v>
      </c>
    </row>
    <row r="30" spans="1:8">
      <c r="A30" s="30">
        <v>25</v>
      </c>
      <c r="B30" s="124" t="s">
        <v>1310</v>
      </c>
      <c r="C30" s="109">
        <v>75</v>
      </c>
      <c r="D30" s="124" t="s">
        <v>2076</v>
      </c>
      <c r="E30" s="109">
        <v>125</v>
      </c>
      <c r="F30" s="124"/>
      <c r="G30" s="109">
        <v>175</v>
      </c>
      <c r="H30" s="125" t="s">
        <v>1495</v>
      </c>
    </row>
    <row r="31" spans="1:8">
      <c r="A31" s="30">
        <v>26</v>
      </c>
      <c r="B31" s="124" t="s">
        <v>1311</v>
      </c>
      <c r="C31" s="109">
        <v>76</v>
      </c>
      <c r="D31" s="124" t="s">
        <v>2077</v>
      </c>
      <c r="E31" s="109">
        <v>126</v>
      </c>
      <c r="F31" s="124"/>
      <c r="G31" s="109">
        <v>176</v>
      </c>
      <c r="H31" s="125" t="s">
        <v>2078</v>
      </c>
    </row>
    <row r="32" spans="1:8">
      <c r="A32" s="30">
        <v>27</v>
      </c>
      <c r="B32" s="124" t="s">
        <v>1312</v>
      </c>
      <c r="C32" s="109">
        <v>77</v>
      </c>
      <c r="D32" s="124" t="s">
        <v>2079</v>
      </c>
      <c r="E32" s="109">
        <v>127</v>
      </c>
      <c r="F32" s="124"/>
      <c r="G32" s="109">
        <v>177</v>
      </c>
      <c r="H32" s="125" t="s">
        <v>1493</v>
      </c>
    </row>
    <row r="33" spans="1:8">
      <c r="A33" s="30">
        <v>28</v>
      </c>
      <c r="B33" s="124" t="s">
        <v>1313</v>
      </c>
      <c r="C33" s="109">
        <v>78</v>
      </c>
      <c r="D33" s="124" t="s">
        <v>2080</v>
      </c>
      <c r="E33" s="109">
        <v>128</v>
      </c>
      <c r="F33" s="124"/>
      <c r="G33" s="109">
        <v>178</v>
      </c>
      <c r="H33" s="125" t="s">
        <v>1581</v>
      </c>
    </row>
    <row r="34" spans="1:8">
      <c r="A34" s="30">
        <v>29</v>
      </c>
      <c r="B34" s="124" t="s">
        <v>1314</v>
      </c>
      <c r="C34" s="109">
        <v>79</v>
      </c>
      <c r="D34" s="124" t="s">
        <v>2081</v>
      </c>
      <c r="E34" s="109">
        <v>129</v>
      </c>
      <c r="F34" s="124"/>
      <c r="G34" s="109">
        <v>179</v>
      </c>
      <c r="H34" s="125" t="s">
        <v>1494</v>
      </c>
    </row>
    <row r="35" spans="1:8">
      <c r="A35" s="30">
        <v>30</v>
      </c>
      <c r="B35" s="124" t="s">
        <v>1315</v>
      </c>
      <c r="C35" s="109">
        <v>80</v>
      </c>
      <c r="D35" s="124" t="s">
        <v>2082</v>
      </c>
      <c r="E35" s="109">
        <v>130</v>
      </c>
      <c r="F35" s="124"/>
      <c r="G35" s="109">
        <v>180</v>
      </c>
      <c r="H35" s="125" t="s">
        <v>2083</v>
      </c>
    </row>
    <row r="36" spans="1:8">
      <c r="A36" s="30">
        <v>31</v>
      </c>
      <c r="B36" s="124" t="s">
        <v>1316</v>
      </c>
      <c r="C36" s="109">
        <v>81</v>
      </c>
      <c r="D36" s="124" t="s">
        <v>1365</v>
      </c>
      <c r="E36" s="109">
        <v>131</v>
      </c>
      <c r="F36" s="124"/>
      <c r="G36" s="109">
        <v>181</v>
      </c>
      <c r="H36" s="125" t="s">
        <v>1497</v>
      </c>
    </row>
    <row r="37" spans="1:8">
      <c r="A37" s="30">
        <v>32</v>
      </c>
      <c r="B37" s="124" t="s">
        <v>1317</v>
      </c>
      <c r="C37" s="109">
        <v>82</v>
      </c>
      <c r="D37" s="124" t="s">
        <v>1367</v>
      </c>
      <c r="E37" s="109">
        <v>132</v>
      </c>
      <c r="F37" s="124"/>
      <c r="G37" s="109">
        <v>182</v>
      </c>
      <c r="H37" s="125" t="s">
        <v>1098</v>
      </c>
    </row>
    <row r="38" spans="1:8">
      <c r="A38" s="30">
        <v>33</v>
      </c>
      <c r="B38" s="124" t="s">
        <v>1318</v>
      </c>
      <c r="C38" s="109">
        <v>83</v>
      </c>
      <c r="D38" s="124" t="s">
        <v>2084</v>
      </c>
      <c r="E38" s="109">
        <v>133</v>
      </c>
      <c r="F38" s="124"/>
      <c r="G38" s="109">
        <v>183</v>
      </c>
      <c r="H38" s="125" t="s">
        <v>1092</v>
      </c>
    </row>
    <row r="39" spans="1:8">
      <c r="A39" s="30">
        <v>34</v>
      </c>
      <c r="B39" s="124" t="s">
        <v>1319</v>
      </c>
      <c r="C39" s="109">
        <v>84</v>
      </c>
      <c r="D39" s="124" t="s">
        <v>2085</v>
      </c>
      <c r="E39" s="109">
        <v>134</v>
      </c>
      <c r="F39" s="124"/>
      <c r="G39" s="109">
        <v>184</v>
      </c>
      <c r="H39" s="125"/>
    </row>
    <row r="40" spans="1:8">
      <c r="A40" s="30">
        <v>35</v>
      </c>
      <c r="B40" s="124" t="s">
        <v>1320</v>
      </c>
      <c r="C40" s="109">
        <v>85</v>
      </c>
      <c r="D40" s="124" t="s">
        <v>2086</v>
      </c>
      <c r="E40" s="109">
        <v>135</v>
      </c>
      <c r="F40" s="124"/>
      <c r="G40" s="109">
        <v>185</v>
      </c>
      <c r="H40" s="125"/>
    </row>
    <row r="41" spans="1:8">
      <c r="A41" s="30">
        <v>36</v>
      </c>
      <c r="B41" s="124" t="s">
        <v>1349</v>
      </c>
      <c r="C41" s="109">
        <v>86</v>
      </c>
      <c r="D41" s="124" t="s">
        <v>2087</v>
      </c>
      <c r="E41" s="109">
        <v>136</v>
      </c>
      <c r="F41" s="124"/>
      <c r="G41" s="109">
        <v>186</v>
      </c>
      <c r="H41" s="125"/>
    </row>
    <row r="42" spans="1:8">
      <c r="A42" s="30">
        <v>37</v>
      </c>
      <c r="B42" s="124" t="s">
        <v>1350</v>
      </c>
      <c r="C42" s="109">
        <v>87</v>
      </c>
      <c r="D42" s="124" t="s">
        <v>1371</v>
      </c>
      <c r="E42" s="109">
        <v>137</v>
      </c>
      <c r="F42" s="124"/>
      <c r="G42" s="109">
        <v>187</v>
      </c>
      <c r="H42" s="125"/>
    </row>
    <row r="43" spans="1:8">
      <c r="A43" s="30">
        <v>38</v>
      </c>
      <c r="B43" s="124" t="s">
        <v>1351</v>
      </c>
      <c r="C43" s="109">
        <v>88</v>
      </c>
      <c r="D43" s="124" t="s">
        <v>1398</v>
      </c>
      <c r="E43" s="109">
        <v>138</v>
      </c>
      <c r="F43" s="124"/>
      <c r="G43" s="109">
        <v>188</v>
      </c>
      <c r="H43" s="125"/>
    </row>
    <row r="44" spans="1:8">
      <c r="A44" s="30">
        <v>39</v>
      </c>
      <c r="B44" s="124" t="s">
        <v>1352</v>
      </c>
      <c r="C44" s="109">
        <v>89</v>
      </c>
      <c r="D44" s="124" t="s">
        <v>1399</v>
      </c>
      <c r="E44" s="109">
        <v>139</v>
      </c>
      <c r="F44" s="124"/>
      <c r="G44" s="109">
        <v>189</v>
      </c>
      <c r="H44" s="125"/>
    </row>
    <row r="45" spans="1:8">
      <c r="A45" s="30">
        <v>40</v>
      </c>
      <c r="B45" s="124" t="s">
        <v>2088</v>
      </c>
      <c r="C45" s="109">
        <v>90</v>
      </c>
      <c r="D45" s="124" t="s">
        <v>2089</v>
      </c>
      <c r="E45" s="109">
        <v>140</v>
      </c>
      <c r="F45" s="124"/>
      <c r="G45" s="109">
        <v>190</v>
      </c>
      <c r="H45" s="125"/>
    </row>
    <row r="46" spans="1:8">
      <c r="A46" s="30">
        <v>41</v>
      </c>
      <c r="B46" s="124" t="s">
        <v>2090</v>
      </c>
      <c r="C46" s="109">
        <v>91</v>
      </c>
      <c r="D46" s="124" t="s">
        <v>2091</v>
      </c>
      <c r="E46" s="109">
        <v>141</v>
      </c>
      <c r="F46" s="48"/>
      <c r="G46" s="109">
        <v>191</v>
      </c>
      <c r="H46" s="125"/>
    </row>
    <row r="47" spans="1:8">
      <c r="A47" s="30">
        <v>42</v>
      </c>
      <c r="B47" s="124" t="s">
        <v>2092</v>
      </c>
      <c r="C47" s="109">
        <v>92</v>
      </c>
      <c r="D47" s="124" t="s">
        <v>2093</v>
      </c>
      <c r="E47" s="145">
        <v>142</v>
      </c>
      <c r="F47" s="31"/>
      <c r="G47" s="109">
        <v>192</v>
      </c>
      <c r="H47" s="125"/>
    </row>
    <row r="48" spans="1:8">
      <c r="A48" s="30">
        <v>43</v>
      </c>
      <c r="B48" s="124" t="s">
        <v>2094</v>
      </c>
      <c r="C48" s="146">
        <v>93</v>
      </c>
      <c r="D48" s="124" t="s">
        <v>2095</v>
      </c>
      <c r="E48" s="145">
        <v>143</v>
      </c>
      <c r="F48" s="31"/>
      <c r="G48" s="109">
        <v>193</v>
      </c>
      <c r="H48" s="125"/>
    </row>
    <row r="49" spans="1:8">
      <c r="A49" s="30">
        <v>44</v>
      </c>
      <c r="B49" s="124" t="s">
        <v>2096</v>
      </c>
      <c r="C49" s="109">
        <v>94</v>
      </c>
      <c r="D49" s="124" t="s">
        <v>2097</v>
      </c>
      <c r="E49" s="109">
        <v>144</v>
      </c>
      <c r="F49" s="139"/>
      <c r="G49" s="109">
        <v>194</v>
      </c>
      <c r="H49" s="125"/>
    </row>
    <row r="50" spans="1:8">
      <c r="A50" s="30">
        <v>45</v>
      </c>
      <c r="B50" s="124" t="s">
        <v>2098</v>
      </c>
      <c r="C50" s="109">
        <v>95</v>
      </c>
      <c r="D50" s="124" t="s">
        <v>2099</v>
      </c>
      <c r="E50" s="109">
        <v>145</v>
      </c>
      <c r="F50" s="124"/>
      <c r="G50" s="109">
        <v>195</v>
      </c>
      <c r="H50" s="125"/>
    </row>
    <row r="51" spans="1:8">
      <c r="A51" s="30">
        <v>46</v>
      </c>
      <c r="B51" s="124" t="s">
        <v>2100</v>
      </c>
      <c r="C51" s="146">
        <v>96</v>
      </c>
      <c r="D51" s="124" t="s">
        <v>2101</v>
      </c>
      <c r="E51" s="145">
        <v>146</v>
      </c>
      <c r="F51" s="31"/>
      <c r="G51" s="109">
        <v>196</v>
      </c>
      <c r="H51" s="125" t="s">
        <v>2102</v>
      </c>
    </row>
    <row r="52" spans="1:8">
      <c r="A52" s="30">
        <v>47</v>
      </c>
      <c r="B52" s="124" t="s">
        <v>2103</v>
      </c>
      <c r="C52" s="109">
        <v>97</v>
      </c>
      <c r="D52" s="135" t="s">
        <v>2104</v>
      </c>
      <c r="E52" s="145">
        <v>147</v>
      </c>
      <c r="F52" s="124" t="s">
        <v>2105</v>
      </c>
      <c r="G52" s="109">
        <v>197</v>
      </c>
      <c r="H52" s="125" t="s">
        <v>2106</v>
      </c>
    </row>
    <row r="53" spans="1:8">
      <c r="A53" s="30">
        <v>48</v>
      </c>
      <c r="B53" s="124" t="s">
        <v>2107</v>
      </c>
      <c r="C53" s="109">
        <v>98</v>
      </c>
      <c r="D53" s="124" t="s">
        <v>2108</v>
      </c>
      <c r="E53" s="109">
        <v>148</v>
      </c>
      <c r="F53" s="124" t="s">
        <v>2109</v>
      </c>
      <c r="G53" s="109">
        <v>198</v>
      </c>
      <c r="H53" s="125" t="s">
        <v>2110</v>
      </c>
    </row>
    <row r="54" spans="1:8">
      <c r="A54" s="30">
        <v>49</v>
      </c>
      <c r="B54" s="124" t="s">
        <v>2111</v>
      </c>
      <c r="C54" s="109">
        <v>99</v>
      </c>
      <c r="D54" s="124" t="s">
        <v>2112</v>
      </c>
      <c r="E54" s="109">
        <v>149</v>
      </c>
      <c r="F54" s="124" t="s">
        <v>1406</v>
      </c>
      <c r="G54" s="109">
        <v>199</v>
      </c>
      <c r="H54" s="125" t="s">
        <v>2113</v>
      </c>
    </row>
    <row r="55" spans="1:8">
      <c r="A55" s="129">
        <v>50</v>
      </c>
      <c r="B55" s="130" t="s">
        <v>2114</v>
      </c>
      <c r="C55" s="131">
        <v>100</v>
      </c>
      <c r="D55" s="130" t="s">
        <v>1392</v>
      </c>
      <c r="E55" s="131">
        <v>150</v>
      </c>
      <c r="F55" s="130" t="s">
        <v>1407</v>
      </c>
      <c r="G55" s="131">
        <v>200</v>
      </c>
      <c r="H55" s="143" t="s">
        <v>2115</v>
      </c>
    </row>
  </sheetData>
  <mergeCells count="8">
    <mergeCell ref="F4:F5"/>
    <mergeCell ref="G4:G5"/>
    <mergeCell ref="H4:H5"/>
    <mergeCell ref="A4:A5"/>
    <mergeCell ref="B4:B5"/>
    <mergeCell ref="C4:C5"/>
    <mergeCell ref="D4:D5"/>
    <mergeCell ref="E4:E5"/>
  </mergeCells>
  <printOptions horizontalCentered="1" verticalCentered="1"/>
  <pageMargins left="0" right="0" top="0" bottom="0" header="0.3" footer="0.3"/>
  <pageSetup paperSize="10000" scale="82"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2:I55"/>
  <sheetViews>
    <sheetView workbookViewId="0">
      <selection activeCell="G72" sqref="A1:K115"/>
    </sheetView>
  </sheetViews>
  <sheetFormatPr defaultColWidth="10" defaultRowHeight="12.5"/>
  <cols>
    <col min="1" max="1" width="7.7265625" customWidth="1"/>
    <col min="2" max="2" width="30.7265625" customWidth="1"/>
    <col min="3" max="3" width="7.7265625" customWidth="1"/>
    <col min="4" max="4" width="30.7265625" customWidth="1"/>
    <col min="5" max="5" width="26.26953125" customWidth="1"/>
  </cols>
  <sheetData>
    <row r="2" spans="1:9" ht="27" customHeight="1">
      <c r="A2" s="2761" t="s">
        <v>2116</v>
      </c>
      <c r="B2" s="2761"/>
      <c r="C2" s="2761"/>
      <c r="D2" s="2761"/>
    </row>
    <row r="4" spans="1:9" ht="12.4" customHeight="1">
      <c r="A4" s="2759" t="s">
        <v>2019</v>
      </c>
      <c r="B4" s="2755" t="s">
        <v>2020</v>
      </c>
      <c r="C4" s="2755" t="s">
        <v>2019</v>
      </c>
      <c r="D4" s="2757" t="s">
        <v>2020</v>
      </c>
      <c r="E4" s="2762"/>
      <c r="F4" s="2762"/>
      <c r="G4" s="2762"/>
      <c r="H4" s="2762"/>
      <c r="I4" s="2762"/>
    </row>
    <row r="5" spans="1:9" ht="12.4" customHeight="1">
      <c r="A5" s="2760"/>
      <c r="B5" s="2756"/>
      <c r="C5" s="2756"/>
      <c r="D5" s="2758"/>
      <c r="E5" s="2762"/>
      <c r="F5" s="2762"/>
      <c r="G5" s="2762"/>
      <c r="H5" s="2762"/>
      <c r="I5" s="2762"/>
    </row>
    <row r="6" spans="1:9">
      <c r="A6" s="120">
        <v>201</v>
      </c>
      <c r="B6" s="121"/>
      <c r="C6" s="122">
        <v>251</v>
      </c>
      <c r="D6" s="123"/>
      <c r="E6" s="133"/>
      <c r="F6" s="43"/>
      <c r="G6" s="48"/>
      <c r="H6" s="43"/>
      <c r="I6" s="48"/>
    </row>
    <row r="7" spans="1:9">
      <c r="A7" s="30">
        <v>202</v>
      </c>
      <c r="B7" s="124"/>
      <c r="C7" s="109">
        <v>252</v>
      </c>
      <c r="D7" s="125"/>
      <c r="E7" s="133"/>
      <c r="F7" s="43"/>
      <c r="G7" s="48"/>
      <c r="H7" s="43"/>
      <c r="I7" s="48"/>
    </row>
    <row r="8" spans="1:9">
      <c r="A8" s="142">
        <v>203</v>
      </c>
      <c r="B8" s="124"/>
      <c r="C8" s="134">
        <v>253</v>
      </c>
      <c r="D8" s="125"/>
      <c r="E8" s="133"/>
      <c r="F8" s="43"/>
      <c r="G8" s="48"/>
      <c r="H8" s="43"/>
      <c r="I8" s="48"/>
    </row>
    <row r="9" spans="1:9">
      <c r="A9" s="30">
        <v>204</v>
      </c>
      <c r="B9" s="124"/>
      <c r="C9" s="109">
        <v>254</v>
      </c>
      <c r="D9" s="125"/>
      <c r="E9" s="133"/>
      <c r="F9" s="43"/>
      <c r="G9" s="48"/>
      <c r="H9" s="43"/>
      <c r="I9" s="48"/>
    </row>
    <row r="10" spans="1:9">
      <c r="A10" s="142">
        <v>205</v>
      </c>
      <c r="B10" s="124"/>
      <c r="C10" s="134">
        <v>255</v>
      </c>
      <c r="D10" s="137"/>
      <c r="E10" s="133"/>
      <c r="F10" s="43"/>
      <c r="G10" s="48"/>
      <c r="H10" s="43"/>
      <c r="I10" s="48"/>
    </row>
    <row r="11" spans="1:9">
      <c r="A11" s="30">
        <v>206</v>
      </c>
      <c r="B11" s="124"/>
      <c r="C11" s="109">
        <v>256</v>
      </c>
      <c r="D11" s="125"/>
      <c r="E11" s="133"/>
      <c r="F11" s="43"/>
      <c r="G11" s="48"/>
      <c r="H11" s="43"/>
      <c r="I11" s="48"/>
    </row>
    <row r="12" spans="1:9">
      <c r="A12" s="142">
        <v>207</v>
      </c>
      <c r="B12" s="124"/>
      <c r="C12" s="134">
        <v>257</v>
      </c>
      <c r="D12" s="125"/>
      <c r="E12" s="133"/>
      <c r="F12" s="43"/>
      <c r="G12" s="48"/>
      <c r="H12" s="43"/>
      <c r="I12" s="48"/>
    </row>
    <row r="13" spans="1:9">
      <c r="A13" s="30">
        <v>208</v>
      </c>
      <c r="B13" s="124"/>
      <c r="C13" s="109">
        <v>258</v>
      </c>
      <c r="D13" s="125"/>
      <c r="E13" s="133"/>
      <c r="F13" s="43"/>
      <c r="G13" s="48"/>
      <c r="H13" s="43"/>
      <c r="I13" s="48"/>
    </row>
    <row r="14" spans="1:9">
      <c r="A14" s="142">
        <v>209</v>
      </c>
      <c r="B14" s="124"/>
      <c r="C14" s="134">
        <v>259</v>
      </c>
      <c r="D14" s="125"/>
      <c r="E14" s="133"/>
      <c r="F14" s="43"/>
      <c r="G14" s="48"/>
      <c r="H14" s="43"/>
      <c r="I14" s="48"/>
    </row>
    <row r="15" spans="1:9">
      <c r="A15" s="30">
        <v>210</v>
      </c>
      <c r="B15" s="124"/>
      <c r="C15" s="109">
        <v>260</v>
      </c>
      <c r="D15" s="125"/>
      <c r="E15" s="133"/>
      <c r="F15" s="43"/>
      <c r="G15" s="48"/>
      <c r="H15" s="43"/>
      <c r="I15" s="48"/>
    </row>
    <row r="16" spans="1:9">
      <c r="A16" s="142">
        <v>211</v>
      </c>
      <c r="B16" s="124"/>
      <c r="C16" s="134">
        <v>261</v>
      </c>
      <c r="D16" s="125"/>
      <c r="E16" s="133"/>
      <c r="F16" s="43"/>
      <c r="G16" s="48"/>
      <c r="H16" s="43"/>
      <c r="I16" s="48"/>
    </row>
    <row r="17" spans="1:9">
      <c r="A17" s="30">
        <v>212</v>
      </c>
      <c r="B17" s="124"/>
      <c r="C17" s="109">
        <v>262</v>
      </c>
      <c r="D17" s="125"/>
      <c r="E17" s="133"/>
      <c r="F17" s="43"/>
      <c r="G17" s="48"/>
      <c r="H17" s="43"/>
      <c r="I17" s="48"/>
    </row>
    <row r="18" spans="1:9">
      <c r="A18" s="142">
        <v>213</v>
      </c>
      <c r="B18" s="124"/>
      <c r="C18" s="134">
        <v>263</v>
      </c>
      <c r="D18" s="125"/>
      <c r="E18" s="133"/>
      <c r="F18" s="43"/>
      <c r="G18" s="48"/>
      <c r="H18" s="43"/>
      <c r="I18" s="48"/>
    </row>
    <row r="19" spans="1:9">
      <c r="A19" s="30">
        <v>214</v>
      </c>
      <c r="B19" s="124"/>
      <c r="C19" s="109">
        <v>264</v>
      </c>
      <c r="D19" s="125"/>
      <c r="E19" s="133"/>
      <c r="F19" s="43"/>
      <c r="G19" s="48"/>
      <c r="H19" s="43"/>
      <c r="I19" s="48"/>
    </row>
    <row r="20" spans="1:9">
      <c r="A20" s="142">
        <v>215</v>
      </c>
      <c r="B20" s="124"/>
      <c r="C20" s="134">
        <v>265</v>
      </c>
      <c r="D20" s="125"/>
      <c r="E20" s="133"/>
      <c r="F20" s="43"/>
      <c r="G20" s="48"/>
      <c r="H20" s="43"/>
      <c r="I20" s="48"/>
    </row>
    <row r="21" spans="1:9">
      <c r="A21" s="30">
        <v>216</v>
      </c>
      <c r="B21" s="124"/>
      <c r="C21" s="109">
        <v>266</v>
      </c>
      <c r="D21" s="125"/>
      <c r="E21" s="133"/>
      <c r="F21" s="43"/>
      <c r="G21" s="48"/>
      <c r="H21" s="43"/>
      <c r="I21" s="48"/>
    </row>
    <row r="22" spans="1:9">
      <c r="A22" s="142">
        <v>217</v>
      </c>
      <c r="B22" s="124"/>
      <c r="C22" s="134">
        <v>267</v>
      </c>
      <c r="D22" s="125"/>
      <c r="E22" s="133"/>
      <c r="F22" s="43"/>
      <c r="G22" s="48"/>
      <c r="H22" s="43"/>
      <c r="I22" s="48"/>
    </row>
    <row r="23" spans="1:9">
      <c r="A23" s="30">
        <v>218</v>
      </c>
      <c r="B23" s="124"/>
      <c r="C23" s="109">
        <v>268</v>
      </c>
      <c r="D23" s="125"/>
      <c r="E23" s="133"/>
      <c r="F23" s="43"/>
      <c r="G23" s="48"/>
      <c r="H23" s="43"/>
      <c r="I23" s="48"/>
    </row>
    <row r="24" spans="1:9">
      <c r="A24" s="142">
        <v>219</v>
      </c>
      <c r="B24" s="124"/>
      <c r="C24" s="134">
        <v>269</v>
      </c>
      <c r="D24" s="125"/>
      <c r="E24" s="133"/>
      <c r="F24" s="43"/>
      <c r="G24" s="48"/>
      <c r="H24" s="43"/>
      <c r="I24" s="48"/>
    </row>
    <row r="25" spans="1:9">
      <c r="A25" s="30">
        <v>220</v>
      </c>
      <c r="B25" s="124"/>
      <c r="C25" s="109">
        <v>270</v>
      </c>
      <c r="D25" s="125"/>
      <c r="E25" s="133"/>
      <c r="F25" s="43"/>
      <c r="G25" s="48"/>
      <c r="H25" s="43"/>
      <c r="I25" s="48"/>
    </row>
    <row r="26" spans="1:9">
      <c r="A26" s="142">
        <v>221</v>
      </c>
      <c r="B26" s="124"/>
      <c r="C26" s="134">
        <v>271</v>
      </c>
      <c r="D26" s="125"/>
      <c r="E26" s="133"/>
      <c r="F26" s="43"/>
      <c r="G26" s="48"/>
      <c r="H26" s="43"/>
      <c r="I26" s="48"/>
    </row>
    <row r="27" spans="1:9">
      <c r="A27" s="30">
        <v>222</v>
      </c>
      <c r="B27" s="124"/>
      <c r="C27" s="109">
        <v>272</v>
      </c>
      <c r="D27" s="125"/>
      <c r="E27" s="133"/>
      <c r="F27" s="43"/>
      <c r="G27" s="48"/>
      <c r="H27" s="43"/>
      <c r="I27" s="48"/>
    </row>
    <row r="28" spans="1:9">
      <c r="A28" s="142">
        <v>223</v>
      </c>
      <c r="B28" s="124"/>
      <c r="C28" s="134">
        <v>273</v>
      </c>
      <c r="D28" s="125"/>
      <c r="E28" s="133"/>
      <c r="F28" s="43"/>
      <c r="G28" s="48"/>
      <c r="H28" s="43"/>
      <c r="I28" s="48"/>
    </row>
    <row r="29" spans="1:9">
      <c r="A29" s="30">
        <v>224</v>
      </c>
      <c r="B29" s="124"/>
      <c r="C29" s="109">
        <v>274</v>
      </c>
      <c r="D29" s="125"/>
      <c r="E29" s="133"/>
      <c r="F29" s="43"/>
      <c r="G29" s="48"/>
      <c r="H29" s="43"/>
      <c r="I29" s="48"/>
    </row>
    <row r="30" spans="1:9">
      <c r="A30" s="142">
        <v>225</v>
      </c>
      <c r="B30" s="124"/>
      <c r="C30" s="134">
        <v>275</v>
      </c>
      <c r="D30" s="125"/>
      <c r="E30" s="133"/>
      <c r="F30" s="43"/>
      <c r="G30" s="48"/>
      <c r="H30" s="43"/>
      <c r="I30" s="48"/>
    </row>
    <row r="31" spans="1:9">
      <c r="A31" s="30">
        <v>226</v>
      </c>
      <c r="B31" s="124"/>
      <c r="C31" s="109">
        <v>276</v>
      </c>
      <c r="D31" s="125"/>
      <c r="E31" s="133"/>
      <c r="F31" s="43"/>
      <c r="G31" s="48"/>
      <c r="H31" s="43"/>
      <c r="I31" s="48"/>
    </row>
    <row r="32" spans="1:9">
      <c r="A32" s="142">
        <v>227</v>
      </c>
      <c r="B32" s="124"/>
      <c r="C32" s="134">
        <v>277</v>
      </c>
      <c r="D32" s="125"/>
      <c r="E32" s="133"/>
      <c r="F32" s="43"/>
      <c r="G32" s="48"/>
      <c r="H32" s="43"/>
      <c r="I32" s="48"/>
    </row>
    <row r="33" spans="1:9">
      <c r="A33" s="30">
        <v>228</v>
      </c>
      <c r="B33" s="124"/>
      <c r="C33" s="109">
        <v>278</v>
      </c>
      <c r="D33" s="125"/>
      <c r="E33" s="133"/>
      <c r="F33" s="43"/>
      <c r="G33" s="48"/>
      <c r="H33" s="43"/>
      <c r="I33" s="48"/>
    </row>
    <row r="34" spans="1:9">
      <c r="A34" s="142">
        <v>229</v>
      </c>
      <c r="B34" s="124"/>
      <c r="C34" s="134">
        <v>279</v>
      </c>
      <c r="D34" s="125"/>
      <c r="E34" s="133"/>
      <c r="F34" s="43"/>
      <c r="G34" s="48"/>
      <c r="H34" s="43"/>
      <c r="I34" s="48"/>
    </row>
    <row r="35" spans="1:9">
      <c r="A35" s="30">
        <v>230</v>
      </c>
      <c r="B35" s="124"/>
      <c r="C35" s="109">
        <v>280</v>
      </c>
      <c r="D35" s="125"/>
      <c r="E35" s="133"/>
      <c r="F35" s="43"/>
      <c r="G35" s="48"/>
      <c r="H35" s="43"/>
      <c r="I35" s="48"/>
    </row>
    <row r="36" spans="1:9">
      <c r="A36" s="142">
        <v>231</v>
      </c>
      <c r="B36" s="124"/>
      <c r="C36" s="134">
        <v>281</v>
      </c>
      <c r="D36" s="125"/>
      <c r="E36" s="133"/>
      <c r="F36" s="43"/>
      <c r="G36" s="48"/>
      <c r="H36" s="43"/>
      <c r="I36" s="48"/>
    </row>
    <row r="37" spans="1:9">
      <c r="A37" s="30">
        <v>232</v>
      </c>
      <c r="B37" s="124"/>
      <c r="C37" s="109">
        <v>282</v>
      </c>
      <c r="D37" s="125"/>
      <c r="E37" s="133"/>
      <c r="F37" s="43"/>
      <c r="G37" s="48"/>
      <c r="H37" s="43"/>
      <c r="I37" s="48"/>
    </row>
    <row r="38" spans="1:9">
      <c r="A38" s="142">
        <v>233</v>
      </c>
      <c r="B38" s="124"/>
      <c r="C38" s="134">
        <v>283</v>
      </c>
      <c r="D38" s="125"/>
      <c r="E38" s="133"/>
      <c r="F38" s="43"/>
      <c r="G38" s="48"/>
      <c r="H38" s="43"/>
      <c r="I38" s="48"/>
    </row>
    <row r="39" spans="1:9">
      <c r="A39" s="30">
        <v>234</v>
      </c>
      <c r="B39" s="124"/>
      <c r="C39" s="109">
        <v>284</v>
      </c>
      <c r="D39" s="125"/>
      <c r="E39" s="133"/>
      <c r="F39" s="43"/>
      <c r="G39" s="48"/>
      <c r="H39" s="43"/>
      <c r="I39" s="48"/>
    </row>
    <row r="40" spans="1:9">
      <c r="A40" s="142">
        <v>235</v>
      </c>
      <c r="B40" s="124"/>
      <c r="C40" s="134">
        <v>285</v>
      </c>
      <c r="D40" s="125"/>
      <c r="E40" s="133"/>
      <c r="F40" s="43"/>
      <c r="G40" s="48"/>
      <c r="H40" s="43"/>
      <c r="I40" s="48"/>
    </row>
    <row r="41" spans="1:9">
      <c r="A41" s="30">
        <v>236</v>
      </c>
      <c r="B41" s="124"/>
      <c r="C41" s="109">
        <v>286</v>
      </c>
      <c r="D41" s="125"/>
      <c r="E41" s="133"/>
      <c r="F41" s="43"/>
      <c r="G41" s="48"/>
      <c r="H41" s="43"/>
      <c r="I41" s="48"/>
    </row>
    <row r="42" spans="1:9">
      <c r="A42" s="142">
        <v>237</v>
      </c>
      <c r="B42" s="124"/>
      <c r="C42" s="134">
        <v>287</v>
      </c>
      <c r="D42" s="125"/>
      <c r="E42" s="133"/>
      <c r="F42" s="43"/>
      <c r="G42" s="48"/>
      <c r="H42" s="43"/>
      <c r="I42" s="48"/>
    </row>
    <row r="43" spans="1:9">
      <c r="A43" s="30">
        <v>238</v>
      </c>
      <c r="B43" s="124"/>
      <c r="C43" s="109">
        <v>288</v>
      </c>
      <c r="D43" s="125"/>
      <c r="E43" s="133"/>
      <c r="F43" s="43"/>
      <c r="G43" s="48"/>
      <c r="H43" s="43"/>
      <c r="I43" s="48"/>
    </row>
    <row r="44" spans="1:9">
      <c r="A44" s="142">
        <v>239</v>
      </c>
      <c r="B44" s="124"/>
      <c r="C44" s="134">
        <v>289</v>
      </c>
      <c r="D44" s="125"/>
      <c r="E44" s="133"/>
      <c r="F44" s="43"/>
      <c r="G44" s="48"/>
      <c r="H44" s="43"/>
      <c r="I44" s="48"/>
    </row>
    <row r="45" spans="1:9">
      <c r="A45" s="30">
        <v>240</v>
      </c>
      <c r="B45" s="124"/>
      <c r="C45" s="109">
        <v>290</v>
      </c>
      <c r="D45" s="125"/>
      <c r="E45" s="133"/>
      <c r="F45" s="43"/>
      <c r="G45" s="48"/>
      <c r="H45" s="43"/>
      <c r="I45" s="48"/>
    </row>
    <row r="46" spans="1:9">
      <c r="A46" s="142">
        <v>241</v>
      </c>
      <c r="B46" s="124"/>
      <c r="C46" s="134">
        <v>291</v>
      </c>
      <c r="D46" s="125"/>
      <c r="E46" s="133"/>
      <c r="F46" s="43"/>
      <c r="G46" s="48"/>
      <c r="H46" s="43"/>
      <c r="I46" s="48"/>
    </row>
    <row r="47" spans="1:9">
      <c r="A47" s="30">
        <v>242</v>
      </c>
      <c r="B47" s="124"/>
      <c r="C47" s="109">
        <v>292</v>
      </c>
      <c r="D47" s="125"/>
      <c r="E47" s="133"/>
      <c r="F47" s="43"/>
      <c r="G47" s="48"/>
      <c r="H47" s="43"/>
      <c r="I47" s="48"/>
    </row>
    <row r="48" spans="1:9">
      <c r="A48" s="142">
        <v>243</v>
      </c>
      <c r="B48" s="124"/>
      <c r="C48" s="134">
        <v>293</v>
      </c>
      <c r="D48" s="125"/>
      <c r="E48" s="133"/>
      <c r="F48" s="43"/>
      <c r="G48" s="48"/>
      <c r="H48" s="43"/>
      <c r="I48" s="48"/>
    </row>
    <row r="49" spans="1:9">
      <c r="A49" s="30">
        <v>244</v>
      </c>
      <c r="B49" s="124"/>
      <c r="C49" s="109">
        <v>294</v>
      </c>
      <c r="D49" s="125"/>
      <c r="E49" s="133"/>
      <c r="F49" s="43"/>
      <c r="G49" s="48"/>
      <c r="H49" s="43"/>
      <c r="I49" s="48"/>
    </row>
    <row r="50" spans="1:9">
      <c r="A50" s="142">
        <v>245</v>
      </c>
      <c r="B50" s="124"/>
      <c r="C50" s="134">
        <v>295</v>
      </c>
      <c r="D50" s="125"/>
      <c r="E50" s="133"/>
      <c r="F50" s="43"/>
      <c r="G50" s="48"/>
      <c r="H50" s="43"/>
      <c r="I50" s="48"/>
    </row>
    <row r="51" spans="1:9">
      <c r="A51" s="30">
        <v>246</v>
      </c>
      <c r="B51" s="124"/>
      <c r="C51" s="109">
        <v>296</v>
      </c>
      <c r="D51" s="125"/>
      <c r="E51" s="133"/>
      <c r="F51" s="43"/>
      <c r="G51" s="48"/>
      <c r="H51" s="43"/>
      <c r="I51" s="48"/>
    </row>
    <row r="52" spans="1:9">
      <c r="A52" s="142">
        <v>247</v>
      </c>
      <c r="B52" s="124"/>
      <c r="C52" s="134">
        <v>297</v>
      </c>
      <c r="D52" s="137"/>
      <c r="E52" s="133"/>
      <c r="F52" s="43"/>
      <c r="G52" s="48"/>
      <c r="H52" s="43"/>
      <c r="I52" s="48"/>
    </row>
    <row r="53" spans="1:9">
      <c r="A53" s="30">
        <v>248</v>
      </c>
      <c r="B53" s="124"/>
      <c r="C53" s="109">
        <v>298</v>
      </c>
      <c r="D53" s="125"/>
      <c r="E53" s="48"/>
      <c r="F53" s="43"/>
      <c r="G53" s="48"/>
      <c r="H53" s="43"/>
      <c r="I53" s="48"/>
    </row>
    <row r="54" spans="1:9">
      <c r="A54" s="142">
        <v>249</v>
      </c>
      <c r="B54" s="124"/>
      <c r="C54" s="134">
        <v>299</v>
      </c>
      <c r="D54" s="125"/>
      <c r="E54" s="48"/>
      <c r="F54" s="43"/>
      <c r="G54" s="48"/>
      <c r="H54" s="43"/>
      <c r="I54" s="48"/>
    </row>
    <row r="55" spans="1:9">
      <c r="A55" s="129">
        <v>250</v>
      </c>
      <c r="B55" s="130"/>
      <c r="C55" s="131">
        <v>300</v>
      </c>
      <c r="D55" s="143"/>
      <c r="E55" s="48"/>
      <c r="F55" s="43"/>
      <c r="G55" s="48"/>
      <c r="H55" s="43"/>
      <c r="I55" s="48"/>
    </row>
  </sheetData>
  <mergeCells count="10">
    <mergeCell ref="E4:E5"/>
    <mergeCell ref="F4:F5"/>
    <mergeCell ref="G4:G5"/>
    <mergeCell ref="H4:H5"/>
    <mergeCell ref="I4:I5"/>
    <mergeCell ref="A2:D2"/>
    <mergeCell ref="A4:A5"/>
    <mergeCell ref="B4:B5"/>
    <mergeCell ref="C4:C5"/>
    <mergeCell ref="D4:D5"/>
  </mergeCells>
  <printOptions horizontalCentered="1" verticalCentered="1"/>
  <pageMargins left="0" right="0" top="0" bottom="0" header="0.3" footer="0.3"/>
  <pageSetup paperSize="10000" scale="82"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2:M55"/>
  <sheetViews>
    <sheetView workbookViewId="0">
      <selection activeCell="G72" sqref="A1:K115"/>
    </sheetView>
  </sheetViews>
  <sheetFormatPr defaultColWidth="10" defaultRowHeight="12.5"/>
  <cols>
    <col min="1" max="1" width="7.7265625" customWidth="1"/>
    <col min="2" max="2" width="25.7265625" customWidth="1"/>
    <col min="3" max="3" width="7.7265625" customWidth="1"/>
    <col min="4" max="4" width="35.7265625" customWidth="1"/>
    <col min="5" max="5" width="7.81640625" customWidth="1"/>
    <col min="6" max="6" width="30.7265625" customWidth="1"/>
    <col min="7" max="7" width="7.7265625" customWidth="1"/>
    <col min="8" max="8" width="30.7265625" customWidth="1"/>
    <col min="9" max="9" width="26.26953125" customWidth="1"/>
  </cols>
  <sheetData>
    <row r="2" spans="1:13" ht="27" customHeight="1">
      <c r="A2" s="2761" t="s">
        <v>2117</v>
      </c>
      <c r="B2" s="2761"/>
      <c r="C2" s="2761"/>
      <c r="D2" s="2761"/>
      <c r="E2" s="2761"/>
      <c r="F2" s="2761"/>
      <c r="G2" s="2761"/>
      <c r="H2" s="2761"/>
    </row>
    <row r="4" spans="1:13" ht="12.4" customHeight="1">
      <c r="A4" s="2759" t="s">
        <v>2019</v>
      </c>
      <c r="B4" s="2755" t="s">
        <v>2020</v>
      </c>
      <c r="C4" s="2755" t="s">
        <v>2019</v>
      </c>
      <c r="D4" s="2755" t="s">
        <v>2020</v>
      </c>
      <c r="E4" s="2755" t="s">
        <v>2019</v>
      </c>
      <c r="F4" s="2755" t="s">
        <v>2020</v>
      </c>
      <c r="G4" s="2755" t="s">
        <v>2019</v>
      </c>
      <c r="H4" s="2757" t="s">
        <v>2118</v>
      </c>
      <c r="I4" s="2762"/>
      <c r="J4" s="2762"/>
      <c r="K4" s="2762"/>
      <c r="L4" s="2762"/>
      <c r="M4" s="2762"/>
    </row>
    <row r="5" spans="1:13" ht="12.4" customHeight="1">
      <c r="A5" s="2760"/>
      <c r="B5" s="2756"/>
      <c r="C5" s="2756"/>
      <c r="D5" s="2756"/>
      <c r="E5" s="2756"/>
      <c r="F5" s="2756"/>
      <c r="G5" s="2756"/>
      <c r="H5" s="2758"/>
      <c r="I5" s="2762"/>
      <c r="J5" s="2762"/>
      <c r="K5" s="2762"/>
      <c r="L5" s="2762"/>
      <c r="M5" s="2762"/>
    </row>
    <row r="6" spans="1:13">
      <c r="A6" s="122">
        <v>301</v>
      </c>
      <c r="B6" s="121" t="s">
        <v>1282</v>
      </c>
      <c r="C6" s="122">
        <v>351</v>
      </c>
      <c r="D6" s="141" t="s">
        <v>2022</v>
      </c>
      <c r="E6" s="134">
        <v>401</v>
      </c>
      <c r="F6" s="121"/>
      <c r="G6" s="134">
        <v>451</v>
      </c>
      <c r="H6" s="123" t="s">
        <v>2023</v>
      </c>
      <c r="I6" s="133"/>
      <c r="J6" s="43"/>
      <c r="K6" s="48"/>
      <c r="L6" s="43"/>
      <c r="M6" s="48"/>
    </row>
    <row r="7" spans="1:13">
      <c r="A7" s="109">
        <v>302</v>
      </c>
      <c r="B7" s="124" t="s">
        <v>1283</v>
      </c>
      <c r="C7" s="109">
        <v>352</v>
      </c>
      <c r="D7" s="136" t="s">
        <v>2024</v>
      </c>
      <c r="E7" s="109">
        <v>402</v>
      </c>
      <c r="F7" s="124"/>
      <c r="G7" s="109">
        <v>452</v>
      </c>
      <c r="H7" s="125" t="s">
        <v>2025</v>
      </c>
      <c r="I7" s="133"/>
      <c r="J7" s="43"/>
      <c r="K7" s="48"/>
      <c r="L7" s="43"/>
      <c r="M7" s="48"/>
    </row>
    <row r="8" spans="1:13">
      <c r="A8" s="134">
        <v>303</v>
      </c>
      <c r="B8" s="124" t="s">
        <v>1284</v>
      </c>
      <c r="C8" s="134">
        <v>353</v>
      </c>
      <c r="D8" s="136" t="s">
        <v>2026</v>
      </c>
      <c r="E8" s="109">
        <v>403</v>
      </c>
      <c r="F8" s="124"/>
      <c r="G8" s="134">
        <v>453</v>
      </c>
      <c r="H8" s="125" t="s">
        <v>2027</v>
      </c>
      <c r="I8" s="133"/>
      <c r="J8" s="43"/>
      <c r="K8" s="48"/>
      <c r="L8" s="43"/>
      <c r="M8" s="48"/>
    </row>
    <row r="9" spans="1:13">
      <c r="A9" s="109">
        <v>304</v>
      </c>
      <c r="B9" s="124" t="s">
        <v>1285</v>
      </c>
      <c r="C9" s="109">
        <v>354</v>
      </c>
      <c r="D9" s="136" t="s">
        <v>2028</v>
      </c>
      <c r="E9" s="109">
        <v>404</v>
      </c>
      <c r="F9" s="124"/>
      <c r="G9" s="109">
        <v>454</v>
      </c>
      <c r="H9" s="125" t="s">
        <v>1470</v>
      </c>
      <c r="I9" s="133"/>
      <c r="J9" s="43"/>
      <c r="K9" s="48"/>
      <c r="L9" s="43"/>
      <c r="M9" s="48"/>
    </row>
    <row r="10" spans="1:13">
      <c r="A10" s="134">
        <v>305</v>
      </c>
      <c r="B10" s="124" t="s">
        <v>1726</v>
      </c>
      <c r="C10" s="134">
        <v>355</v>
      </c>
      <c r="D10" s="138" t="s">
        <v>2029</v>
      </c>
      <c r="E10" s="109">
        <v>405</v>
      </c>
      <c r="F10" s="124"/>
      <c r="G10" s="134">
        <v>455</v>
      </c>
      <c r="H10" s="125" t="s">
        <v>2030</v>
      </c>
      <c r="I10" s="133"/>
      <c r="J10" s="43"/>
      <c r="K10" s="48"/>
      <c r="L10" s="43"/>
      <c r="M10" s="48"/>
    </row>
    <row r="11" spans="1:13">
      <c r="A11" s="109">
        <v>306</v>
      </c>
      <c r="B11" s="124" t="s">
        <v>1287</v>
      </c>
      <c r="C11" s="109">
        <v>356</v>
      </c>
      <c r="D11" s="136" t="s">
        <v>2031</v>
      </c>
      <c r="E11" s="109">
        <v>406</v>
      </c>
      <c r="F11" s="124"/>
      <c r="G11" s="109">
        <v>456</v>
      </c>
      <c r="H11" s="125" t="s">
        <v>2032</v>
      </c>
      <c r="I11" s="133"/>
      <c r="J11" s="43"/>
      <c r="K11" s="48"/>
      <c r="L11" s="43"/>
      <c r="M11" s="48"/>
    </row>
    <row r="12" spans="1:13" ht="13">
      <c r="A12" s="134">
        <v>307</v>
      </c>
      <c r="B12" s="124" t="s">
        <v>1294</v>
      </c>
      <c r="C12" s="134">
        <v>357</v>
      </c>
      <c r="D12" s="136" t="s">
        <v>2033</v>
      </c>
      <c r="E12" s="109">
        <v>407</v>
      </c>
      <c r="F12" s="124"/>
      <c r="G12" s="134">
        <v>457</v>
      </c>
      <c r="H12" s="125" t="s">
        <v>2034</v>
      </c>
      <c r="I12" s="133"/>
      <c r="J12" s="43"/>
      <c r="K12" s="48"/>
      <c r="L12" s="43"/>
      <c r="M12" s="48"/>
    </row>
    <row r="13" spans="1:13">
      <c r="A13" s="109">
        <v>308</v>
      </c>
      <c r="B13" s="124" t="s">
        <v>1288</v>
      </c>
      <c r="C13" s="109">
        <v>358</v>
      </c>
      <c r="D13" s="136" t="s">
        <v>1324</v>
      </c>
      <c r="E13" s="109">
        <v>408</v>
      </c>
      <c r="F13" s="124"/>
      <c r="G13" s="109">
        <v>458</v>
      </c>
      <c r="H13" s="125" t="s">
        <v>2035</v>
      </c>
      <c r="I13" s="133"/>
      <c r="J13" s="43"/>
      <c r="K13" s="48"/>
      <c r="L13" s="43"/>
      <c r="M13" s="48"/>
    </row>
    <row r="14" spans="1:13">
      <c r="A14" s="134">
        <v>309</v>
      </c>
      <c r="B14" s="124" t="s">
        <v>1728</v>
      </c>
      <c r="C14" s="134">
        <v>359</v>
      </c>
      <c r="D14" s="136" t="s">
        <v>2036</v>
      </c>
      <c r="E14" s="109">
        <v>409</v>
      </c>
      <c r="F14" s="124"/>
      <c r="G14" s="134">
        <v>459</v>
      </c>
      <c r="H14" s="125" t="s">
        <v>2038</v>
      </c>
      <c r="I14" s="133"/>
      <c r="J14" s="43"/>
      <c r="K14" s="48"/>
      <c r="L14" s="43"/>
      <c r="M14" s="48"/>
    </row>
    <row r="15" spans="1:13">
      <c r="A15" s="109">
        <v>310</v>
      </c>
      <c r="B15" s="124" t="s">
        <v>1729</v>
      </c>
      <c r="C15" s="109">
        <v>360</v>
      </c>
      <c r="D15" s="136" t="s">
        <v>2039</v>
      </c>
      <c r="E15" s="109">
        <v>410</v>
      </c>
      <c r="F15" s="124"/>
      <c r="G15" s="109">
        <v>460</v>
      </c>
      <c r="H15" s="125" t="s">
        <v>1475</v>
      </c>
      <c r="I15" s="133"/>
      <c r="J15" s="43"/>
      <c r="K15" s="48"/>
      <c r="L15" s="43"/>
      <c r="M15" s="48"/>
    </row>
    <row r="16" spans="1:13">
      <c r="A16" s="134">
        <v>311</v>
      </c>
      <c r="B16" s="124" t="s">
        <v>1291</v>
      </c>
      <c r="C16" s="134">
        <v>361</v>
      </c>
      <c r="D16" s="136" t="s">
        <v>1327</v>
      </c>
      <c r="E16" s="109">
        <v>411</v>
      </c>
      <c r="F16" s="124"/>
      <c r="G16" s="134">
        <v>461</v>
      </c>
      <c r="H16" s="125" t="s">
        <v>2042</v>
      </c>
      <c r="I16" s="133"/>
      <c r="J16" s="43"/>
      <c r="K16" s="48"/>
      <c r="L16" s="43"/>
      <c r="M16" s="48"/>
    </row>
    <row r="17" spans="1:13">
      <c r="A17" s="109">
        <v>312</v>
      </c>
      <c r="B17" s="124" t="s">
        <v>2043</v>
      </c>
      <c r="C17" s="109">
        <v>362</v>
      </c>
      <c r="D17" s="136" t="s">
        <v>2044</v>
      </c>
      <c r="E17" s="109">
        <v>412</v>
      </c>
      <c r="F17" s="124"/>
      <c r="G17" s="109">
        <v>462</v>
      </c>
      <c r="H17" s="125" t="s">
        <v>2046</v>
      </c>
      <c r="I17" s="133"/>
      <c r="J17" s="43"/>
      <c r="K17" s="48"/>
      <c r="L17" s="43"/>
      <c r="M17" s="48"/>
    </row>
    <row r="18" spans="1:13">
      <c r="A18" s="134">
        <v>313</v>
      </c>
      <c r="B18" s="124" t="s">
        <v>1866</v>
      </c>
      <c r="C18" s="134">
        <v>363</v>
      </c>
      <c r="D18" s="136" t="s">
        <v>2047</v>
      </c>
      <c r="E18" s="109">
        <v>413</v>
      </c>
      <c r="F18" s="124"/>
      <c r="G18" s="134">
        <v>463</v>
      </c>
      <c r="H18" s="125" t="s">
        <v>2049</v>
      </c>
      <c r="I18" s="133"/>
      <c r="J18" s="43"/>
      <c r="K18" s="48"/>
      <c r="L18" s="43"/>
      <c r="M18" s="48"/>
    </row>
    <row r="19" spans="1:13">
      <c r="A19" s="109">
        <v>314</v>
      </c>
      <c r="B19" s="124" t="s">
        <v>1373</v>
      </c>
      <c r="C19" s="109">
        <v>364</v>
      </c>
      <c r="D19" s="136" t="s">
        <v>2050</v>
      </c>
      <c r="E19" s="109">
        <v>414</v>
      </c>
      <c r="F19" s="124"/>
      <c r="G19" s="109">
        <v>464</v>
      </c>
      <c r="H19" s="125" t="s">
        <v>2052</v>
      </c>
      <c r="I19" s="133"/>
      <c r="J19" s="43"/>
      <c r="K19" s="48"/>
      <c r="L19" s="43"/>
      <c r="M19" s="48"/>
    </row>
    <row r="20" spans="1:13">
      <c r="A20" s="134">
        <v>315</v>
      </c>
      <c r="B20" s="124" t="s">
        <v>2053</v>
      </c>
      <c r="C20" s="134">
        <v>365</v>
      </c>
      <c r="D20" s="136" t="s">
        <v>1331</v>
      </c>
      <c r="E20" s="109">
        <v>415</v>
      </c>
      <c r="F20" s="124"/>
      <c r="G20" s="134">
        <v>465</v>
      </c>
      <c r="H20" s="125" t="s">
        <v>2055</v>
      </c>
      <c r="I20" s="133"/>
      <c r="J20" s="43"/>
      <c r="K20" s="48"/>
      <c r="L20" s="43"/>
      <c r="M20" s="48"/>
    </row>
    <row r="21" spans="1:13">
      <c r="A21" s="109">
        <v>316</v>
      </c>
      <c r="B21" s="124" t="s">
        <v>1296</v>
      </c>
      <c r="C21" s="109">
        <v>366</v>
      </c>
      <c r="D21" s="136" t="s">
        <v>2056</v>
      </c>
      <c r="E21" s="109">
        <v>416</v>
      </c>
      <c r="F21" s="124"/>
      <c r="G21" s="109">
        <v>466</v>
      </c>
      <c r="H21" s="125" t="s">
        <v>2058</v>
      </c>
      <c r="I21" s="133"/>
      <c r="J21" s="43"/>
      <c r="K21" s="48"/>
      <c r="L21" s="43"/>
      <c r="M21" s="48"/>
    </row>
    <row r="22" spans="1:13">
      <c r="A22" s="134">
        <v>317</v>
      </c>
      <c r="B22" s="124" t="s">
        <v>1400</v>
      </c>
      <c r="C22" s="134">
        <v>367</v>
      </c>
      <c r="D22" s="136" t="s">
        <v>2059</v>
      </c>
      <c r="E22" s="109">
        <v>417</v>
      </c>
      <c r="F22" s="124"/>
      <c r="G22" s="134">
        <v>467</v>
      </c>
      <c r="H22" s="125" t="s">
        <v>2061</v>
      </c>
      <c r="I22" s="133"/>
      <c r="J22" s="43"/>
      <c r="K22" s="48"/>
      <c r="L22" s="43"/>
      <c r="M22" s="48"/>
    </row>
    <row r="23" spans="1:13">
      <c r="A23" s="109">
        <v>318</v>
      </c>
      <c r="B23" s="124" t="s">
        <v>1401</v>
      </c>
      <c r="C23" s="109">
        <v>368</v>
      </c>
      <c r="D23" s="136" t="s">
        <v>1334</v>
      </c>
      <c r="E23" s="109">
        <v>418</v>
      </c>
      <c r="F23" s="124"/>
      <c r="G23" s="109">
        <v>468</v>
      </c>
      <c r="H23" s="125" t="s">
        <v>2063</v>
      </c>
      <c r="I23" s="133"/>
      <c r="J23" s="43"/>
      <c r="K23" s="48"/>
      <c r="L23" s="43"/>
      <c r="M23" s="48"/>
    </row>
    <row r="24" spans="1:13">
      <c r="A24" s="134">
        <v>319</v>
      </c>
      <c r="B24" s="124" t="s">
        <v>1402</v>
      </c>
      <c r="C24" s="134">
        <v>369</v>
      </c>
      <c r="D24" s="136" t="s">
        <v>2064</v>
      </c>
      <c r="E24" s="109">
        <v>419</v>
      </c>
      <c r="F24" s="124"/>
      <c r="G24" s="134">
        <v>469</v>
      </c>
      <c r="H24" s="125" t="s">
        <v>2066</v>
      </c>
      <c r="I24" s="133"/>
      <c r="J24" s="43"/>
      <c r="K24" s="48"/>
      <c r="L24" s="43"/>
      <c r="M24" s="48"/>
    </row>
    <row r="25" spans="1:13">
      <c r="A25" s="109">
        <v>320</v>
      </c>
      <c r="B25" s="124" t="s">
        <v>1306</v>
      </c>
      <c r="C25" s="109">
        <v>370</v>
      </c>
      <c r="D25" s="136" t="s">
        <v>2067</v>
      </c>
      <c r="E25" s="109">
        <v>420</v>
      </c>
      <c r="F25" s="124"/>
      <c r="G25" s="109">
        <v>470</v>
      </c>
      <c r="H25" s="125" t="s">
        <v>2069</v>
      </c>
      <c r="I25" s="133"/>
      <c r="J25" s="43"/>
      <c r="K25" s="48"/>
      <c r="L25" s="43"/>
      <c r="M25" s="48"/>
    </row>
    <row r="26" spans="1:13">
      <c r="A26" s="134">
        <v>321</v>
      </c>
      <c r="B26" s="124" t="s">
        <v>1305</v>
      </c>
      <c r="C26" s="134">
        <v>371</v>
      </c>
      <c r="D26" s="136" t="s">
        <v>2070</v>
      </c>
      <c r="E26" s="109">
        <v>421</v>
      </c>
      <c r="F26" s="124"/>
      <c r="G26" s="134">
        <v>471</v>
      </c>
      <c r="H26" s="125" t="s">
        <v>2071</v>
      </c>
      <c r="I26" s="133"/>
      <c r="J26" s="43"/>
      <c r="K26" s="48"/>
      <c r="L26" s="43"/>
      <c r="M26" s="48"/>
    </row>
    <row r="27" spans="1:13">
      <c r="A27" s="109">
        <v>322</v>
      </c>
      <c r="B27" s="124" t="s">
        <v>1307</v>
      </c>
      <c r="C27" s="109">
        <v>372</v>
      </c>
      <c r="D27" s="136" t="s">
        <v>2072</v>
      </c>
      <c r="E27" s="109">
        <v>422</v>
      </c>
      <c r="F27" s="124"/>
      <c r="G27" s="109">
        <v>472</v>
      </c>
      <c r="H27" s="125" t="s">
        <v>2073</v>
      </c>
      <c r="I27" s="133"/>
      <c r="J27" s="43"/>
      <c r="K27" s="48"/>
      <c r="L27" s="43"/>
      <c r="M27" s="48"/>
    </row>
    <row r="28" spans="1:13">
      <c r="A28" s="134">
        <v>323</v>
      </c>
      <c r="B28" s="124" t="s">
        <v>1308</v>
      </c>
      <c r="C28" s="134">
        <v>373</v>
      </c>
      <c r="D28" s="136" t="s">
        <v>2074</v>
      </c>
      <c r="E28" s="109">
        <v>423</v>
      </c>
      <c r="F28" s="124"/>
      <c r="G28" s="134">
        <v>473</v>
      </c>
      <c r="H28" s="125" t="s">
        <v>1491</v>
      </c>
      <c r="I28" s="133"/>
      <c r="J28" s="43"/>
      <c r="K28" s="48"/>
      <c r="L28" s="43"/>
      <c r="M28" s="48"/>
    </row>
    <row r="29" spans="1:13">
      <c r="A29" s="109">
        <v>324</v>
      </c>
      <c r="B29" s="124" t="s">
        <v>1309</v>
      </c>
      <c r="C29" s="109">
        <v>374</v>
      </c>
      <c r="D29" s="136" t="s">
        <v>2075</v>
      </c>
      <c r="E29" s="109">
        <v>424</v>
      </c>
      <c r="F29" s="124"/>
      <c r="G29" s="109">
        <v>474</v>
      </c>
      <c r="H29" s="125" t="s">
        <v>1489</v>
      </c>
      <c r="I29" s="133"/>
      <c r="J29" s="43"/>
      <c r="K29" s="48"/>
      <c r="L29" s="43"/>
      <c r="M29" s="48"/>
    </row>
    <row r="30" spans="1:13">
      <c r="A30" s="134">
        <v>325</v>
      </c>
      <c r="B30" s="124" t="s">
        <v>1310</v>
      </c>
      <c r="C30" s="134">
        <v>375</v>
      </c>
      <c r="D30" s="136" t="s">
        <v>2076</v>
      </c>
      <c r="E30" s="109">
        <v>425</v>
      </c>
      <c r="F30" s="124"/>
      <c r="G30" s="134">
        <v>475</v>
      </c>
      <c r="H30" s="125" t="s">
        <v>1495</v>
      </c>
      <c r="I30" s="133"/>
      <c r="J30" s="43"/>
      <c r="K30" s="48"/>
      <c r="L30" s="43"/>
      <c r="M30" s="48"/>
    </row>
    <row r="31" spans="1:13">
      <c r="A31" s="109">
        <v>326</v>
      </c>
      <c r="B31" s="124" t="s">
        <v>1311</v>
      </c>
      <c r="C31" s="109">
        <v>376</v>
      </c>
      <c r="D31" s="136" t="s">
        <v>2077</v>
      </c>
      <c r="E31" s="109">
        <v>426</v>
      </c>
      <c r="F31" s="124"/>
      <c r="G31" s="109">
        <v>476</v>
      </c>
      <c r="H31" s="125" t="s">
        <v>2078</v>
      </c>
      <c r="I31" s="133"/>
      <c r="J31" s="43"/>
      <c r="K31" s="48"/>
      <c r="L31" s="43"/>
      <c r="M31" s="48"/>
    </row>
    <row r="32" spans="1:13">
      <c r="A32" s="134">
        <v>327</v>
      </c>
      <c r="B32" s="124" t="s">
        <v>1312</v>
      </c>
      <c r="C32" s="134">
        <v>377</v>
      </c>
      <c r="D32" s="136" t="s">
        <v>2079</v>
      </c>
      <c r="E32" s="109">
        <v>427</v>
      </c>
      <c r="F32" s="124"/>
      <c r="G32" s="134">
        <v>477</v>
      </c>
      <c r="H32" s="125" t="s">
        <v>1493</v>
      </c>
      <c r="I32" s="133"/>
      <c r="J32" s="43"/>
      <c r="K32" s="48"/>
      <c r="L32" s="43"/>
      <c r="M32" s="48"/>
    </row>
    <row r="33" spans="1:13">
      <c r="A33" s="109">
        <v>328</v>
      </c>
      <c r="B33" s="124" t="s">
        <v>1313</v>
      </c>
      <c r="C33" s="109">
        <v>378</v>
      </c>
      <c r="D33" s="136" t="s">
        <v>2080</v>
      </c>
      <c r="E33" s="109">
        <v>428</v>
      </c>
      <c r="F33" s="124"/>
      <c r="G33" s="109">
        <v>478</v>
      </c>
      <c r="H33" s="125" t="s">
        <v>1581</v>
      </c>
      <c r="I33" s="133"/>
      <c r="J33" s="43"/>
      <c r="K33" s="48"/>
      <c r="L33" s="43"/>
      <c r="M33" s="48"/>
    </row>
    <row r="34" spans="1:13">
      <c r="A34" s="134">
        <v>329</v>
      </c>
      <c r="B34" s="124" t="s">
        <v>1314</v>
      </c>
      <c r="C34" s="134">
        <v>379</v>
      </c>
      <c r="D34" s="136" t="s">
        <v>2081</v>
      </c>
      <c r="E34" s="109">
        <v>429</v>
      </c>
      <c r="F34" s="124"/>
      <c r="G34" s="134">
        <v>479</v>
      </c>
      <c r="H34" s="125" t="s">
        <v>1494</v>
      </c>
      <c r="I34" s="133"/>
      <c r="J34" s="43"/>
      <c r="K34" s="48"/>
      <c r="L34" s="43"/>
      <c r="M34" s="48"/>
    </row>
    <row r="35" spans="1:13">
      <c r="A35" s="109">
        <v>330</v>
      </c>
      <c r="B35" s="124" t="s">
        <v>1315</v>
      </c>
      <c r="C35" s="109">
        <v>380</v>
      </c>
      <c r="D35" s="136" t="s">
        <v>2082</v>
      </c>
      <c r="E35" s="109">
        <v>430</v>
      </c>
      <c r="F35" s="124"/>
      <c r="G35" s="109">
        <v>480</v>
      </c>
      <c r="H35" s="125" t="s">
        <v>2083</v>
      </c>
      <c r="I35" s="133"/>
      <c r="J35" s="43"/>
      <c r="K35" s="48"/>
      <c r="L35" s="43"/>
      <c r="M35" s="48"/>
    </row>
    <row r="36" spans="1:13">
      <c r="A36" s="134">
        <v>331</v>
      </c>
      <c r="B36" s="124" t="s">
        <v>1316</v>
      </c>
      <c r="C36" s="134">
        <v>381</v>
      </c>
      <c r="D36" s="136" t="s">
        <v>1365</v>
      </c>
      <c r="E36" s="109">
        <v>431</v>
      </c>
      <c r="F36" s="124"/>
      <c r="G36" s="134">
        <v>481</v>
      </c>
      <c r="H36" s="125" t="s">
        <v>1497</v>
      </c>
      <c r="I36" s="133"/>
      <c r="J36" s="43"/>
      <c r="K36" s="48"/>
      <c r="L36" s="43"/>
      <c r="M36" s="48"/>
    </row>
    <row r="37" spans="1:13">
      <c r="A37" s="109">
        <v>332</v>
      </c>
      <c r="B37" s="124" t="s">
        <v>1317</v>
      </c>
      <c r="C37" s="109">
        <v>382</v>
      </c>
      <c r="D37" s="136" t="s">
        <v>1367</v>
      </c>
      <c r="E37" s="109">
        <v>432</v>
      </c>
      <c r="F37" s="124"/>
      <c r="G37" s="109">
        <v>482</v>
      </c>
      <c r="H37" s="125" t="s">
        <v>1098</v>
      </c>
      <c r="I37" s="133"/>
      <c r="J37" s="43"/>
      <c r="K37" s="48"/>
      <c r="L37" s="43"/>
      <c r="M37" s="48"/>
    </row>
    <row r="38" spans="1:13">
      <c r="A38" s="134">
        <v>333</v>
      </c>
      <c r="B38" s="124" t="s">
        <v>1318</v>
      </c>
      <c r="C38" s="134">
        <v>383</v>
      </c>
      <c r="D38" s="136" t="s">
        <v>2084</v>
      </c>
      <c r="E38" s="109">
        <v>433</v>
      </c>
      <c r="F38" s="124"/>
      <c r="G38" s="134">
        <v>483</v>
      </c>
      <c r="H38" s="125" t="s">
        <v>1092</v>
      </c>
      <c r="I38" s="133"/>
      <c r="J38" s="43"/>
      <c r="K38" s="48"/>
      <c r="L38" s="43"/>
      <c r="M38" s="48"/>
    </row>
    <row r="39" spans="1:13">
      <c r="A39" s="109">
        <v>334</v>
      </c>
      <c r="B39" s="124" t="s">
        <v>1319</v>
      </c>
      <c r="C39" s="109">
        <v>384</v>
      </c>
      <c r="D39" s="136" t="s">
        <v>2085</v>
      </c>
      <c r="E39" s="109">
        <v>434</v>
      </c>
      <c r="F39" s="124"/>
      <c r="G39" s="109">
        <v>484</v>
      </c>
      <c r="H39" s="125"/>
      <c r="I39" s="133"/>
      <c r="J39" s="43"/>
      <c r="K39" s="48"/>
      <c r="L39" s="43"/>
      <c r="M39" s="48"/>
    </row>
    <row r="40" spans="1:13">
      <c r="A40" s="134">
        <v>335</v>
      </c>
      <c r="B40" s="124" t="s">
        <v>1320</v>
      </c>
      <c r="C40" s="134">
        <v>385</v>
      </c>
      <c r="D40" s="136" t="s">
        <v>2086</v>
      </c>
      <c r="E40" s="109">
        <v>435</v>
      </c>
      <c r="F40" s="124"/>
      <c r="G40" s="134">
        <v>485</v>
      </c>
      <c r="H40" s="125"/>
      <c r="I40" s="133"/>
      <c r="J40" s="43"/>
      <c r="K40" s="48"/>
      <c r="L40" s="43"/>
      <c r="M40" s="48"/>
    </row>
    <row r="41" spans="1:13">
      <c r="A41" s="109">
        <v>336</v>
      </c>
      <c r="B41" s="124" t="s">
        <v>1349</v>
      </c>
      <c r="C41" s="109">
        <v>386</v>
      </c>
      <c r="D41" s="136" t="s">
        <v>2087</v>
      </c>
      <c r="E41" s="109">
        <v>436</v>
      </c>
      <c r="F41" s="124"/>
      <c r="G41" s="109">
        <v>486</v>
      </c>
      <c r="H41" s="125"/>
      <c r="I41" s="133"/>
      <c r="J41" s="43"/>
      <c r="K41" s="48"/>
      <c r="L41" s="43"/>
      <c r="M41" s="48"/>
    </row>
    <row r="42" spans="1:13">
      <c r="A42" s="134">
        <v>337</v>
      </c>
      <c r="B42" s="124" t="s">
        <v>1350</v>
      </c>
      <c r="C42" s="134">
        <v>387</v>
      </c>
      <c r="D42" s="136" t="s">
        <v>1371</v>
      </c>
      <c r="E42" s="109">
        <v>437</v>
      </c>
      <c r="F42" s="124"/>
      <c r="G42" s="134">
        <v>487</v>
      </c>
      <c r="H42" s="125"/>
      <c r="I42" s="133"/>
      <c r="J42" s="43"/>
      <c r="K42" s="48"/>
      <c r="L42" s="43"/>
      <c r="M42" s="48"/>
    </row>
    <row r="43" spans="1:13">
      <c r="A43" s="109">
        <v>338</v>
      </c>
      <c r="B43" s="124" t="s">
        <v>1351</v>
      </c>
      <c r="C43" s="109">
        <v>388</v>
      </c>
      <c r="D43" s="136" t="s">
        <v>1398</v>
      </c>
      <c r="E43" s="109">
        <v>438</v>
      </c>
      <c r="F43" s="124"/>
      <c r="G43" s="109">
        <v>488</v>
      </c>
      <c r="H43" s="125"/>
      <c r="I43" s="133"/>
      <c r="J43" s="43"/>
      <c r="K43" s="48"/>
      <c r="L43" s="43"/>
      <c r="M43" s="48"/>
    </row>
    <row r="44" spans="1:13">
      <c r="A44" s="134">
        <v>339</v>
      </c>
      <c r="B44" s="124" t="s">
        <v>1352</v>
      </c>
      <c r="C44" s="134">
        <v>389</v>
      </c>
      <c r="D44" s="136" t="s">
        <v>1399</v>
      </c>
      <c r="E44" s="109">
        <v>439</v>
      </c>
      <c r="F44" s="124"/>
      <c r="G44" s="134">
        <v>489</v>
      </c>
      <c r="H44" s="125"/>
      <c r="I44" s="133"/>
      <c r="J44" s="43"/>
      <c r="K44" s="48"/>
      <c r="L44" s="43"/>
      <c r="M44" s="48"/>
    </row>
    <row r="45" spans="1:13">
      <c r="A45" s="109">
        <v>340</v>
      </c>
      <c r="B45" s="124" t="s">
        <v>2088</v>
      </c>
      <c r="C45" s="109">
        <v>390</v>
      </c>
      <c r="D45" s="136" t="s">
        <v>2089</v>
      </c>
      <c r="E45" s="109">
        <v>440</v>
      </c>
      <c r="F45" s="124"/>
      <c r="G45" s="109">
        <v>490</v>
      </c>
      <c r="H45" s="125"/>
      <c r="I45" s="133"/>
      <c r="J45" s="43"/>
      <c r="K45" s="48"/>
      <c r="L45" s="43"/>
      <c r="M45" s="48"/>
    </row>
    <row r="46" spans="1:13">
      <c r="A46" s="134">
        <v>341</v>
      </c>
      <c r="B46" s="124" t="s">
        <v>2090</v>
      </c>
      <c r="C46" s="134">
        <v>391</v>
      </c>
      <c r="D46" s="136" t="s">
        <v>2091</v>
      </c>
      <c r="E46" s="109">
        <v>441</v>
      </c>
      <c r="F46" s="48"/>
      <c r="G46" s="134">
        <v>491</v>
      </c>
      <c r="H46" s="125"/>
      <c r="I46" s="133"/>
      <c r="J46" s="43"/>
      <c r="K46" s="48"/>
      <c r="L46" s="43"/>
      <c r="M46" s="48"/>
    </row>
    <row r="47" spans="1:13">
      <c r="A47" s="109">
        <v>342</v>
      </c>
      <c r="B47" s="124" t="s">
        <v>2092</v>
      </c>
      <c r="C47" s="109">
        <v>392</v>
      </c>
      <c r="D47" s="136" t="s">
        <v>2093</v>
      </c>
      <c r="E47" s="109">
        <v>442</v>
      </c>
      <c r="F47" s="31"/>
      <c r="G47" s="109">
        <v>492</v>
      </c>
      <c r="H47" s="125"/>
      <c r="I47" s="133"/>
      <c r="J47" s="43"/>
      <c r="K47" s="48"/>
      <c r="L47" s="43"/>
      <c r="M47" s="48"/>
    </row>
    <row r="48" spans="1:13">
      <c r="A48" s="134">
        <v>343</v>
      </c>
      <c r="B48" s="124" t="s">
        <v>2094</v>
      </c>
      <c r="C48" s="134">
        <v>393</v>
      </c>
      <c r="D48" s="136" t="s">
        <v>2095</v>
      </c>
      <c r="E48" s="109">
        <v>443</v>
      </c>
      <c r="F48" s="31"/>
      <c r="G48" s="134">
        <v>493</v>
      </c>
      <c r="H48" s="125"/>
      <c r="I48" s="133"/>
      <c r="J48" s="43"/>
      <c r="K48" s="48"/>
      <c r="L48" s="43"/>
      <c r="M48" s="48"/>
    </row>
    <row r="49" spans="1:13">
      <c r="A49" s="109">
        <v>344</v>
      </c>
      <c r="B49" s="124" t="s">
        <v>2096</v>
      </c>
      <c r="C49" s="109">
        <v>394</v>
      </c>
      <c r="D49" s="136" t="s">
        <v>2097</v>
      </c>
      <c r="E49" s="109">
        <v>444</v>
      </c>
      <c r="F49" s="139"/>
      <c r="G49" s="109">
        <v>494</v>
      </c>
      <c r="H49" s="125"/>
      <c r="I49" s="133"/>
      <c r="J49" s="43"/>
      <c r="K49" s="48"/>
      <c r="L49" s="43"/>
      <c r="M49" s="48"/>
    </row>
    <row r="50" spans="1:13">
      <c r="A50" s="134">
        <v>345</v>
      </c>
      <c r="B50" s="124" t="s">
        <v>2098</v>
      </c>
      <c r="C50" s="134">
        <v>395</v>
      </c>
      <c r="D50" s="136" t="s">
        <v>2099</v>
      </c>
      <c r="E50" s="109">
        <v>445</v>
      </c>
      <c r="F50" s="124"/>
      <c r="G50" s="134">
        <v>495</v>
      </c>
      <c r="H50" s="125"/>
      <c r="I50" s="133"/>
      <c r="J50" s="43"/>
      <c r="K50" s="48"/>
      <c r="L50" s="43"/>
      <c r="M50" s="48"/>
    </row>
    <row r="51" spans="1:13">
      <c r="A51" s="109">
        <v>346</v>
      </c>
      <c r="B51" s="124" t="s">
        <v>2100</v>
      </c>
      <c r="C51" s="109">
        <v>396</v>
      </c>
      <c r="D51" s="136" t="s">
        <v>2101</v>
      </c>
      <c r="E51" s="109">
        <v>446</v>
      </c>
      <c r="F51" s="31"/>
      <c r="G51" s="109">
        <v>496</v>
      </c>
      <c r="H51" s="126"/>
      <c r="I51" s="133"/>
      <c r="J51" s="43"/>
      <c r="K51" s="48"/>
      <c r="L51" s="43"/>
      <c r="M51" s="48"/>
    </row>
    <row r="52" spans="1:13">
      <c r="A52" s="134">
        <v>347</v>
      </c>
      <c r="B52" s="124" t="s">
        <v>2103</v>
      </c>
      <c r="C52" s="134">
        <v>397</v>
      </c>
      <c r="D52" s="138" t="s">
        <v>2104</v>
      </c>
      <c r="E52" s="109">
        <v>447</v>
      </c>
      <c r="F52" s="127"/>
      <c r="G52" s="134">
        <v>497</v>
      </c>
      <c r="H52" s="128"/>
      <c r="I52" s="133"/>
      <c r="J52" s="43"/>
      <c r="K52" s="48"/>
      <c r="L52" s="43"/>
      <c r="M52" s="48"/>
    </row>
    <row r="53" spans="1:13">
      <c r="A53" s="109">
        <v>348</v>
      </c>
      <c r="B53" s="124" t="s">
        <v>2107</v>
      </c>
      <c r="C53" s="109">
        <v>398</v>
      </c>
      <c r="D53" s="136" t="s">
        <v>2108</v>
      </c>
      <c r="E53" s="109">
        <v>448</v>
      </c>
      <c r="F53" s="31"/>
      <c r="G53" s="109">
        <v>498</v>
      </c>
      <c r="H53" s="126"/>
      <c r="I53" s="48"/>
      <c r="J53" s="43"/>
      <c r="K53" s="48"/>
      <c r="L53" s="43"/>
      <c r="M53" s="48"/>
    </row>
    <row r="54" spans="1:13">
      <c r="A54" s="134">
        <v>349</v>
      </c>
      <c r="B54" s="124" t="s">
        <v>2111</v>
      </c>
      <c r="C54" s="134">
        <v>399</v>
      </c>
      <c r="D54" s="136" t="s">
        <v>2112</v>
      </c>
      <c r="E54" s="109">
        <v>449</v>
      </c>
      <c r="F54" s="31"/>
      <c r="G54" s="134">
        <v>499</v>
      </c>
      <c r="H54" s="128"/>
      <c r="I54" s="48"/>
      <c r="J54" s="43"/>
      <c r="K54" s="48"/>
      <c r="L54" s="43"/>
      <c r="M54" s="48"/>
    </row>
    <row r="55" spans="1:13">
      <c r="A55" s="131">
        <v>350</v>
      </c>
      <c r="B55" s="130" t="s">
        <v>2114</v>
      </c>
      <c r="C55" s="131">
        <v>400</v>
      </c>
      <c r="D55" s="140" t="s">
        <v>1392</v>
      </c>
      <c r="E55" s="131">
        <v>450</v>
      </c>
      <c r="F55" s="33"/>
      <c r="G55" s="131">
        <v>500</v>
      </c>
      <c r="H55" s="132"/>
      <c r="I55" s="48"/>
      <c r="J55" s="43"/>
      <c r="K55" s="48"/>
      <c r="L55" s="43"/>
      <c r="M55" s="48"/>
    </row>
  </sheetData>
  <mergeCells count="14">
    <mergeCell ref="I4:I5"/>
    <mergeCell ref="J4:J5"/>
    <mergeCell ref="K4:K5"/>
    <mergeCell ref="L4:L5"/>
    <mergeCell ref="M4:M5"/>
    <mergeCell ref="A2:H2"/>
    <mergeCell ref="A4:A5"/>
    <mergeCell ref="B4:B5"/>
    <mergeCell ref="C4:C5"/>
    <mergeCell ref="D4:D5"/>
    <mergeCell ref="E4:E5"/>
    <mergeCell ref="F4:F5"/>
    <mergeCell ref="G4:G5"/>
    <mergeCell ref="H4:H5"/>
  </mergeCells>
  <printOptions horizontalCentered="1" verticalCentered="1"/>
  <pageMargins left="0" right="0" top="0" bottom="0" header="0.3" footer="0.3"/>
  <pageSetup paperSize="10000" scale="82"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2:M55"/>
  <sheetViews>
    <sheetView workbookViewId="0">
      <selection activeCell="G72" sqref="A1:K115"/>
    </sheetView>
  </sheetViews>
  <sheetFormatPr defaultColWidth="10" defaultRowHeight="12.5"/>
  <cols>
    <col min="1" max="1" width="7.7265625" customWidth="1"/>
    <col min="2" max="2" width="25.7265625" customWidth="1"/>
    <col min="3" max="3" width="7.7265625" customWidth="1"/>
    <col min="4" max="4" width="35.7265625" customWidth="1"/>
    <col min="5" max="5" width="7.7265625" customWidth="1"/>
    <col min="6" max="6" width="30.7265625" customWidth="1"/>
    <col min="7" max="7" width="7.7265625" customWidth="1"/>
    <col min="8" max="8" width="30.7265625" customWidth="1"/>
    <col min="9" max="9" width="26.26953125" customWidth="1"/>
  </cols>
  <sheetData>
    <row r="2" spans="1:13" ht="27" customHeight="1">
      <c r="A2" s="2761" t="s">
        <v>2119</v>
      </c>
      <c r="B2" s="2761"/>
      <c r="C2" s="2761"/>
      <c r="D2" s="2761"/>
      <c r="E2" s="2761"/>
      <c r="F2" s="2761"/>
      <c r="G2" s="2761"/>
      <c r="H2" s="2761"/>
    </row>
    <row r="4" spans="1:13" ht="12.4" customHeight="1">
      <c r="A4" s="2759" t="s">
        <v>2019</v>
      </c>
      <c r="B4" s="2755" t="s">
        <v>2020</v>
      </c>
      <c r="C4" s="2755" t="s">
        <v>2019</v>
      </c>
      <c r="D4" s="2755" t="s">
        <v>2020</v>
      </c>
      <c r="E4" s="2755" t="s">
        <v>2019</v>
      </c>
      <c r="F4" s="2755" t="s">
        <v>2020</v>
      </c>
      <c r="G4" s="2755" t="s">
        <v>2019</v>
      </c>
      <c r="H4" s="2757" t="s">
        <v>2118</v>
      </c>
      <c r="I4" s="2762"/>
      <c r="J4" s="2762"/>
      <c r="K4" s="2762"/>
      <c r="L4" s="2762"/>
      <c r="M4" s="2762"/>
    </row>
    <row r="5" spans="1:13" ht="12.4" customHeight="1">
      <c r="A5" s="2760"/>
      <c r="B5" s="2756"/>
      <c r="C5" s="2756"/>
      <c r="D5" s="2756"/>
      <c r="E5" s="2756"/>
      <c r="F5" s="2756"/>
      <c r="G5" s="2756"/>
      <c r="H5" s="2758"/>
      <c r="I5" s="2762"/>
      <c r="J5" s="2762"/>
      <c r="K5" s="2762"/>
      <c r="L5" s="2762"/>
      <c r="M5" s="2762"/>
    </row>
    <row r="6" spans="1:13">
      <c r="A6" s="134">
        <v>501</v>
      </c>
      <c r="B6" s="135" t="s">
        <v>1282</v>
      </c>
      <c r="C6" s="134">
        <v>501</v>
      </c>
      <c r="D6" s="136" t="s">
        <v>2022</v>
      </c>
      <c r="E6" s="134">
        <v>601</v>
      </c>
      <c r="F6" s="135"/>
      <c r="G6" s="122">
        <v>651</v>
      </c>
      <c r="H6" s="137" t="s">
        <v>2023</v>
      </c>
      <c r="I6" s="133"/>
      <c r="J6" s="43"/>
      <c r="K6" s="48"/>
      <c r="L6" s="43"/>
      <c r="M6" s="48"/>
    </row>
    <row r="7" spans="1:13">
      <c r="A7" s="109">
        <v>502</v>
      </c>
      <c r="B7" s="124" t="s">
        <v>1283</v>
      </c>
      <c r="C7" s="109">
        <v>502</v>
      </c>
      <c r="D7" s="136" t="s">
        <v>2024</v>
      </c>
      <c r="E7" s="109">
        <v>602</v>
      </c>
      <c r="F7" s="124"/>
      <c r="G7" s="109">
        <v>652</v>
      </c>
      <c r="H7" s="125" t="s">
        <v>2025</v>
      </c>
      <c r="I7" s="133"/>
      <c r="J7" s="43"/>
      <c r="K7" s="48"/>
      <c r="L7" s="43"/>
      <c r="M7" s="48"/>
    </row>
    <row r="8" spans="1:13">
      <c r="A8" s="134">
        <v>503</v>
      </c>
      <c r="B8" s="124" t="s">
        <v>1284</v>
      </c>
      <c r="C8" s="134">
        <v>503</v>
      </c>
      <c r="D8" s="136" t="s">
        <v>2026</v>
      </c>
      <c r="E8" s="109">
        <v>603</v>
      </c>
      <c r="F8" s="124"/>
      <c r="G8" s="134">
        <v>653</v>
      </c>
      <c r="H8" s="125" t="s">
        <v>2027</v>
      </c>
      <c r="I8" s="133"/>
      <c r="J8" s="43"/>
      <c r="K8" s="48"/>
      <c r="L8" s="43"/>
      <c r="M8" s="48"/>
    </row>
    <row r="9" spans="1:13">
      <c r="A9" s="109">
        <v>504</v>
      </c>
      <c r="B9" s="124" t="s">
        <v>1285</v>
      </c>
      <c r="C9" s="109">
        <v>504</v>
      </c>
      <c r="D9" s="136" t="s">
        <v>2028</v>
      </c>
      <c r="E9" s="109">
        <v>604</v>
      </c>
      <c r="F9" s="124"/>
      <c r="G9" s="109">
        <v>654</v>
      </c>
      <c r="H9" s="125" t="s">
        <v>1470</v>
      </c>
      <c r="I9" s="133"/>
      <c r="J9" s="43"/>
      <c r="K9" s="48"/>
      <c r="L9" s="43"/>
      <c r="M9" s="48"/>
    </row>
    <row r="10" spans="1:13">
      <c r="A10" s="134">
        <v>505</v>
      </c>
      <c r="B10" s="124" t="s">
        <v>1726</v>
      </c>
      <c r="C10" s="134">
        <v>505</v>
      </c>
      <c r="D10" s="138" t="s">
        <v>2029</v>
      </c>
      <c r="E10" s="109">
        <v>605</v>
      </c>
      <c r="F10" s="124"/>
      <c r="G10" s="134">
        <v>655</v>
      </c>
      <c r="H10" s="125" t="s">
        <v>2030</v>
      </c>
      <c r="I10" s="133"/>
      <c r="J10" s="43"/>
      <c r="K10" s="48"/>
      <c r="L10" s="43"/>
      <c r="M10" s="48"/>
    </row>
    <row r="11" spans="1:13">
      <c r="A11" s="109">
        <v>506</v>
      </c>
      <c r="B11" s="124" t="s">
        <v>1287</v>
      </c>
      <c r="C11" s="109">
        <v>506</v>
      </c>
      <c r="D11" s="136" t="s">
        <v>2031</v>
      </c>
      <c r="E11" s="109">
        <v>606</v>
      </c>
      <c r="F11" s="124"/>
      <c r="G11" s="109">
        <v>656</v>
      </c>
      <c r="H11" s="125" t="s">
        <v>2032</v>
      </c>
      <c r="I11" s="133"/>
      <c r="J11" s="43"/>
      <c r="K11" s="48"/>
      <c r="L11" s="43"/>
      <c r="M11" s="48"/>
    </row>
    <row r="12" spans="1:13" ht="13">
      <c r="A12" s="134">
        <v>507</v>
      </c>
      <c r="B12" s="124" t="s">
        <v>1294</v>
      </c>
      <c r="C12" s="134">
        <v>507</v>
      </c>
      <c r="D12" s="136" t="s">
        <v>2033</v>
      </c>
      <c r="E12" s="109">
        <v>607</v>
      </c>
      <c r="F12" s="124"/>
      <c r="G12" s="134">
        <v>657</v>
      </c>
      <c r="H12" s="125" t="s">
        <v>2034</v>
      </c>
      <c r="I12" s="133"/>
      <c r="J12" s="43"/>
      <c r="K12" s="48"/>
      <c r="L12" s="43"/>
      <c r="M12" s="48"/>
    </row>
    <row r="13" spans="1:13">
      <c r="A13" s="109">
        <v>508</v>
      </c>
      <c r="B13" s="124" t="s">
        <v>1288</v>
      </c>
      <c r="C13" s="109">
        <v>508</v>
      </c>
      <c r="D13" s="136" t="s">
        <v>1324</v>
      </c>
      <c r="E13" s="109">
        <v>608</v>
      </c>
      <c r="F13" s="124"/>
      <c r="G13" s="109">
        <v>658</v>
      </c>
      <c r="H13" s="125" t="s">
        <v>2035</v>
      </c>
      <c r="I13" s="133"/>
      <c r="J13" s="43"/>
      <c r="K13" s="48"/>
      <c r="L13" s="43"/>
      <c r="M13" s="48"/>
    </row>
    <row r="14" spans="1:13">
      <c r="A14" s="134">
        <v>509</v>
      </c>
      <c r="B14" s="124" t="s">
        <v>1728</v>
      </c>
      <c r="C14" s="134">
        <v>509</v>
      </c>
      <c r="D14" s="136" t="s">
        <v>2036</v>
      </c>
      <c r="E14" s="109">
        <v>609</v>
      </c>
      <c r="F14" s="124"/>
      <c r="G14" s="134">
        <v>659</v>
      </c>
      <c r="H14" s="125" t="s">
        <v>2038</v>
      </c>
      <c r="I14" s="133"/>
      <c r="J14" s="43"/>
      <c r="K14" s="48"/>
      <c r="L14" s="43"/>
      <c r="M14" s="48"/>
    </row>
    <row r="15" spans="1:13">
      <c r="A15" s="109">
        <v>510</v>
      </c>
      <c r="B15" s="124" t="s">
        <v>1729</v>
      </c>
      <c r="C15" s="109">
        <v>510</v>
      </c>
      <c r="D15" s="136" t="s">
        <v>2039</v>
      </c>
      <c r="E15" s="109">
        <v>610</v>
      </c>
      <c r="F15" s="124"/>
      <c r="G15" s="109">
        <v>660</v>
      </c>
      <c r="H15" s="125" t="s">
        <v>1475</v>
      </c>
      <c r="I15" s="133"/>
      <c r="J15" s="43"/>
      <c r="K15" s="48"/>
      <c r="L15" s="43"/>
      <c r="M15" s="48"/>
    </row>
    <row r="16" spans="1:13">
      <c r="A16" s="134">
        <v>511</v>
      </c>
      <c r="B16" s="124" t="s">
        <v>1291</v>
      </c>
      <c r="C16" s="134">
        <v>511</v>
      </c>
      <c r="D16" s="136" t="s">
        <v>1327</v>
      </c>
      <c r="E16" s="109">
        <v>611</v>
      </c>
      <c r="F16" s="124"/>
      <c r="G16" s="134">
        <v>661</v>
      </c>
      <c r="H16" s="125" t="s">
        <v>2042</v>
      </c>
      <c r="I16" s="133"/>
      <c r="J16" s="43"/>
      <c r="K16" s="48"/>
      <c r="L16" s="43"/>
      <c r="M16" s="48"/>
    </row>
    <row r="17" spans="1:13">
      <c r="A17" s="109">
        <v>512</v>
      </c>
      <c r="B17" s="124" t="s">
        <v>2043</v>
      </c>
      <c r="C17" s="109">
        <v>512</v>
      </c>
      <c r="D17" s="136" t="s">
        <v>2044</v>
      </c>
      <c r="E17" s="109">
        <v>612</v>
      </c>
      <c r="F17" s="124"/>
      <c r="G17" s="109">
        <v>662</v>
      </c>
      <c r="H17" s="125" t="s">
        <v>2046</v>
      </c>
      <c r="I17" s="133"/>
      <c r="J17" s="43"/>
      <c r="K17" s="48"/>
      <c r="L17" s="43"/>
      <c r="M17" s="48"/>
    </row>
    <row r="18" spans="1:13">
      <c r="A18" s="134">
        <v>513</v>
      </c>
      <c r="B18" s="124" t="s">
        <v>1866</v>
      </c>
      <c r="C18" s="134">
        <v>513</v>
      </c>
      <c r="D18" s="136" t="s">
        <v>2047</v>
      </c>
      <c r="E18" s="109">
        <v>613</v>
      </c>
      <c r="F18" s="124"/>
      <c r="G18" s="134">
        <v>663</v>
      </c>
      <c r="H18" s="125" t="s">
        <v>2049</v>
      </c>
      <c r="I18" s="133"/>
      <c r="J18" s="43"/>
      <c r="K18" s="48"/>
      <c r="L18" s="43"/>
      <c r="M18" s="48"/>
    </row>
    <row r="19" spans="1:13">
      <c r="A19" s="109">
        <v>514</v>
      </c>
      <c r="B19" s="124" t="s">
        <v>1373</v>
      </c>
      <c r="C19" s="109">
        <v>514</v>
      </c>
      <c r="D19" s="136" t="s">
        <v>2050</v>
      </c>
      <c r="E19" s="109">
        <v>614</v>
      </c>
      <c r="F19" s="124"/>
      <c r="G19" s="109">
        <v>664</v>
      </c>
      <c r="H19" s="125" t="s">
        <v>2052</v>
      </c>
      <c r="I19" s="133"/>
      <c r="J19" s="43"/>
      <c r="K19" s="48"/>
      <c r="L19" s="43"/>
      <c r="M19" s="48"/>
    </row>
    <row r="20" spans="1:13">
      <c r="A20" s="134">
        <v>515</v>
      </c>
      <c r="B20" s="124" t="s">
        <v>2053</v>
      </c>
      <c r="C20" s="134">
        <v>515</v>
      </c>
      <c r="D20" s="136" t="s">
        <v>1331</v>
      </c>
      <c r="E20" s="109">
        <v>615</v>
      </c>
      <c r="F20" s="124"/>
      <c r="G20" s="134">
        <v>665</v>
      </c>
      <c r="H20" s="125" t="s">
        <v>2055</v>
      </c>
      <c r="I20" s="133"/>
      <c r="J20" s="43"/>
      <c r="K20" s="48"/>
      <c r="L20" s="43"/>
      <c r="M20" s="48"/>
    </row>
    <row r="21" spans="1:13">
      <c r="A21" s="109">
        <v>516</v>
      </c>
      <c r="B21" s="124" t="s">
        <v>1296</v>
      </c>
      <c r="C21" s="109">
        <v>516</v>
      </c>
      <c r="D21" s="136" t="s">
        <v>2056</v>
      </c>
      <c r="E21" s="109">
        <v>616</v>
      </c>
      <c r="F21" s="124"/>
      <c r="G21" s="109">
        <v>666</v>
      </c>
      <c r="H21" s="125" t="s">
        <v>2058</v>
      </c>
      <c r="I21" s="133"/>
      <c r="J21" s="43"/>
      <c r="K21" s="48"/>
      <c r="L21" s="43"/>
      <c r="M21" s="48"/>
    </row>
    <row r="22" spans="1:13">
      <c r="A22" s="134">
        <v>517</v>
      </c>
      <c r="B22" s="124" t="s">
        <v>1400</v>
      </c>
      <c r="C22" s="134">
        <v>517</v>
      </c>
      <c r="D22" s="136" t="s">
        <v>2059</v>
      </c>
      <c r="E22" s="109">
        <v>617</v>
      </c>
      <c r="F22" s="124"/>
      <c r="G22" s="134">
        <v>667</v>
      </c>
      <c r="H22" s="125" t="s">
        <v>2061</v>
      </c>
      <c r="I22" s="133"/>
      <c r="J22" s="43"/>
      <c r="K22" s="48"/>
      <c r="L22" s="43"/>
      <c r="M22" s="48"/>
    </row>
    <row r="23" spans="1:13">
      <c r="A23" s="109">
        <v>518</v>
      </c>
      <c r="B23" s="124" t="s">
        <v>1401</v>
      </c>
      <c r="C23" s="109">
        <v>518</v>
      </c>
      <c r="D23" s="136" t="s">
        <v>1334</v>
      </c>
      <c r="E23" s="109">
        <v>618</v>
      </c>
      <c r="F23" s="124"/>
      <c r="G23" s="109">
        <v>668</v>
      </c>
      <c r="H23" s="125" t="s">
        <v>2063</v>
      </c>
      <c r="I23" s="133"/>
      <c r="J23" s="43"/>
      <c r="K23" s="48"/>
      <c r="L23" s="43"/>
      <c r="M23" s="48"/>
    </row>
    <row r="24" spans="1:13">
      <c r="A24" s="134">
        <v>519</v>
      </c>
      <c r="B24" s="124" t="s">
        <v>1402</v>
      </c>
      <c r="C24" s="134">
        <v>519</v>
      </c>
      <c r="D24" s="136" t="s">
        <v>2064</v>
      </c>
      <c r="E24" s="109">
        <v>619</v>
      </c>
      <c r="F24" s="124"/>
      <c r="G24" s="134">
        <v>669</v>
      </c>
      <c r="H24" s="125" t="s">
        <v>2066</v>
      </c>
      <c r="I24" s="133"/>
      <c r="J24" s="43"/>
      <c r="K24" s="48"/>
      <c r="L24" s="43"/>
      <c r="M24" s="48"/>
    </row>
    <row r="25" spans="1:13">
      <c r="A25" s="109">
        <v>520</v>
      </c>
      <c r="B25" s="124" t="s">
        <v>1306</v>
      </c>
      <c r="C25" s="109">
        <v>520</v>
      </c>
      <c r="D25" s="136" t="s">
        <v>2067</v>
      </c>
      <c r="E25" s="109">
        <v>620</v>
      </c>
      <c r="F25" s="124"/>
      <c r="G25" s="109">
        <v>670</v>
      </c>
      <c r="H25" s="125" t="s">
        <v>2069</v>
      </c>
      <c r="I25" s="133"/>
      <c r="J25" s="43"/>
      <c r="K25" s="48"/>
      <c r="L25" s="43"/>
      <c r="M25" s="48"/>
    </row>
    <row r="26" spans="1:13">
      <c r="A26" s="134">
        <v>521</v>
      </c>
      <c r="B26" s="124" t="s">
        <v>1305</v>
      </c>
      <c r="C26" s="134">
        <v>521</v>
      </c>
      <c r="D26" s="136" t="s">
        <v>2070</v>
      </c>
      <c r="E26" s="109">
        <v>621</v>
      </c>
      <c r="F26" s="124"/>
      <c r="G26" s="134">
        <v>671</v>
      </c>
      <c r="H26" s="125" t="s">
        <v>2071</v>
      </c>
      <c r="I26" s="133"/>
      <c r="J26" s="43"/>
      <c r="K26" s="48"/>
      <c r="L26" s="43"/>
      <c r="M26" s="48"/>
    </row>
    <row r="27" spans="1:13">
      <c r="A27" s="109">
        <v>522</v>
      </c>
      <c r="B27" s="124" t="s">
        <v>1307</v>
      </c>
      <c r="C27" s="109">
        <v>522</v>
      </c>
      <c r="D27" s="136" t="s">
        <v>2072</v>
      </c>
      <c r="E27" s="109">
        <v>622</v>
      </c>
      <c r="F27" s="124"/>
      <c r="G27" s="109">
        <v>672</v>
      </c>
      <c r="H27" s="125" t="s">
        <v>2073</v>
      </c>
      <c r="I27" s="133"/>
      <c r="J27" s="43"/>
      <c r="K27" s="48"/>
      <c r="L27" s="43"/>
      <c r="M27" s="48"/>
    </row>
    <row r="28" spans="1:13">
      <c r="A28" s="134">
        <v>523</v>
      </c>
      <c r="B28" s="124" t="s">
        <v>1308</v>
      </c>
      <c r="C28" s="134">
        <v>523</v>
      </c>
      <c r="D28" s="136" t="s">
        <v>2074</v>
      </c>
      <c r="E28" s="109">
        <v>623</v>
      </c>
      <c r="F28" s="124"/>
      <c r="G28" s="134">
        <v>673</v>
      </c>
      <c r="H28" s="125" t="s">
        <v>1491</v>
      </c>
      <c r="I28" s="133"/>
      <c r="J28" s="43"/>
      <c r="K28" s="48"/>
      <c r="L28" s="43"/>
      <c r="M28" s="48"/>
    </row>
    <row r="29" spans="1:13">
      <c r="A29" s="109">
        <v>524</v>
      </c>
      <c r="B29" s="124" t="s">
        <v>1309</v>
      </c>
      <c r="C29" s="109">
        <v>524</v>
      </c>
      <c r="D29" s="136" t="s">
        <v>2075</v>
      </c>
      <c r="E29" s="109">
        <v>624</v>
      </c>
      <c r="F29" s="124"/>
      <c r="G29" s="109">
        <v>674</v>
      </c>
      <c r="H29" s="125" t="s">
        <v>1489</v>
      </c>
      <c r="I29" s="133"/>
      <c r="J29" s="43"/>
      <c r="K29" s="48"/>
      <c r="L29" s="43"/>
      <c r="M29" s="48"/>
    </row>
    <row r="30" spans="1:13">
      <c r="A30" s="134">
        <v>525</v>
      </c>
      <c r="B30" s="124" t="s">
        <v>1310</v>
      </c>
      <c r="C30" s="134">
        <v>525</v>
      </c>
      <c r="D30" s="136" t="s">
        <v>2076</v>
      </c>
      <c r="E30" s="109">
        <v>625</v>
      </c>
      <c r="F30" s="124"/>
      <c r="G30" s="134">
        <v>675</v>
      </c>
      <c r="H30" s="125" t="s">
        <v>1495</v>
      </c>
      <c r="I30" s="133"/>
      <c r="J30" s="43"/>
      <c r="K30" s="48"/>
      <c r="L30" s="43"/>
      <c r="M30" s="48"/>
    </row>
    <row r="31" spans="1:13">
      <c r="A31" s="109">
        <v>526</v>
      </c>
      <c r="B31" s="124" t="s">
        <v>1311</v>
      </c>
      <c r="C31" s="109">
        <v>526</v>
      </c>
      <c r="D31" s="136" t="s">
        <v>2077</v>
      </c>
      <c r="E31" s="109">
        <v>626</v>
      </c>
      <c r="F31" s="124"/>
      <c r="G31" s="109">
        <v>676</v>
      </c>
      <c r="H31" s="125" t="s">
        <v>2078</v>
      </c>
      <c r="I31" s="133"/>
      <c r="J31" s="43"/>
      <c r="K31" s="48"/>
      <c r="L31" s="43"/>
      <c r="M31" s="48"/>
    </row>
    <row r="32" spans="1:13">
      <c r="A32" s="134">
        <v>527</v>
      </c>
      <c r="B32" s="124" t="s">
        <v>1312</v>
      </c>
      <c r="C32" s="134">
        <v>527</v>
      </c>
      <c r="D32" s="136" t="s">
        <v>2079</v>
      </c>
      <c r="E32" s="109">
        <v>627</v>
      </c>
      <c r="F32" s="124"/>
      <c r="G32" s="134">
        <v>677</v>
      </c>
      <c r="H32" s="125" t="s">
        <v>1493</v>
      </c>
      <c r="I32" s="133"/>
      <c r="J32" s="43"/>
      <c r="K32" s="48"/>
      <c r="L32" s="43"/>
      <c r="M32" s="48"/>
    </row>
    <row r="33" spans="1:13">
      <c r="A33" s="109">
        <v>528</v>
      </c>
      <c r="B33" s="124" t="s">
        <v>1313</v>
      </c>
      <c r="C33" s="109">
        <v>528</v>
      </c>
      <c r="D33" s="136" t="s">
        <v>2080</v>
      </c>
      <c r="E33" s="109">
        <v>628</v>
      </c>
      <c r="F33" s="124"/>
      <c r="G33" s="109">
        <v>678</v>
      </c>
      <c r="H33" s="125" t="s">
        <v>1581</v>
      </c>
      <c r="I33" s="133"/>
      <c r="J33" s="43"/>
      <c r="K33" s="48"/>
      <c r="L33" s="43"/>
      <c r="M33" s="48"/>
    </row>
    <row r="34" spans="1:13">
      <c r="A34" s="134">
        <v>529</v>
      </c>
      <c r="B34" s="124" t="s">
        <v>1314</v>
      </c>
      <c r="C34" s="134">
        <v>529</v>
      </c>
      <c r="D34" s="136" t="s">
        <v>2081</v>
      </c>
      <c r="E34" s="109">
        <v>629</v>
      </c>
      <c r="F34" s="124"/>
      <c r="G34" s="134">
        <v>679</v>
      </c>
      <c r="H34" s="125" t="s">
        <v>1494</v>
      </c>
      <c r="I34" s="133"/>
      <c r="J34" s="43"/>
      <c r="K34" s="48"/>
      <c r="L34" s="43"/>
      <c r="M34" s="48"/>
    </row>
    <row r="35" spans="1:13">
      <c r="A35" s="109">
        <v>530</v>
      </c>
      <c r="B35" s="124" t="s">
        <v>1315</v>
      </c>
      <c r="C35" s="109">
        <v>530</v>
      </c>
      <c r="D35" s="136" t="s">
        <v>2082</v>
      </c>
      <c r="E35" s="109">
        <v>630</v>
      </c>
      <c r="F35" s="124"/>
      <c r="G35" s="109">
        <v>680</v>
      </c>
      <c r="H35" s="125" t="s">
        <v>2083</v>
      </c>
      <c r="I35" s="133"/>
      <c r="J35" s="43"/>
      <c r="K35" s="48"/>
      <c r="L35" s="43"/>
      <c r="M35" s="48"/>
    </row>
    <row r="36" spans="1:13">
      <c r="A36" s="134">
        <v>531</v>
      </c>
      <c r="B36" s="124" t="s">
        <v>1316</v>
      </c>
      <c r="C36" s="134">
        <v>531</v>
      </c>
      <c r="D36" s="136" t="s">
        <v>1365</v>
      </c>
      <c r="E36" s="109">
        <v>631</v>
      </c>
      <c r="F36" s="124"/>
      <c r="G36" s="134">
        <v>681</v>
      </c>
      <c r="H36" s="125" t="s">
        <v>1497</v>
      </c>
      <c r="I36" s="133"/>
      <c r="J36" s="43"/>
      <c r="K36" s="48"/>
      <c r="L36" s="43"/>
      <c r="M36" s="48"/>
    </row>
    <row r="37" spans="1:13">
      <c r="A37" s="109">
        <v>532</v>
      </c>
      <c r="B37" s="124" t="s">
        <v>1317</v>
      </c>
      <c r="C37" s="109">
        <v>532</v>
      </c>
      <c r="D37" s="136" t="s">
        <v>1367</v>
      </c>
      <c r="E37" s="109">
        <v>632</v>
      </c>
      <c r="F37" s="124"/>
      <c r="G37" s="109">
        <v>682</v>
      </c>
      <c r="H37" s="125" t="s">
        <v>1098</v>
      </c>
      <c r="I37" s="133"/>
      <c r="J37" s="43"/>
      <c r="K37" s="48"/>
      <c r="L37" s="43"/>
      <c r="M37" s="48"/>
    </row>
    <row r="38" spans="1:13">
      <c r="A38" s="134">
        <v>533</v>
      </c>
      <c r="B38" s="124" t="s">
        <v>1318</v>
      </c>
      <c r="C38" s="134">
        <v>533</v>
      </c>
      <c r="D38" s="136" t="s">
        <v>2084</v>
      </c>
      <c r="E38" s="109">
        <v>633</v>
      </c>
      <c r="F38" s="124"/>
      <c r="G38" s="134">
        <v>683</v>
      </c>
      <c r="H38" s="125" t="s">
        <v>1092</v>
      </c>
      <c r="I38" s="133"/>
      <c r="J38" s="43"/>
      <c r="K38" s="48"/>
      <c r="L38" s="43"/>
      <c r="M38" s="48"/>
    </row>
    <row r="39" spans="1:13">
      <c r="A39" s="109">
        <v>534</v>
      </c>
      <c r="B39" s="124" t="s">
        <v>1319</v>
      </c>
      <c r="C39" s="109">
        <v>534</v>
      </c>
      <c r="D39" s="136" t="s">
        <v>2085</v>
      </c>
      <c r="E39" s="109">
        <v>634</v>
      </c>
      <c r="F39" s="124"/>
      <c r="G39" s="109">
        <v>684</v>
      </c>
      <c r="H39" s="125"/>
      <c r="I39" s="133"/>
      <c r="J39" s="43"/>
      <c r="K39" s="48"/>
      <c r="L39" s="43"/>
      <c r="M39" s="48"/>
    </row>
    <row r="40" spans="1:13">
      <c r="A40" s="134">
        <v>535</v>
      </c>
      <c r="B40" s="124" t="s">
        <v>1320</v>
      </c>
      <c r="C40" s="134">
        <v>535</v>
      </c>
      <c r="D40" s="136" t="s">
        <v>2086</v>
      </c>
      <c r="E40" s="109">
        <v>635</v>
      </c>
      <c r="F40" s="124"/>
      <c r="G40" s="134">
        <v>685</v>
      </c>
      <c r="H40" s="125"/>
      <c r="I40" s="133"/>
      <c r="J40" s="43"/>
      <c r="K40" s="48"/>
      <c r="L40" s="43"/>
      <c r="M40" s="48"/>
    </row>
    <row r="41" spans="1:13">
      <c r="A41" s="109">
        <v>536</v>
      </c>
      <c r="B41" s="124" t="s">
        <v>1349</v>
      </c>
      <c r="C41" s="109">
        <v>536</v>
      </c>
      <c r="D41" s="136" t="s">
        <v>2087</v>
      </c>
      <c r="E41" s="109">
        <v>636</v>
      </c>
      <c r="F41" s="124"/>
      <c r="G41" s="109">
        <v>686</v>
      </c>
      <c r="H41" s="125"/>
      <c r="I41" s="133"/>
      <c r="J41" s="43"/>
      <c r="K41" s="48"/>
      <c r="L41" s="43"/>
      <c r="M41" s="48"/>
    </row>
    <row r="42" spans="1:13">
      <c r="A42" s="134">
        <v>537</v>
      </c>
      <c r="B42" s="124" t="s">
        <v>1350</v>
      </c>
      <c r="C42" s="134">
        <v>537</v>
      </c>
      <c r="D42" s="136" t="s">
        <v>1371</v>
      </c>
      <c r="E42" s="109">
        <v>637</v>
      </c>
      <c r="F42" s="124"/>
      <c r="G42" s="134">
        <v>687</v>
      </c>
      <c r="H42" s="125"/>
      <c r="I42" s="133"/>
      <c r="J42" s="43"/>
      <c r="K42" s="48"/>
      <c r="L42" s="43"/>
      <c r="M42" s="48"/>
    </row>
    <row r="43" spans="1:13">
      <c r="A43" s="109">
        <v>538</v>
      </c>
      <c r="B43" s="124" t="s">
        <v>1351</v>
      </c>
      <c r="C43" s="109">
        <v>538</v>
      </c>
      <c r="D43" s="136" t="s">
        <v>1398</v>
      </c>
      <c r="E43" s="109">
        <v>638</v>
      </c>
      <c r="F43" s="124"/>
      <c r="G43" s="109">
        <v>688</v>
      </c>
      <c r="H43" s="125"/>
      <c r="I43" s="133"/>
      <c r="J43" s="43"/>
      <c r="K43" s="48"/>
      <c r="L43" s="43"/>
      <c r="M43" s="48"/>
    </row>
    <row r="44" spans="1:13">
      <c r="A44" s="134">
        <v>539</v>
      </c>
      <c r="B44" s="124" t="s">
        <v>1352</v>
      </c>
      <c r="C44" s="134">
        <v>539</v>
      </c>
      <c r="D44" s="136" t="s">
        <v>1399</v>
      </c>
      <c r="E44" s="109">
        <v>639</v>
      </c>
      <c r="F44" s="124"/>
      <c r="G44" s="134">
        <v>689</v>
      </c>
      <c r="H44" s="125"/>
      <c r="I44" s="133"/>
      <c r="J44" s="43"/>
      <c r="K44" s="48"/>
      <c r="L44" s="43"/>
      <c r="M44" s="48"/>
    </row>
    <row r="45" spans="1:13">
      <c r="A45" s="109">
        <v>540</v>
      </c>
      <c r="B45" s="124" t="s">
        <v>2088</v>
      </c>
      <c r="C45" s="109">
        <v>540</v>
      </c>
      <c r="D45" s="136" t="s">
        <v>2089</v>
      </c>
      <c r="E45" s="109">
        <v>640</v>
      </c>
      <c r="F45" s="124"/>
      <c r="G45" s="109">
        <v>690</v>
      </c>
      <c r="H45" s="125"/>
      <c r="I45" s="133"/>
      <c r="J45" s="43"/>
      <c r="K45" s="48"/>
      <c r="L45" s="43"/>
      <c r="M45" s="48"/>
    </row>
    <row r="46" spans="1:13">
      <c r="A46" s="134">
        <v>541</v>
      </c>
      <c r="B46" s="124" t="s">
        <v>2090</v>
      </c>
      <c r="C46" s="134">
        <v>541</v>
      </c>
      <c r="D46" s="136" t="s">
        <v>2091</v>
      </c>
      <c r="E46" s="109">
        <v>641</v>
      </c>
      <c r="F46" s="48"/>
      <c r="G46" s="134">
        <v>691</v>
      </c>
      <c r="H46" s="125"/>
      <c r="I46" s="133"/>
      <c r="J46" s="43"/>
      <c r="K46" s="48"/>
      <c r="L46" s="43"/>
      <c r="M46" s="48"/>
    </row>
    <row r="47" spans="1:13">
      <c r="A47" s="109">
        <v>542</v>
      </c>
      <c r="B47" s="124" t="s">
        <v>2092</v>
      </c>
      <c r="C47" s="109">
        <v>542</v>
      </c>
      <c r="D47" s="136" t="s">
        <v>2093</v>
      </c>
      <c r="E47" s="109">
        <v>642</v>
      </c>
      <c r="F47" s="31"/>
      <c r="G47" s="109">
        <v>692</v>
      </c>
      <c r="H47" s="125"/>
      <c r="I47" s="133"/>
      <c r="J47" s="43"/>
      <c r="K47" s="48"/>
      <c r="L47" s="43"/>
      <c r="M47" s="48"/>
    </row>
    <row r="48" spans="1:13">
      <c r="A48" s="134">
        <v>543</v>
      </c>
      <c r="B48" s="124" t="s">
        <v>2094</v>
      </c>
      <c r="C48" s="134">
        <v>543</v>
      </c>
      <c r="D48" s="136" t="s">
        <v>2095</v>
      </c>
      <c r="E48" s="109">
        <v>643</v>
      </c>
      <c r="F48" s="31"/>
      <c r="G48" s="134">
        <v>693</v>
      </c>
      <c r="H48" s="125"/>
      <c r="I48" s="133"/>
      <c r="J48" s="43"/>
      <c r="K48" s="48"/>
      <c r="L48" s="43"/>
      <c r="M48" s="48"/>
    </row>
    <row r="49" spans="1:13">
      <c r="A49" s="109">
        <v>544</v>
      </c>
      <c r="B49" s="124" t="s">
        <v>2096</v>
      </c>
      <c r="C49" s="109">
        <v>544</v>
      </c>
      <c r="D49" s="136" t="s">
        <v>2097</v>
      </c>
      <c r="E49" s="109">
        <v>644</v>
      </c>
      <c r="F49" s="139"/>
      <c r="G49" s="109">
        <v>694</v>
      </c>
      <c r="H49" s="125"/>
      <c r="I49" s="133"/>
      <c r="J49" s="43"/>
      <c r="K49" s="48"/>
      <c r="L49" s="43"/>
      <c r="M49" s="48"/>
    </row>
    <row r="50" spans="1:13">
      <c r="A50" s="134">
        <v>545</v>
      </c>
      <c r="B50" s="124" t="s">
        <v>2098</v>
      </c>
      <c r="C50" s="134">
        <v>545</v>
      </c>
      <c r="D50" s="136" t="s">
        <v>2099</v>
      </c>
      <c r="E50" s="109">
        <v>645</v>
      </c>
      <c r="F50" s="124"/>
      <c r="G50" s="134">
        <v>695</v>
      </c>
      <c r="H50" s="125"/>
      <c r="I50" s="133"/>
      <c r="J50" s="43"/>
      <c r="K50" s="48"/>
      <c r="L50" s="43"/>
      <c r="M50" s="48"/>
    </row>
    <row r="51" spans="1:13">
      <c r="A51" s="109">
        <v>546</v>
      </c>
      <c r="B51" s="124" t="s">
        <v>2100</v>
      </c>
      <c r="C51" s="109">
        <v>546</v>
      </c>
      <c r="D51" s="136" t="s">
        <v>2101</v>
      </c>
      <c r="E51" s="109">
        <v>646</v>
      </c>
      <c r="F51" s="31"/>
      <c r="G51" s="109">
        <v>696</v>
      </c>
      <c r="H51" s="126"/>
      <c r="I51" s="133"/>
      <c r="J51" s="43"/>
      <c r="K51" s="48"/>
      <c r="L51" s="43"/>
      <c r="M51" s="48"/>
    </row>
    <row r="52" spans="1:13">
      <c r="A52" s="134">
        <v>547</v>
      </c>
      <c r="B52" s="124" t="s">
        <v>2103</v>
      </c>
      <c r="C52" s="134">
        <v>547</v>
      </c>
      <c r="D52" s="138" t="s">
        <v>2104</v>
      </c>
      <c r="E52" s="109">
        <v>647</v>
      </c>
      <c r="F52" s="127"/>
      <c r="G52" s="134">
        <v>697</v>
      </c>
      <c r="H52" s="128"/>
      <c r="I52" s="133"/>
      <c r="J52" s="43"/>
      <c r="K52" s="48"/>
      <c r="L52" s="43"/>
      <c r="M52" s="48"/>
    </row>
    <row r="53" spans="1:13">
      <c r="A53" s="109">
        <v>548</v>
      </c>
      <c r="B53" s="124" t="s">
        <v>2107</v>
      </c>
      <c r="C53" s="109">
        <v>548</v>
      </c>
      <c r="D53" s="136" t="s">
        <v>2108</v>
      </c>
      <c r="E53" s="109">
        <v>648</v>
      </c>
      <c r="F53" s="31"/>
      <c r="G53" s="109">
        <v>698</v>
      </c>
      <c r="H53" s="126"/>
      <c r="I53" s="48"/>
      <c r="J53" s="43"/>
      <c r="K53" s="48"/>
      <c r="L53" s="43"/>
      <c r="M53" s="48"/>
    </row>
    <row r="54" spans="1:13">
      <c r="A54" s="134">
        <v>549</v>
      </c>
      <c r="B54" s="124" t="s">
        <v>2111</v>
      </c>
      <c r="C54" s="134">
        <v>549</v>
      </c>
      <c r="D54" s="136" t="s">
        <v>2112</v>
      </c>
      <c r="E54" s="109">
        <v>649</v>
      </c>
      <c r="F54" s="31"/>
      <c r="G54" s="134">
        <v>699</v>
      </c>
      <c r="H54" s="128"/>
      <c r="I54" s="48"/>
      <c r="J54" s="43"/>
      <c r="K54" s="48"/>
      <c r="L54" s="43"/>
      <c r="M54" s="48"/>
    </row>
    <row r="55" spans="1:13">
      <c r="A55" s="131">
        <v>550</v>
      </c>
      <c r="B55" s="130" t="s">
        <v>2114</v>
      </c>
      <c r="C55" s="131">
        <v>550</v>
      </c>
      <c r="D55" s="140" t="s">
        <v>1392</v>
      </c>
      <c r="E55" s="131">
        <v>650</v>
      </c>
      <c r="F55" s="33"/>
      <c r="G55" s="131">
        <v>700</v>
      </c>
      <c r="H55" s="132"/>
      <c r="I55" s="48"/>
      <c r="J55" s="43"/>
      <c r="K55" s="48"/>
      <c r="L55" s="43"/>
      <c r="M55" s="48"/>
    </row>
  </sheetData>
  <mergeCells count="14">
    <mergeCell ref="I4:I5"/>
    <mergeCell ref="J4:J5"/>
    <mergeCell ref="K4:K5"/>
    <mergeCell ref="L4:L5"/>
    <mergeCell ref="M4:M5"/>
    <mergeCell ref="A2:H2"/>
    <mergeCell ref="A4:A5"/>
    <mergeCell ref="B4:B5"/>
    <mergeCell ref="C4:C5"/>
    <mergeCell ref="D4:D5"/>
    <mergeCell ref="E4:E5"/>
    <mergeCell ref="F4:F5"/>
    <mergeCell ref="G4:G5"/>
    <mergeCell ref="H4:H5"/>
  </mergeCells>
  <printOptions horizontalCentered="1" verticalCentered="1"/>
  <pageMargins left="0" right="0" top="0" bottom="0" header="0.3" footer="0.3"/>
  <pageSetup paperSize="10000" scale="82"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2:M55"/>
  <sheetViews>
    <sheetView workbookViewId="0">
      <selection activeCell="G72" sqref="A1:K115"/>
    </sheetView>
  </sheetViews>
  <sheetFormatPr defaultColWidth="10" defaultRowHeight="12.5"/>
  <cols>
    <col min="1" max="1" width="7.7265625" customWidth="1"/>
    <col min="2" max="2" width="25.7265625" customWidth="1"/>
    <col min="3" max="3" width="7.7265625" customWidth="1"/>
    <col min="4" max="4" width="35.7265625" customWidth="1"/>
    <col min="5" max="5" width="7.7265625" customWidth="1"/>
    <col min="6" max="6" width="30.7265625" customWidth="1"/>
    <col min="7" max="7" width="7.7265625" customWidth="1"/>
    <col min="8" max="8" width="30.7265625" customWidth="1"/>
    <col min="9" max="9" width="26.26953125" customWidth="1"/>
  </cols>
  <sheetData>
    <row r="2" spans="1:13" ht="27" customHeight="1">
      <c r="A2" s="2761" t="s">
        <v>2120</v>
      </c>
      <c r="B2" s="2761"/>
      <c r="C2" s="2761"/>
      <c r="D2" s="2761"/>
      <c r="E2" s="2761"/>
      <c r="F2" s="2761"/>
      <c r="G2" s="2761"/>
      <c r="H2" s="2761"/>
    </row>
    <row r="4" spans="1:13" ht="12.4" customHeight="1">
      <c r="A4" s="2759" t="s">
        <v>2019</v>
      </c>
      <c r="B4" s="2755" t="s">
        <v>2020</v>
      </c>
      <c r="C4" s="2755" t="s">
        <v>2019</v>
      </c>
      <c r="D4" s="2755" t="s">
        <v>2020</v>
      </c>
      <c r="E4" s="2755" t="s">
        <v>2019</v>
      </c>
      <c r="F4" s="2755" t="s">
        <v>2020</v>
      </c>
      <c r="G4" s="2755" t="s">
        <v>2019</v>
      </c>
      <c r="H4" s="2757" t="s">
        <v>2118</v>
      </c>
      <c r="I4" s="2762"/>
      <c r="J4" s="2762"/>
      <c r="K4" s="2762"/>
      <c r="L4" s="2762"/>
      <c r="M4" s="2762"/>
    </row>
    <row r="5" spans="1:13" ht="12.4" customHeight="1">
      <c r="A5" s="2763"/>
      <c r="B5" s="2764"/>
      <c r="C5" s="2764"/>
      <c r="D5" s="2764"/>
      <c r="E5" s="2764"/>
      <c r="F5" s="2764"/>
      <c r="G5" s="2764"/>
      <c r="H5" s="2765"/>
      <c r="I5" s="2762"/>
      <c r="J5" s="2762"/>
      <c r="K5" s="2762"/>
      <c r="L5" s="2762"/>
      <c r="M5" s="2762"/>
    </row>
    <row r="6" spans="1:13">
      <c r="A6" s="120">
        <v>701</v>
      </c>
      <c r="B6" s="121" t="s">
        <v>1282</v>
      </c>
      <c r="C6" s="122">
        <v>751</v>
      </c>
      <c r="D6" s="121" t="s">
        <v>2022</v>
      </c>
      <c r="E6" s="122">
        <v>801</v>
      </c>
      <c r="F6" s="121"/>
      <c r="G6" s="122">
        <v>851</v>
      </c>
      <c r="H6" s="123" t="s">
        <v>2023</v>
      </c>
      <c r="I6" s="133"/>
      <c r="J6" s="43"/>
      <c r="K6" s="48"/>
      <c r="L6" s="43"/>
      <c r="M6" s="48"/>
    </row>
    <row r="7" spans="1:13">
      <c r="A7" s="30">
        <v>702</v>
      </c>
      <c r="B7" s="124" t="s">
        <v>1283</v>
      </c>
      <c r="C7" s="109">
        <v>752</v>
      </c>
      <c r="D7" s="124" t="s">
        <v>2024</v>
      </c>
      <c r="E7" s="109">
        <v>802</v>
      </c>
      <c r="F7" s="124"/>
      <c r="G7" s="109">
        <v>852</v>
      </c>
      <c r="H7" s="125" t="s">
        <v>2025</v>
      </c>
      <c r="I7" s="133"/>
      <c r="J7" s="43"/>
      <c r="K7" s="48"/>
      <c r="L7" s="43"/>
      <c r="M7" s="48"/>
    </row>
    <row r="8" spans="1:13">
      <c r="A8" s="30">
        <v>703</v>
      </c>
      <c r="B8" s="124" t="s">
        <v>1284</v>
      </c>
      <c r="C8" s="109">
        <v>753</v>
      </c>
      <c r="D8" s="124" t="s">
        <v>2026</v>
      </c>
      <c r="E8" s="109">
        <v>803</v>
      </c>
      <c r="F8" s="124"/>
      <c r="G8" s="109">
        <v>853</v>
      </c>
      <c r="H8" s="125" t="s">
        <v>2027</v>
      </c>
      <c r="I8" s="133"/>
      <c r="J8" s="43"/>
      <c r="K8" s="48"/>
      <c r="L8" s="43"/>
      <c r="M8" s="48"/>
    </row>
    <row r="9" spans="1:13">
      <c r="A9" s="30">
        <v>704</v>
      </c>
      <c r="B9" s="124" t="s">
        <v>1285</v>
      </c>
      <c r="C9" s="109">
        <v>754</v>
      </c>
      <c r="D9" s="124" t="s">
        <v>2028</v>
      </c>
      <c r="E9" s="109">
        <v>804</v>
      </c>
      <c r="F9" s="124"/>
      <c r="G9" s="109">
        <v>854</v>
      </c>
      <c r="H9" s="125" t="s">
        <v>1470</v>
      </c>
      <c r="I9" s="133"/>
      <c r="J9" s="43"/>
      <c r="K9" s="48"/>
      <c r="L9" s="43"/>
      <c r="M9" s="48"/>
    </row>
    <row r="10" spans="1:13">
      <c r="A10" s="30">
        <v>705</v>
      </c>
      <c r="B10" s="124" t="s">
        <v>1726</v>
      </c>
      <c r="C10" s="109">
        <v>755</v>
      </c>
      <c r="D10" s="124" t="s">
        <v>2029</v>
      </c>
      <c r="E10" s="109">
        <v>805</v>
      </c>
      <c r="F10" s="124"/>
      <c r="G10" s="109">
        <v>855</v>
      </c>
      <c r="H10" s="125" t="s">
        <v>2030</v>
      </c>
      <c r="I10" s="133"/>
      <c r="J10" s="43"/>
      <c r="K10" s="48"/>
      <c r="L10" s="43"/>
      <c r="M10" s="48"/>
    </row>
    <row r="11" spans="1:13">
      <c r="A11" s="30">
        <v>706</v>
      </c>
      <c r="B11" s="124" t="s">
        <v>1287</v>
      </c>
      <c r="C11" s="109">
        <v>756</v>
      </c>
      <c r="D11" s="124" t="s">
        <v>2031</v>
      </c>
      <c r="E11" s="109">
        <v>806</v>
      </c>
      <c r="F11" s="124"/>
      <c r="G11" s="109">
        <v>856</v>
      </c>
      <c r="H11" s="125" t="s">
        <v>2032</v>
      </c>
      <c r="I11" s="133"/>
      <c r="J11" s="43"/>
      <c r="K11" s="48"/>
      <c r="L11" s="43"/>
      <c r="M11" s="48"/>
    </row>
    <row r="12" spans="1:13" ht="13">
      <c r="A12" s="30">
        <v>707</v>
      </c>
      <c r="B12" s="124" t="s">
        <v>1294</v>
      </c>
      <c r="C12" s="109">
        <v>757</v>
      </c>
      <c r="D12" s="124" t="s">
        <v>2033</v>
      </c>
      <c r="E12" s="109">
        <v>807</v>
      </c>
      <c r="F12" s="124"/>
      <c r="G12" s="109">
        <v>857</v>
      </c>
      <c r="H12" s="125" t="s">
        <v>2034</v>
      </c>
      <c r="I12" s="133"/>
      <c r="J12" s="43"/>
      <c r="K12" s="48"/>
      <c r="L12" s="43"/>
      <c r="M12" s="48"/>
    </row>
    <row r="13" spans="1:13">
      <c r="A13" s="30">
        <v>708</v>
      </c>
      <c r="B13" s="124" t="s">
        <v>1288</v>
      </c>
      <c r="C13" s="109">
        <v>758</v>
      </c>
      <c r="D13" s="124" t="s">
        <v>1324</v>
      </c>
      <c r="E13" s="109">
        <v>808</v>
      </c>
      <c r="F13" s="124"/>
      <c r="G13" s="109">
        <v>858</v>
      </c>
      <c r="H13" s="125" t="s">
        <v>2035</v>
      </c>
      <c r="I13" s="133"/>
      <c r="J13" s="43"/>
      <c r="K13" s="48"/>
      <c r="L13" s="43"/>
      <c r="M13" s="48"/>
    </row>
    <row r="14" spans="1:13">
      <c r="A14" s="30">
        <v>709</v>
      </c>
      <c r="B14" s="124" t="s">
        <v>1728</v>
      </c>
      <c r="C14" s="109">
        <v>759</v>
      </c>
      <c r="D14" s="124" t="s">
        <v>2036</v>
      </c>
      <c r="E14" s="109">
        <v>809</v>
      </c>
      <c r="F14" s="124"/>
      <c r="G14" s="109">
        <v>859</v>
      </c>
      <c r="H14" s="125" t="s">
        <v>2038</v>
      </c>
      <c r="I14" s="133"/>
      <c r="J14" s="43"/>
      <c r="K14" s="48"/>
      <c r="L14" s="43"/>
      <c r="M14" s="48"/>
    </row>
    <row r="15" spans="1:13">
      <c r="A15" s="30">
        <v>710</v>
      </c>
      <c r="B15" s="124" t="s">
        <v>1729</v>
      </c>
      <c r="C15" s="109">
        <v>760</v>
      </c>
      <c r="D15" s="124" t="s">
        <v>2039</v>
      </c>
      <c r="E15" s="109">
        <v>810</v>
      </c>
      <c r="F15" s="124"/>
      <c r="G15" s="109">
        <v>860</v>
      </c>
      <c r="H15" s="125" t="s">
        <v>1475</v>
      </c>
      <c r="I15" s="133"/>
      <c r="J15" s="43"/>
      <c r="K15" s="48"/>
      <c r="L15" s="43"/>
      <c r="M15" s="48"/>
    </row>
    <row r="16" spans="1:13">
      <c r="A16" s="30">
        <v>711</v>
      </c>
      <c r="B16" s="124" t="s">
        <v>1291</v>
      </c>
      <c r="C16" s="109">
        <v>761</v>
      </c>
      <c r="D16" s="124" t="s">
        <v>1327</v>
      </c>
      <c r="E16" s="109">
        <v>811</v>
      </c>
      <c r="F16" s="124"/>
      <c r="G16" s="109">
        <v>861</v>
      </c>
      <c r="H16" s="125" t="s">
        <v>2042</v>
      </c>
      <c r="I16" s="133"/>
      <c r="J16" s="43"/>
      <c r="K16" s="48"/>
      <c r="L16" s="43"/>
      <c r="M16" s="48"/>
    </row>
    <row r="17" spans="1:13">
      <c r="A17" s="30">
        <v>712</v>
      </c>
      <c r="B17" s="124" t="s">
        <v>2043</v>
      </c>
      <c r="C17" s="109">
        <v>762</v>
      </c>
      <c r="D17" s="124" t="s">
        <v>2044</v>
      </c>
      <c r="E17" s="109">
        <v>812</v>
      </c>
      <c r="F17" s="124"/>
      <c r="G17" s="109">
        <v>862</v>
      </c>
      <c r="H17" s="125" t="s">
        <v>2046</v>
      </c>
      <c r="I17" s="133"/>
      <c r="J17" s="43"/>
      <c r="K17" s="48"/>
      <c r="L17" s="43"/>
      <c r="M17" s="48"/>
    </row>
    <row r="18" spans="1:13">
      <c r="A18" s="30">
        <v>713</v>
      </c>
      <c r="B18" s="124" t="s">
        <v>1866</v>
      </c>
      <c r="C18" s="109">
        <v>763</v>
      </c>
      <c r="D18" s="124" t="s">
        <v>2047</v>
      </c>
      <c r="E18" s="109">
        <v>813</v>
      </c>
      <c r="F18" s="124"/>
      <c r="G18" s="109">
        <v>863</v>
      </c>
      <c r="H18" s="125" t="s">
        <v>2049</v>
      </c>
      <c r="I18" s="133"/>
      <c r="J18" s="43"/>
      <c r="K18" s="48"/>
      <c r="L18" s="43"/>
      <c r="M18" s="48"/>
    </row>
    <row r="19" spans="1:13">
      <c r="A19" s="30">
        <v>714</v>
      </c>
      <c r="B19" s="124" t="s">
        <v>1373</v>
      </c>
      <c r="C19" s="109">
        <v>764</v>
      </c>
      <c r="D19" s="124" t="s">
        <v>2050</v>
      </c>
      <c r="E19" s="109">
        <v>814</v>
      </c>
      <c r="F19" s="124"/>
      <c r="G19" s="109">
        <v>864</v>
      </c>
      <c r="H19" s="125" t="s">
        <v>2052</v>
      </c>
      <c r="I19" s="133"/>
      <c r="J19" s="43"/>
      <c r="K19" s="48"/>
      <c r="L19" s="43"/>
      <c r="M19" s="48"/>
    </row>
    <row r="20" spans="1:13">
      <c r="A20" s="30">
        <v>715</v>
      </c>
      <c r="B20" s="124" t="s">
        <v>2053</v>
      </c>
      <c r="C20" s="109">
        <v>765</v>
      </c>
      <c r="D20" s="124" t="s">
        <v>1331</v>
      </c>
      <c r="E20" s="109">
        <v>815</v>
      </c>
      <c r="F20" s="124"/>
      <c r="G20" s="109">
        <v>865</v>
      </c>
      <c r="H20" s="125" t="s">
        <v>2055</v>
      </c>
      <c r="I20" s="133"/>
      <c r="J20" s="43"/>
      <c r="K20" s="48"/>
      <c r="L20" s="43"/>
      <c r="M20" s="48"/>
    </row>
    <row r="21" spans="1:13">
      <c r="A21" s="30">
        <v>716</v>
      </c>
      <c r="B21" s="124" t="s">
        <v>1296</v>
      </c>
      <c r="C21" s="109">
        <v>766</v>
      </c>
      <c r="D21" s="124" t="s">
        <v>2056</v>
      </c>
      <c r="E21" s="109">
        <v>816</v>
      </c>
      <c r="F21" s="124"/>
      <c r="G21" s="109">
        <v>866</v>
      </c>
      <c r="H21" s="125" t="s">
        <v>2058</v>
      </c>
      <c r="I21" s="133"/>
      <c r="J21" s="43"/>
      <c r="K21" s="48"/>
      <c r="L21" s="43"/>
      <c r="M21" s="48"/>
    </row>
    <row r="22" spans="1:13">
      <c r="A22" s="30">
        <v>717</v>
      </c>
      <c r="B22" s="124" t="s">
        <v>1400</v>
      </c>
      <c r="C22" s="109">
        <v>767</v>
      </c>
      <c r="D22" s="124" t="s">
        <v>2059</v>
      </c>
      <c r="E22" s="109">
        <v>817</v>
      </c>
      <c r="F22" s="124"/>
      <c r="G22" s="109">
        <v>867</v>
      </c>
      <c r="H22" s="125" t="s">
        <v>2061</v>
      </c>
      <c r="I22" s="133"/>
      <c r="J22" s="43"/>
      <c r="K22" s="48"/>
      <c r="L22" s="43"/>
      <c r="M22" s="48"/>
    </row>
    <row r="23" spans="1:13">
      <c r="A23" s="30">
        <v>718</v>
      </c>
      <c r="B23" s="124" t="s">
        <v>1401</v>
      </c>
      <c r="C23" s="109">
        <v>768</v>
      </c>
      <c r="D23" s="124" t="s">
        <v>1334</v>
      </c>
      <c r="E23" s="109">
        <v>818</v>
      </c>
      <c r="F23" s="124"/>
      <c r="G23" s="109">
        <v>868</v>
      </c>
      <c r="H23" s="125" t="s">
        <v>2063</v>
      </c>
      <c r="I23" s="133"/>
      <c r="J23" s="43"/>
      <c r="K23" s="48"/>
      <c r="L23" s="43"/>
      <c r="M23" s="48"/>
    </row>
    <row r="24" spans="1:13">
      <c r="A24" s="30">
        <v>719</v>
      </c>
      <c r="B24" s="124" t="s">
        <v>1402</v>
      </c>
      <c r="C24" s="109">
        <v>769</v>
      </c>
      <c r="D24" s="124" t="s">
        <v>2064</v>
      </c>
      <c r="E24" s="109">
        <v>819</v>
      </c>
      <c r="F24" s="124"/>
      <c r="G24" s="109">
        <v>869</v>
      </c>
      <c r="H24" s="125" t="s">
        <v>2066</v>
      </c>
      <c r="I24" s="133"/>
      <c r="J24" s="43"/>
      <c r="K24" s="48"/>
      <c r="L24" s="43"/>
      <c r="M24" s="48"/>
    </row>
    <row r="25" spans="1:13">
      <c r="A25" s="30">
        <v>720</v>
      </c>
      <c r="B25" s="124" t="s">
        <v>1306</v>
      </c>
      <c r="C25" s="109">
        <v>770</v>
      </c>
      <c r="D25" s="124" t="s">
        <v>2067</v>
      </c>
      <c r="E25" s="109">
        <v>820</v>
      </c>
      <c r="F25" s="124"/>
      <c r="G25" s="109">
        <v>870</v>
      </c>
      <c r="H25" s="125" t="s">
        <v>2069</v>
      </c>
      <c r="I25" s="133"/>
      <c r="J25" s="43"/>
      <c r="K25" s="48"/>
      <c r="L25" s="43"/>
      <c r="M25" s="48"/>
    </row>
    <row r="26" spans="1:13">
      <c r="A26" s="30">
        <v>721</v>
      </c>
      <c r="B26" s="124" t="s">
        <v>1305</v>
      </c>
      <c r="C26" s="109">
        <v>771</v>
      </c>
      <c r="D26" s="124" t="s">
        <v>2070</v>
      </c>
      <c r="E26" s="109">
        <v>821</v>
      </c>
      <c r="F26" s="124"/>
      <c r="G26" s="109">
        <v>871</v>
      </c>
      <c r="H26" s="125" t="s">
        <v>2071</v>
      </c>
      <c r="I26" s="133"/>
      <c r="J26" s="43"/>
      <c r="K26" s="48"/>
      <c r="L26" s="43"/>
      <c r="M26" s="48"/>
    </row>
    <row r="27" spans="1:13">
      <c r="A27" s="30">
        <v>722</v>
      </c>
      <c r="B27" s="124" t="s">
        <v>1307</v>
      </c>
      <c r="C27" s="109">
        <v>772</v>
      </c>
      <c r="D27" s="124" t="s">
        <v>2072</v>
      </c>
      <c r="E27" s="109">
        <v>822</v>
      </c>
      <c r="F27" s="124"/>
      <c r="G27" s="109">
        <v>872</v>
      </c>
      <c r="H27" s="125" t="s">
        <v>2073</v>
      </c>
      <c r="I27" s="133"/>
      <c r="J27" s="43"/>
      <c r="K27" s="48"/>
      <c r="L27" s="43"/>
      <c r="M27" s="48"/>
    </row>
    <row r="28" spans="1:13">
      <c r="A28" s="30">
        <v>723</v>
      </c>
      <c r="B28" s="124" t="s">
        <v>1308</v>
      </c>
      <c r="C28" s="109">
        <v>773</v>
      </c>
      <c r="D28" s="124" t="s">
        <v>2074</v>
      </c>
      <c r="E28" s="109">
        <v>823</v>
      </c>
      <c r="F28" s="124"/>
      <c r="G28" s="109">
        <v>873</v>
      </c>
      <c r="H28" s="125" t="s">
        <v>1491</v>
      </c>
      <c r="I28" s="133"/>
      <c r="J28" s="43"/>
      <c r="K28" s="48"/>
      <c r="L28" s="43"/>
      <c r="M28" s="48"/>
    </row>
    <row r="29" spans="1:13">
      <c r="A29" s="30">
        <v>724</v>
      </c>
      <c r="B29" s="124" t="s">
        <v>1309</v>
      </c>
      <c r="C29" s="109">
        <v>774</v>
      </c>
      <c r="D29" s="124" t="s">
        <v>2075</v>
      </c>
      <c r="E29" s="109">
        <v>824</v>
      </c>
      <c r="F29" s="124"/>
      <c r="G29" s="109">
        <v>874</v>
      </c>
      <c r="H29" s="125" t="s">
        <v>1489</v>
      </c>
      <c r="I29" s="133"/>
      <c r="J29" s="43"/>
      <c r="K29" s="48"/>
      <c r="L29" s="43"/>
      <c r="M29" s="48"/>
    </row>
    <row r="30" spans="1:13">
      <c r="A30" s="30">
        <v>725</v>
      </c>
      <c r="B30" s="124" t="s">
        <v>1310</v>
      </c>
      <c r="C30" s="109">
        <v>775</v>
      </c>
      <c r="D30" s="124" t="s">
        <v>2076</v>
      </c>
      <c r="E30" s="109">
        <v>825</v>
      </c>
      <c r="F30" s="124"/>
      <c r="G30" s="109">
        <v>875</v>
      </c>
      <c r="H30" s="125" t="s">
        <v>1495</v>
      </c>
      <c r="I30" s="133"/>
      <c r="J30" s="43"/>
      <c r="K30" s="48"/>
      <c r="L30" s="43"/>
      <c r="M30" s="48"/>
    </row>
    <row r="31" spans="1:13">
      <c r="A31" s="30">
        <v>726</v>
      </c>
      <c r="B31" s="124" t="s">
        <v>1311</v>
      </c>
      <c r="C31" s="109">
        <v>776</v>
      </c>
      <c r="D31" s="124" t="s">
        <v>2077</v>
      </c>
      <c r="E31" s="109">
        <v>826</v>
      </c>
      <c r="F31" s="124"/>
      <c r="G31" s="109">
        <v>876</v>
      </c>
      <c r="H31" s="125" t="s">
        <v>2078</v>
      </c>
      <c r="I31" s="133"/>
      <c r="J31" s="43"/>
      <c r="K31" s="48"/>
      <c r="L31" s="43"/>
      <c r="M31" s="48"/>
    </row>
    <row r="32" spans="1:13">
      <c r="A32" s="30">
        <v>727</v>
      </c>
      <c r="B32" s="124" t="s">
        <v>1312</v>
      </c>
      <c r="C32" s="109">
        <v>777</v>
      </c>
      <c r="D32" s="124" t="s">
        <v>2079</v>
      </c>
      <c r="E32" s="109">
        <v>827</v>
      </c>
      <c r="F32" s="124"/>
      <c r="G32" s="109">
        <v>877</v>
      </c>
      <c r="H32" s="125" t="s">
        <v>1493</v>
      </c>
      <c r="I32" s="133"/>
      <c r="J32" s="43"/>
      <c r="K32" s="48"/>
      <c r="L32" s="43"/>
      <c r="M32" s="48"/>
    </row>
    <row r="33" spans="1:13">
      <c r="A33" s="30">
        <v>728</v>
      </c>
      <c r="B33" s="124" t="s">
        <v>1313</v>
      </c>
      <c r="C33" s="109">
        <v>778</v>
      </c>
      <c r="D33" s="124" t="s">
        <v>2080</v>
      </c>
      <c r="E33" s="109">
        <v>828</v>
      </c>
      <c r="F33" s="124"/>
      <c r="G33" s="109">
        <v>878</v>
      </c>
      <c r="H33" s="125" t="s">
        <v>1581</v>
      </c>
      <c r="I33" s="133"/>
      <c r="J33" s="43"/>
      <c r="K33" s="48"/>
      <c r="L33" s="43"/>
      <c r="M33" s="48"/>
    </row>
    <row r="34" spans="1:13">
      <c r="A34" s="30">
        <v>729</v>
      </c>
      <c r="B34" s="124" t="s">
        <v>1314</v>
      </c>
      <c r="C34" s="109">
        <v>779</v>
      </c>
      <c r="D34" s="124" t="s">
        <v>2081</v>
      </c>
      <c r="E34" s="109">
        <v>829</v>
      </c>
      <c r="F34" s="124"/>
      <c r="G34" s="109">
        <v>879</v>
      </c>
      <c r="H34" s="125" t="s">
        <v>1494</v>
      </c>
      <c r="I34" s="133"/>
      <c r="J34" s="43"/>
      <c r="K34" s="48"/>
      <c r="L34" s="43"/>
      <c r="M34" s="48"/>
    </row>
    <row r="35" spans="1:13">
      <c r="A35" s="30">
        <v>730</v>
      </c>
      <c r="B35" s="124" t="s">
        <v>1315</v>
      </c>
      <c r="C35" s="109">
        <v>780</v>
      </c>
      <c r="D35" s="124" t="s">
        <v>2082</v>
      </c>
      <c r="E35" s="109">
        <v>830</v>
      </c>
      <c r="F35" s="124"/>
      <c r="G35" s="109">
        <v>880</v>
      </c>
      <c r="H35" s="125" t="s">
        <v>2083</v>
      </c>
      <c r="I35" s="133"/>
      <c r="J35" s="43"/>
      <c r="K35" s="48"/>
      <c r="L35" s="43"/>
      <c r="M35" s="48"/>
    </row>
    <row r="36" spans="1:13">
      <c r="A36" s="30">
        <v>731</v>
      </c>
      <c r="B36" s="124" t="s">
        <v>1316</v>
      </c>
      <c r="C36" s="109">
        <v>781</v>
      </c>
      <c r="D36" s="124" t="s">
        <v>1365</v>
      </c>
      <c r="E36" s="109">
        <v>831</v>
      </c>
      <c r="F36" s="124"/>
      <c r="G36" s="109">
        <v>881</v>
      </c>
      <c r="H36" s="125" t="s">
        <v>1497</v>
      </c>
      <c r="I36" s="133"/>
      <c r="J36" s="43"/>
      <c r="K36" s="48"/>
      <c r="L36" s="43"/>
      <c r="M36" s="48"/>
    </row>
    <row r="37" spans="1:13">
      <c r="A37" s="30">
        <v>732</v>
      </c>
      <c r="B37" s="124" t="s">
        <v>1317</v>
      </c>
      <c r="C37" s="109">
        <v>782</v>
      </c>
      <c r="D37" s="124" t="s">
        <v>1367</v>
      </c>
      <c r="E37" s="109">
        <v>832</v>
      </c>
      <c r="F37" s="124"/>
      <c r="G37" s="109">
        <v>882</v>
      </c>
      <c r="H37" s="125" t="s">
        <v>1098</v>
      </c>
      <c r="I37" s="133"/>
      <c r="J37" s="43"/>
      <c r="K37" s="48"/>
      <c r="L37" s="43"/>
      <c r="M37" s="48"/>
    </row>
    <row r="38" spans="1:13">
      <c r="A38" s="30">
        <v>733</v>
      </c>
      <c r="B38" s="124" t="s">
        <v>1318</v>
      </c>
      <c r="C38" s="109">
        <v>783</v>
      </c>
      <c r="D38" s="124" t="s">
        <v>2084</v>
      </c>
      <c r="E38" s="109">
        <v>833</v>
      </c>
      <c r="F38" s="124"/>
      <c r="G38" s="109">
        <v>883</v>
      </c>
      <c r="H38" s="125" t="s">
        <v>1092</v>
      </c>
      <c r="I38" s="133"/>
      <c r="J38" s="43"/>
      <c r="K38" s="48"/>
      <c r="L38" s="43"/>
      <c r="M38" s="48"/>
    </row>
    <row r="39" spans="1:13">
      <c r="A39" s="30">
        <v>734</v>
      </c>
      <c r="B39" s="124" t="s">
        <v>1319</v>
      </c>
      <c r="C39" s="109">
        <v>784</v>
      </c>
      <c r="D39" s="124" t="s">
        <v>2085</v>
      </c>
      <c r="E39" s="109">
        <v>834</v>
      </c>
      <c r="F39" s="124"/>
      <c r="G39" s="109">
        <v>884</v>
      </c>
      <c r="H39" s="125"/>
      <c r="I39" s="133"/>
      <c r="J39" s="43"/>
      <c r="K39" s="48"/>
      <c r="L39" s="43"/>
      <c r="M39" s="48"/>
    </row>
    <row r="40" spans="1:13">
      <c r="A40" s="30">
        <v>735</v>
      </c>
      <c r="B40" s="124" t="s">
        <v>1320</v>
      </c>
      <c r="C40" s="109">
        <v>785</v>
      </c>
      <c r="D40" s="124" t="s">
        <v>2086</v>
      </c>
      <c r="E40" s="109">
        <v>835</v>
      </c>
      <c r="F40" s="124"/>
      <c r="G40" s="109">
        <v>885</v>
      </c>
      <c r="H40" s="125"/>
      <c r="I40" s="133"/>
      <c r="J40" s="43"/>
      <c r="K40" s="48"/>
      <c r="L40" s="43"/>
      <c r="M40" s="48"/>
    </row>
    <row r="41" spans="1:13">
      <c r="A41" s="30">
        <v>736</v>
      </c>
      <c r="B41" s="124" t="s">
        <v>1349</v>
      </c>
      <c r="C41" s="109">
        <v>786</v>
      </c>
      <c r="D41" s="124" t="s">
        <v>2087</v>
      </c>
      <c r="E41" s="109">
        <v>836</v>
      </c>
      <c r="F41" s="124"/>
      <c r="G41" s="109">
        <v>886</v>
      </c>
      <c r="H41" s="125"/>
      <c r="I41" s="133"/>
      <c r="J41" s="43"/>
      <c r="K41" s="48"/>
      <c r="L41" s="43"/>
      <c r="M41" s="48"/>
    </row>
    <row r="42" spans="1:13">
      <c r="A42" s="30">
        <v>737</v>
      </c>
      <c r="B42" s="124" t="s">
        <v>1350</v>
      </c>
      <c r="C42" s="109">
        <v>787</v>
      </c>
      <c r="D42" s="124" t="s">
        <v>1371</v>
      </c>
      <c r="E42" s="109">
        <v>837</v>
      </c>
      <c r="F42" s="124"/>
      <c r="G42" s="109">
        <v>887</v>
      </c>
      <c r="H42" s="125"/>
      <c r="I42" s="133"/>
      <c r="J42" s="43"/>
      <c r="K42" s="48"/>
      <c r="L42" s="43"/>
      <c r="M42" s="48"/>
    </row>
    <row r="43" spans="1:13">
      <c r="A43" s="30">
        <v>738</v>
      </c>
      <c r="B43" s="124" t="s">
        <v>1351</v>
      </c>
      <c r="C43" s="109">
        <v>788</v>
      </c>
      <c r="D43" s="124" t="s">
        <v>1398</v>
      </c>
      <c r="E43" s="109">
        <v>838</v>
      </c>
      <c r="F43" s="124"/>
      <c r="G43" s="109">
        <v>888</v>
      </c>
      <c r="H43" s="125"/>
      <c r="I43" s="133"/>
      <c r="J43" s="43"/>
      <c r="K43" s="48"/>
      <c r="L43" s="43"/>
      <c r="M43" s="48"/>
    </row>
    <row r="44" spans="1:13">
      <c r="A44" s="30">
        <v>739</v>
      </c>
      <c r="B44" s="124" t="s">
        <v>1352</v>
      </c>
      <c r="C44" s="109">
        <v>789</v>
      </c>
      <c r="D44" s="124" t="s">
        <v>1399</v>
      </c>
      <c r="E44" s="109">
        <v>839</v>
      </c>
      <c r="F44" s="124"/>
      <c r="G44" s="109">
        <v>889</v>
      </c>
      <c r="H44" s="125"/>
      <c r="I44" s="133"/>
      <c r="J44" s="43"/>
      <c r="K44" s="48"/>
      <c r="L44" s="43"/>
      <c r="M44" s="48"/>
    </row>
    <row r="45" spans="1:13">
      <c r="A45" s="30">
        <v>740</v>
      </c>
      <c r="B45" s="124" t="s">
        <v>2088</v>
      </c>
      <c r="C45" s="109">
        <v>790</v>
      </c>
      <c r="D45" s="124" t="s">
        <v>2089</v>
      </c>
      <c r="E45" s="109">
        <v>840</v>
      </c>
      <c r="F45" s="124"/>
      <c r="G45" s="109">
        <v>890</v>
      </c>
      <c r="H45" s="125"/>
      <c r="I45" s="133"/>
      <c r="J45" s="43"/>
      <c r="K45" s="48"/>
      <c r="L45" s="43"/>
      <c r="M45" s="48"/>
    </row>
    <row r="46" spans="1:13">
      <c r="A46" s="30">
        <v>741</v>
      </c>
      <c r="B46" s="124" t="s">
        <v>2090</v>
      </c>
      <c r="C46" s="109">
        <v>791</v>
      </c>
      <c r="D46" s="124" t="s">
        <v>2091</v>
      </c>
      <c r="E46" s="109">
        <v>841</v>
      </c>
      <c r="F46" s="31"/>
      <c r="G46" s="109">
        <v>891</v>
      </c>
      <c r="H46" s="125"/>
      <c r="I46" s="133"/>
      <c r="J46" s="43"/>
      <c r="K46" s="48"/>
      <c r="L46" s="43"/>
      <c r="M46" s="48"/>
    </row>
    <row r="47" spans="1:13">
      <c r="A47" s="30">
        <v>742</v>
      </c>
      <c r="B47" s="124" t="s">
        <v>2092</v>
      </c>
      <c r="C47" s="109">
        <v>792</v>
      </c>
      <c r="D47" s="124" t="s">
        <v>2093</v>
      </c>
      <c r="E47" s="109">
        <v>842</v>
      </c>
      <c r="F47" s="31"/>
      <c r="G47" s="109">
        <v>892</v>
      </c>
      <c r="H47" s="125"/>
      <c r="I47" s="133"/>
      <c r="J47" s="43"/>
      <c r="K47" s="48"/>
      <c r="L47" s="43"/>
      <c r="M47" s="48"/>
    </row>
    <row r="48" spans="1:13">
      <c r="A48" s="30">
        <v>743</v>
      </c>
      <c r="B48" s="124" t="s">
        <v>2094</v>
      </c>
      <c r="C48" s="109">
        <v>793</v>
      </c>
      <c r="D48" s="124" t="s">
        <v>2095</v>
      </c>
      <c r="E48" s="109">
        <v>843</v>
      </c>
      <c r="F48" s="31"/>
      <c r="G48" s="109">
        <v>893</v>
      </c>
      <c r="H48" s="125"/>
      <c r="I48" s="133"/>
      <c r="J48" s="43"/>
      <c r="K48" s="48"/>
      <c r="L48" s="43"/>
      <c r="M48" s="48"/>
    </row>
    <row r="49" spans="1:13">
      <c r="A49" s="30">
        <v>744</v>
      </c>
      <c r="B49" s="124" t="s">
        <v>2096</v>
      </c>
      <c r="C49" s="109">
        <v>794</v>
      </c>
      <c r="D49" s="124" t="s">
        <v>2097</v>
      </c>
      <c r="E49" s="109">
        <v>844</v>
      </c>
      <c r="F49" s="31"/>
      <c r="G49" s="109">
        <v>894</v>
      </c>
      <c r="H49" s="125"/>
      <c r="I49" s="133"/>
      <c r="J49" s="43"/>
      <c r="K49" s="48"/>
      <c r="L49" s="43"/>
      <c r="M49" s="48"/>
    </row>
    <row r="50" spans="1:13">
      <c r="A50" s="30">
        <v>745</v>
      </c>
      <c r="B50" s="124" t="s">
        <v>2098</v>
      </c>
      <c r="C50" s="109">
        <v>795</v>
      </c>
      <c r="D50" s="124" t="s">
        <v>2099</v>
      </c>
      <c r="E50" s="109">
        <v>845</v>
      </c>
      <c r="F50" s="124"/>
      <c r="G50" s="109">
        <v>895</v>
      </c>
      <c r="H50" s="125"/>
      <c r="I50" s="133"/>
      <c r="J50" s="43"/>
      <c r="K50" s="48"/>
      <c r="L50" s="43"/>
      <c r="M50" s="48"/>
    </row>
    <row r="51" spans="1:13">
      <c r="A51" s="30">
        <v>746</v>
      </c>
      <c r="B51" s="124" t="s">
        <v>2100</v>
      </c>
      <c r="C51" s="109">
        <v>796</v>
      </c>
      <c r="D51" s="124" t="s">
        <v>2101</v>
      </c>
      <c r="E51" s="109">
        <v>846</v>
      </c>
      <c r="F51" s="31"/>
      <c r="G51" s="109">
        <v>896</v>
      </c>
      <c r="H51" s="126"/>
      <c r="I51" s="133"/>
      <c r="J51" s="43"/>
      <c r="K51" s="48"/>
      <c r="L51" s="43"/>
      <c r="M51" s="48"/>
    </row>
    <row r="52" spans="1:13">
      <c r="A52" s="30">
        <v>747</v>
      </c>
      <c r="B52" s="124" t="s">
        <v>2103</v>
      </c>
      <c r="C52" s="109">
        <v>797</v>
      </c>
      <c r="D52" s="124" t="s">
        <v>2104</v>
      </c>
      <c r="E52" s="109">
        <v>847</v>
      </c>
      <c r="F52" s="127"/>
      <c r="G52" s="109">
        <v>897</v>
      </c>
      <c r="H52" s="128"/>
      <c r="I52" s="133"/>
      <c r="J52" s="43"/>
      <c r="K52" s="48"/>
      <c r="L52" s="43"/>
      <c r="M52" s="48"/>
    </row>
    <row r="53" spans="1:13">
      <c r="A53" s="30">
        <v>748</v>
      </c>
      <c r="B53" s="124" t="s">
        <v>2107</v>
      </c>
      <c r="C53" s="109">
        <v>798</v>
      </c>
      <c r="D53" s="124" t="s">
        <v>2108</v>
      </c>
      <c r="E53" s="109">
        <v>848</v>
      </c>
      <c r="F53" s="31"/>
      <c r="G53" s="109">
        <v>898</v>
      </c>
      <c r="H53" s="126"/>
      <c r="I53" s="48"/>
      <c r="J53" s="43"/>
      <c r="K53" s="48"/>
      <c r="L53" s="43"/>
      <c r="M53" s="48"/>
    </row>
    <row r="54" spans="1:13">
      <c r="A54" s="30">
        <v>749</v>
      </c>
      <c r="B54" s="124" t="s">
        <v>2111</v>
      </c>
      <c r="C54" s="109">
        <v>799</v>
      </c>
      <c r="D54" s="124" t="s">
        <v>2112</v>
      </c>
      <c r="E54" s="109">
        <v>849</v>
      </c>
      <c r="F54" s="31"/>
      <c r="G54" s="109">
        <v>899</v>
      </c>
      <c r="H54" s="128"/>
      <c r="I54" s="48"/>
      <c r="J54" s="43"/>
      <c r="K54" s="48"/>
      <c r="L54" s="43"/>
      <c r="M54" s="48"/>
    </row>
    <row r="55" spans="1:13">
      <c r="A55" s="129">
        <v>750</v>
      </c>
      <c r="B55" s="130" t="s">
        <v>2114</v>
      </c>
      <c r="C55" s="131">
        <v>800</v>
      </c>
      <c r="D55" s="130" t="s">
        <v>1392</v>
      </c>
      <c r="E55" s="131">
        <v>850</v>
      </c>
      <c r="F55" s="33"/>
      <c r="G55" s="131">
        <v>900</v>
      </c>
      <c r="H55" s="132"/>
      <c r="I55" s="48"/>
      <c r="J55" s="43"/>
      <c r="K55" s="48"/>
      <c r="L55" s="43"/>
      <c r="M55" s="48"/>
    </row>
  </sheetData>
  <mergeCells count="14">
    <mergeCell ref="I4:I5"/>
    <mergeCell ref="J4:J5"/>
    <mergeCell ref="K4:K5"/>
    <mergeCell ref="L4:L5"/>
    <mergeCell ref="M4:M5"/>
    <mergeCell ref="A2:H2"/>
    <mergeCell ref="A4:A5"/>
    <mergeCell ref="B4:B5"/>
    <mergeCell ref="C4:C5"/>
    <mergeCell ref="D4:D5"/>
    <mergeCell ref="E4:E5"/>
    <mergeCell ref="F4:F5"/>
    <mergeCell ref="G4:G5"/>
    <mergeCell ref="H4:H5"/>
  </mergeCells>
  <printOptions horizontalCentered="1" verticalCentered="1"/>
  <pageMargins left="0" right="0" top="0" bottom="0" header="0.3" footer="0.3"/>
  <pageSetup paperSize="10000" scale="82" orientation="landscape"/>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FFC000"/>
  </sheetPr>
  <dimension ref="A3:H38"/>
  <sheetViews>
    <sheetView workbookViewId="0">
      <selection activeCell="G72" sqref="A1:K115"/>
    </sheetView>
  </sheetViews>
  <sheetFormatPr defaultColWidth="9.26953125" defaultRowHeight="12.5"/>
  <cols>
    <col min="1" max="1" width="20.7265625" style="48" customWidth="1"/>
    <col min="2" max="2" width="20.26953125" style="48" customWidth="1"/>
    <col min="3" max="3" width="2.453125" style="48" customWidth="1"/>
    <col min="4" max="5" width="20.26953125" style="48" customWidth="1"/>
    <col min="6" max="6" width="3.7265625" style="48" customWidth="1"/>
    <col min="7" max="7" width="20.7265625" style="48" customWidth="1"/>
    <col min="8" max="8" width="20.26953125" style="48" customWidth="1"/>
    <col min="9" max="16384" width="9.26953125" style="48"/>
  </cols>
  <sheetData>
    <row r="3" spans="1:8" ht="18.5">
      <c r="A3" s="2766" t="s">
        <v>2121</v>
      </c>
      <c r="B3" s="2766"/>
      <c r="C3" s="2766"/>
      <c r="D3" s="2766"/>
      <c r="E3" s="2766"/>
      <c r="F3" s="2766"/>
      <c r="G3" s="2766"/>
      <c r="H3" s="2766"/>
    </row>
    <row r="4" spans="1:8" ht="18.5">
      <c r="A4" s="2766" t="s">
        <v>382</v>
      </c>
      <c r="B4" s="2766"/>
      <c r="C4" s="2766"/>
      <c r="D4" s="2766"/>
      <c r="E4" s="2766"/>
      <c r="F4" s="2766"/>
      <c r="G4" s="2766"/>
      <c r="H4" s="2766"/>
    </row>
    <row r="5" spans="1:8" ht="14.5">
      <c r="A5" s="49"/>
      <c r="B5" s="49"/>
      <c r="C5" s="49"/>
      <c r="D5" s="49"/>
      <c r="E5" s="49"/>
      <c r="F5" s="49"/>
      <c r="G5" s="49"/>
      <c r="H5" s="49"/>
    </row>
    <row r="6" spans="1:8" ht="2.25" customHeight="1">
      <c r="A6" s="49"/>
      <c r="B6" s="49"/>
      <c r="C6" s="49"/>
      <c r="D6" s="49"/>
      <c r="E6" s="49"/>
      <c r="F6" s="49"/>
      <c r="G6" s="49"/>
      <c r="H6" s="49"/>
    </row>
    <row r="7" spans="1:8" ht="14.5">
      <c r="A7" s="2767" t="s">
        <v>1979</v>
      </c>
      <c r="B7" s="2767"/>
      <c r="C7" s="49"/>
      <c r="D7" s="2768" t="s">
        <v>1979</v>
      </c>
      <c r="E7" s="2768"/>
      <c r="F7" s="49"/>
      <c r="G7" s="2768" t="s">
        <v>1979</v>
      </c>
      <c r="H7" s="2768"/>
    </row>
    <row r="8" spans="1:8" ht="14.5">
      <c r="A8" s="2768" t="s">
        <v>2122</v>
      </c>
      <c r="B8" s="2768"/>
      <c r="C8" s="49"/>
      <c r="D8" s="2768" t="s">
        <v>2123</v>
      </c>
      <c r="E8" s="2768"/>
      <c r="F8" s="49"/>
      <c r="G8" s="2768" t="s">
        <v>2124</v>
      </c>
      <c r="H8" s="2768"/>
    </row>
    <row r="9" spans="1:8" ht="14.5">
      <c r="A9" s="111" t="s">
        <v>2125</v>
      </c>
      <c r="B9" s="112"/>
      <c r="C9" s="49"/>
      <c r="D9" s="111" t="s">
        <v>2125</v>
      </c>
      <c r="E9" s="112"/>
      <c r="F9" s="49"/>
      <c r="G9" s="111" t="s">
        <v>2125</v>
      </c>
      <c r="H9" s="112"/>
    </row>
    <row r="10" spans="1:8" ht="14.5">
      <c r="A10" s="113" t="s">
        <v>2126</v>
      </c>
      <c r="B10" s="114"/>
      <c r="C10" s="49"/>
      <c r="D10" s="113" t="s">
        <v>2126</v>
      </c>
      <c r="E10" s="114"/>
      <c r="F10" s="49"/>
      <c r="G10" s="113" t="s">
        <v>2126</v>
      </c>
      <c r="H10" s="114"/>
    </row>
    <row r="11" spans="1:8" ht="14.5">
      <c r="A11" s="113" t="s">
        <v>2127</v>
      </c>
      <c r="B11" s="114"/>
      <c r="C11" s="49"/>
      <c r="D11" s="113" t="s">
        <v>2127</v>
      </c>
      <c r="E11" s="114"/>
      <c r="F11" s="49"/>
      <c r="G11" s="113" t="s">
        <v>2127</v>
      </c>
      <c r="H11" s="114"/>
    </row>
    <row r="12" spans="1:8" ht="14.5">
      <c r="A12" s="2776" t="s">
        <v>2128</v>
      </c>
      <c r="B12" s="2777"/>
      <c r="C12" s="49"/>
      <c r="D12" s="2776" t="s">
        <v>2128</v>
      </c>
      <c r="E12" s="2777"/>
      <c r="F12" s="49"/>
      <c r="G12" s="2776" t="s">
        <v>2128</v>
      </c>
      <c r="H12" s="2777"/>
    </row>
    <row r="13" spans="1:8" ht="14.5">
      <c r="A13" s="113" t="s">
        <v>2129</v>
      </c>
      <c r="B13" s="114"/>
      <c r="C13" s="49"/>
      <c r="D13" s="115" t="s">
        <v>2129</v>
      </c>
      <c r="E13" s="116"/>
      <c r="F13" s="49"/>
      <c r="G13" s="113" t="s">
        <v>2129</v>
      </c>
      <c r="H13" s="116"/>
    </row>
    <row r="14" spans="1:8" ht="14.5">
      <c r="A14" s="113" t="s">
        <v>2130</v>
      </c>
      <c r="B14" s="114"/>
      <c r="C14" s="49"/>
      <c r="D14" s="115" t="s">
        <v>2130</v>
      </c>
      <c r="E14" s="116"/>
      <c r="F14" s="49"/>
      <c r="G14" s="113" t="s">
        <v>2130</v>
      </c>
      <c r="H14" s="116"/>
    </row>
    <row r="15" spans="1:8" ht="14.5">
      <c r="A15" s="113" t="s">
        <v>2131</v>
      </c>
      <c r="B15" s="114"/>
      <c r="C15" s="49"/>
      <c r="D15" s="115" t="s">
        <v>2131</v>
      </c>
      <c r="E15" s="116"/>
      <c r="F15" s="49"/>
      <c r="G15" s="113" t="s">
        <v>2131</v>
      </c>
      <c r="H15" s="116"/>
    </row>
    <row r="16" spans="1:8" ht="14.5">
      <c r="A16" s="113" t="s">
        <v>2132</v>
      </c>
      <c r="B16" s="114"/>
      <c r="C16" s="49"/>
      <c r="D16" s="115" t="s">
        <v>2132</v>
      </c>
      <c r="E16" s="116"/>
      <c r="F16" s="49"/>
      <c r="G16" s="113" t="s">
        <v>2132</v>
      </c>
      <c r="H16" s="116"/>
    </row>
    <row r="17" spans="1:8" ht="14.5">
      <c r="A17" s="113"/>
      <c r="B17" s="114"/>
      <c r="C17" s="49"/>
      <c r="D17" s="117"/>
      <c r="E17" s="116"/>
      <c r="F17" s="49"/>
      <c r="G17" s="118"/>
      <c r="H17" s="116"/>
    </row>
    <row r="18" spans="1:8" ht="14.5">
      <c r="A18" s="113"/>
      <c r="B18" s="114"/>
      <c r="C18" s="49"/>
      <c r="D18" s="117"/>
      <c r="E18" s="116"/>
      <c r="F18" s="49"/>
      <c r="G18" s="118"/>
      <c r="H18" s="116"/>
    </row>
    <row r="19" spans="1:8" ht="14.5">
      <c r="A19" s="113" t="s">
        <v>2133</v>
      </c>
      <c r="B19" s="114"/>
      <c r="C19" s="49"/>
      <c r="D19" s="115" t="s">
        <v>2133</v>
      </c>
      <c r="E19" s="116"/>
      <c r="F19" s="49"/>
      <c r="G19" s="113" t="s">
        <v>2133</v>
      </c>
      <c r="H19" s="116"/>
    </row>
    <row r="20" spans="1:8" ht="14.5">
      <c r="A20" s="113" t="s">
        <v>2134</v>
      </c>
      <c r="B20" s="114"/>
      <c r="C20" s="49"/>
      <c r="D20" s="115" t="s">
        <v>2134</v>
      </c>
      <c r="E20" s="116"/>
      <c r="F20" s="49"/>
      <c r="G20" s="113" t="s">
        <v>2134</v>
      </c>
      <c r="H20" s="116"/>
    </row>
    <row r="21" spans="1:8" ht="14.5">
      <c r="A21" s="113" t="s">
        <v>2135</v>
      </c>
      <c r="B21" s="114"/>
      <c r="C21" s="49"/>
      <c r="D21" s="115" t="s">
        <v>2135</v>
      </c>
      <c r="E21" s="116"/>
      <c r="F21" s="49"/>
      <c r="G21" s="113" t="s">
        <v>2135</v>
      </c>
      <c r="H21" s="116"/>
    </row>
    <row r="22" spans="1:8" ht="14.5">
      <c r="A22" s="113" t="s">
        <v>310</v>
      </c>
      <c r="B22" s="114"/>
      <c r="C22" s="49"/>
      <c r="D22" s="115" t="s">
        <v>310</v>
      </c>
      <c r="E22" s="116"/>
      <c r="F22" s="49"/>
      <c r="G22" s="113" t="s">
        <v>310</v>
      </c>
      <c r="H22" s="116"/>
    </row>
    <row r="23" spans="1:8" ht="14.5">
      <c r="A23" s="113" t="s">
        <v>2136</v>
      </c>
      <c r="B23" s="114"/>
      <c r="C23" s="49"/>
      <c r="D23" s="115" t="s">
        <v>2136</v>
      </c>
      <c r="E23" s="116"/>
      <c r="F23" s="49"/>
      <c r="G23" s="113" t="s">
        <v>2136</v>
      </c>
      <c r="H23" s="116"/>
    </row>
    <row r="24" spans="1:8" ht="14.5">
      <c r="A24" s="2770" t="s">
        <v>2137</v>
      </c>
      <c r="B24" s="2771"/>
      <c r="C24" s="49"/>
      <c r="D24" s="2770" t="s">
        <v>2137</v>
      </c>
      <c r="E24" s="2771"/>
      <c r="F24" s="49"/>
      <c r="G24" s="2770" t="s">
        <v>2137</v>
      </c>
      <c r="H24" s="2771"/>
    </row>
    <row r="25" spans="1:8" ht="14.5">
      <c r="A25" s="2772"/>
      <c r="B25" s="2773"/>
      <c r="C25" s="49"/>
      <c r="D25" s="2772"/>
      <c r="E25" s="2773"/>
      <c r="F25" s="49"/>
      <c r="G25" s="2772"/>
      <c r="H25" s="2773"/>
    </row>
    <row r="26" spans="1:8" ht="14.5">
      <c r="A26" s="2778"/>
      <c r="B26" s="2779"/>
      <c r="C26" s="49"/>
      <c r="D26" s="2778"/>
      <c r="E26" s="2779"/>
      <c r="F26" s="49"/>
      <c r="G26" s="2778"/>
      <c r="H26" s="2779"/>
    </row>
    <row r="27" spans="1:8" ht="14.5">
      <c r="A27" s="2770" t="s">
        <v>2138</v>
      </c>
      <c r="B27" s="2771"/>
      <c r="C27" s="49"/>
      <c r="D27" s="2770" t="s">
        <v>2138</v>
      </c>
      <c r="E27" s="2771"/>
      <c r="F27" s="49"/>
      <c r="G27" s="2770" t="s">
        <v>2138</v>
      </c>
      <c r="H27" s="2771"/>
    </row>
    <row r="28" spans="1:8" ht="14.5">
      <c r="A28" s="2772"/>
      <c r="B28" s="2773"/>
      <c r="C28" s="49"/>
      <c r="D28" s="2772"/>
      <c r="E28" s="2773"/>
      <c r="F28" s="49"/>
      <c r="G28" s="2772"/>
      <c r="H28" s="2773"/>
    </row>
    <row r="29" spans="1:8" ht="14.5">
      <c r="A29" s="2772"/>
      <c r="B29" s="2773"/>
      <c r="C29" s="49"/>
      <c r="D29" s="2772"/>
      <c r="E29" s="2773"/>
      <c r="F29" s="49"/>
      <c r="G29" s="2772"/>
      <c r="H29" s="2773"/>
    </row>
    <row r="30" spans="1:8" ht="14.5">
      <c r="A30" s="2772"/>
      <c r="B30" s="2773"/>
      <c r="C30" s="49"/>
      <c r="D30" s="2772"/>
      <c r="E30" s="2773"/>
      <c r="F30" s="49"/>
      <c r="G30" s="2772"/>
      <c r="H30" s="2773"/>
    </row>
    <row r="31" spans="1:8" ht="14.5">
      <c r="A31" s="2772"/>
      <c r="B31" s="2773"/>
      <c r="C31" s="49"/>
      <c r="D31" s="2772"/>
      <c r="E31" s="2773"/>
      <c r="F31" s="49"/>
      <c r="G31" s="2772"/>
      <c r="H31" s="2773"/>
    </row>
    <row r="32" spans="1:8" ht="14.5">
      <c r="A32" s="2774"/>
      <c r="B32" s="2775"/>
      <c r="C32" s="49"/>
      <c r="D32" s="2774"/>
      <c r="E32" s="2775"/>
      <c r="F32" s="49"/>
      <c r="G32" s="2774"/>
      <c r="H32" s="2775"/>
    </row>
    <row r="33" spans="1:8" ht="7.5" customHeight="1">
      <c r="A33" s="49"/>
      <c r="B33" s="49"/>
      <c r="C33" s="49"/>
      <c r="D33" s="49"/>
      <c r="E33" s="49"/>
      <c r="F33" s="49"/>
      <c r="G33" s="49"/>
      <c r="H33" s="49"/>
    </row>
    <row r="34" spans="1:8" ht="14.5">
      <c r="A34" s="2769" t="s">
        <v>2139</v>
      </c>
      <c r="B34" s="2769"/>
      <c r="C34" s="49"/>
      <c r="D34" s="119" t="s">
        <v>2140</v>
      </c>
      <c r="E34" s="119" t="s">
        <v>2141</v>
      </c>
      <c r="F34" s="49"/>
      <c r="G34" s="2769" t="s">
        <v>2142</v>
      </c>
      <c r="H34" s="2769"/>
    </row>
    <row r="35" spans="1:8" ht="7.5" customHeight="1">
      <c r="A35" s="49"/>
      <c r="B35" s="49"/>
      <c r="C35" s="49"/>
      <c r="D35" s="49"/>
      <c r="E35" s="49"/>
      <c r="F35" s="49"/>
      <c r="G35" s="49"/>
      <c r="H35" s="49"/>
    </row>
    <row r="36" spans="1:8" ht="14.5">
      <c r="A36" s="49"/>
      <c r="B36" s="49"/>
      <c r="C36" s="49"/>
      <c r="D36" s="49"/>
      <c r="E36" s="49"/>
      <c r="F36" s="49"/>
      <c r="G36" s="49"/>
      <c r="H36" s="49"/>
    </row>
    <row r="37" spans="1:8" ht="14.5">
      <c r="A37" s="2769" t="s">
        <v>2143</v>
      </c>
      <c r="B37" s="2769"/>
      <c r="C37" s="49"/>
      <c r="D37" s="49" t="s">
        <v>2144</v>
      </c>
      <c r="E37" s="49" t="s">
        <v>2145</v>
      </c>
      <c r="F37" s="49"/>
      <c r="G37" s="2769" t="s">
        <v>2143</v>
      </c>
      <c r="H37" s="2769"/>
    </row>
    <row r="38" spans="1:8" ht="14.5">
      <c r="A38" s="49"/>
      <c r="B38" s="49"/>
      <c r="C38" s="49"/>
      <c r="D38" s="49"/>
      <c r="E38" s="49"/>
      <c r="F38" s="49"/>
      <c r="G38" s="49"/>
      <c r="H38" s="49"/>
    </row>
  </sheetData>
  <mergeCells count="21">
    <mergeCell ref="A37:B37"/>
    <mergeCell ref="G37:H37"/>
    <mergeCell ref="A27:B32"/>
    <mergeCell ref="G27:H32"/>
    <mergeCell ref="A8:B8"/>
    <mergeCell ref="D8:E8"/>
    <mergeCell ref="G8:H8"/>
    <mergeCell ref="A12:B12"/>
    <mergeCell ref="D12:E12"/>
    <mergeCell ref="G12:H12"/>
    <mergeCell ref="A24:B26"/>
    <mergeCell ref="G24:H26"/>
    <mergeCell ref="D27:E32"/>
    <mergeCell ref="D24:E26"/>
    <mergeCell ref="A34:B34"/>
    <mergeCell ref="G34:H34"/>
    <mergeCell ref="A3:H3"/>
    <mergeCell ref="A4:H4"/>
    <mergeCell ref="A7:B7"/>
    <mergeCell ref="D7:E7"/>
    <mergeCell ref="G7:H7"/>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FFC000"/>
  </sheetPr>
  <dimension ref="B1:J75"/>
  <sheetViews>
    <sheetView workbookViewId="0">
      <selection activeCell="G72" sqref="A1:K115"/>
    </sheetView>
  </sheetViews>
  <sheetFormatPr defaultColWidth="10" defaultRowHeight="12.5"/>
  <cols>
    <col min="1" max="1" width="9.7265625" customWidth="1"/>
    <col min="2" max="2" width="17.54296875" customWidth="1"/>
    <col min="3" max="3" width="7" customWidth="1"/>
    <col min="4" max="5" width="6.7265625" customWidth="1"/>
    <col min="6" max="6" width="5.26953125" customWidth="1"/>
    <col min="7" max="7" width="14.54296875" customWidth="1"/>
    <col min="8" max="8" width="6.7265625" customWidth="1"/>
    <col min="9" max="9" width="6.453125" customWidth="1"/>
    <col min="10" max="10" width="7.26953125" customWidth="1"/>
  </cols>
  <sheetData>
    <row r="1" spans="2:10" ht="18.5">
      <c r="B1" s="102"/>
      <c r="C1" s="2780" t="s">
        <v>2146</v>
      </c>
      <c r="D1" s="2780"/>
      <c r="E1" s="2780"/>
      <c r="F1" s="2780"/>
      <c r="G1" s="2780"/>
      <c r="H1" s="2780"/>
    </row>
    <row r="2" spans="2:10">
      <c r="B2" s="103" t="s">
        <v>1914</v>
      </c>
      <c r="C2" s="102" t="s">
        <v>359</v>
      </c>
      <c r="D2" s="102"/>
      <c r="E2" s="102"/>
    </row>
    <row r="3" spans="2:10">
      <c r="B3" s="103" t="s">
        <v>2147</v>
      </c>
      <c r="C3" s="102" t="s">
        <v>359</v>
      </c>
      <c r="D3" s="102"/>
      <c r="E3" s="102"/>
    </row>
    <row r="4" spans="2:10">
      <c r="B4" s="103" t="s">
        <v>2148</v>
      </c>
      <c r="C4" s="102" t="s">
        <v>359</v>
      </c>
      <c r="D4" s="102"/>
      <c r="E4" s="102"/>
    </row>
    <row r="5" spans="2:10">
      <c r="B5" s="103" t="s">
        <v>2149</v>
      </c>
      <c r="C5" s="102" t="s">
        <v>359</v>
      </c>
      <c r="D5" s="102"/>
    </row>
    <row r="7" spans="2:10">
      <c r="B7" s="2781" t="s">
        <v>2150</v>
      </c>
      <c r="C7" s="2782"/>
      <c r="D7" s="2782"/>
      <c r="E7" s="2783"/>
      <c r="F7" s="102"/>
      <c r="G7" s="2781" t="s">
        <v>2151</v>
      </c>
      <c r="H7" s="2782"/>
      <c r="I7" s="2782"/>
      <c r="J7" s="2783"/>
    </row>
    <row r="8" spans="2:10">
      <c r="B8" s="104" t="s">
        <v>2152</v>
      </c>
      <c r="C8" s="104" t="s">
        <v>2153</v>
      </c>
      <c r="D8" s="104" t="s">
        <v>2154</v>
      </c>
      <c r="E8" s="104" t="s">
        <v>2155</v>
      </c>
      <c r="F8" s="102"/>
      <c r="G8" s="104" t="s">
        <v>2152</v>
      </c>
      <c r="H8" s="104" t="s">
        <v>2153</v>
      </c>
      <c r="I8" s="104" t="s">
        <v>2154</v>
      </c>
      <c r="J8" s="104" t="s">
        <v>2155</v>
      </c>
    </row>
    <row r="9" spans="2:10">
      <c r="B9" s="105" t="s">
        <v>2156</v>
      </c>
      <c r="C9" s="106"/>
      <c r="D9" s="107"/>
      <c r="E9" s="107"/>
      <c r="G9" s="105" t="s">
        <v>647</v>
      </c>
      <c r="H9" s="107"/>
      <c r="I9" s="107"/>
      <c r="J9" s="107"/>
    </row>
    <row r="10" spans="2:10">
      <c r="B10" s="105" t="s">
        <v>2157</v>
      </c>
      <c r="C10" s="106"/>
      <c r="D10" s="107"/>
      <c r="E10" s="107"/>
      <c r="G10" s="105" t="s">
        <v>156</v>
      </c>
      <c r="H10" s="107"/>
      <c r="I10" s="107"/>
      <c r="J10" s="107"/>
    </row>
    <row r="11" spans="2:10">
      <c r="B11" s="105" t="s">
        <v>2158</v>
      </c>
      <c r="C11" s="106"/>
      <c r="D11" s="107"/>
      <c r="E11" s="107"/>
      <c r="G11" s="105" t="s">
        <v>925</v>
      </c>
      <c r="H11" s="107"/>
      <c r="I11" s="107"/>
      <c r="J11" s="107"/>
    </row>
    <row r="12" spans="2:10">
      <c r="B12" s="105" t="s">
        <v>2159</v>
      </c>
      <c r="C12" s="106"/>
      <c r="D12" s="107"/>
      <c r="E12" s="107"/>
      <c r="G12" s="2781" t="s">
        <v>2160</v>
      </c>
      <c r="H12" s="2782"/>
      <c r="I12" s="2782"/>
      <c r="J12" s="2783"/>
    </row>
    <row r="13" spans="2:10">
      <c r="B13" s="105" t="s">
        <v>2161</v>
      </c>
      <c r="C13" s="106"/>
      <c r="D13" s="107"/>
      <c r="E13" s="107"/>
      <c r="G13" s="104" t="s">
        <v>2152</v>
      </c>
      <c r="H13" s="104" t="s">
        <v>2153</v>
      </c>
      <c r="I13" s="104" t="s">
        <v>2154</v>
      </c>
      <c r="J13" s="104" t="s">
        <v>2155</v>
      </c>
    </row>
    <row r="14" spans="2:10">
      <c r="B14" s="105" t="s">
        <v>2162</v>
      </c>
      <c r="C14" s="106"/>
      <c r="D14" s="107"/>
      <c r="E14" s="107"/>
      <c r="G14" s="105" t="s">
        <v>2163</v>
      </c>
      <c r="H14" s="107"/>
      <c r="I14" s="107"/>
      <c r="J14" s="107"/>
    </row>
    <row r="15" spans="2:10">
      <c r="B15" s="105" t="s">
        <v>2164</v>
      </c>
      <c r="C15" s="106"/>
      <c r="D15" s="107"/>
      <c r="E15" s="107"/>
      <c r="G15" s="105" t="s">
        <v>2165</v>
      </c>
      <c r="H15" s="107"/>
      <c r="I15" s="107"/>
      <c r="J15" s="107"/>
    </row>
    <row r="16" spans="2:10">
      <c r="B16" s="2781" t="s">
        <v>2166</v>
      </c>
      <c r="C16" s="2782"/>
      <c r="D16" s="2782"/>
      <c r="E16" s="2783"/>
      <c r="G16" s="105" t="s">
        <v>2167</v>
      </c>
      <c r="H16" s="107"/>
      <c r="I16" s="107"/>
      <c r="J16" s="107"/>
    </row>
    <row r="17" spans="2:10">
      <c r="B17" s="104" t="s">
        <v>2152</v>
      </c>
      <c r="C17" s="104" t="s">
        <v>2153</v>
      </c>
      <c r="D17" s="104" t="s">
        <v>2154</v>
      </c>
      <c r="E17" s="104" t="s">
        <v>2155</v>
      </c>
      <c r="G17" s="105" t="s">
        <v>2168</v>
      </c>
      <c r="H17" s="107"/>
      <c r="I17" s="107"/>
      <c r="J17" s="107"/>
    </row>
    <row r="18" spans="2:10">
      <c r="B18" s="105" t="s">
        <v>2169</v>
      </c>
      <c r="C18" s="107"/>
      <c r="D18" s="107"/>
      <c r="E18" s="107"/>
      <c r="G18" s="105" t="s">
        <v>2170</v>
      </c>
      <c r="H18" s="107"/>
      <c r="I18" s="107"/>
      <c r="J18" s="107"/>
    </row>
    <row r="19" spans="2:10">
      <c r="B19" s="105" t="s">
        <v>2171</v>
      </c>
      <c r="C19" s="107"/>
      <c r="D19" s="107"/>
      <c r="E19" s="107"/>
      <c r="G19" s="105" t="s">
        <v>2172</v>
      </c>
      <c r="H19" s="107"/>
      <c r="I19" s="107"/>
      <c r="J19" s="107"/>
    </row>
    <row r="20" spans="2:10">
      <c r="B20" s="105" t="s">
        <v>2173</v>
      </c>
      <c r="C20" s="107"/>
      <c r="D20" s="107"/>
      <c r="E20" s="107"/>
      <c r="G20" s="105" t="s">
        <v>2174</v>
      </c>
      <c r="H20" s="107"/>
      <c r="I20" s="107"/>
      <c r="J20" s="107"/>
    </row>
    <row r="21" spans="2:10">
      <c r="B21" s="105" t="s">
        <v>2175</v>
      </c>
      <c r="C21" s="107"/>
      <c r="D21" s="107"/>
      <c r="E21" s="107"/>
      <c r="G21" s="105" t="s">
        <v>2176</v>
      </c>
      <c r="H21" s="107"/>
      <c r="I21" s="107"/>
      <c r="J21" s="107"/>
    </row>
    <row r="22" spans="2:10">
      <c r="B22" s="105" t="s">
        <v>2177</v>
      </c>
      <c r="C22" s="107"/>
      <c r="D22" s="107"/>
      <c r="E22" s="107"/>
      <c r="G22" s="105" t="s">
        <v>2178</v>
      </c>
      <c r="H22" s="107"/>
      <c r="I22" s="107"/>
      <c r="J22" s="107"/>
    </row>
    <row r="23" spans="2:10">
      <c r="B23" s="105" t="s">
        <v>2179</v>
      </c>
      <c r="C23" s="107"/>
      <c r="D23" s="107"/>
      <c r="E23" s="107"/>
      <c r="G23" s="105" t="s">
        <v>2180</v>
      </c>
      <c r="H23" s="107"/>
      <c r="I23" s="107"/>
      <c r="J23" s="107"/>
    </row>
    <row r="24" spans="2:10">
      <c r="B24" s="105" t="s">
        <v>2181</v>
      </c>
      <c r="C24" s="107"/>
      <c r="D24" s="107"/>
      <c r="E24" s="107"/>
      <c r="G24" s="105" t="s">
        <v>2182</v>
      </c>
      <c r="H24" s="107"/>
      <c r="I24" s="107"/>
      <c r="J24" s="107"/>
    </row>
    <row r="25" spans="2:10">
      <c r="B25" s="105" t="s">
        <v>2183</v>
      </c>
      <c r="C25" s="107"/>
      <c r="D25" s="107"/>
      <c r="E25" s="107"/>
      <c r="G25" s="105" t="s">
        <v>2184</v>
      </c>
      <c r="H25" s="107"/>
      <c r="I25" s="107"/>
      <c r="J25" s="107"/>
    </row>
    <row r="26" spans="2:10">
      <c r="B26" s="105" t="s">
        <v>2185</v>
      </c>
      <c r="C26" s="107"/>
      <c r="D26" s="107"/>
      <c r="E26" s="107"/>
      <c r="G26" s="105" t="s">
        <v>1893</v>
      </c>
      <c r="H26" s="107"/>
      <c r="I26" s="107"/>
      <c r="J26" s="107"/>
    </row>
    <row r="27" spans="2:10">
      <c r="B27" s="105" t="s">
        <v>2186</v>
      </c>
      <c r="C27" s="107"/>
      <c r="D27" s="107"/>
      <c r="E27" s="107"/>
      <c r="G27" s="105" t="s">
        <v>2187</v>
      </c>
      <c r="H27" s="107"/>
      <c r="I27" s="107"/>
      <c r="J27" s="107"/>
    </row>
    <row r="28" spans="2:10">
      <c r="B28" s="105" t="s">
        <v>2188</v>
      </c>
      <c r="C28" s="107"/>
      <c r="D28" s="107"/>
      <c r="E28" s="107"/>
      <c r="G28" s="105" t="s">
        <v>2189</v>
      </c>
      <c r="H28" s="107"/>
      <c r="I28" s="107"/>
      <c r="J28" s="107"/>
    </row>
    <row r="29" spans="2:10">
      <c r="B29" s="105" t="s">
        <v>2159</v>
      </c>
      <c r="C29" s="107"/>
      <c r="D29" s="107"/>
      <c r="E29" s="107"/>
      <c r="G29" s="105" t="s">
        <v>2190</v>
      </c>
      <c r="H29" s="107"/>
      <c r="I29" s="107"/>
      <c r="J29" s="107"/>
    </row>
    <row r="30" spans="2:10">
      <c r="B30" s="105" t="s">
        <v>2191</v>
      </c>
      <c r="C30" s="107"/>
      <c r="D30" s="107"/>
      <c r="E30" s="107"/>
      <c r="G30" s="105" t="s">
        <v>2192</v>
      </c>
      <c r="H30" s="107"/>
      <c r="I30" s="107"/>
      <c r="J30" s="107"/>
    </row>
    <row r="31" spans="2:10">
      <c r="B31" s="105" t="s">
        <v>2157</v>
      </c>
      <c r="C31" s="107"/>
      <c r="D31" s="107"/>
      <c r="E31" s="107"/>
      <c r="G31" s="105" t="s">
        <v>2193</v>
      </c>
      <c r="H31" s="107"/>
      <c r="I31" s="107"/>
      <c r="J31" s="107"/>
    </row>
    <row r="32" spans="2:10">
      <c r="B32" s="105" t="s">
        <v>319</v>
      </c>
      <c r="C32" s="107"/>
      <c r="D32" s="107"/>
      <c r="E32" s="107"/>
      <c r="G32" s="105" t="s">
        <v>2194</v>
      </c>
      <c r="H32" s="107"/>
      <c r="I32" s="107"/>
      <c r="J32" s="107"/>
    </row>
    <row r="33" spans="2:10">
      <c r="B33" s="2781" t="s">
        <v>2195</v>
      </c>
      <c r="C33" s="2782"/>
      <c r="D33" s="2782"/>
      <c r="E33" s="2783"/>
      <c r="G33" s="105" t="s">
        <v>2196</v>
      </c>
      <c r="H33" s="107"/>
      <c r="I33" s="107"/>
      <c r="J33" s="107"/>
    </row>
    <row r="34" spans="2:10">
      <c r="B34" s="104" t="s">
        <v>2152</v>
      </c>
      <c r="C34" s="104" t="s">
        <v>2153</v>
      </c>
      <c r="D34" s="104" t="s">
        <v>2154</v>
      </c>
      <c r="E34" s="104" t="s">
        <v>2155</v>
      </c>
      <c r="G34" s="105" t="s">
        <v>2197</v>
      </c>
      <c r="H34" s="107"/>
      <c r="I34" s="107"/>
      <c r="J34" s="107"/>
    </row>
    <row r="35" spans="2:10">
      <c r="B35" s="105" t="s">
        <v>2198</v>
      </c>
      <c r="C35" s="107"/>
      <c r="D35" s="107"/>
      <c r="E35" s="107"/>
      <c r="G35" s="105" t="s">
        <v>2199</v>
      </c>
      <c r="H35" s="107"/>
      <c r="I35" s="107"/>
      <c r="J35" s="107"/>
    </row>
    <row r="36" spans="2:10">
      <c r="B36" s="105" t="s">
        <v>2200</v>
      </c>
      <c r="C36" s="107"/>
      <c r="D36" s="107"/>
      <c r="E36" s="107"/>
      <c r="G36" s="2781" t="s">
        <v>2201</v>
      </c>
      <c r="H36" s="2782"/>
      <c r="I36" s="2782"/>
      <c r="J36" s="2783"/>
    </row>
    <row r="37" spans="2:10">
      <c r="B37" s="105" t="s">
        <v>2202</v>
      </c>
      <c r="C37" s="107"/>
      <c r="D37" s="107"/>
      <c r="E37" s="107"/>
      <c r="G37" s="104" t="s">
        <v>2152</v>
      </c>
      <c r="H37" s="104" t="s">
        <v>2153</v>
      </c>
      <c r="I37" s="104" t="s">
        <v>2154</v>
      </c>
      <c r="J37" s="104" t="s">
        <v>2155</v>
      </c>
    </row>
    <row r="38" spans="2:10">
      <c r="B38" s="105" t="s">
        <v>2203</v>
      </c>
      <c r="C38" s="107"/>
      <c r="D38" s="107"/>
      <c r="E38" s="107"/>
      <c r="G38" s="105" t="s">
        <v>2204</v>
      </c>
      <c r="H38" s="107"/>
      <c r="I38" s="107"/>
      <c r="J38" s="107"/>
    </row>
    <row r="39" spans="2:10">
      <c r="B39" s="105" t="s">
        <v>2205</v>
      </c>
      <c r="C39" s="107"/>
      <c r="D39" s="107"/>
      <c r="E39" s="107"/>
      <c r="G39" s="105" t="s">
        <v>2206</v>
      </c>
      <c r="H39" s="107"/>
      <c r="I39" s="107"/>
      <c r="J39" s="107"/>
    </row>
    <row r="40" spans="2:10">
      <c r="B40" s="105" t="s">
        <v>2182</v>
      </c>
      <c r="C40" s="107"/>
      <c r="D40" s="107"/>
      <c r="E40" s="107"/>
      <c r="G40" s="105" t="s">
        <v>2175</v>
      </c>
      <c r="H40" s="107"/>
      <c r="I40" s="107"/>
      <c r="J40" s="107"/>
    </row>
    <row r="41" spans="2:10">
      <c r="B41" s="105" t="s">
        <v>2175</v>
      </c>
      <c r="C41" s="107"/>
      <c r="D41" s="107"/>
      <c r="E41" s="107"/>
      <c r="G41" s="105" t="s">
        <v>2207</v>
      </c>
      <c r="H41" s="107"/>
      <c r="I41" s="107"/>
      <c r="J41" s="107"/>
    </row>
    <row r="42" spans="2:10">
      <c r="B42" s="105" t="s">
        <v>2157</v>
      </c>
      <c r="C42" s="107"/>
      <c r="D42" s="107"/>
      <c r="E42" s="107"/>
      <c r="G42" s="105" t="s">
        <v>2157</v>
      </c>
      <c r="H42" s="107"/>
      <c r="I42" s="107"/>
      <c r="J42" s="107"/>
    </row>
    <row r="43" spans="2:10">
      <c r="B43" s="105" t="s">
        <v>2185</v>
      </c>
      <c r="C43" s="107"/>
      <c r="D43" s="107"/>
      <c r="E43" s="107"/>
      <c r="G43" s="105" t="s">
        <v>2185</v>
      </c>
      <c r="H43" s="107"/>
      <c r="I43" s="107"/>
      <c r="J43" s="107"/>
    </row>
    <row r="44" spans="2:10">
      <c r="B44" s="105" t="s">
        <v>2159</v>
      </c>
      <c r="C44" s="107"/>
      <c r="D44" s="107"/>
      <c r="E44" s="107"/>
      <c r="G44" s="105" t="s">
        <v>2159</v>
      </c>
      <c r="H44" s="107"/>
      <c r="I44" s="107"/>
      <c r="J44" s="107"/>
    </row>
    <row r="45" spans="2:10">
      <c r="B45" s="105" t="s">
        <v>2208</v>
      </c>
      <c r="C45" s="107"/>
      <c r="D45" s="107"/>
      <c r="E45" s="107"/>
      <c r="G45" s="105" t="s">
        <v>2209</v>
      </c>
      <c r="H45" s="107"/>
      <c r="I45" s="107"/>
      <c r="J45" s="107"/>
    </row>
    <row r="46" spans="2:10">
      <c r="B46" s="105" t="s">
        <v>2210</v>
      </c>
      <c r="C46" s="107"/>
      <c r="D46" s="107"/>
      <c r="E46" s="107"/>
      <c r="G46" s="105" t="s">
        <v>2211</v>
      </c>
      <c r="H46" s="107"/>
      <c r="I46" s="107"/>
      <c r="J46" s="107"/>
    </row>
    <row r="47" spans="2:10">
      <c r="B47" s="105" t="s">
        <v>2212</v>
      </c>
      <c r="C47" s="107"/>
      <c r="D47" s="107"/>
      <c r="E47" s="107"/>
      <c r="G47" s="2781" t="s">
        <v>2213</v>
      </c>
      <c r="H47" s="2782"/>
      <c r="I47" s="2782"/>
      <c r="J47" s="2783"/>
    </row>
    <row r="48" spans="2:10">
      <c r="B48" s="105" t="s">
        <v>2214</v>
      </c>
      <c r="C48" s="107"/>
      <c r="D48" s="107"/>
      <c r="E48" s="107"/>
      <c r="G48" s="104" t="s">
        <v>2152</v>
      </c>
      <c r="H48" s="104" t="s">
        <v>2153</v>
      </c>
      <c r="I48" s="104" t="s">
        <v>2154</v>
      </c>
      <c r="J48" s="104" t="s">
        <v>2155</v>
      </c>
    </row>
    <row r="49" spans="2:10">
      <c r="B49" s="105" t="s">
        <v>2187</v>
      </c>
      <c r="C49" s="107"/>
      <c r="D49" s="107"/>
      <c r="E49" s="107"/>
      <c r="G49" s="105" t="s">
        <v>2215</v>
      </c>
      <c r="H49" s="107"/>
      <c r="I49" s="107"/>
      <c r="J49" s="107"/>
    </row>
    <row r="50" spans="2:10">
      <c r="B50" s="105" t="s">
        <v>2216</v>
      </c>
      <c r="C50" s="107"/>
      <c r="D50" s="107"/>
      <c r="E50" s="107"/>
      <c r="G50" s="105" t="s">
        <v>2217</v>
      </c>
      <c r="H50" s="107"/>
      <c r="I50" s="107"/>
      <c r="J50" s="107"/>
    </row>
    <row r="51" spans="2:10">
      <c r="B51" s="2781" t="s">
        <v>1279</v>
      </c>
      <c r="C51" s="2782"/>
      <c r="D51" s="2782"/>
      <c r="E51" s="2783"/>
      <c r="G51" s="105" t="s">
        <v>2218</v>
      </c>
      <c r="H51" s="107"/>
      <c r="I51" s="107"/>
      <c r="J51" s="107"/>
    </row>
    <row r="52" spans="2:10">
      <c r="B52" s="104" t="s">
        <v>2152</v>
      </c>
      <c r="C52" s="104" t="s">
        <v>2153</v>
      </c>
      <c r="D52" s="104" t="s">
        <v>2154</v>
      </c>
      <c r="E52" s="104" t="s">
        <v>2155</v>
      </c>
      <c r="G52" s="105" t="s">
        <v>2219</v>
      </c>
      <c r="H52" s="107"/>
      <c r="I52" s="107"/>
      <c r="J52" s="107"/>
    </row>
    <row r="53" spans="2:10">
      <c r="B53" s="105" t="s">
        <v>408</v>
      </c>
      <c r="C53" s="107"/>
      <c r="D53" s="107"/>
      <c r="E53" s="107"/>
      <c r="G53" s="105" t="s">
        <v>2220</v>
      </c>
      <c r="H53" s="107"/>
      <c r="I53" s="107"/>
      <c r="J53" s="107"/>
    </row>
    <row r="54" spans="2:10">
      <c r="B54" s="105" t="s">
        <v>2221</v>
      </c>
      <c r="C54" s="107"/>
      <c r="D54" s="107"/>
      <c r="E54" s="107"/>
      <c r="G54" s="105" t="s">
        <v>2222</v>
      </c>
      <c r="H54" s="107"/>
      <c r="I54" s="107"/>
      <c r="J54" s="107"/>
    </row>
    <row r="55" spans="2:10">
      <c r="B55" s="105" t="s">
        <v>617</v>
      </c>
      <c r="C55" s="107"/>
      <c r="D55" s="107"/>
      <c r="E55" s="107"/>
      <c r="G55" s="2781" t="s">
        <v>2223</v>
      </c>
      <c r="H55" s="2782"/>
      <c r="I55" s="2782"/>
      <c r="J55" s="2783"/>
    </row>
    <row r="56" spans="2:10">
      <c r="B56" s="105" t="s">
        <v>97</v>
      </c>
      <c r="C56" s="107"/>
      <c r="D56" s="107"/>
      <c r="E56" s="107"/>
      <c r="G56" s="104" t="s">
        <v>2152</v>
      </c>
      <c r="H56" s="104" t="s">
        <v>2153</v>
      </c>
      <c r="I56" s="104" t="s">
        <v>2154</v>
      </c>
      <c r="J56" s="104" t="s">
        <v>2155</v>
      </c>
    </row>
    <row r="57" spans="2:10">
      <c r="B57" s="105" t="s">
        <v>629</v>
      </c>
      <c r="C57" s="107"/>
      <c r="D57" s="107"/>
      <c r="E57" s="107"/>
      <c r="G57" s="105" t="s">
        <v>2224</v>
      </c>
      <c r="H57" s="107"/>
      <c r="I57" s="107"/>
      <c r="J57" s="107"/>
    </row>
    <row r="58" spans="2:10">
      <c r="B58" s="105" t="s">
        <v>2225</v>
      </c>
      <c r="C58" s="107"/>
      <c r="D58" s="107"/>
      <c r="E58" s="107"/>
      <c r="G58" s="105" t="s">
        <v>2226</v>
      </c>
      <c r="H58" s="107"/>
      <c r="I58" s="107"/>
      <c r="J58" s="107"/>
    </row>
    <row r="59" spans="2:10">
      <c r="B59" s="105" t="s">
        <v>100</v>
      </c>
      <c r="C59" s="107"/>
      <c r="D59" s="107"/>
      <c r="E59" s="107"/>
      <c r="G59" s="105" t="s">
        <v>2227</v>
      </c>
      <c r="H59" s="107"/>
      <c r="I59" s="107"/>
      <c r="J59" s="107"/>
    </row>
    <row r="60" spans="2:10">
      <c r="B60" s="105" t="s">
        <v>80</v>
      </c>
      <c r="C60" s="107"/>
      <c r="D60" s="107"/>
      <c r="E60" s="107"/>
      <c r="G60" s="2781" t="s">
        <v>2228</v>
      </c>
      <c r="H60" s="2782"/>
      <c r="I60" s="2782"/>
      <c r="J60" s="2783"/>
    </row>
    <row r="61" spans="2:10">
      <c r="B61" s="105" t="s">
        <v>620</v>
      </c>
      <c r="C61" s="107"/>
      <c r="D61" s="107"/>
      <c r="E61" s="107"/>
      <c r="G61" s="104" t="s">
        <v>2152</v>
      </c>
      <c r="H61" s="104" t="s">
        <v>2153</v>
      </c>
      <c r="I61" s="104" t="s">
        <v>2154</v>
      </c>
      <c r="J61" s="104" t="s">
        <v>2155</v>
      </c>
    </row>
    <row r="62" spans="2:10">
      <c r="B62" s="105" t="s">
        <v>1111</v>
      </c>
      <c r="C62" s="107"/>
      <c r="D62" s="107"/>
      <c r="E62" s="107"/>
      <c r="G62" s="105" t="s">
        <v>721</v>
      </c>
      <c r="H62" s="107"/>
      <c r="I62" s="107"/>
      <c r="J62" s="107"/>
    </row>
    <row r="63" spans="2:10">
      <c r="B63" s="105" t="s">
        <v>2229</v>
      </c>
      <c r="C63" s="107"/>
      <c r="D63" s="107"/>
      <c r="E63" s="107"/>
      <c r="G63" s="105" t="s">
        <v>530</v>
      </c>
      <c r="H63" s="107"/>
      <c r="I63" s="107"/>
      <c r="J63" s="107"/>
    </row>
    <row r="64" spans="2:10">
      <c r="B64" s="105" t="s">
        <v>1246</v>
      </c>
      <c r="C64" s="107"/>
      <c r="D64" s="107"/>
      <c r="E64" s="107"/>
      <c r="G64" s="105" t="s">
        <v>2230</v>
      </c>
      <c r="H64" s="107"/>
      <c r="I64" s="107"/>
      <c r="J64" s="107"/>
    </row>
    <row r="65" spans="2:10">
      <c r="B65" s="2781" t="s">
        <v>2231</v>
      </c>
      <c r="C65" s="2782"/>
      <c r="D65" s="2782"/>
      <c r="E65" s="2782"/>
      <c r="G65" s="105" t="s">
        <v>2185</v>
      </c>
      <c r="H65" s="107"/>
      <c r="I65" s="107"/>
      <c r="J65" s="107"/>
    </row>
    <row r="66" spans="2:10">
      <c r="B66" s="2784" t="s">
        <v>2232</v>
      </c>
      <c r="C66" s="2784"/>
      <c r="D66" s="2784"/>
      <c r="E66" s="108" t="s">
        <v>2233</v>
      </c>
      <c r="F66" s="103"/>
      <c r="G66" s="105" t="s">
        <v>2175</v>
      </c>
      <c r="H66" s="107"/>
      <c r="I66" s="107"/>
      <c r="J66" s="107"/>
    </row>
    <row r="67" spans="2:10">
      <c r="B67" s="2785"/>
      <c r="C67" s="2785"/>
      <c r="D67" s="2785"/>
      <c r="E67" s="31"/>
      <c r="G67" s="105" t="s">
        <v>2234</v>
      </c>
      <c r="H67" s="107"/>
      <c r="I67" s="107"/>
      <c r="J67" s="107"/>
    </row>
    <row r="68" spans="2:10">
      <c r="B68" s="2785"/>
      <c r="C68" s="2785"/>
      <c r="D68" s="2785"/>
      <c r="E68" s="31"/>
      <c r="G68" s="105" t="s">
        <v>2209</v>
      </c>
      <c r="H68" s="107"/>
      <c r="I68" s="107"/>
      <c r="J68" s="107"/>
    </row>
    <row r="69" spans="2:10">
      <c r="B69" s="2785"/>
      <c r="C69" s="2785"/>
      <c r="D69" s="2785"/>
      <c r="E69" s="31"/>
      <c r="G69" s="105" t="s">
        <v>2159</v>
      </c>
      <c r="H69" s="107"/>
      <c r="I69" s="107"/>
      <c r="J69" s="107"/>
    </row>
    <row r="70" spans="2:10">
      <c r="B70" s="2785"/>
      <c r="C70" s="2785"/>
      <c r="D70" s="2785"/>
      <c r="E70" s="31"/>
    </row>
    <row r="71" spans="2:10">
      <c r="B71" s="2785"/>
      <c r="C71" s="2785"/>
      <c r="D71" s="2785"/>
      <c r="E71" s="31"/>
      <c r="H71" s="2781" t="s">
        <v>2235</v>
      </c>
      <c r="I71" s="2782"/>
      <c r="J71" s="2783"/>
    </row>
    <row r="72" spans="2:10">
      <c r="B72" s="2785"/>
      <c r="C72" s="2785"/>
      <c r="D72" s="2785"/>
      <c r="E72" s="31"/>
      <c r="H72" s="108" t="s">
        <v>2153</v>
      </c>
      <c r="I72" s="108" t="s">
        <v>2154</v>
      </c>
      <c r="J72" s="108" t="s">
        <v>2155</v>
      </c>
    </row>
    <row r="73" spans="2:10">
      <c r="H73" s="2785"/>
      <c r="I73" s="2785"/>
      <c r="J73" s="2785"/>
    </row>
    <row r="74" spans="2:10">
      <c r="H74" s="2785"/>
      <c r="I74" s="2785"/>
      <c r="J74" s="2785"/>
    </row>
    <row r="75" spans="2:10">
      <c r="H75" s="2785"/>
      <c r="I75" s="2785"/>
      <c r="J75" s="2785"/>
    </row>
  </sheetData>
  <mergeCells count="23">
    <mergeCell ref="H73:H75"/>
    <mergeCell ref="I73:I75"/>
    <mergeCell ref="J73:J75"/>
    <mergeCell ref="B69:D69"/>
    <mergeCell ref="B70:D70"/>
    <mergeCell ref="B71:D71"/>
    <mergeCell ref="H71:J71"/>
    <mergeCell ref="B72:D72"/>
    <mergeCell ref="G60:J60"/>
    <mergeCell ref="B65:E65"/>
    <mergeCell ref="B66:D66"/>
    <mergeCell ref="B67:D67"/>
    <mergeCell ref="B68:D68"/>
    <mergeCell ref="B33:E33"/>
    <mergeCell ref="G36:J36"/>
    <mergeCell ref="G47:J47"/>
    <mergeCell ref="B51:E51"/>
    <mergeCell ref="G55:J55"/>
    <mergeCell ref="C1:H1"/>
    <mergeCell ref="B7:E7"/>
    <mergeCell ref="G7:J7"/>
    <mergeCell ref="G12:J12"/>
    <mergeCell ref="B16:E16"/>
  </mergeCells>
  <pageMargins left="0.71" right="0.71" top="0.75" bottom="0.75" header="0.31" footer="0.31"/>
  <pageSetup paperSize="256" scale="85" orientation="portrait"/>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FFC000"/>
  </sheetPr>
  <dimension ref="A1:F72"/>
  <sheetViews>
    <sheetView topLeftCell="A7" zoomScale="85" zoomScaleNormal="85" workbookViewId="0">
      <selection activeCell="G72" sqref="A1:K115"/>
    </sheetView>
  </sheetViews>
  <sheetFormatPr defaultColWidth="9.26953125" defaultRowHeight="12.5"/>
  <cols>
    <col min="1" max="1" width="5.7265625" style="48" customWidth="1"/>
    <col min="2" max="2" width="26.7265625" style="48" customWidth="1"/>
    <col min="3" max="3" width="24.7265625" style="48" customWidth="1"/>
    <col min="4" max="4" width="21.7265625" style="48" customWidth="1"/>
    <col min="5" max="5" width="20.7265625" style="48" customWidth="1"/>
    <col min="6" max="6" width="18.7265625" style="48" customWidth="1"/>
    <col min="7" max="16384" width="9.26953125" style="48"/>
  </cols>
  <sheetData>
    <row r="1" spans="1:6" ht="14.5">
      <c r="A1" s="61"/>
      <c r="B1" s="61"/>
      <c r="C1" s="61"/>
      <c r="D1" s="61"/>
      <c r="E1" s="61"/>
      <c r="F1" s="61"/>
    </row>
    <row r="2" spans="1:6" ht="15.5">
      <c r="A2" s="62"/>
      <c r="B2" s="63"/>
      <c r="C2" s="64"/>
      <c r="D2" s="64"/>
      <c r="E2" s="64"/>
      <c r="F2" s="64"/>
    </row>
    <row r="3" spans="1:6" ht="28">
      <c r="A3" s="2786" t="s">
        <v>2236</v>
      </c>
      <c r="B3" s="2786"/>
      <c r="C3" s="2786"/>
      <c r="D3" s="2786"/>
      <c r="E3" s="2786"/>
      <c r="F3" s="2786"/>
    </row>
    <row r="4" spans="1:6" ht="28">
      <c r="A4" s="65"/>
      <c r="B4" s="65"/>
      <c r="C4" s="65"/>
      <c r="D4" s="65"/>
      <c r="E4" s="65"/>
      <c r="F4" s="65"/>
    </row>
    <row r="5" spans="1:6" ht="23">
      <c r="A5" s="2787" t="s">
        <v>2237</v>
      </c>
      <c r="B5" s="2787"/>
      <c r="C5" s="2787"/>
      <c r="D5" s="2787"/>
      <c r="E5" s="66" t="s">
        <v>2238</v>
      </c>
      <c r="F5" s="66"/>
    </row>
    <row r="6" spans="1:6" ht="16.5">
      <c r="A6" s="67"/>
      <c r="B6" s="68"/>
      <c r="C6" s="69"/>
      <c r="D6" s="49"/>
      <c r="E6" s="49"/>
      <c r="F6" s="69"/>
    </row>
    <row r="7" spans="1:6" ht="14">
      <c r="A7" s="2793" t="s">
        <v>1179</v>
      </c>
      <c r="B7" s="2795" t="s">
        <v>2239</v>
      </c>
      <c r="C7" s="2795" t="s">
        <v>2240</v>
      </c>
      <c r="D7" s="2795" t="s">
        <v>2241</v>
      </c>
      <c r="E7" s="2795" t="s">
        <v>2242</v>
      </c>
      <c r="F7" s="70" t="s">
        <v>2243</v>
      </c>
    </row>
    <row r="8" spans="1:6" ht="14">
      <c r="A8" s="2794"/>
      <c r="B8" s="2796"/>
      <c r="C8" s="2796"/>
      <c r="D8" s="2797"/>
      <c r="E8" s="2796"/>
      <c r="F8" s="71" t="s">
        <v>2244</v>
      </c>
    </row>
    <row r="9" spans="1:6" ht="27" customHeight="1">
      <c r="A9" s="72">
        <v>1</v>
      </c>
      <c r="B9" s="73" t="s">
        <v>2245</v>
      </c>
      <c r="C9" s="74">
        <v>43719</v>
      </c>
      <c r="D9" s="75" t="s">
        <v>2246</v>
      </c>
      <c r="E9" s="76">
        <v>61125</v>
      </c>
      <c r="F9" s="77"/>
    </row>
    <row r="10" spans="1:6" ht="25" customHeight="1">
      <c r="A10" s="78">
        <v>2</v>
      </c>
      <c r="B10" s="73" t="s">
        <v>2247</v>
      </c>
      <c r="C10" s="74" t="s">
        <v>2248</v>
      </c>
      <c r="D10" s="75" t="s">
        <v>2249</v>
      </c>
      <c r="E10" s="76">
        <v>50011</v>
      </c>
      <c r="F10" s="79"/>
    </row>
    <row r="11" spans="1:6" ht="27" customHeight="1">
      <c r="A11" s="78">
        <v>3</v>
      </c>
      <c r="B11" s="73" t="s">
        <v>2250</v>
      </c>
      <c r="C11" s="74" t="s">
        <v>2251</v>
      </c>
      <c r="D11" s="75" t="s">
        <v>2252</v>
      </c>
      <c r="E11" s="76">
        <v>26676</v>
      </c>
      <c r="F11" s="77"/>
    </row>
    <row r="12" spans="1:6" ht="30" customHeight="1">
      <c r="A12" s="78">
        <v>4</v>
      </c>
      <c r="B12" s="73" t="s">
        <v>2253</v>
      </c>
      <c r="C12" s="74" t="s">
        <v>2254</v>
      </c>
      <c r="D12" s="75" t="s">
        <v>2255</v>
      </c>
      <c r="E12" s="76">
        <v>20004</v>
      </c>
      <c r="F12" s="79"/>
    </row>
    <row r="13" spans="1:6" ht="26.15" customHeight="1">
      <c r="A13" s="78">
        <v>5</v>
      </c>
      <c r="B13" s="73" t="s">
        <v>2256</v>
      </c>
      <c r="C13" s="74" t="s">
        <v>2257</v>
      </c>
      <c r="D13" s="75" t="s">
        <v>2255</v>
      </c>
      <c r="E13" s="76">
        <v>20004</v>
      </c>
      <c r="F13" s="77"/>
    </row>
    <row r="14" spans="1:6" ht="30" customHeight="1">
      <c r="A14" s="78">
        <v>6</v>
      </c>
      <c r="B14" s="73" t="s">
        <v>2258</v>
      </c>
      <c r="C14" s="74" t="s">
        <v>2259</v>
      </c>
      <c r="D14" s="75" t="s">
        <v>2255</v>
      </c>
      <c r="E14" s="76">
        <v>20004</v>
      </c>
      <c r="F14" s="79"/>
    </row>
    <row r="15" spans="1:6" ht="26.15" customHeight="1">
      <c r="A15" s="78">
        <v>7</v>
      </c>
      <c r="B15" s="73" t="s">
        <v>2260</v>
      </c>
      <c r="C15" s="74" t="s">
        <v>2261</v>
      </c>
      <c r="D15" s="75" t="s">
        <v>2262</v>
      </c>
      <c r="E15" s="76">
        <v>20004</v>
      </c>
      <c r="F15" s="77"/>
    </row>
    <row r="16" spans="1:6" ht="29.15" customHeight="1">
      <c r="A16" s="78">
        <v>8</v>
      </c>
      <c r="B16" s="73" t="s">
        <v>2263</v>
      </c>
      <c r="C16" s="74">
        <v>45906</v>
      </c>
      <c r="D16" s="75" t="s">
        <v>2262</v>
      </c>
      <c r="E16" s="76">
        <v>20004</v>
      </c>
      <c r="F16" s="79"/>
    </row>
    <row r="17" spans="1:6" ht="27" customHeight="1">
      <c r="A17" s="78">
        <v>9</v>
      </c>
      <c r="B17" s="73" t="s">
        <v>2264</v>
      </c>
      <c r="C17" s="74" t="s">
        <v>2265</v>
      </c>
      <c r="D17" s="75" t="s">
        <v>2262</v>
      </c>
      <c r="E17" s="76">
        <v>20004</v>
      </c>
      <c r="F17" s="77"/>
    </row>
    <row r="18" spans="1:6" ht="29.15" customHeight="1">
      <c r="A18" s="78">
        <v>10</v>
      </c>
      <c r="B18" s="73" t="s">
        <v>2266</v>
      </c>
      <c r="C18" s="74" t="s">
        <v>2267</v>
      </c>
      <c r="D18" s="75" t="s">
        <v>2262</v>
      </c>
      <c r="E18" s="76">
        <v>20004</v>
      </c>
      <c r="F18" s="79"/>
    </row>
    <row r="19" spans="1:6" ht="18.5">
      <c r="A19" s="78">
        <v>11</v>
      </c>
      <c r="B19" s="80"/>
      <c r="C19" s="81"/>
      <c r="D19" s="82"/>
      <c r="E19" s="82"/>
      <c r="F19" s="77"/>
    </row>
    <row r="20" spans="1:6" ht="18.5">
      <c r="A20" s="78">
        <v>12</v>
      </c>
      <c r="B20" s="80"/>
      <c r="C20" s="81"/>
      <c r="D20" s="82"/>
      <c r="E20" s="82"/>
      <c r="F20" s="79"/>
    </row>
    <row r="21" spans="1:6" ht="18.5">
      <c r="A21" s="78">
        <v>13</v>
      </c>
      <c r="B21" s="80"/>
      <c r="C21" s="81"/>
      <c r="D21" s="82"/>
      <c r="E21" s="82"/>
      <c r="F21" s="77"/>
    </row>
    <row r="22" spans="1:6" ht="18.5">
      <c r="A22" s="78">
        <v>14</v>
      </c>
      <c r="B22" s="80"/>
      <c r="C22" s="81"/>
      <c r="D22" s="82"/>
      <c r="E22" s="82"/>
      <c r="F22" s="79"/>
    </row>
    <row r="23" spans="1:6" ht="17.5">
      <c r="A23" s="78">
        <v>15</v>
      </c>
      <c r="B23" s="83"/>
      <c r="C23" s="84"/>
      <c r="D23" s="82"/>
      <c r="E23" s="82"/>
      <c r="F23" s="77"/>
    </row>
    <row r="24" spans="1:6" ht="17.5">
      <c r="A24" s="78">
        <v>16</v>
      </c>
      <c r="B24" s="83"/>
      <c r="C24" s="84"/>
      <c r="D24" s="82"/>
      <c r="E24" s="82"/>
      <c r="F24" s="79"/>
    </row>
    <row r="25" spans="1:6" ht="17.5">
      <c r="A25" s="78">
        <v>17</v>
      </c>
      <c r="B25" s="83"/>
      <c r="C25" s="84"/>
      <c r="D25" s="82"/>
      <c r="E25" s="82"/>
      <c r="F25" s="77"/>
    </row>
    <row r="26" spans="1:6" ht="17.5">
      <c r="A26" s="78">
        <v>18</v>
      </c>
      <c r="B26" s="83"/>
      <c r="C26" s="84"/>
      <c r="D26" s="82"/>
      <c r="E26" s="82"/>
      <c r="F26" s="79"/>
    </row>
    <row r="27" spans="1:6" ht="17.5">
      <c r="A27" s="78">
        <v>19</v>
      </c>
      <c r="B27" s="83"/>
      <c r="C27" s="84"/>
      <c r="D27" s="82"/>
      <c r="E27" s="82"/>
      <c r="F27" s="77"/>
    </row>
    <row r="28" spans="1:6" ht="17.5">
      <c r="A28" s="78">
        <v>20</v>
      </c>
      <c r="B28" s="83"/>
      <c r="C28" s="84"/>
      <c r="D28" s="82"/>
      <c r="E28" s="82"/>
      <c r="F28" s="79"/>
    </row>
    <row r="29" spans="1:6" ht="17.5">
      <c r="A29" s="78">
        <v>21</v>
      </c>
      <c r="B29" s="83"/>
      <c r="C29" s="84"/>
      <c r="D29" s="82"/>
      <c r="E29" s="82"/>
      <c r="F29" s="77"/>
    </row>
    <row r="30" spans="1:6" ht="17.5">
      <c r="A30" s="78">
        <v>22</v>
      </c>
      <c r="B30" s="83"/>
      <c r="C30" s="84"/>
      <c r="D30" s="82"/>
      <c r="E30" s="82"/>
      <c r="F30" s="79"/>
    </row>
    <row r="31" spans="1:6" ht="17.5">
      <c r="A31" s="78">
        <v>23</v>
      </c>
      <c r="B31" s="83"/>
      <c r="C31" s="84"/>
      <c r="D31" s="82"/>
      <c r="E31" s="82"/>
      <c r="F31" s="77"/>
    </row>
    <row r="32" spans="1:6" ht="17.5">
      <c r="A32" s="78">
        <v>24</v>
      </c>
      <c r="B32" s="83"/>
      <c r="C32" s="84"/>
      <c r="D32" s="82"/>
      <c r="E32" s="82"/>
      <c r="F32" s="79"/>
    </row>
    <row r="33" spans="1:6" ht="17.5">
      <c r="A33" s="78">
        <v>25</v>
      </c>
      <c r="B33" s="83"/>
      <c r="C33" s="84"/>
      <c r="D33" s="82"/>
      <c r="E33" s="85"/>
      <c r="F33" s="77"/>
    </row>
    <row r="34" spans="1:6" ht="18">
      <c r="A34" s="86"/>
      <c r="B34" s="87" t="s">
        <v>310</v>
      </c>
      <c r="C34" s="88"/>
      <c r="D34" s="89"/>
      <c r="E34" s="90">
        <f>SUM(E9:E18)</f>
        <v>277840</v>
      </c>
      <c r="F34" s="91"/>
    </row>
    <row r="35" spans="1:6" ht="18.5">
      <c r="A35" s="92"/>
      <c r="B35" s="92"/>
      <c r="C35" s="92"/>
      <c r="D35" s="93"/>
      <c r="E35" s="94"/>
      <c r="F35" s="95"/>
    </row>
    <row r="36" spans="1:6">
      <c r="A36" s="96" t="s">
        <v>2268</v>
      </c>
      <c r="B36"/>
      <c r="C36"/>
    </row>
    <row r="37" spans="1:6">
      <c r="A37" s="97"/>
      <c r="B37"/>
      <c r="C37"/>
    </row>
    <row r="38" spans="1:6">
      <c r="A38" s="2788" t="s">
        <v>2269</v>
      </c>
      <c r="B38" s="2788"/>
      <c r="C38" s="2788"/>
      <c r="D38" s="2788"/>
      <c r="E38" s="2788"/>
      <c r="F38" s="2788"/>
    </row>
    <row r="39" spans="1:6">
      <c r="A39" s="2788" t="s">
        <v>2270</v>
      </c>
      <c r="B39" s="2788"/>
      <c r="C39" s="2788"/>
      <c r="D39" s="2788"/>
      <c r="E39" s="2788"/>
      <c r="F39" s="2788"/>
    </row>
    <row r="40" spans="1:6">
      <c r="A40" s="2789" t="s">
        <v>2271</v>
      </c>
      <c r="B40" s="2789"/>
      <c r="C40" s="2789"/>
      <c r="D40" s="2789"/>
      <c r="E40" s="2789"/>
      <c r="F40" s="2789"/>
    </row>
    <row r="41" spans="1:6">
      <c r="A41" s="2789" t="s">
        <v>2272</v>
      </c>
      <c r="B41" s="2789"/>
      <c r="C41" s="2789"/>
      <c r="D41" s="2789"/>
      <c r="E41" s="2789"/>
      <c r="F41" s="2789"/>
    </row>
    <row r="42" spans="1:6">
      <c r="A42" s="2790" t="s">
        <v>2273</v>
      </c>
      <c r="B42" s="2791"/>
      <c r="C42" s="2791"/>
      <c r="D42" s="2791"/>
      <c r="E42" s="2791"/>
      <c r="F42" s="2791"/>
    </row>
    <row r="43" spans="1:6">
      <c r="A43" s="2790" t="s">
        <v>2274</v>
      </c>
      <c r="B43" s="2791"/>
      <c r="C43" s="2791"/>
      <c r="D43" s="2791"/>
      <c r="E43" s="2791"/>
      <c r="F43" s="2791"/>
    </row>
    <row r="44" spans="1:6">
      <c r="A44" s="2790" t="s">
        <v>2275</v>
      </c>
      <c r="B44" s="2791"/>
      <c r="C44" s="2791"/>
      <c r="D44" s="2791"/>
      <c r="E44" s="2791"/>
      <c r="F44" s="2791"/>
    </row>
    <row r="45" spans="1:6">
      <c r="A45" s="98"/>
      <c r="B45"/>
      <c r="C45"/>
    </row>
    <row r="46" spans="1:6">
      <c r="A46" s="2788" t="s">
        <v>2276</v>
      </c>
      <c r="B46" s="2788"/>
      <c r="C46" s="2788"/>
      <c r="D46" s="2788"/>
      <c r="E46" s="2788"/>
      <c r="F46" s="2788"/>
    </row>
    <row r="47" spans="1:6">
      <c r="A47" s="2789" t="s">
        <v>2277</v>
      </c>
      <c r="B47" s="2789"/>
      <c r="C47" s="2789"/>
      <c r="D47" s="2789"/>
      <c r="E47" s="2789"/>
      <c r="F47" s="2789"/>
    </row>
    <row r="48" spans="1:6">
      <c r="A48" s="2789" t="s">
        <v>2278</v>
      </c>
      <c r="B48" s="2789"/>
      <c r="C48" s="2789"/>
      <c r="D48" s="2789"/>
      <c r="E48" s="2789"/>
      <c r="F48" s="2789"/>
    </row>
    <row r="49" spans="1:6">
      <c r="A49" s="2790" t="s">
        <v>2279</v>
      </c>
      <c r="B49" s="2791"/>
      <c r="C49" s="2791"/>
      <c r="D49" s="2791"/>
      <c r="E49" s="2791"/>
      <c r="F49" s="2791"/>
    </row>
    <row r="50" spans="1:6">
      <c r="A50" s="2790" t="s">
        <v>2280</v>
      </c>
      <c r="B50" s="2791"/>
      <c r="C50" s="2791"/>
      <c r="D50" s="2791"/>
      <c r="E50" s="2791"/>
      <c r="F50" s="2791"/>
    </row>
    <row r="51" spans="1:6">
      <c r="A51" s="97"/>
      <c r="B51"/>
      <c r="C51"/>
    </row>
    <row r="52" spans="1:6">
      <c r="A52" s="99" t="s">
        <v>2281</v>
      </c>
      <c r="B52"/>
      <c r="C52"/>
    </row>
    <row r="53" spans="1:6">
      <c r="A53" s="98"/>
      <c r="B53"/>
      <c r="C53"/>
    </row>
    <row r="54" spans="1:6">
      <c r="A54" s="2790" t="s">
        <v>2282</v>
      </c>
      <c r="B54" s="2791"/>
      <c r="C54" s="2791"/>
      <c r="D54" s="2791"/>
      <c r="E54" s="2791"/>
      <c r="F54" s="2791"/>
    </row>
    <row r="55" spans="1:6">
      <c r="A55" s="2790" t="s">
        <v>2283</v>
      </c>
      <c r="B55" s="2791"/>
      <c r="C55" s="2791"/>
      <c r="D55" s="2791"/>
      <c r="E55" s="2791"/>
      <c r="F55" s="2791"/>
    </row>
    <row r="56" spans="1:6">
      <c r="A56" s="98"/>
      <c r="B56"/>
      <c r="C56"/>
    </row>
    <row r="57" spans="1:6">
      <c r="A57" s="2788" t="s">
        <v>2284</v>
      </c>
      <c r="B57" s="2788"/>
      <c r="C57" s="2788"/>
      <c r="D57" s="2788"/>
      <c r="E57" s="2788"/>
      <c r="F57" s="2788"/>
    </row>
    <row r="58" spans="1:6">
      <c r="A58" s="2790" t="s">
        <v>2285</v>
      </c>
      <c r="B58" s="2791"/>
      <c r="C58" s="2791"/>
      <c r="D58" s="2791"/>
      <c r="E58" s="2791"/>
      <c r="F58" s="2791"/>
    </row>
    <row r="59" spans="1:6">
      <c r="A59" s="2791" t="s">
        <v>2286</v>
      </c>
      <c r="B59" s="2791"/>
      <c r="C59" s="2791"/>
      <c r="D59" s="2791"/>
      <c r="E59" s="2791"/>
    </row>
    <row r="60" spans="1:6">
      <c r="A60" s="2790" t="s">
        <v>2287</v>
      </c>
      <c r="B60" s="2791"/>
      <c r="C60" s="2791"/>
      <c r="D60" s="2791"/>
      <c r="E60" s="2791"/>
      <c r="F60" s="2791"/>
    </row>
    <row r="61" spans="1:6">
      <c r="A61" s="2790" t="s">
        <v>2288</v>
      </c>
      <c r="B61" s="2791"/>
      <c r="C61" s="2791"/>
      <c r="D61" s="2791"/>
      <c r="E61" s="2791"/>
      <c r="F61" s="2791"/>
    </row>
    <row r="62" spans="1:6">
      <c r="A62" s="98"/>
      <c r="B62"/>
    </row>
    <row r="63" spans="1:6">
      <c r="A63" s="2790" t="s">
        <v>2289</v>
      </c>
      <c r="B63" s="2791"/>
      <c r="C63" s="2791"/>
      <c r="D63" s="2791"/>
      <c r="E63" s="2791"/>
      <c r="F63" s="2791"/>
    </row>
    <row r="64" spans="1:6">
      <c r="A64" s="2788" t="s">
        <v>2290</v>
      </c>
      <c r="B64" s="2788"/>
      <c r="C64" s="2788"/>
      <c r="D64" s="2788"/>
      <c r="E64" s="2788"/>
      <c r="F64" s="2788"/>
    </row>
    <row r="65" spans="1:6">
      <c r="A65" s="2791" t="s">
        <v>2291</v>
      </c>
      <c r="B65" s="2791"/>
      <c r="C65" s="2791"/>
      <c r="D65" s="2791"/>
      <c r="E65" s="2791"/>
      <c r="F65" s="2791"/>
    </row>
    <row r="66" spans="1:6">
      <c r="A66" s="100"/>
      <c r="B66" s="2186" t="s">
        <v>2292</v>
      </c>
      <c r="C66" s="101" t="s">
        <v>2293</v>
      </c>
    </row>
    <row r="67" spans="1:6">
      <c r="A67" s="100"/>
      <c r="B67" s="2186" t="s">
        <v>2294</v>
      </c>
      <c r="C67" s="101" t="s">
        <v>2295</v>
      </c>
    </row>
    <row r="68" spans="1:6">
      <c r="A68" s="100"/>
      <c r="B68" s="2186" t="s">
        <v>2296</v>
      </c>
      <c r="C68" s="101" t="s">
        <v>2297</v>
      </c>
    </row>
    <row r="69" spans="1:6">
      <c r="A69" s="100"/>
      <c r="B69" s="2186" t="s">
        <v>2298</v>
      </c>
      <c r="C69" s="101" t="s">
        <v>2299</v>
      </c>
    </row>
    <row r="70" spans="1:6">
      <c r="A70" s="2791" t="s">
        <v>2300</v>
      </c>
      <c r="B70" s="2791"/>
      <c r="C70" s="2791"/>
      <c r="D70" s="2791"/>
      <c r="E70" s="2791"/>
      <c r="F70" s="2791"/>
    </row>
    <row r="71" spans="1:6">
      <c r="A71" s="2791" t="s">
        <v>2301</v>
      </c>
      <c r="B71" s="2791"/>
      <c r="C71" s="2791"/>
      <c r="D71" s="2791"/>
      <c r="E71" s="2791"/>
      <c r="F71" s="2791"/>
    </row>
    <row r="72" spans="1:6">
      <c r="A72" s="2792" t="s">
        <v>2302</v>
      </c>
      <c r="B72" s="2792"/>
    </row>
  </sheetData>
  <mergeCells count="32">
    <mergeCell ref="A71:F71"/>
    <mergeCell ref="A72:B72"/>
    <mergeCell ref="A7:A8"/>
    <mergeCell ref="B7:B8"/>
    <mergeCell ref="C7:C8"/>
    <mergeCell ref="D7:D8"/>
    <mergeCell ref="E7:E8"/>
    <mergeCell ref="A61:F61"/>
    <mergeCell ref="A63:F63"/>
    <mergeCell ref="A64:F64"/>
    <mergeCell ref="A65:F65"/>
    <mergeCell ref="A70:F70"/>
    <mergeCell ref="A55:F55"/>
    <mergeCell ref="A57:F57"/>
    <mergeCell ref="A58:F58"/>
    <mergeCell ref="A59:E59"/>
    <mergeCell ref="A60:F60"/>
    <mergeCell ref="A47:F47"/>
    <mergeCell ref="A48:F48"/>
    <mergeCell ref="A49:F49"/>
    <mergeCell ref="A50:F50"/>
    <mergeCell ref="A54:F54"/>
    <mergeCell ref="A41:F41"/>
    <mergeCell ref="A42:F42"/>
    <mergeCell ref="A43:F43"/>
    <mergeCell ref="A44:F44"/>
    <mergeCell ref="A46:F46"/>
    <mergeCell ref="A3:F3"/>
    <mergeCell ref="A5:D5"/>
    <mergeCell ref="A38:F38"/>
    <mergeCell ref="A39:F39"/>
    <mergeCell ref="A40:F40"/>
  </mergeCell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FFC000"/>
  </sheetPr>
  <dimension ref="A1:E53"/>
  <sheetViews>
    <sheetView workbookViewId="0">
      <selection activeCell="G72" sqref="A1:K115"/>
    </sheetView>
  </sheetViews>
  <sheetFormatPr defaultColWidth="9.26953125" defaultRowHeight="12.5"/>
  <cols>
    <col min="1" max="1" width="5" style="48" customWidth="1"/>
    <col min="2" max="2" width="44.26953125" style="48" customWidth="1"/>
    <col min="3" max="3" width="50" style="48" customWidth="1"/>
    <col min="4" max="4" width="17.7265625" style="48" customWidth="1"/>
    <col min="5" max="5" width="17.26953125" style="48" customWidth="1"/>
    <col min="6" max="16384" width="9.26953125" style="48"/>
  </cols>
  <sheetData>
    <row r="1" spans="1:5" ht="14.5">
      <c r="A1" s="49"/>
      <c r="B1" s="49"/>
      <c r="C1" s="49"/>
      <c r="D1" s="49"/>
      <c r="E1" s="49"/>
    </row>
    <row r="2" spans="1:5" ht="26">
      <c r="A2" s="2799" t="s">
        <v>2303</v>
      </c>
      <c r="B2" s="2799"/>
      <c r="C2" s="2799"/>
      <c r="D2" s="2799"/>
      <c r="E2" s="2800"/>
    </row>
    <row r="3" spans="1:5" ht="14.5">
      <c r="A3" s="49"/>
      <c r="B3" s="49"/>
      <c r="C3" s="49"/>
      <c r="D3" s="49"/>
      <c r="E3" s="49"/>
    </row>
    <row r="4" spans="1:5" ht="14.5">
      <c r="A4" s="49"/>
      <c r="B4" s="49"/>
      <c r="C4" s="49"/>
      <c r="D4" s="49"/>
      <c r="E4" s="49"/>
    </row>
    <row r="5" spans="1:5" ht="22.5" customHeight="1">
      <c r="A5" s="2217" t="s">
        <v>2304</v>
      </c>
      <c r="B5" s="2217"/>
      <c r="C5" s="49"/>
      <c r="D5" s="49"/>
      <c r="E5" s="49"/>
    </row>
    <row r="6" spans="1:5" ht="22.5" customHeight="1">
      <c r="A6" s="2217" t="s">
        <v>2305</v>
      </c>
      <c r="B6" s="2217"/>
      <c r="C6" s="49"/>
      <c r="D6" s="49"/>
      <c r="E6" s="49"/>
    </row>
    <row r="7" spans="1:5" ht="22.5" customHeight="1">
      <c r="A7" s="2217" t="s">
        <v>2306</v>
      </c>
      <c r="B7" s="2217"/>
      <c r="C7" s="49"/>
      <c r="D7" s="49"/>
      <c r="E7" s="49"/>
    </row>
    <row r="8" spans="1:5" ht="37.5" customHeight="1">
      <c r="A8" s="51" t="s">
        <v>65</v>
      </c>
      <c r="B8" s="52" t="s">
        <v>2307</v>
      </c>
      <c r="C8" s="52" t="s">
        <v>2308</v>
      </c>
      <c r="D8" s="53" t="s">
        <v>2309</v>
      </c>
      <c r="E8" s="54" t="s">
        <v>2310</v>
      </c>
    </row>
    <row r="9" spans="1:5" ht="27.4" customHeight="1">
      <c r="A9" s="55"/>
      <c r="B9" s="56"/>
      <c r="C9" s="56"/>
      <c r="D9" s="56"/>
      <c r="E9" s="57"/>
    </row>
    <row r="10" spans="1:5" ht="27.4" customHeight="1">
      <c r="A10" s="55"/>
      <c r="B10" s="56"/>
      <c r="C10" s="56"/>
      <c r="D10" s="56"/>
      <c r="E10" s="57"/>
    </row>
    <row r="11" spans="1:5" ht="27.4" customHeight="1">
      <c r="A11" s="55"/>
      <c r="B11" s="56"/>
      <c r="C11" s="56"/>
      <c r="D11" s="56"/>
      <c r="E11" s="57"/>
    </row>
    <row r="12" spans="1:5" ht="27.4" customHeight="1">
      <c r="A12" s="55"/>
      <c r="B12" s="56"/>
      <c r="C12" s="56"/>
      <c r="D12" s="56"/>
      <c r="E12" s="57"/>
    </row>
    <row r="13" spans="1:5" ht="27.4" customHeight="1">
      <c r="A13" s="55"/>
      <c r="B13" s="56"/>
      <c r="C13" s="56"/>
      <c r="D13" s="56"/>
      <c r="E13" s="57"/>
    </row>
    <row r="14" spans="1:5" ht="27.4" customHeight="1">
      <c r="A14" s="55"/>
      <c r="B14" s="56"/>
      <c r="C14" s="56"/>
      <c r="D14" s="56"/>
      <c r="E14" s="57"/>
    </row>
    <row r="15" spans="1:5" ht="27.4" customHeight="1">
      <c r="A15" s="55"/>
      <c r="B15" s="56"/>
      <c r="C15" s="56"/>
      <c r="D15" s="56"/>
      <c r="E15" s="57"/>
    </row>
    <row r="16" spans="1:5" ht="27.4" customHeight="1">
      <c r="A16" s="55"/>
      <c r="B16" s="56"/>
      <c r="C16" s="56"/>
      <c r="D16" s="56"/>
      <c r="E16" s="57"/>
    </row>
    <row r="17" spans="1:5" ht="27.4" customHeight="1">
      <c r="A17" s="55"/>
      <c r="B17" s="56"/>
      <c r="C17" s="56"/>
      <c r="D17" s="56"/>
      <c r="E17" s="57"/>
    </row>
    <row r="18" spans="1:5" ht="27.4" customHeight="1">
      <c r="A18" s="55"/>
      <c r="B18" s="56"/>
      <c r="C18" s="56"/>
      <c r="D18" s="56"/>
      <c r="E18" s="57"/>
    </row>
    <row r="19" spans="1:5" ht="27.4" customHeight="1">
      <c r="A19" s="55"/>
      <c r="B19" s="56"/>
      <c r="C19" s="56"/>
      <c r="D19" s="56"/>
      <c r="E19" s="57"/>
    </row>
    <row r="20" spans="1:5" ht="27.4" customHeight="1">
      <c r="A20" s="55"/>
      <c r="B20" s="56"/>
      <c r="C20" s="56"/>
      <c r="D20" s="56"/>
      <c r="E20" s="57"/>
    </row>
    <row r="21" spans="1:5" ht="27.4" customHeight="1">
      <c r="A21" s="55"/>
      <c r="B21" s="56"/>
      <c r="C21" s="56"/>
      <c r="D21" s="56"/>
      <c r="E21" s="57"/>
    </row>
    <row r="22" spans="1:5" ht="27.4" customHeight="1">
      <c r="A22" s="55"/>
      <c r="B22" s="56"/>
      <c r="C22" s="56"/>
      <c r="D22" s="56"/>
      <c r="E22" s="57"/>
    </row>
    <row r="23" spans="1:5" ht="27.4" customHeight="1">
      <c r="A23" s="55"/>
      <c r="B23" s="56"/>
      <c r="C23" s="56"/>
      <c r="D23" s="56"/>
      <c r="E23" s="57"/>
    </row>
    <row r="24" spans="1:5" ht="27.4" customHeight="1">
      <c r="A24" s="55"/>
      <c r="B24" s="56"/>
      <c r="C24" s="56"/>
      <c r="D24" s="56"/>
      <c r="E24" s="57"/>
    </row>
    <row r="25" spans="1:5" ht="27.4" customHeight="1">
      <c r="A25" s="55"/>
      <c r="B25" s="56"/>
      <c r="C25" s="56"/>
      <c r="D25" s="56"/>
      <c r="E25" s="57"/>
    </row>
    <row r="26" spans="1:5" ht="27.4" customHeight="1">
      <c r="A26" s="55"/>
      <c r="B26" s="56"/>
      <c r="C26" s="56"/>
      <c r="D26" s="56"/>
      <c r="E26" s="57"/>
    </row>
    <row r="27" spans="1:5" ht="27.4" customHeight="1">
      <c r="A27" s="55"/>
      <c r="B27" s="56"/>
      <c r="C27" s="56"/>
      <c r="D27" s="56"/>
      <c r="E27" s="57"/>
    </row>
    <row r="28" spans="1:5" ht="27.4" customHeight="1">
      <c r="A28" s="55"/>
      <c r="B28" s="56"/>
      <c r="C28" s="56"/>
      <c r="D28" s="56"/>
      <c r="E28" s="57"/>
    </row>
    <row r="29" spans="1:5" ht="27.4" customHeight="1">
      <c r="A29" s="55"/>
      <c r="B29" s="56"/>
      <c r="C29" s="56"/>
      <c r="D29" s="56"/>
      <c r="E29" s="57"/>
    </row>
    <row r="30" spans="1:5" ht="27.4" customHeight="1">
      <c r="A30" s="55"/>
      <c r="B30" s="56"/>
      <c r="C30" s="56"/>
      <c r="D30" s="56"/>
      <c r="E30" s="57"/>
    </row>
    <row r="31" spans="1:5" ht="27.4" customHeight="1">
      <c r="A31" s="55"/>
      <c r="B31" s="56"/>
      <c r="C31" s="56"/>
      <c r="D31" s="56"/>
      <c r="E31" s="57"/>
    </row>
    <row r="32" spans="1:5" ht="27.4" customHeight="1">
      <c r="A32" s="55"/>
      <c r="B32" s="56"/>
      <c r="C32" s="56"/>
      <c r="D32" s="56"/>
      <c r="E32" s="57"/>
    </row>
    <row r="33" spans="1:5" ht="27.4" customHeight="1">
      <c r="A33" s="55"/>
      <c r="B33" s="56"/>
      <c r="C33" s="56"/>
      <c r="D33" s="56"/>
      <c r="E33" s="57"/>
    </row>
    <row r="34" spans="1:5" ht="27.4" customHeight="1">
      <c r="A34" s="55"/>
      <c r="B34" s="56"/>
      <c r="C34" s="56"/>
      <c r="D34" s="56"/>
      <c r="E34" s="57"/>
    </row>
    <row r="35" spans="1:5" ht="27.4" customHeight="1">
      <c r="A35" s="55"/>
      <c r="B35" s="56"/>
      <c r="C35" s="56"/>
      <c r="D35" s="56"/>
      <c r="E35" s="57"/>
    </row>
    <row r="36" spans="1:5" ht="27.4" customHeight="1">
      <c r="A36" s="55"/>
      <c r="B36" s="56"/>
      <c r="C36" s="56"/>
      <c r="D36" s="56"/>
      <c r="E36" s="57"/>
    </row>
    <row r="37" spans="1:5" ht="27.4" customHeight="1">
      <c r="A37" s="55"/>
      <c r="B37" s="56"/>
      <c r="C37" s="56"/>
      <c r="D37" s="56"/>
      <c r="E37" s="57"/>
    </row>
    <row r="38" spans="1:5" ht="27.4" customHeight="1">
      <c r="A38" s="55"/>
      <c r="B38" s="56"/>
      <c r="C38" s="56"/>
      <c r="D38" s="56"/>
      <c r="E38" s="57"/>
    </row>
    <row r="39" spans="1:5" ht="27.4" customHeight="1">
      <c r="A39" s="55"/>
      <c r="B39" s="56"/>
      <c r="C39" s="56"/>
      <c r="D39" s="56"/>
      <c r="E39" s="57"/>
    </row>
    <row r="40" spans="1:5" ht="27.4" customHeight="1">
      <c r="A40" s="55"/>
      <c r="B40" s="56"/>
      <c r="C40" s="56"/>
      <c r="D40" s="56"/>
      <c r="E40" s="57"/>
    </row>
    <row r="41" spans="1:5" ht="27.4" customHeight="1">
      <c r="A41" s="55"/>
      <c r="B41" s="56"/>
      <c r="C41" s="56"/>
      <c r="D41" s="56"/>
      <c r="E41" s="57"/>
    </row>
    <row r="42" spans="1:5" ht="27.4" customHeight="1">
      <c r="A42" s="55"/>
      <c r="B42" s="56"/>
      <c r="C42" s="56"/>
      <c r="D42" s="56"/>
      <c r="E42" s="57"/>
    </row>
    <row r="43" spans="1:5" ht="27.4" customHeight="1">
      <c r="A43" s="55"/>
      <c r="B43" s="56"/>
      <c r="C43" s="56"/>
      <c r="D43" s="56"/>
      <c r="E43" s="57"/>
    </row>
    <row r="44" spans="1:5" ht="27.4" customHeight="1">
      <c r="A44" s="55"/>
      <c r="B44" s="56"/>
      <c r="C44" s="56"/>
      <c r="D44" s="56"/>
      <c r="E44" s="57"/>
    </row>
    <row r="45" spans="1:5" ht="27.4" customHeight="1">
      <c r="A45" s="55"/>
      <c r="B45" s="56"/>
      <c r="C45" s="56"/>
      <c r="D45" s="56"/>
      <c r="E45" s="57"/>
    </row>
    <row r="46" spans="1:5" ht="27.4" customHeight="1">
      <c r="A46" s="55"/>
      <c r="B46" s="56"/>
      <c r="C46" s="56"/>
      <c r="D46" s="56"/>
      <c r="E46" s="57"/>
    </row>
    <row r="47" spans="1:5" ht="27.4" customHeight="1">
      <c r="A47" s="55"/>
      <c r="B47" s="56"/>
      <c r="C47" s="56"/>
      <c r="D47" s="56"/>
      <c r="E47" s="57"/>
    </row>
    <row r="48" spans="1:5" ht="27.4" customHeight="1">
      <c r="A48" s="58"/>
      <c r="B48" s="59"/>
      <c r="C48" s="59"/>
      <c r="D48" s="59"/>
      <c r="E48" s="60"/>
    </row>
    <row r="49" spans="1:5" ht="14.5">
      <c r="A49" s="49"/>
      <c r="B49" s="49"/>
      <c r="C49" s="49"/>
      <c r="D49" s="49"/>
      <c r="E49" s="49"/>
    </row>
    <row r="50" spans="1:5">
      <c r="B50" s="43" t="s">
        <v>341</v>
      </c>
      <c r="D50" s="2798" t="s">
        <v>2311</v>
      </c>
      <c r="E50" s="2798"/>
    </row>
    <row r="53" spans="1:5">
      <c r="B53" s="43" t="s">
        <v>2312</v>
      </c>
      <c r="D53" s="2798" t="s">
        <v>1931</v>
      </c>
      <c r="E53" s="2798"/>
    </row>
  </sheetData>
  <mergeCells count="6">
    <mergeCell ref="D53:E53"/>
    <mergeCell ref="A2:E2"/>
    <mergeCell ref="A5:B5"/>
    <mergeCell ref="A6:B6"/>
    <mergeCell ref="A7:B7"/>
    <mergeCell ref="D50:E50"/>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FFC000"/>
  </sheetPr>
  <dimension ref="A1:EX35"/>
  <sheetViews>
    <sheetView workbookViewId="0">
      <selection activeCell="G72" sqref="A1:AG115"/>
    </sheetView>
  </sheetViews>
  <sheetFormatPr defaultColWidth="10" defaultRowHeight="12.5"/>
  <cols>
    <col min="1" max="1" width="4.26953125" customWidth="1"/>
    <col min="2" max="2" width="15.26953125" customWidth="1"/>
    <col min="3" max="8" width="5.54296875" customWidth="1"/>
    <col min="9" max="9" width="5.26953125" customWidth="1"/>
    <col min="10" max="24" width="5.54296875" customWidth="1"/>
    <col min="25" max="25" width="5" customWidth="1"/>
    <col min="26" max="154" width="5.54296875" customWidth="1"/>
  </cols>
  <sheetData>
    <row r="1" spans="1:154" ht="25.5">
      <c r="A1" s="2801"/>
      <c r="B1" s="2801"/>
      <c r="C1" s="2801"/>
      <c r="D1" s="2801"/>
      <c r="E1" s="2801"/>
      <c r="F1" s="2801"/>
      <c r="G1" s="2801"/>
      <c r="H1" s="2801"/>
      <c r="I1" s="2801"/>
    </row>
    <row r="2" spans="1:154" ht="22.5">
      <c r="A2" s="2802" t="s">
        <v>2313</v>
      </c>
      <c r="B2" s="2802"/>
      <c r="C2" s="2802"/>
      <c r="D2" s="2802"/>
      <c r="E2" s="2802"/>
      <c r="F2" s="2802"/>
      <c r="G2" s="2802"/>
      <c r="H2" s="2802"/>
      <c r="I2" s="2802"/>
      <c r="J2" s="2802"/>
      <c r="K2" s="2802"/>
      <c r="L2" s="2802"/>
      <c r="M2" s="2802"/>
      <c r="N2" s="2802"/>
      <c r="O2" s="2802"/>
      <c r="P2" s="2802"/>
      <c r="Q2" s="2802"/>
      <c r="R2" s="2802"/>
      <c r="S2" s="2802"/>
      <c r="T2" s="2802"/>
      <c r="U2" s="2802"/>
      <c r="V2" s="2802"/>
      <c r="W2" s="2802"/>
      <c r="X2" s="2802"/>
      <c r="Y2" s="2802"/>
      <c r="Z2" s="2802"/>
      <c r="AA2" s="2802"/>
      <c r="AB2" s="2802"/>
      <c r="AC2" s="2802"/>
      <c r="AD2" s="2802"/>
      <c r="AE2" s="2802"/>
      <c r="AF2" s="2802"/>
      <c r="AG2" s="2802"/>
    </row>
    <row r="3" spans="1:154" ht="17.25" customHeight="1">
      <c r="A3" s="26" t="s">
        <v>2314</v>
      </c>
      <c r="B3" s="27"/>
      <c r="C3" s="27"/>
      <c r="D3" s="27"/>
      <c r="E3" s="27"/>
      <c r="F3" s="27"/>
      <c r="G3" s="27"/>
      <c r="H3" s="27"/>
      <c r="I3" s="26" t="s">
        <v>2315</v>
      </c>
      <c r="J3" s="27"/>
      <c r="K3" s="27"/>
      <c r="L3" s="27"/>
      <c r="M3" s="27"/>
      <c r="N3" s="27"/>
      <c r="O3" s="27"/>
      <c r="P3" s="27"/>
      <c r="Q3" s="27"/>
      <c r="R3" s="27"/>
      <c r="S3" s="27"/>
      <c r="T3" s="27"/>
      <c r="U3" s="27"/>
      <c r="V3" s="27"/>
      <c r="W3" s="27"/>
      <c r="X3" s="27"/>
      <c r="Y3" s="27"/>
      <c r="Z3" s="27"/>
      <c r="AA3" s="27"/>
      <c r="AB3" s="27"/>
      <c r="AC3" s="27"/>
      <c r="AD3" s="27"/>
      <c r="AE3" s="27"/>
      <c r="AF3" s="27"/>
      <c r="AG3" s="27"/>
    </row>
    <row r="4" spans="1:154" ht="8.25" customHeight="1"/>
    <row r="5" spans="1:154" ht="20.25" customHeight="1">
      <c r="A5" s="28" t="s">
        <v>1179</v>
      </c>
      <c r="B5" s="29" t="s">
        <v>2239</v>
      </c>
      <c r="C5" s="2187" t="s">
        <v>2316</v>
      </c>
      <c r="D5" s="2187" t="s">
        <v>2317</v>
      </c>
      <c r="E5" s="2187" t="s">
        <v>2318</v>
      </c>
      <c r="F5" s="2187" t="s">
        <v>2319</v>
      </c>
      <c r="G5" s="2187" t="s">
        <v>2320</v>
      </c>
      <c r="H5" s="2187" t="s">
        <v>2321</v>
      </c>
      <c r="I5" s="2187" t="s">
        <v>2322</v>
      </c>
      <c r="J5" s="2187" t="s">
        <v>2323</v>
      </c>
      <c r="K5" s="2187" t="s">
        <v>2324</v>
      </c>
      <c r="L5" s="29">
        <f>+K5+1</f>
        <v>10</v>
      </c>
      <c r="M5" s="29">
        <f>+L5+1</f>
        <v>11</v>
      </c>
      <c r="N5" s="29">
        <f t="shared" ref="N5:AG5" si="0">+M5+1</f>
        <v>12</v>
      </c>
      <c r="O5" s="29">
        <f t="shared" si="0"/>
        <v>13</v>
      </c>
      <c r="P5" s="29">
        <f t="shared" si="0"/>
        <v>14</v>
      </c>
      <c r="Q5" s="29">
        <f t="shared" si="0"/>
        <v>15</v>
      </c>
      <c r="R5" s="29">
        <f t="shared" si="0"/>
        <v>16</v>
      </c>
      <c r="S5" s="29">
        <f t="shared" si="0"/>
        <v>17</v>
      </c>
      <c r="T5" s="29">
        <f t="shared" si="0"/>
        <v>18</v>
      </c>
      <c r="U5" s="29">
        <f t="shared" si="0"/>
        <v>19</v>
      </c>
      <c r="V5" s="29">
        <f t="shared" si="0"/>
        <v>20</v>
      </c>
      <c r="W5" s="29">
        <f t="shared" si="0"/>
        <v>21</v>
      </c>
      <c r="X5" s="29">
        <f t="shared" si="0"/>
        <v>22</v>
      </c>
      <c r="Y5" s="29">
        <f t="shared" si="0"/>
        <v>23</v>
      </c>
      <c r="Z5" s="29">
        <f t="shared" si="0"/>
        <v>24</v>
      </c>
      <c r="AA5" s="29">
        <f t="shared" si="0"/>
        <v>25</v>
      </c>
      <c r="AB5" s="29">
        <f t="shared" si="0"/>
        <v>26</v>
      </c>
      <c r="AC5" s="29">
        <f t="shared" si="0"/>
        <v>27</v>
      </c>
      <c r="AD5" s="29">
        <f t="shared" si="0"/>
        <v>28</v>
      </c>
      <c r="AE5" s="29">
        <f t="shared" si="0"/>
        <v>29</v>
      </c>
      <c r="AF5" s="29">
        <f t="shared" si="0"/>
        <v>30</v>
      </c>
      <c r="AG5" s="42">
        <f t="shared" si="0"/>
        <v>31</v>
      </c>
      <c r="AH5" s="43"/>
      <c r="AI5" s="43"/>
      <c r="AJ5" s="43"/>
      <c r="AK5" s="43"/>
      <c r="AL5" s="43"/>
      <c r="AM5" s="43"/>
      <c r="AN5" s="43"/>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c r="BO5" s="43"/>
      <c r="BP5" s="43"/>
      <c r="BQ5" s="43"/>
      <c r="BR5" s="43"/>
      <c r="BS5" s="43"/>
      <c r="BT5" s="43"/>
      <c r="BU5" s="43"/>
      <c r="BV5" s="43"/>
      <c r="BW5" s="43"/>
      <c r="BX5" s="43"/>
      <c r="BY5" s="43"/>
      <c r="BZ5" s="43"/>
      <c r="CA5" s="43"/>
      <c r="CB5" s="43"/>
      <c r="CC5" s="43"/>
      <c r="CD5" s="43"/>
      <c r="CE5" s="43"/>
      <c r="CF5" s="43"/>
      <c r="CG5" s="43"/>
      <c r="CH5" s="43"/>
      <c r="CI5" s="43"/>
      <c r="CJ5" s="43"/>
      <c r="CK5" s="43"/>
      <c r="CL5" s="43"/>
      <c r="CM5" s="43"/>
      <c r="CN5" s="43"/>
      <c r="CO5" s="43"/>
      <c r="CP5" s="43"/>
      <c r="CQ5" s="43"/>
      <c r="CR5" s="43"/>
      <c r="CS5" s="43"/>
      <c r="CT5" s="43"/>
      <c r="CU5" s="43"/>
      <c r="CV5" s="43"/>
      <c r="CW5" s="43"/>
      <c r="CX5" s="43"/>
      <c r="CY5" s="43"/>
      <c r="CZ5" s="43"/>
      <c r="DA5" s="43"/>
      <c r="DB5" s="43"/>
      <c r="DC5" s="43"/>
      <c r="DD5" s="43"/>
      <c r="DE5" s="43"/>
      <c r="DF5" s="43"/>
      <c r="DG5" s="43"/>
      <c r="DH5" s="43"/>
      <c r="DI5" s="43"/>
      <c r="DJ5" s="43"/>
      <c r="DK5" s="43"/>
      <c r="DL5" s="43"/>
      <c r="DM5" s="43"/>
      <c r="DN5" s="43"/>
      <c r="DO5" s="43"/>
      <c r="DP5" s="43"/>
      <c r="DQ5" s="43"/>
      <c r="DR5" s="43"/>
      <c r="DS5" s="43"/>
      <c r="DT5" s="43"/>
      <c r="DU5" s="43"/>
      <c r="DV5" s="43"/>
      <c r="DW5" s="43"/>
      <c r="DX5" s="43"/>
      <c r="DY5" s="43"/>
      <c r="DZ5" s="43"/>
      <c r="EA5" s="43"/>
      <c r="EB5" s="43"/>
      <c r="EC5" s="43"/>
      <c r="ED5" s="43"/>
      <c r="EE5" s="43"/>
      <c r="EF5" s="43"/>
      <c r="EG5" s="43"/>
      <c r="EH5" s="43"/>
      <c r="EI5" s="43"/>
      <c r="EJ5" s="43"/>
      <c r="EK5" s="43"/>
      <c r="EL5" s="43"/>
      <c r="EM5" s="43"/>
      <c r="EN5" s="43"/>
      <c r="EO5" s="43"/>
      <c r="EP5" s="43"/>
      <c r="EQ5" s="43"/>
      <c r="ER5" s="43"/>
      <c r="ES5" s="43"/>
      <c r="ET5" s="43"/>
      <c r="EU5" s="43"/>
      <c r="EV5" s="43"/>
      <c r="EW5" s="43"/>
      <c r="EX5" s="43"/>
    </row>
    <row r="6" spans="1:154" ht="20.149999999999999" customHeight="1">
      <c r="A6" s="30">
        <v>1</v>
      </c>
      <c r="B6" s="31"/>
      <c r="C6" s="31"/>
      <c r="D6" s="31"/>
      <c r="E6" s="31"/>
      <c r="F6" s="31"/>
      <c r="G6" s="31"/>
      <c r="H6" s="31"/>
      <c r="I6" s="31"/>
      <c r="J6" s="31"/>
      <c r="K6" s="31"/>
      <c r="L6" s="31"/>
      <c r="M6" s="31"/>
      <c r="N6" s="31"/>
      <c r="O6" s="31"/>
      <c r="P6" s="31"/>
      <c r="Q6" s="31"/>
      <c r="R6" s="31"/>
      <c r="S6" s="31"/>
      <c r="T6" s="31"/>
      <c r="U6" s="31"/>
      <c r="V6" s="31"/>
      <c r="W6" s="31"/>
      <c r="X6" s="31"/>
      <c r="Y6" s="31"/>
      <c r="Z6" s="31"/>
      <c r="AA6" s="31"/>
      <c r="AB6" s="31"/>
      <c r="AC6" s="31"/>
      <c r="AD6" s="31"/>
      <c r="AE6" s="31"/>
      <c r="AF6" s="31"/>
      <c r="AG6" s="44"/>
    </row>
    <row r="7" spans="1:154" ht="20.149999999999999" customHeight="1">
      <c r="A7" s="30">
        <f>+A6+1</f>
        <v>2</v>
      </c>
      <c r="B7" s="31"/>
      <c r="C7" s="31"/>
      <c r="D7" s="31"/>
      <c r="E7" s="31"/>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44"/>
    </row>
    <row r="8" spans="1:154" ht="20.149999999999999" customHeight="1">
      <c r="A8" s="30">
        <f t="shared" ref="A8:A15" si="1">+A7+1</f>
        <v>3</v>
      </c>
      <c r="B8" s="31"/>
      <c r="C8" s="31"/>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44"/>
    </row>
    <row r="9" spans="1:154" ht="20.149999999999999" customHeight="1">
      <c r="A9" s="30">
        <f t="shared" si="1"/>
        <v>4</v>
      </c>
      <c r="B9" s="31"/>
      <c r="C9" s="31"/>
      <c r="D9" s="31"/>
      <c r="E9" s="31"/>
      <c r="F9" s="31"/>
      <c r="G9" s="31"/>
      <c r="H9" s="31"/>
      <c r="I9" s="31"/>
      <c r="J9" s="31"/>
      <c r="K9" s="31"/>
      <c r="L9" s="31"/>
      <c r="M9" s="31"/>
      <c r="N9" s="31"/>
      <c r="O9" s="31"/>
      <c r="P9" s="31"/>
      <c r="Q9" s="31"/>
      <c r="R9" s="31"/>
      <c r="S9" s="31"/>
      <c r="T9" s="31"/>
      <c r="U9" s="31"/>
      <c r="V9" s="31"/>
      <c r="W9" s="31"/>
      <c r="X9" s="31"/>
      <c r="Y9" s="31"/>
      <c r="Z9" s="31"/>
      <c r="AA9" s="31"/>
      <c r="AB9" s="31"/>
      <c r="AC9" s="31"/>
      <c r="AD9" s="31"/>
      <c r="AE9" s="31"/>
      <c r="AF9" s="31"/>
      <c r="AG9" s="44"/>
    </row>
    <row r="10" spans="1:154" ht="20.149999999999999" customHeight="1">
      <c r="A10" s="30">
        <f t="shared" si="1"/>
        <v>5</v>
      </c>
      <c r="B10" s="31"/>
      <c r="C10" s="31"/>
      <c r="D10" s="31"/>
      <c r="E10" s="31"/>
      <c r="F10" s="31"/>
      <c r="G10" s="31"/>
      <c r="H10" s="31"/>
      <c r="I10" s="31"/>
      <c r="J10" s="31"/>
      <c r="K10" s="31"/>
      <c r="L10" s="31"/>
      <c r="M10" s="31"/>
      <c r="N10" s="31"/>
      <c r="O10" s="31"/>
      <c r="P10" s="31"/>
      <c r="Q10" s="31"/>
      <c r="R10" s="31"/>
      <c r="S10" s="31"/>
      <c r="T10" s="31"/>
      <c r="U10" s="31"/>
      <c r="V10" s="31"/>
      <c r="W10" s="31"/>
      <c r="X10" s="31"/>
      <c r="Y10" s="31"/>
      <c r="Z10" s="31"/>
      <c r="AA10" s="31"/>
      <c r="AB10" s="31"/>
      <c r="AC10" s="31"/>
      <c r="AD10" s="31"/>
      <c r="AE10" s="31"/>
      <c r="AF10" s="31"/>
      <c r="AG10" s="44"/>
    </row>
    <row r="11" spans="1:154" ht="20.149999999999999" customHeight="1">
      <c r="A11" s="30">
        <f t="shared" si="1"/>
        <v>6</v>
      </c>
      <c r="B11" s="31"/>
      <c r="C11" s="31"/>
      <c r="D11" s="31"/>
      <c r="E11" s="31"/>
      <c r="F11" s="31"/>
      <c r="G11" s="31"/>
      <c r="H11" s="31"/>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44"/>
    </row>
    <row r="12" spans="1:154" ht="20.149999999999999" customHeight="1">
      <c r="A12" s="30">
        <f t="shared" si="1"/>
        <v>7</v>
      </c>
      <c r="B12" s="31"/>
      <c r="C12" s="31"/>
      <c r="D12" s="31"/>
      <c r="E12" s="31"/>
      <c r="F12" s="31"/>
      <c r="G12" s="31"/>
      <c r="H12" s="31"/>
      <c r="I12" s="31"/>
      <c r="J12" s="31"/>
      <c r="K12" s="31"/>
      <c r="L12" s="31"/>
      <c r="M12" s="31"/>
      <c r="N12" s="31"/>
      <c r="O12" s="31"/>
      <c r="P12" s="31"/>
      <c r="Q12" s="31"/>
      <c r="R12" s="31"/>
      <c r="S12" s="31"/>
      <c r="T12" s="31"/>
      <c r="U12" s="31"/>
      <c r="V12" s="31"/>
      <c r="W12" s="31"/>
      <c r="X12" s="31"/>
      <c r="Y12" s="31"/>
      <c r="Z12" s="31"/>
      <c r="AA12" s="31"/>
      <c r="AB12" s="31"/>
      <c r="AC12" s="31"/>
      <c r="AD12" s="31"/>
      <c r="AE12" s="31"/>
      <c r="AF12" s="31"/>
      <c r="AG12" s="44"/>
    </row>
    <row r="13" spans="1:154" ht="20.149999999999999" customHeight="1">
      <c r="A13" s="30">
        <f t="shared" si="1"/>
        <v>8</v>
      </c>
      <c r="B13" s="31"/>
      <c r="C13" s="31"/>
      <c r="D13" s="31"/>
      <c r="E13" s="31"/>
      <c r="F13" s="31"/>
      <c r="G13" s="31"/>
      <c r="H13" s="31"/>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44"/>
    </row>
    <row r="14" spans="1:154" ht="20.149999999999999" customHeight="1">
      <c r="A14" s="30">
        <f t="shared" si="1"/>
        <v>9</v>
      </c>
      <c r="B14" s="31"/>
      <c r="C14" s="31"/>
      <c r="D14" s="31"/>
      <c r="E14" s="31"/>
      <c r="F14" s="31"/>
      <c r="G14" s="31"/>
      <c r="H14" s="31"/>
      <c r="I14" s="31"/>
      <c r="J14" s="31"/>
      <c r="K14" s="31"/>
      <c r="L14" s="31"/>
      <c r="M14" s="31"/>
      <c r="N14" s="31"/>
      <c r="O14" s="31"/>
      <c r="P14" s="31"/>
      <c r="Q14" s="31"/>
      <c r="R14" s="31"/>
      <c r="S14" s="31"/>
      <c r="T14" s="31"/>
      <c r="U14" s="31"/>
      <c r="V14" s="31"/>
      <c r="W14" s="31"/>
      <c r="X14" s="31"/>
      <c r="Y14" s="31"/>
      <c r="Z14" s="31"/>
      <c r="AA14" s="31"/>
      <c r="AB14" s="31"/>
      <c r="AC14" s="31"/>
      <c r="AD14" s="31"/>
      <c r="AE14" s="31"/>
      <c r="AF14" s="31"/>
      <c r="AG14" s="44"/>
    </row>
    <row r="15" spans="1:154" ht="20.149999999999999" customHeight="1">
      <c r="A15" s="30">
        <f t="shared" si="1"/>
        <v>10</v>
      </c>
      <c r="B15" s="31"/>
      <c r="C15" s="31"/>
      <c r="D15" s="31"/>
      <c r="E15" s="31"/>
      <c r="F15" s="31"/>
      <c r="G15" s="31"/>
      <c r="H15" s="31"/>
      <c r="I15" s="31"/>
      <c r="J15" s="31"/>
      <c r="K15" s="31"/>
      <c r="L15" s="31"/>
      <c r="M15" s="31"/>
      <c r="N15" s="31"/>
      <c r="O15" s="31"/>
      <c r="P15" s="31"/>
      <c r="Q15" s="31"/>
      <c r="R15" s="31"/>
      <c r="S15" s="31"/>
      <c r="T15" s="31"/>
      <c r="U15" s="31"/>
      <c r="V15" s="31"/>
      <c r="W15" s="31"/>
      <c r="X15" s="31"/>
      <c r="Y15" s="31"/>
      <c r="Z15" s="31"/>
      <c r="AA15" s="31"/>
      <c r="AB15" s="31"/>
      <c r="AC15" s="31"/>
      <c r="AD15" s="31"/>
      <c r="AE15" s="31"/>
      <c r="AF15" s="31"/>
      <c r="AG15" s="44"/>
    </row>
    <row r="16" spans="1:154" ht="20.149999999999999" customHeight="1">
      <c r="A16" s="30">
        <v>11</v>
      </c>
      <c r="B16" s="32"/>
      <c r="C16" s="32"/>
      <c r="D16" s="32"/>
      <c r="E16" s="32"/>
      <c r="F16" s="32"/>
      <c r="G16" s="32"/>
      <c r="H16" s="32"/>
      <c r="I16" s="32"/>
      <c r="J16" s="32"/>
      <c r="K16" s="32"/>
      <c r="L16" s="32"/>
      <c r="M16" s="32"/>
      <c r="N16" s="32"/>
      <c r="O16" s="32"/>
      <c r="P16" s="32"/>
      <c r="Q16" s="32"/>
      <c r="R16" s="32"/>
      <c r="S16" s="32"/>
      <c r="T16" s="32"/>
      <c r="U16" s="32"/>
      <c r="V16" s="32"/>
      <c r="W16" s="32"/>
      <c r="X16" s="32"/>
      <c r="Y16" s="32"/>
      <c r="Z16" s="32"/>
      <c r="AA16" s="32"/>
      <c r="AB16" s="32"/>
      <c r="AC16" s="32"/>
      <c r="AD16" s="32"/>
      <c r="AE16" s="32"/>
      <c r="AF16" s="32"/>
      <c r="AG16" s="45"/>
    </row>
    <row r="17" spans="1:33" ht="20.149999999999999" customHeight="1">
      <c r="A17" s="30">
        <v>12</v>
      </c>
      <c r="B17" s="32"/>
      <c r="C17" s="32"/>
      <c r="D17" s="32"/>
      <c r="E17" s="32"/>
      <c r="F17" s="32"/>
      <c r="G17" s="32"/>
      <c r="H17" s="32"/>
      <c r="I17" s="32"/>
      <c r="J17" s="32"/>
      <c r="K17" s="32"/>
      <c r="L17" s="32"/>
      <c r="M17" s="32"/>
      <c r="N17" s="32"/>
      <c r="O17" s="32"/>
      <c r="P17" s="32"/>
      <c r="Q17" s="32"/>
      <c r="R17" s="32"/>
      <c r="S17" s="32"/>
      <c r="T17" s="32"/>
      <c r="U17" s="32"/>
      <c r="V17" s="32"/>
      <c r="W17" s="32"/>
      <c r="X17" s="32"/>
      <c r="Y17" s="32"/>
      <c r="Z17" s="32"/>
      <c r="AA17" s="32"/>
      <c r="AB17" s="32"/>
      <c r="AC17" s="32"/>
      <c r="AD17" s="32"/>
      <c r="AE17" s="32"/>
      <c r="AF17" s="32"/>
      <c r="AG17" s="45"/>
    </row>
    <row r="18" spans="1:33" ht="20.149999999999999" customHeight="1">
      <c r="A18" s="30">
        <v>13</v>
      </c>
      <c r="B18" s="32"/>
      <c r="C18" s="32"/>
      <c r="D18" s="32"/>
      <c r="E18" s="32"/>
      <c r="F18" s="32"/>
      <c r="G18" s="32"/>
      <c r="H18" s="32"/>
      <c r="I18" s="32"/>
      <c r="J18" s="32"/>
      <c r="K18" s="32"/>
      <c r="L18" s="32"/>
      <c r="M18" s="32"/>
      <c r="N18" s="32"/>
      <c r="O18" s="32"/>
      <c r="P18" s="32"/>
      <c r="Q18" s="32"/>
      <c r="R18" s="32"/>
      <c r="S18" s="32"/>
      <c r="T18" s="32"/>
      <c r="U18" s="32"/>
      <c r="V18" s="32"/>
      <c r="W18" s="32"/>
      <c r="X18" s="32"/>
      <c r="Y18" s="32"/>
      <c r="Z18" s="32"/>
      <c r="AA18" s="32"/>
      <c r="AB18" s="32"/>
      <c r="AC18" s="32"/>
      <c r="AD18" s="32"/>
      <c r="AE18" s="32"/>
      <c r="AF18" s="32"/>
      <c r="AG18" s="45"/>
    </row>
    <row r="19" spans="1:33" ht="20.149999999999999" customHeight="1">
      <c r="A19" s="30">
        <v>14</v>
      </c>
      <c r="B19" s="32"/>
      <c r="C19" s="32"/>
      <c r="D19" s="32"/>
      <c r="E19" s="32"/>
      <c r="F19" s="32"/>
      <c r="G19" s="32"/>
      <c r="H19" s="32"/>
      <c r="I19" s="32"/>
      <c r="J19" s="32"/>
      <c r="K19" s="32"/>
      <c r="L19" s="32"/>
      <c r="M19" s="32"/>
      <c r="N19" s="32"/>
      <c r="O19" s="32"/>
      <c r="P19" s="32"/>
      <c r="Q19" s="32"/>
      <c r="R19" s="32"/>
      <c r="S19" s="32"/>
      <c r="T19" s="32"/>
      <c r="U19" s="32"/>
      <c r="V19" s="32"/>
      <c r="W19" s="32"/>
      <c r="X19" s="32"/>
      <c r="Y19" s="32"/>
      <c r="Z19" s="32"/>
      <c r="AA19" s="32"/>
      <c r="AB19" s="32"/>
      <c r="AC19" s="32"/>
      <c r="AD19" s="32"/>
      <c r="AE19" s="32"/>
      <c r="AF19" s="32"/>
      <c r="AG19" s="45"/>
    </row>
    <row r="20" spans="1:33" ht="20.149999999999999" customHeight="1">
      <c r="A20" s="30">
        <v>15</v>
      </c>
      <c r="B20" s="32"/>
      <c r="C20" s="32"/>
      <c r="D20" s="32"/>
      <c r="E20" s="32"/>
      <c r="F20" s="32"/>
      <c r="G20" s="32"/>
      <c r="H20" s="32"/>
      <c r="I20" s="32"/>
      <c r="J20" s="32"/>
      <c r="K20" s="32"/>
      <c r="L20" s="32"/>
      <c r="M20" s="32"/>
      <c r="N20" s="32"/>
      <c r="O20" s="32"/>
      <c r="P20" s="32"/>
      <c r="Q20" s="32"/>
      <c r="R20" s="32"/>
      <c r="S20" s="32"/>
      <c r="T20" s="32"/>
      <c r="U20" s="32"/>
      <c r="V20" s="32"/>
      <c r="W20" s="32"/>
      <c r="X20" s="32"/>
      <c r="Y20" s="32"/>
      <c r="Z20" s="32"/>
      <c r="AA20" s="32"/>
      <c r="AB20" s="32"/>
      <c r="AC20" s="32"/>
      <c r="AD20" s="32"/>
      <c r="AE20" s="32"/>
      <c r="AF20" s="32"/>
      <c r="AG20" s="45"/>
    </row>
    <row r="21" spans="1:33" ht="20.149999999999999" customHeight="1">
      <c r="A21" s="30">
        <v>16</v>
      </c>
      <c r="B21" s="32"/>
      <c r="C21" s="32"/>
      <c r="D21" s="32"/>
      <c r="E21" s="32"/>
      <c r="F21" s="32"/>
      <c r="G21" s="32"/>
      <c r="H21" s="32"/>
      <c r="I21" s="32"/>
      <c r="J21" s="32"/>
      <c r="K21" s="32"/>
      <c r="L21" s="32"/>
      <c r="M21" s="32"/>
      <c r="N21" s="32"/>
      <c r="O21" s="32"/>
      <c r="P21" s="32"/>
      <c r="Q21" s="32"/>
      <c r="R21" s="32"/>
      <c r="S21" s="32"/>
      <c r="T21" s="32"/>
      <c r="U21" s="32"/>
      <c r="V21" s="32"/>
      <c r="W21" s="32"/>
      <c r="X21" s="32"/>
      <c r="Y21" s="32"/>
      <c r="Z21" s="32"/>
      <c r="AA21" s="32"/>
      <c r="AB21" s="32"/>
      <c r="AC21" s="32"/>
      <c r="AD21" s="32"/>
      <c r="AE21" s="32"/>
      <c r="AF21" s="32"/>
      <c r="AG21" s="45"/>
    </row>
    <row r="22" spans="1:33" ht="20.149999999999999" customHeight="1">
      <c r="A22" s="30">
        <v>17</v>
      </c>
      <c r="B22" s="32"/>
      <c r="C22" s="32"/>
      <c r="D22" s="32"/>
      <c r="E22" s="32"/>
      <c r="F22" s="32"/>
      <c r="G22" s="32"/>
      <c r="H22" s="32"/>
      <c r="I22" s="32"/>
      <c r="J22" s="32"/>
      <c r="K22" s="32"/>
      <c r="L22" s="32"/>
      <c r="M22" s="32"/>
      <c r="N22" s="32"/>
      <c r="O22" s="32"/>
      <c r="P22" s="32"/>
      <c r="Q22" s="32"/>
      <c r="R22" s="32"/>
      <c r="S22" s="32"/>
      <c r="T22" s="32"/>
      <c r="U22" s="32"/>
      <c r="V22" s="32"/>
      <c r="W22" s="32"/>
      <c r="X22" s="32"/>
      <c r="Y22" s="32"/>
      <c r="Z22" s="32"/>
      <c r="AA22" s="32"/>
      <c r="AB22" s="32"/>
      <c r="AC22" s="32"/>
      <c r="AD22" s="32"/>
      <c r="AE22" s="32"/>
      <c r="AF22" s="32"/>
      <c r="AG22" s="45"/>
    </row>
    <row r="23" spans="1:33" ht="20.149999999999999" customHeight="1">
      <c r="A23" s="30">
        <v>18</v>
      </c>
      <c r="B23" s="32"/>
      <c r="C23" s="32"/>
      <c r="D23" s="32"/>
      <c r="E23" s="32"/>
      <c r="F23" s="32"/>
      <c r="G23" s="32"/>
      <c r="H23" s="32"/>
      <c r="I23" s="32"/>
      <c r="J23" s="32"/>
      <c r="K23" s="32"/>
      <c r="L23" s="32"/>
      <c r="M23" s="32"/>
      <c r="N23" s="32"/>
      <c r="O23" s="32"/>
      <c r="P23" s="32"/>
      <c r="Q23" s="32"/>
      <c r="R23" s="32"/>
      <c r="S23" s="32"/>
      <c r="T23" s="32"/>
      <c r="U23" s="32"/>
      <c r="V23" s="32"/>
      <c r="W23" s="32"/>
      <c r="X23" s="32"/>
      <c r="Y23" s="32"/>
      <c r="Z23" s="32"/>
      <c r="AA23" s="32"/>
      <c r="AB23" s="32"/>
      <c r="AC23" s="32"/>
      <c r="AD23" s="32"/>
      <c r="AE23" s="32"/>
      <c r="AF23" s="32"/>
      <c r="AG23" s="45"/>
    </row>
    <row r="24" spans="1:33" ht="20.149999999999999" customHeight="1">
      <c r="A24" s="30">
        <v>19</v>
      </c>
      <c r="B24" s="32"/>
      <c r="C24" s="32"/>
      <c r="D24" s="32"/>
      <c r="E24" s="32"/>
      <c r="F24" s="32"/>
      <c r="G24" s="32"/>
      <c r="H24" s="32"/>
      <c r="I24" s="32"/>
      <c r="J24" s="32"/>
      <c r="K24" s="32"/>
      <c r="L24" s="32"/>
      <c r="M24" s="32"/>
      <c r="N24" s="32"/>
      <c r="O24" s="32"/>
      <c r="P24" s="32"/>
      <c r="Q24" s="32"/>
      <c r="R24" s="32"/>
      <c r="S24" s="32"/>
      <c r="T24" s="32"/>
      <c r="U24" s="32"/>
      <c r="V24" s="32"/>
      <c r="W24" s="32"/>
      <c r="X24" s="32"/>
      <c r="Y24" s="32"/>
      <c r="Z24" s="32"/>
      <c r="AA24" s="32"/>
      <c r="AB24" s="32"/>
      <c r="AC24" s="32"/>
      <c r="AD24" s="32"/>
      <c r="AE24" s="32"/>
      <c r="AF24" s="32"/>
      <c r="AG24" s="45"/>
    </row>
    <row r="25" spans="1:33" ht="20.149999999999999" customHeight="1">
      <c r="A25" s="30">
        <v>20</v>
      </c>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46"/>
    </row>
    <row r="26" spans="1:33" ht="38.25" customHeight="1">
      <c r="A26" s="2803" t="s">
        <v>2325</v>
      </c>
      <c r="B26" s="2804"/>
      <c r="C26" s="34"/>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c r="AG26" s="47"/>
    </row>
    <row r="27" spans="1:33" ht="15.75" customHeight="1">
      <c r="B27" s="35" t="s">
        <v>2326</v>
      </c>
      <c r="C27" s="36"/>
      <c r="D27" s="37"/>
      <c r="E27" s="37"/>
      <c r="F27" s="37"/>
      <c r="G27" s="37"/>
      <c r="H27" s="36"/>
      <c r="I27" s="37"/>
      <c r="J27" s="37"/>
      <c r="K27" s="27"/>
      <c r="L27" s="27"/>
      <c r="M27" s="27"/>
      <c r="N27" s="35" t="s">
        <v>2327</v>
      </c>
      <c r="O27" s="27"/>
      <c r="P27" s="27"/>
      <c r="Q27" s="27"/>
      <c r="R27" s="27"/>
      <c r="S27" s="27"/>
      <c r="T27" s="27"/>
      <c r="U27" s="27"/>
      <c r="V27" s="27"/>
      <c r="W27" s="27"/>
      <c r="X27" s="27"/>
      <c r="Y27" s="27"/>
      <c r="Z27" s="27"/>
    </row>
    <row r="28" spans="1:33" ht="15.75" customHeight="1">
      <c r="B28" s="35"/>
      <c r="C28" s="36"/>
      <c r="D28" s="37"/>
      <c r="E28" s="37"/>
      <c r="F28" s="37"/>
      <c r="G28" s="37"/>
      <c r="H28" s="36"/>
      <c r="I28" s="37"/>
      <c r="J28" s="37"/>
      <c r="K28" s="27"/>
      <c r="L28" s="27"/>
      <c r="M28" s="27"/>
      <c r="N28" s="35"/>
      <c r="O28" s="27"/>
      <c r="P28" s="27"/>
      <c r="Q28" s="27"/>
      <c r="R28" s="27"/>
      <c r="S28" s="27"/>
      <c r="T28" s="27"/>
      <c r="U28" s="27"/>
      <c r="V28" s="27"/>
      <c r="W28" s="27"/>
      <c r="X28" s="27"/>
      <c r="Y28" s="27"/>
      <c r="Z28" s="27"/>
    </row>
    <row r="29" spans="1:33" ht="15" customHeight="1">
      <c r="B29" s="38" t="s">
        <v>1511</v>
      </c>
      <c r="C29" s="39" t="s">
        <v>489</v>
      </c>
      <c r="D29" s="27" t="s">
        <v>2328</v>
      </c>
      <c r="E29" s="27"/>
      <c r="F29" s="27"/>
      <c r="G29" s="27"/>
      <c r="H29" s="39" t="s">
        <v>487</v>
      </c>
      <c r="I29" s="27" t="s">
        <v>2329</v>
      </c>
      <c r="J29" s="27"/>
      <c r="K29" s="27"/>
      <c r="L29" s="27"/>
      <c r="M29" s="39" t="s">
        <v>2330</v>
      </c>
      <c r="N29" s="27" t="s">
        <v>2331</v>
      </c>
      <c r="O29" s="27"/>
      <c r="P29" s="27"/>
      <c r="Q29" s="27"/>
      <c r="R29" s="39" t="s">
        <v>316</v>
      </c>
      <c r="S29" s="27" t="s">
        <v>2332</v>
      </c>
      <c r="T29" s="27"/>
      <c r="U29" s="27"/>
      <c r="V29" s="27"/>
      <c r="W29" s="39" t="s">
        <v>2333</v>
      </c>
      <c r="X29" s="27" t="s">
        <v>2334</v>
      </c>
      <c r="Y29" s="27"/>
      <c r="Z29" s="27"/>
    </row>
    <row r="30" spans="1:33" ht="3.75" customHeight="1">
      <c r="B30" s="27"/>
      <c r="C30" s="27"/>
      <c r="D30" s="27"/>
      <c r="E30" s="27"/>
      <c r="F30" s="27"/>
      <c r="G30" s="27"/>
      <c r="H30" s="27"/>
      <c r="I30" s="27"/>
      <c r="J30" s="27"/>
      <c r="K30" s="27"/>
      <c r="L30" s="27"/>
      <c r="M30" s="27"/>
      <c r="N30" s="27"/>
      <c r="O30" s="27"/>
      <c r="P30" s="27"/>
      <c r="Q30" s="27"/>
      <c r="R30" s="27"/>
      <c r="S30" s="27"/>
      <c r="T30" s="27"/>
      <c r="U30" s="27"/>
      <c r="V30" s="27"/>
      <c r="W30" s="27"/>
      <c r="X30" s="27"/>
      <c r="Y30" s="27"/>
      <c r="Z30" s="27"/>
    </row>
    <row r="31" spans="1:33" ht="15" customHeight="1">
      <c r="B31" s="27"/>
      <c r="C31" s="39" t="s">
        <v>71</v>
      </c>
      <c r="D31" s="27" t="s">
        <v>2335</v>
      </c>
      <c r="E31" s="27"/>
      <c r="F31" s="27"/>
      <c r="G31" s="27"/>
      <c r="H31" s="39" t="s">
        <v>505</v>
      </c>
      <c r="I31" s="27" t="s">
        <v>2336</v>
      </c>
      <c r="J31" s="27"/>
      <c r="K31" s="27"/>
      <c r="L31" s="27"/>
      <c r="M31" s="39" t="s">
        <v>510</v>
      </c>
      <c r="N31" s="27" t="s">
        <v>2337</v>
      </c>
      <c r="O31" s="27"/>
      <c r="P31" s="27"/>
      <c r="Q31" s="27"/>
      <c r="R31" s="39" t="s">
        <v>509</v>
      </c>
      <c r="S31" s="27" t="s">
        <v>2338</v>
      </c>
      <c r="T31" s="27"/>
      <c r="U31" s="27"/>
      <c r="V31" s="27"/>
      <c r="W31" s="40"/>
      <c r="X31" s="27"/>
      <c r="Y31" s="27"/>
      <c r="Z31" s="27"/>
    </row>
    <row r="32" spans="1:33" ht="15" customHeight="1">
      <c r="B32" s="27"/>
      <c r="C32" s="40"/>
      <c r="D32" s="27"/>
      <c r="E32" s="27"/>
      <c r="F32" s="27"/>
      <c r="G32" s="27"/>
      <c r="H32" s="40"/>
      <c r="I32" s="27"/>
      <c r="J32" s="27"/>
      <c r="K32" s="27"/>
      <c r="L32" s="27"/>
      <c r="M32" s="40"/>
      <c r="N32" s="27"/>
      <c r="O32" s="27"/>
      <c r="P32" s="27"/>
      <c r="Q32" s="27"/>
      <c r="R32" s="40"/>
      <c r="S32" s="27"/>
      <c r="T32" s="27"/>
      <c r="U32" s="27"/>
      <c r="V32" s="27"/>
      <c r="W32" s="40"/>
      <c r="X32" s="27"/>
      <c r="Y32" s="27"/>
      <c r="Z32" s="27"/>
    </row>
    <row r="33" spans="2:26" ht="18.75" customHeight="1">
      <c r="B33" s="27" t="s">
        <v>2339</v>
      </c>
      <c r="C33" s="27"/>
      <c r="D33" s="27"/>
      <c r="E33" s="27"/>
      <c r="F33" s="27"/>
      <c r="G33" s="27"/>
      <c r="H33" s="27"/>
      <c r="I33" s="27"/>
      <c r="J33" s="27"/>
      <c r="K33" s="27"/>
      <c r="L33" s="27"/>
      <c r="M33" s="27"/>
      <c r="N33" s="27"/>
      <c r="O33" s="27"/>
      <c r="P33" s="27"/>
      <c r="Q33" s="27"/>
      <c r="R33" s="27"/>
      <c r="S33" s="27"/>
      <c r="T33" s="27"/>
      <c r="U33" s="27"/>
      <c r="V33" s="27"/>
      <c r="W33" s="27"/>
      <c r="X33" s="27"/>
      <c r="Y33" s="27"/>
      <c r="Z33" s="27"/>
    </row>
    <row r="34" spans="2:26" ht="19.5" customHeight="1">
      <c r="C34" s="41"/>
      <c r="D34" s="41"/>
      <c r="E34" s="41"/>
      <c r="F34" s="41"/>
      <c r="G34" s="41"/>
      <c r="H34" s="41"/>
      <c r="I34" s="41"/>
      <c r="J34" s="41"/>
      <c r="K34" s="41"/>
      <c r="L34" s="41"/>
      <c r="M34" s="41"/>
      <c r="N34" s="41"/>
      <c r="O34" s="41"/>
      <c r="P34" s="41"/>
      <c r="Q34" s="41"/>
      <c r="R34" s="41"/>
      <c r="S34" s="41"/>
      <c r="T34" s="41"/>
      <c r="U34" s="41"/>
      <c r="V34" s="41"/>
      <c r="W34" s="41"/>
      <c r="X34" s="41"/>
      <c r="Y34" s="41"/>
    </row>
    <row r="35" spans="2:26" ht="20.25" customHeight="1">
      <c r="C35" s="41"/>
      <c r="D35" s="41"/>
      <c r="E35" s="41"/>
      <c r="F35" s="41"/>
      <c r="G35" s="41"/>
      <c r="H35" s="41"/>
      <c r="I35" s="41"/>
      <c r="J35" s="41"/>
      <c r="K35" s="41"/>
      <c r="L35" s="41"/>
      <c r="M35" s="41"/>
      <c r="N35" s="41"/>
      <c r="O35" s="41"/>
      <c r="P35" s="41"/>
      <c r="Q35" s="41"/>
      <c r="R35" s="41"/>
      <c r="S35" s="41"/>
      <c r="T35" s="41"/>
      <c r="U35" s="41"/>
      <c r="V35" s="41"/>
      <c r="W35" s="41"/>
      <c r="X35" s="41"/>
      <c r="Y35" s="41"/>
    </row>
  </sheetData>
  <mergeCells count="3">
    <mergeCell ref="A1:I1"/>
    <mergeCell ref="A2:AG2"/>
    <mergeCell ref="A26:B26"/>
  </mergeCells>
  <printOptions horizontalCentered="1" verticalCentered="1"/>
  <pageMargins left="0" right="0" top="0" bottom="0" header="0" footer="0"/>
  <pageSetup paperSize="256" scale="82" orientation="landscape"/>
  <headerFooter alignWithMargins="0"/>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
  <sheetViews>
    <sheetView workbookViewId="0">
      <selection activeCell="G72" sqref="A1:K115"/>
    </sheetView>
  </sheetViews>
  <sheetFormatPr defaultColWidth="9.1796875" defaultRowHeight="12.5"/>
  <sheetData/>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
  <sheetViews>
    <sheetView workbookViewId="0">
      <selection activeCell="G72" sqref="A1:K115"/>
    </sheetView>
  </sheetViews>
  <sheetFormatPr defaultColWidth="9.1796875" defaultRowHeight="12.5"/>
  <sheetData/>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2:D30"/>
  <sheetViews>
    <sheetView workbookViewId="0">
      <selection activeCell="G72" sqref="A1:K115"/>
    </sheetView>
  </sheetViews>
  <sheetFormatPr defaultColWidth="9.26953125" defaultRowHeight="14.5"/>
  <cols>
    <col min="1" max="1" width="23.7265625" style="1" customWidth="1"/>
    <col min="2" max="3" width="19.54296875" style="1" customWidth="1"/>
    <col min="4" max="4" width="16.26953125" style="1" customWidth="1"/>
    <col min="5" max="16384" width="9.26953125" style="1"/>
  </cols>
  <sheetData>
    <row r="2" spans="1:4">
      <c r="A2" s="2216" t="s">
        <v>2340</v>
      </c>
      <c r="B2" s="2216"/>
      <c r="C2" s="2216"/>
    </row>
    <row r="3" spans="1:4">
      <c r="A3" s="2216"/>
      <c r="B3" s="2216"/>
      <c r="C3" s="2216"/>
    </row>
    <row r="4" spans="1:4">
      <c r="C4" s="3" t="s">
        <v>394</v>
      </c>
    </row>
    <row r="5" spans="1:4">
      <c r="C5" s="3" t="s">
        <v>396</v>
      </c>
    </row>
    <row r="7" spans="1:4" ht="20.25" customHeight="1">
      <c r="A7" s="4" t="s">
        <v>363</v>
      </c>
      <c r="B7" s="4" t="s">
        <v>68</v>
      </c>
      <c r="C7" s="5" t="s">
        <v>612</v>
      </c>
      <c r="D7" s="6" t="s">
        <v>310</v>
      </c>
    </row>
    <row r="8" spans="1:4">
      <c r="A8" s="7" t="s">
        <v>615</v>
      </c>
      <c r="B8" s="8"/>
      <c r="C8" s="9"/>
      <c r="D8" s="10"/>
    </row>
    <row r="9" spans="1:4">
      <c r="A9" s="11" t="s">
        <v>618</v>
      </c>
      <c r="B9" s="12"/>
      <c r="C9" s="13"/>
      <c r="D9" s="14"/>
    </row>
    <row r="10" spans="1:4">
      <c r="A10" s="11" t="s">
        <v>249</v>
      </c>
      <c r="B10" s="12"/>
      <c r="C10" s="13"/>
      <c r="D10" s="14"/>
    </row>
    <row r="11" spans="1:4">
      <c r="A11" s="11" t="s">
        <v>248</v>
      </c>
      <c r="B11" s="12"/>
      <c r="C11" s="13"/>
      <c r="D11" s="14"/>
    </row>
    <row r="12" spans="1:4">
      <c r="A12" s="11" t="s">
        <v>632</v>
      </c>
      <c r="B12" s="12"/>
      <c r="C12" s="13"/>
      <c r="D12" s="14"/>
    </row>
    <row r="13" spans="1:4">
      <c r="A13" s="11" t="s">
        <v>636</v>
      </c>
      <c r="B13" s="12"/>
      <c r="C13" s="13"/>
      <c r="D13" s="14"/>
    </row>
    <row r="14" spans="1:4">
      <c r="A14" s="11" t="s">
        <v>639</v>
      </c>
      <c r="B14" s="12"/>
      <c r="C14" s="13"/>
      <c r="D14" s="14"/>
    </row>
    <row r="15" spans="1:4">
      <c r="A15" s="11"/>
      <c r="B15" s="12"/>
      <c r="C15" s="13"/>
      <c r="D15" s="14"/>
    </row>
    <row r="16" spans="1:4">
      <c r="A16" s="11"/>
      <c r="B16" s="12"/>
      <c r="C16" s="13"/>
      <c r="D16" s="14"/>
    </row>
    <row r="17" spans="1:4">
      <c r="A17" s="11"/>
      <c r="B17" s="12"/>
      <c r="C17" s="13"/>
      <c r="D17" s="14"/>
    </row>
    <row r="18" spans="1:4">
      <c r="A18" s="11"/>
      <c r="B18" s="12"/>
      <c r="C18" s="13"/>
      <c r="D18" s="14"/>
    </row>
    <row r="19" spans="1:4">
      <c r="A19" s="11"/>
      <c r="B19" s="12"/>
      <c r="C19" s="13"/>
      <c r="D19" s="14"/>
    </row>
    <row r="20" spans="1:4">
      <c r="A20" s="15"/>
      <c r="B20" s="16"/>
      <c r="C20" s="17"/>
      <c r="D20" s="18"/>
    </row>
    <row r="21" spans="1:4">
      <c r="A21" s="24"/>
      <c r="B21" s="24"/>
      <c r="C21" s="5" t="s">
        <v>234</v>
      </c>
      <c r="D21" s="20"/>
    </row>
    <row r="22" spans="1:4">
      <c r="A22" s="25" t="s">
        <v>2341</v>
      </c>
      <c r="B22" s="21"/>
      <c r="C22" s="5" t="s">
        <v>644</v>
      </c>
      <c r="D22" s="22"/>
    </row>
    <row r="26" spans="1:4">
      <c r="C26" s="23" t="s">
        <v>341</v>
      </c>
    </row>
    <row r="27" spans="1:4">
      <c r="C27" s="23"/>
    </row>
    <row r="30" spans="1:4">
      <c r="C30" s="1" t="s">
        <v>2342</v>
      </c>
    </row>
  </sheetData>
  <mergeCells count="1">
    <mergeCell ref="A2:C3"/>
  </mergeCells>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2:D30"/>
  <sheetViews>
    <sheetView workbookViewId="0">
      <selection activeCell="G72" sqref="A1:K115"/>
    </sheetView>
  </sheetViews>
  <sheetFormatPr defaultColWidth="9.26953125" defaultRowHeight="14.5"/>
  <cols>
    <col min="1" max="1" width="23.7265625" style="1" customWidth="1"/>
    <col min="2" max="2" width="19.54296875" style="1" customWidth="1"/>
    <col min="3" max="3" width="20.1796875" style="1" customWidth="1"/>
    <col min="4" max="4" width="17.54296875" style="1" customWidth="1"/>
    <col min="5" max="16384" width="9.26953125" style="1"/>
  </cols>
  <sheetData>
    <row r="2" spans="1:4">
      <c r="A2" s="2216" t="s">
        <v>605</v>
      </c>
      <c r="B2" s="2216"/>
      <c r="C2" s="2216"/>
    </row>
    <row r="3" spans="1:4">
      <c r="A3" s="2216"/>
      <c r="B3" s="2216"/>
      <c r="C3" s="2216"/>
    </row>
    <row r="4" spans="1:4">
      <c r="C4" s="3" t="s">
        <v>394</v>
      </c>
    </row>
    <row r="5" spans="1:4">
      <c r="C5" s="3" t="s">
        <v>396</v>
      </c>
    </row>
    <row r="6" spans="1:4">
      <c r="C6" s="3"/>
    </row>
    <row r="7" spans="1:4" ht="20.25" customHeight="1">
      <c r="A7" s="4" t="s">
        <v>1899</v>
      </c>
      <c r="B7" s="4" t="s">
        <v>2343</v>
      </c>
      <c r="C7" s="5" t="s">
        <v>614</v>
      </c>
      <c r="D7" s="6" t="s">
        <v>310</v>
      </c>
    </row>
    <row r="8" spans="1:4">
      <c r="A8" s="7" t="s">
        <v>374</v>
      </c>
      <c r="B8" s="8"/>
      <c r="C8" s="9"/>
      <c r="D8" s="10"/>
    </row>
    <row r="9" spans="1:4">
      <c r="A9" s="11" t="s">
        <v>76</v>
      </c>
      <c r="B9" s="12"/>
      <c r="C9" s="13"/>
      <c r="D9" s="14"/>
    </row>
    <row r="10" spans="1:4">
      <c r="A10" s="11" t="s">
        <v>77</v>
      </c>
      <c r="B10" s="12"/>
      <c r="C10" s="13"/>
      <c r="D10" s="14"/>
    </row>
    <row r="11" spans="1:4">
      <c r="A11" s="11" t="s">
        <v>78</v>
      </c>
      <c r="B11" s="12"/>
      <c r="C11" s="13"/>
      <c r="D11" s="14"/>
    </row>
    <row r="12" spans="1:4">
      <c r="A12" s="11" t="s">
        <v>629</v>
      </c>
      <c r="B12" s="12"/>
      <c r="C12" s="13"/>
      <c r="D12" s="14"/>
    </row>
    <row r="13" spans="1:4">
      <c r="A13" s="11"/>
      <c r="B13" s="12"/>
      <c r="C13" s="13"/>
      <c r="D13" s="14"/>
    </row>
    <row r="14" spans="1:4">
      <c r="A14" s="11"/>
      <c r="B14" s="12"/>
      <c r="C14" s="13"/>
      <c r="D14" s="14"/>
    </row>
    <row r="15" spans="1:4">
      <c r="A15" s="11"/>
      <c r="B15" s="12"/>
      <c r="C15" s="13"/>
      <c r="D15" s="14"/>
    </row>
    <row r="16" spans="1:4">
      <c r="A16" s="11"/>
      <c r="B16" s="12"/>
      <c r="C16" s="13"/>
      <c r="D16" s="14"/>
    </row>
    <row r="17" spans="1:4">
      <c r="A17" s="11"/>
      <c r="B17" s="12"/>
      <c r="C17" s="13"/>
      <c r="D17" s="14"/>
    </row>
    <row r="18" spans="1:4">
      <c r="A18" s="11"/>
      <c r="B18" s="12"/>
      <c r="C18" s="13"/>
      <c r="D18" s="14"/>
    </row>
    <row r="19" spans="1:4">
      <c r="A19" s="11"/>
      <c r="B19" s="12"/>
      <c r="C19" s="13"/>
      <c r="D19" s="14"/>
    </row>
    <row r="20" spans="1:4">
      <c r="A20" s="15"/>
      <c r="B20" s="16"/>
      <c r="C20" s="17"/>
      <c r="D20" s="18"/>
    </row>
    <row r="21" spans="1:4">
      <c r="A21" s="19" t="s">
        <v>645</v>
      </c>
      <c r="B21" s="19"/>
      <c r="C21" s="5"/>
      <c r="D21" s="20"/>
    </row>
    <row r="22" spans="1:4">
      <c r="A22" s="21"/>
      <c r="B22" s="21"/>
      <c r="C22" s="5"/>
      <c r="D22" s="22"/>
    </row>
    <row r="26" spans="1:4">
      <c r="C26" s="23" t="s">
        <v>341</v>
      </c>
    </row>
    <row r="30" spans="1:4">
      <c r="C30" s="1" t="s">
        <v>2342</v>
      </c>
    </row>
  </sheetData>
  <mergeCells count="1">
    <mergeCell ref="A2:C3"/>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xml version="1.0" encoding="utf-8"?>
<allowEditUser xmlns="https://web.wps.cn/et/2018/main" xmlns:s="http://schemas.openxmlformats.org/spreadsheetml/2006/main" hasInvisiblePropRange="0">
  <rangeList sheetStid="1" master="" otherUserPermission="visible"/>
  <rangeList sheetStid="2" master="" otherUserPermission="visible"/>
  <rangeList sheetStid="8" master="" otherUserPermission="visible"/>
  <rangeList sheetStid="6" master="" otherUserPermission="visible"/>
  <rangeList sheetStid="4" master="" otherUserPermission="visible"/>
  <rangeList sheetStid="5" master="" otherUserPermission="visible"/>
  <rangeList sheetStid="9" master="" otherUserPermission="visible"/>
  <rangeList sheetStid="12" master="" otherUserPermission="visible"/>
  <rangeList sheetStid="10" master="" otherUserPermission="visible"/>
  <rangeList sheetStid="11" master="" otherUserPermission="visible"/>
  <rangeList sheetStid="13" master="" otherUserPermission="visible"/>
  <rangeList sheetStid="3" master="" otherUserPermission="visible"/>
  <rangeList sheetStid="7" master="" otherUserPermission="visible"/>
  <rangeList sheetStid="14" master="" otherUserPermission="visible"/>
  <rangeList sheetStid="51" master="" otherUserPermission="visible"/>
  <rangeList sheetStid="17" master="" otherUserPermission="visible"/>
  <rangeList sheetStid="18" master="" otherUserPermission="visible"/>
  <rangeList sheetStid="19" master="" otherUserPermission="visible"/>
  <rangeList sheetStid="15" master="" otherUserPermission="visible"/>
  <rangeList sheetStid="16" master="" otherUserPermission="visible"/>
  <rangeList sheetStid="20" master="" otherUserPermission="visible"/>
  <rangeList sheetStid="21" master="" otherUserPermission="visible"/>
  <rangeList sheetStid="22" master="" otherUserPermission="visible"/>
  <rangeList sheetStid="23" master="" otherUserPermission="visible"/>
  <rangeList sheetStid="24" master="" otherUserPermission="visible"/>
  <rangeList sheetStid="25" master="" otherUserPermission="visible"/>
  <rangeList sheetStid="26" master="" otherUserPermission="visible"/>
  <rangeList sheetStid="27" master="" otherUserPermission="visible"/>
  <rangeList sheetStid="28" master="" otherUserPermission="visible"/>
  <rangeList sheetStid="29" master="" otherUserPermission="visible"/>
  <rangeList sheetStid="30" master="" otherUserPermission="visible"/>
  <rangeList sheetStid="47" master="" otherUserPermission="visible"/>
  <rangeList sheetStid="31" master="" otherUserPermission="visible"/>
  <rangeList sheetStid="32" master="" otherUserPermission="visible"/>
  <rangeList sheetStid="53" master="" otherUserPermission="visible"/>
  <rangeList sheetStid="33" master="" otherUserPermission="visible"/>
  <rangeList sheetStid="34" master="" otherUserPermission="visible"/>
  <rangeList sheetStid="48" master="" otherUserPermission="visible"/>
  <rangeList sheetStid="52" master="" otherUserPermission="visible"/>
  <rangeList sheetStid="49" master="" otherUserPermission="visible"/>
  <rangeList sheetStid="50" master="" otherUserPermission="visible"/>
  <rangeList sheetStid="35" master="" otherUserPermission="visible"/>
  <rangeList sheetStid="39" master="" otherUserPermission="visible"/>
  <rangeList sheetStid="40" master="" otherUserPermission="visible"/>
  <rangeList sheetStid="41" master="" otherUserPermission="visible"/>
  <rangeList sheetStid="42" master="" otherUserPermission="visible"/>
  <rangeList sheetStid="43" master="" otherUserPermission="visible"/>
  <rangeList sheetStid="54" master="" otherUserPermission="visible"/>
  <rangeList sheetStid="55" master="" otherUserPermission="visible"/>
  <rangeList sheetStid="44" master="" otherUserPermission="visible"/>
  <rangeList sheetStid="45" master="" otherUserPermission="visible"/>
</allowEditUser>
</file>

<file path=customXml/itemProps1.xml><?xml version="1.0" encoding="utf-8"?>
<ds:datastoreItem xmlns:ds="http://schemas.openxmlformats.org/officeDocument/2006/customXml" ds:itemID="{C50C8479-7D4D-428F-B1CC-F3F9378A3DF5}">
  <ds:schemaRefs/>
</ds:datastoreItem>
</file>

<file path=customXml/itemProps2.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51</vt:i4>
      </vt:variant>
      <vt:variant>
        <vt:lpstr>Named Ranges</vt:lpstr>
      </vt:variant>
      <vt:variant>
        <vt:i4>18</vt:i4>
      </vt:variant>
    </vt:vector>
  </HeadingPairs>
  <TitlesOfParts>
    <vt:vector size="69" baseType="lpstr">
      <vt:lpstr>PETUNJUK PENGERJAAN</vt:lpstr>
      <vt:lpstr>SOP ADMINISTRASI</vt:lpstr>
      <vt:lpstr>WEEKLY FC</vt:lpstr>
      <vt:lpstr>PEMBELIAN KREDIT</vt:lpstr>
      <vt:lpstr>LPKK</vt:lpstr>
      <vt:lpstr>VENDOR</vt:lpstr>
      <vt:lpstr>IKHTISAR FOOD COST</vt:lpstr>
      <vt:lpstr>TO - TI</vt:lpstr>
      <vt:lpstr>HITUNGAN HPP PRODUK</vt:lpstr>
      <vt:lpstr>LEFT OVER</vt:lpstr>
      <vt:lpstr>LAP. CF</vt:lpstr>
      <vt:lpstr>SALES CONTROL</vt:lpstr>
      <vt:lpstr>COST ANALYSIS</vt:lpstr>
      <vt:lpstr>LAPORAN KAS PERIODE</vt:lpstr>
      <vt:lpstr>LAP. PENJUALAN </vt:lpstr>
      <vt:lpstr>LAP. PENJUALAN GRAB FOOD</vt:lpstr>
      <vt:lpstr>LAP. PENJUALAN GO FOOD</vt:lpstr>
      <vt:lpstr>LAP. PENJUALAN SHOPEE FOOD</vt:lpstr>
      <vt:lpstr>LAP TAMBAHAN </vt:lpstr>
      <vt:lpstr>LAP. PENJUALAN PPN 10 %</vt:lpstr>
      <vt:lpstr>kas periode</vt:lpstr>
      <vt:lpstr>FOOD COST ITEM KELAS 2,3A,3B,4</vt:lpstr>
      <vt:lpstr>FC ITEM KELAS 2 </vt:lpstr>
      <vt:lpstr>FC ITEM KELAS 3A</vt:lpstr>
      <vt:lpstr>FC ITEM KELAS 3B</vt:lpstr>
      <vt:lpstr>FC ITEM KELAS 4</vt:lpstr>
      <vt:lpstr>RANDOM COOK</vt:lpstr>
      <vt:lpstr>MCC</vt:lpstr>
      <vt:lpstr>PENANGGALAN </vt:lpstr>
      <vt:lpstr>PHT</vt:lpstr>
      <vt:lpstr>MO</vt:lpstr>
      <vt:lpstr>MO GREEN CRISPY</vt:lpstr>
      <vt:lpstr>LKK</vt:lpstr>
      <vt:lpstr>LKK FULL PAJAK</vt:lpstr>
      <vt:lpstr>LKK FULL PAJAK (2)</vt:lpstr>
      <vt:lpstr>STOCK CONTROL CASHIER</vt:lpstr>
      <vt:lpstr>KOREKSI KASIR</vt:lpstr>
      <vt:lpstr>PLU REGULER</vt:lpstr>
      <vt:lpstr> PLU PROMO REGION</vt:lpstr>
      <vt:lpstr> PLU GO FOOD</vt:lpstr>
      <vt:lpstr>PLU GRAB</vt:lpstr>
      <vt:lpstr> PLU SHOPEE</vt:lpstr>
      <vt:lpstr>LOG BOOK</vt:lpstr>
      <vt:lpstr>MANAGER CEK LIST</vt:lpstr>
      <vt:lpstr>INSENTIF</vt:lpstr>
      <vt:lpstr>MANAGEMENT BOOK</vt:lpstr>
      <vt:lpstr>JADWAL</vt:lpstr>
      <vt:lpstr>Sheet1</vt:lpstr>
      <vt:lpstr>Sheet2</vt:lpstr>
      <vt:lpstr>TO-TI PERKEDEL</vt:lpstr>
      <vt:lpstr>TO CATTERING STAFF</vt:lpstr>
      <vt:lpstr>'IKHTISAR FOOD COST'!Print_Area</vt:lpstr>
      <vt:lpstr>JADWAL!Print_Area</vt:lpstr>
      <vt:lpstr>'kas periode'!Print_Area</vt:lpstr>
      <vt:lpstr>'KOREKSI KASIR'!Print_Area</vt:lpstr>
      <vt:lpstr>'LAP TAMBAHAN '!Print_Area</vt:lpstr>
      <vt:lpstr>'LAP. CF'!Print_Area</vt:lpstr>
      <vt:lpstr>'LAP. PENJUALAN '!Print_Area</vt:lpstr>
      <vt:lpstr>'LAP. PENJUALAN SHOPEE FOOD'!Print_Area</vt:lpstr>
      <vt:lpstr>'LAPORAN KAS PERIODE'!Print_Area</vt:lpstr>
      <vt:lpstr>'LEFT OVER'!Print_Area</vt:lpstr>
      <vt:lpstr>LKK!Print_Area</vt:lpstr>
      <vt:lpstr>LPKK!Print_Area</vt:lpstr>
      <vt:lpstr>'MANAGER CEK LIST'!Print_Area</vt:lpstr>
      <vt:lpstr>'PEMBELIAN KREDIT'!Print_Area</vt:lpstr>
      <vt:lpstr>'RANDOM COOK'!Print_Area</vt:lpstr>
      <vt:lpstr>'SALES CONTROL'!Print_Area</vt:lpstr>
      <vt:lpstr>VENDOR!Print_Area</vt:lpstr>
      <vt:lpstr>'WEEKLY FC'!Print_Area</vt:lpstr>
    </vt:vector>
  </TitlesOfParts>
  <Company>Quick Chicken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QC</dc:creator>
  <cp:lastModifiedBy>LENOVO</cp:lastModifiedBy>
  <cp:lastPrinted>2025-08-29T09:03:00Z</cp:lastPrinted>
  <dcterms:created xsi:type="dcterms:W3CDTF">2008-10-26T22:18:00Z</dcterms:created>
  <dcterms:modified xsi:type="dcterms:W3CDTF">2026-02-10T07:54:14Z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1033-12.2.0.23196</vt:lpwstr>
  </property>
  <property fmtid="{D5CDD505-2E9C-101B-9397-08002B2CF9AE}" pid="3" name="ICV">
    <vt:lpwstr>E5989292720E4403A52307BD33B4FA44_13</vt:lpwstr>
  </property>
</Properties>
</file>